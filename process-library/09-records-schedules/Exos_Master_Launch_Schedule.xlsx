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18.xml" ContentType="application/vnd.openxmlformats-officedocument.spreadsheetml.worksheet+xml"/>
  <Override PartName="/xl/worksheets/sheet13.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855" windowWidth="18195" windowHeight="10590"/>
  </bookViews>
  <sheets>
    <sheet name="Master Launch Schedule" sheetId="1" r:id="rId1"/>
    <sheet name="Day 1 Setup" sheetId="2" r:id="rId2"/>
    <sheet name="Day 2 Setup" sheetId="3" r:id="rId3"/>
    <sheet name="Launch Day" sheetId="4" r:id="rId4"/>
    <sheet name="60 Day Notification Contacts" sheetId="8" r:id="rId5"/>
    <sheet name="Schedule for 15day Notification" sheetId="6" r:id="rId6"/>
    <sheet name="10 Day Notification Content" sheetId="7" r:id="rId7"/>
    <sheet name="Final Assembly Checklist" sheetId="5" r:id="rId8"/>
    <sheet name="Recovery Section Checklist" sheetId="9" r:id="rId9"/>
    <sheet name="CPU Pressure Check" sheetId="10" r:id="rId10"/>
    <sheet name="CPU to Payload Assembly" sheetId="11" r:id="rId11"/>
    <sheet name="CPU to Press Section Assembly" sheetId="12" r:id="rId12"/>
    <sheet name="Recovery Glow Plug Test" sheetId="13" r:id="rId13"/>
    <sheet name="Recovery to Payload Assembly" sheetId="14" r:id="rId14"/>
    <sheet name="Preflight Press Section" sheetId="15" r:id="rId15"/>
    <sheet name="Engine Bay Preflight Checklist" sheetId="16" r:id="rId16"/>
    <sheet name="Pad Ops Tools Checklist" sheetId="17" r:id="rId17"/>
    <sheet name="Rocket Retrieval Tools Checklis" sheetId="18" r:id="rId18"/>
    <sheet name="Personal Equipment Checklist" sheetId="19" r:id="rId19"/>
  </sheets>
  <definedNames>
    <definedName name="_xlnm.Print_Area" localSheetId="1">'Day 1 Setup'!$A$1:$G$21</definedName>
    <definedName name="_xlnm.Print_Area" localSheetId="2">'Day 2 Setup'!$A$1:$G$22</definedName>
    <definedName name="_xlnm.Print_Area" localSheetId="3">'Launch Day'!$A$1:$G$23</definedName>
    <definedName name="_xlnm.Print_Area" localSheetId="0">'Master Launch Schedule'!$A$1:$H$25</definedName>
    <definedName name="_xlnm.Print_Area" localSheetId="8">'Recovery Section Checklist'!$A$1:$B$24</definedName>
  </definedNames>
  <calcPr calcId="145621"/>
</workbook>
</file>

<file path=xl/calcChain.xml><?xml version="1.0" encoding="utf-8"?>
<calcChain xmlns="http://schemas.openxmlformats.org/spreadsheetml/2006/main">
  <c r="C40" i="6" l="1"/>
  <c r="E40" i="6"/>
  <c r="F40" i="6"/>
  <c r="F2" i="1"/>
  <c r="C25" i="1"/>
  <c r="C24" i="1"/>
  <c r="C23" i="1"/>
  <c r="C22" i="1"/>
  <c r="C21" i="1"/>
  <c r="C20" i="1"/>
  <c r="C19" i="1"/>
  <c r="C18" i="1"/>
  <c r="C17" i="1"/>
  <c r="C16" i="1"/>
  <c r="C15" i="1"/>
  <c r="C14" i="1"/>
  <c r="C13" i="1"/>
  <c r="C12" i="1"/>
  <c r="C11" i="1"/>
  <c r="A12" i="7" l="1"/>
  <c r="A11" i="7"/>
  <c r="A10" i="7"/>
  <c r="A9" i="7"/>
  <c r="A8" i="7"/>
  <c r="C8" i="6" l="1"/>
  <c r="C7" i="6"/>
  <c r="C6" i="6"/>
  <c r="C5" i="6"/>
  <c r="C4" i="6"/>
  <c r="C3" i="6"/>
  <c r="C2" i="6"/>
  <c r="C27" i="6" l="1"/>
  <c r="C19" i="6"/>
  <c r="C9" i="6"/>
  <c r="H1" i="1" l="1"/>
  <c r="H2" i="1" l="1"/>
  <c r="C10" i="1" l="1"/>
  <c r="C9" i="1"/>
  <c r="B12" i="4" l="1"/>
  <c r="B15" i="4"/>
  <c r="E10" i="2"/>
  <c r="B13" i="4"/>
  <c r="B18" i="4"/>
  <c r="B17" i="4"/>
  <c r="B16" i="4"/>
  <c r="B14" i="4"/>
  <c r="B11" i="4"/>
  <c r="B9" i="4"/>
  <c r="B8" i="4"/>
  <c r="B7" i="4"/>
  <c r="B6" i="4"/>
  <c r="B5" i="4"/>
  <c r="B4" i="4"/>
  <c r="B3" i="4"/>
  <c r="B3" i="3"/>
  <c r="B3" i="2"/>
  <c r="C8" i="1"/>
  <c r="C5" i="1"/>
  <c r="C6" i="1"/>
  <c r="C7" i="1"/>
</calcChain>
</file>

<file path=xl/comments1.xml><?xml version="1.0" encoding="utf-8"?>
<comments xmlns="http://schemas.openxmlformats.org/spreadsheetml/2006/main">
  <authors>
    <author>Phil Exos</author>
  </authors>
  <commentList>
    <comment ref="G13" authorId="0">
      <text>
        <r>
          <rPr>
            <b/>
            <sz val="9"/>
            <color indexed="81"/>
            <rFont val="Tahoma"/>
            <family val="2"/>
          </rPr>
          <t>Phil Exos:</t>
        </r>
        <r>
          <rPr>
            <sz val="9"/>
            <color indexed="81"/>
            <rFont val="Tahoma"/>
            <family val="2"/>
          </rPr>
          <t xml:space="preserve">
Address to send Cross Waivers:
FAA/AST 200 Licensing Division
ATTN: Kenneth Wong 
800 Independence Ave SW
FOB10A, Room 331
Washington, DC 20591
PH:(202) 267-8465
Email List:
Ken.Wong@faa.gov;
henry.lampazzi@faa.gov;
sherman.council@faa.gov;
AST-400@faa.gov;
</t>
        </r>
      </text>
    </comment>
    <comment ref="H13" authorId="0">
      <text>
        <r>
          <rPr>
            <b/>
            <sz val="9"/>
            <color indexed="81"/>
            <rFont val="Tahoma"/>
            <family val="2"/>
          </rPr>
          <t xml:space="preserve">Phil Exos:
</t>
        </r>
        <r>
          <rPr>
            <sz val="9"/>
            <color indexed="81"/>
            <rFont val="Tahoma"/>
            <family val="2"/>
          </rPr>
          <t xml:space="preserve">
FAA/AST 200 Licensing Division
ATTN: Kenneth Wong
800 Independence Ave SW
FOB10A, Room 331
Washington, DC 20591
PH:(202) 267-8465</t>
        </r>
      </text>
    </comment>
  </commentList>
</comments>
</file>

<file path=xl/comments2.xml><?xml version="1.0" encoding="utf-8"?>
<comments xmlns="http://schemas.openxmlformats.org/spreadsheetml/2006/main">
  <authors>
    <author>Phil Exos</author>
  </authors>
  <commentList>
    <comment ref="B1" authorId="0">
      <text>
        <r>
          <rPr>
            <b/>
            <sz val="9"/>
            <color indexed="81"/>
            <rFont val="Tahoma"/>
            <family val="2"/>
          </rPr>
          <t>Phil Exos:</t>
        </r>
        <r>
          <rPr>
            <sz val="9"/>
            <color indexed="81"/>
            <rFont val="Tahoma"/>
            <family val="2"/>
          </rPr>
          <t xml:space="preserve">
1 hour = .0416 days</t>
        </r>
      </text>
    </comment>
  </commentList>
</comments>
</file>

<file path=xl/sharedStrings.xml><?xml version="1.0" encoding="utf-8"?>
<sst xmlns="http://schemas.openxmlformats.org/spreadsheetml/2006/main" count="668" uniqueCount="539">
  <si>
    <t>Item #</t>
  </si>
  <si>
    <t>Description</t>
  </si>
  <si>
    <t>Action Date</t>
  </si>
  <si>
    <t># of days before Launch</t>
  </si>
  <si>
    <t>Pre-Launch and Regulatory Milestones</t>
  </si>
  <si>
    <t>Point of Contact</t>
  </si>
  <si>
    <t>Notes:</t>
  </si>
  <si>
    <t>Sherman Council/Henry Lampazzi</t>
  </si>
  <si>
    <t>Spaceport Scheduling</t>
  </si>
  <si>
    <t>Initial Hold Down Testing</t>
  </si>
  <si>
    <t>Internal</t>
  </si>
  <si>
    <t>Scheduled Launch Date:</t>
  </si>
  <si>
    <t>Request Travel Insurance</t>
  </si>
  <si>
    <t>Roanoak Trade, Tom Moran</t>
  </si>
  <si>
    <t>Complete System Integration test</t>
  </si>
  <si>
    <t>10 Day notice to ARTCC and ZAB</t>
  </si>
  <si>
    <t>Crane Truck Depart for Spaceport</t>
  </si>
  <si>
    <t>Crew depart for Spaceport</t>
  </si>
  <si>
    <t>1st day of Setup</t>
  </si>
  <si>
    <t>Unpack Trailer</t>
  </si>
  <si>
    <t>Time to Launch</t>
  </si>
  <si>
    <t>Payload Integration Begins</t>
  </si>
  <si>
    <t>Participants</t>
  </si>
  <si>
    <t>All Crew</t>
  </si>
  <si>
    <t>Estimated Time</t>
  </si>
  <si>
    <t>Joseph and Helper</t>
  </si>
  <si>
    <t>Action Time</t>
  </si>
  <si>
    <t>Break For Lunch</t>
  </si>
  <si>
    <t>30 minutes</t>
  </si>
  <si>
    <t>Joseph and 1 helper</t>
  </si>
  <si>
    <t>Set Up Helium 6 Packs for Pressuization</t>
  </si>
  <si>
    <t>Get Everything back into the trailer.</t>
  </si>
  <si>
    <t xml:space="preserve">Depart Launch Site </t>
  </si>
  <si>
    <t>Depart from the Hotel</t>
  </si>
  <si>
    <t>2nd Day of Setup</t>
  </si>
  <si>
    <t>Launch Day</t>
  </si>
  <si>
    <t>Everyone</t>
  </si>
  <si>
    <t>Scheduled Launch Time:</t>
  </si>
  <si>
    <t>Exos Aerospace Master Launch Schedule</t>
  </si>
  <si>
    <t>Day 1 Launch Setup</t>
  </si>
  <si>
    <t>Day 2 Launch Setup</t>
  </si>
  <si>
    <t>Mission Readiness Review</t>
  </si>
  <si>
    <t>All Attendees</t>
  </si>
  <si>
    <t>Vehile Dry Run approximately 1:00 PM</t>
  </si>
  <si>
    <t>Final Installation of Payload Section</t>
  </si>
  <si>
    <t>Final Installation of Recovery Section</t>
  </si>
  <si>
    <t>Photo Opportunity on Pad</t>
  </si>
  <si>
    <t>Start Launch Procedure</t>
  </si>
  <si>
    <t>Apogee</t>
  </si>
  <si>
    <t>Main Deployment</t>
  </si>
  <si>
    <t>Rocket Lands under Main</t>
  </si>
  <si>
    <t>Post Flight Briefing</t>
  </si>
  <si>
    <t>Return to Master</t>
  </si>
  <si>
    <t>Start Pressurization on Press Section</t>
  </si>
  <si>
    <t>Joseph</t>
  </si>
  <si>
    <t>Lunch Break</t>
  </si>
  <si>
    <t>3 people</t>
  </si>
  <si>
    <t>Phil and Lee</t>
  </si>
  <si>
    <t>Attend MRR</t>
  </si>
  <si>
    <t>Depart Spaceport</t>
  </si>
  <si>
    <t>Retrieval team to Nose location</t>
  </si>
  <si>
    <t>Pack Trailer and Truck</t>
  </si>
  <si>
    <t>Leave Launch Site</t>
  </si>
  <si>
    <t>Unpack Trailer and Truck</t>
  </si>
  <si>
    <t>Prep Rocket for Combined Systems Test</t>
  </si>
  <si>
    <t>Combined Systems Test</t>
  </si>
  <si>
    <t>Full Dry Run</t>
  </si>
  <si>
    <t>Launch Pad Setup</t>
  </si>
  <si>
    <t>Joseph and 2 helpers</t>
  </si>
  <si>
    <t>Set up Recovery system</t>
  </si>
  <si>
    <t>Set Up Exos Wifi</t>
  </si>
  <si>
    <t>Russ</t>
  </si>
  <si>
    <t>Set Up Truck for Pad ops (Start)</t>
  </si>
  <si>
    <t>Tightness Check and Reassembly</t>
  </si>
  <si>
    <t>Finish Pad Ops Prep on Crane Truck</t>
  </si>
  <si>
    <t>Role Assignment and Training</t>
  </si>
  <si>
    <t>LOX Transfill</t>
  </si>
  <si>
    <t>1 or 2 people</t>
  </si>
  <si>
    <t>2 people</t>
  </si>
  <si>
    <t>Final Assembly of the Recovery system</t>
  </si>
  <si>
    <t>Finalize Checklist and Print</t>
  </si>
  <si>
    <t>Collect and File Subassembly Checklists</t>
  </si>
  <si>
    <t>Haley or Russ or Logistics Coordinator</t>
  </si>
  <si>
    <t>Repack for the night, Fuel Generators and Gator</t>
  </si>
  <si>
    <t>2 People</t>
  </si>
  <si>
    <t>All Crew and Day Of Launch Attendees</t>
  </si>
  <si>
    <t>All Day</t>
  </si>
  <si>
    <t>2 to 3 hours</t>
  </si>
  <si>
    <t>2 hours concurrent to Pressurization.</t>
  </si>
  <si>
    <t>1 to 2 hours</t>
  </si>
  <si>
    <t>2 hours</t>
  </si>
  <si>
    <t>30 to 60 minutes</t>
  </si>
  <si>
    <t>1 hour</t>
  </si>
  <si>
    <t>All Contractors filling Roles MUST be onsite no later than 1:00PM!</t>
  </si>
  <si>
    <t>Ne a list of Subassembly Checklists.  Must be filed in Vehicle Log Folder.</t>
  </si>
  <si>
    <t>Check Press Section, bump press if needed.</t>
  </si>
  <si>
    <t>Start Rocket Assembly</t>
  </si>
  <si>
    <t>Payload must be complete with Can going on at this time!</t>
  </si>
  <si>
    <t>15 minutes</t>
  </si>
  <si>
    <t>Roll to Pad</t>
  </si>
  <si>
    <t>Turn on Rocket verify connections good.</t>
  </si>
  <si>
    <t>Start Hazardous Ops</t>
  </si>
  <si>
    <t>Planned Launch Time</t>
  </si>
  <si>
    <t>All Nonessential Personnel return to Spaceport viewing area</t>
  </si>
  <si>
    <t>Concurrent Operation with Nose Retrieval</t>
  </si>
  <si>
    <t>2 or 3 people</t>
  </si>
  <si>
    <t>2 to 4 people</t>
  </si>
  <si>
    <t>4 to 6 people</t>
  </si>
  <si>
    <t>All Eyes</t>
  </si>
  <si>
    <t>Nose lands about the same time.  Check with Spotters for  Location Confirmation.</t>
  </si>
  <si>
    <t>Final Vehicle Assembly Checklist</t>
  </si>
  <si>
    <t>Press Section On and Connected</t>
  </si>
  <si>
    <t>Main Flight Computer On and Connected</t>
  </si>
  <si>
    <t>Payload Section On and Connected</t>
  </si>
  <si>
    <t>Recovery Section On and Connected</t>
  </si>
  <si>
    <t>Rocket On, All Connections Verified Ready for Flight</t>
  </si>
  <si>
    <t>Fin Can On and Connected</t>
  </si>
  <si>
    <t>Check 1</t>
  </si>
  <si>
    <t>Check 2</t>
  </si>
  <si>
    <t>Date:</t>
  </si>
  <si>
    <t>3 or 4 people</t>
  </si>
  <si>
    <t>Post Mission Briefing</t>
  </si>
  <si>
    <t>John, Neil, Phil, Russ</t>
  </si>
  <si>
    <t>May or may not happen depending on AST Schedule.</t>
  </si>
  <si>
    <t>Phone Number</t>
  </si>
  <si>
    <t>Email Address</t>
  </si>
  <si>
    <t>Notification by Email</t>
  </si>
  <si>
    <t>Request by Email, Follow up by Phone</t>
  </si>
  <si>
    <t>Notify by email, Send original signature copies by US Mail</t>
  </si>
  <si>
    <t>Notification done by Email at the 15 day mark</t>
  </si>
  <si>
    <t>Jessica Harrell/Brian Mott</t>
  </si>
  <si>
    <t>214-557-5536</t>
  </si>
  <si>
    <t>202-570-5819</t>
  </si>
  <si>
    <t>575-520-5433</t>
  </si>
  <si>
    <t>bill.gutman@spaceportamerica.com</t>
  </si>
  <si>
    <t>Dana Cell:     713-828-7319</t>
  </si>
  <si>
    <t>Tom.Moran@roanokegroup.com</t>
  </si>
  <si>
    <t>847-969-8232</t>
  </si>
  <si>
    <t>To Be Done at the Spaceport Provided Facility.</t>
  </si>
  <si>
    <t>Also Verify Van rental pickup</t>
  </si>
  <si>
    <t>Retrieval team to Rocket</t>
  </si>
  <si>
    <t xml:space="preserve">972-519-9697 </t>
  </si>
  <si>
    <t>sean.j.spradling@erac.com</t>
  </si>
  <si>
    <t>Sean Spradling</t>
  </si>
  <si>
    <t>Place Reservation for Crew Van with Enterprise Van Rental Specialties</t>
  </si>
  <si>
    <t>Place Reservation for Hotel in Las Cruces</t>
  </si>
  <si>
    <t>Request Launch Insurance Coverage, Send Certificates to AST when complete.</t>
  </si>
  <si>
    <t>File Cross Waivers with AST, Send Final Payload Manifest.</t>
  </si>
  <si>
    <t>Send Insurance Certificates to AST</t>
  </si>
  <si>
    <t>AST-400@faa.gov</t>
  </si>
  <si>
    <t>sherman.council@faa.gov; Henry.Lampazzi@faa.gov; AST-400@faa.gov; annette.parks@faa.gov</t>
  </si>
  <si>
    <t>(202) 267-8465</t>
  </si>
  <si>
    <t>Ken Wong, AST-200</t>
  </si>
  <si>
    <t>Ken.Wong@faa.gov; henry.lampazzi@faa.gov; sherman.council@faa.gov; AST-400@faa.gov;</t>
  </si>
  <si>
    <t>Exos Team departs for Las Cruces</t>
  </si>
  <si>
    <t>Crane and Rocket trailer continue to site at Spaceport NM</t>
  </si>
  <si>
    <t>Crane and Rocket trailer arrive at Spaceport NM</t>
  </si>
  <si>
    <t>Exos Team arrives at Las Cruces hotel</t>
  </si>
  <si>
    <t>Unpack Trailer and Truck, Prep Rocket for Combined Systems Test</t>
  </si>
  <si>
    <t>Set up recovery system, Set Up Exos Wifi</t>
  </si>
  <si>
    <t>Depart from Hotel</t>
  </si>
  <si>
    <t>Unpack trailer, Tightness Check and Reassembly</t>
  </si>
  <si>
    <t>Start Pressurization on Press Section, Finish Crane Truck Prep for Pad Ops</t>
  </si>
  <si>
    <t>Payload customers arrive and prepare payloads</t>
  </si>
  <si>
    <t>Launch Schedule,    ALL TIMES ARE APPROXIMATE</t>
  </si>
  <si>
    <t>Travel</t>
  </si>
  <si>
    <t>Crane and Rocket Depart to New Mexico - Overnight in Van Horn for crane truck</t>
  </si>
  <si>
    <t>Exos Team pickup and pack Rental Van</t>
  </si>
  <si>
    <t>End of Day</t>
  </si>
  <si>
    <t>MDT is GMT-6</t>
  </si>
  <si>
    <t>MST is GMT-7</t>
  </si>
  <si>
    <t>Dana or Jason at Gallegher</t>
  </si>
  <si>
    <t>dana.smith@ajg.com; Jason.Hendrix@ajg.com</t>
  </si>
  <si>
    <t>Bill Gutman</t>
  </si>
  <si>
    <t>Fairfield Inn by Marriott</t>
  </si>
  <si>
    <r>
      <t xml:space="preserve">Request Chevy Express 15 Passenger Van by Phone, Follow up by Email.  </t>
    </r>
    <r>
      <rPr>
        <u/>
        <sz val="11"/>
        <color theme="1"/>
        <rFont val="Calibri"/>
        <family val="2"/>
        <scheme val="minor"/>
      </rPr>
      <t>Do Not Rent the Ford Transit!</t>
    </r>
  </si>
  <si>
    <t>Brad Clouser</t>
  </si>
  <si>
    <t>Brad to oversee Payload readiness and integration timing</t>
  </si>
  <si>
    <t>The van should be brought to the shop and prepared for travel.</t>
  </si>
  <si>
    <t>Days to launch--&gt;</t>
  </si>
  <si>
    <t>AST-400, Sherman Council</t>
  </si>
  <si>
    <t>Tim McHale/ZAB 530</t>
  </si>
  <si>
    <t>9-asw-zab530@faa.gov;                            9-AWA-AJR-SPCE.OPS@faa.gov; spaceops@spaceportamerica.com; Melanie.Ramos@faa.gov; beth.e.adams@faa.gov</t>
  </si>
  <si>
    <t>Today's Date--&gt;</t>
  </si>
  <si>
    <t>(Needs Contact Info)</t>
  </si>
  <si>
    <t>Henry.Lampazzi@faa.gov;</t>
  </si>
  <si>
    <t>AST-400@faa.gov;</t>
  </si>
  <si>
    <t xml:space="preserve">sherman.council@faa.gov;   </t>
  </si>
  <si>
    <t>annette.parks@faa.gov;</t>
  </si>
  <si>
    <t>jquinn@exosaero.com;</t>
  </si>
  <si>
    <t>nmilburn@exosaero.com;</t>
  </si>
  <si>
    <t>smillard@exosaero.com;</t>
  </si>
  <si>
    <t>peaton@exosaero.com</t>
  </si>
  <si>
    <t>tlong@exosaero.com;</t>
  </si>
  <si>
    <t>Send 60 Day Notification                  Including Payload Manifest.                          (Click for Contact List)</t>
  </si>
  <si>
    <t>15 Day Noification to AST, Click for Requirements.</t>
  </si>
  <si>
    <t>60 Day Launch Notification, Click for requirements.</t>
  </si>
  <si>
    <t>15 Day Notification, Make the 10 Day Notification at the same time and include all of the required information.</t>
  </si>
  <si>
    <t>Email Contacts:</t>
  </si>
  <si>
    <t>spaceops@spaceportamerica.com;</t>
  </si>
  <si>
    <t>9-asw-zab530@faa.gov;</t>
  </si>
  <si>
    <t>beth.e.adams@faa.gov;</t>
  </si>
  <si>
    <t>Set Up Day 1</t>
  </si>
  <si>
    <t>Set Up Day 2</t>
  </si>
  <si>
    <t>9-AWA-AJR-SPACE.OPS@faa.gov;</t>
  </si>
  <si>
    <t>Tiffany Long and Teresa Quinn</t>
  </si>
  <si>
    <t>Walk Through with John and Guests</t>
  </si>
  <si>
    <t>John Quinn</t>
  </si>
  <si>
    <t>1 hour+</t>
  </si>
  <si>
    <t>75 minutes</t>
  </si>
  <si>
    <t>John will escort visitors around the Launch Control Area and discuss the stations they see as well as the rocket in process.</t>
  </si>
  <si>
    <t>Date and Time of Launch</t>
  </si>
  <si>
    <t>Radius of the Hazard area</t>
  </si>
  <si>
    <t>Expected Altitude</t>
  </si>
  <si>
    <t>Verify Coordination with White Sands Missile Range</t>
  </si>
  <si>
    <t>October 26th 2019, 16:00-18:30 GMT (or 10:00-12:30 MDT) Alternate date, October 27th with the same times.</t>
  </si>
  <si>
    <t>7KM from (32.943694, –106.922361)</t>
  </si>
  <si>
    <t>Expected 90KM, Maximum 105KM</t>
  </si>
  <si>
    <t>Noted from AST Meeting, verify with Bill Gutman at SPAM</t>
  </si>
  <si>
    <t>Crane and Rocket trailer team arrives at Las Cruces hotel</t>
  </si>
  <si>
    <t>Hours Before Launch Time</t>
  </si>
  <si>
    <t>Days Before Launch Date</t>
  </si>
  <si>
    <t>Pressurize nose tank to 1100 psi.</t>
  </si>
  <si>
    <t>Charge nose tracker battery</t>
  </si>
  <si>
    <t>Ensure yellow pin is installed</t>
  </si>
  <si>
    <t>Verify GPS Landing Coordinates are programmed into the AGU</t>
  </si>
  <si>
    <t>Install Main Parachute</t>
  </si>
  <si>
    <t>Connect the pull cord to the AGU flight switch</t>
  </si>
  <si>
    <t>Connect the Right and Left control lines to the AGU</t>
  </si>
  <si>
    <t>Verify the control lines go straight down the spool and not over the top</t>
  </si>
  <si>
    <t>Verify length of control line on AGU spools</t>
  </si>
  <si>
    <t>Ensure the recovery system bolts are tight and sealed</t>
  </si>
  <si>
    <t>Connect the Drogue link to the Kevlar strap leading through the cutters</t>
  </si>
  <si>
    <t>Ensure cut sensor wire goes through both cutters.</t>
  </si>
  <si>
    <t>Fan fold and band the strap for flight</t>
  </si>
  <si>
    <t>Install the screamer between the attach point and the nose cone</t>
  </si>
  <si>
    <t>Ensure the cutters are connected and capped with the metal cover plate.</t>
  </si>
  <si>
    <t>Place straps on top of the main parachute container banded in 2 sections.</t>
  </si>
  <si>
    <t>Place the ballute on top of the straps folded as tight as possible.</t>
  </si>
  <si>
    <t>Connect the nose wire harness to the bulkhead  and secure with a tie wrap</t>
  </si>
  <si>
    <t>Install the nose on the recovery section using 60 nylon screws</t>
  </si>
  <si>
    <t>Install the recovery section on the rocket</t>
  </si>
  <si>
    <t>Completed By __________________     Date ______________</t>
  </si>
  <si>
    <t>Recovery Section Checklist</t>
  </si>
  <si>
    <t>Flight Number:____Flight Location:____________________________</t>
  </si>
  <si>
    <t>CPU Pressure Check</t>
  </si>
  <si>
    <t>Date</t>
  </si>
  <si>
    <t>________________</t>
  </si>
  <si>
    <t>Completed By</t>
  </si>
  <si>
    <t>Checked By</t>
  </si>
  <si>
    <t>Assemble CPU and payload with appropriate seals - Execute CPU to Payload Assembly Checklist</t>
  </si>
  <si>
    <t>Verify all bolts on pressure sides in place</t>
  </si>
  <si>
    <t>Turn on CPU using either debug power and RF cables or connected to vehicle</t>
  </si>
  <si>
    <t>Run ITOS and start CPU press plot</t>
  </si>
  <si>
    <t>Add 10psi to current CPU pressure using compressed air</t>
  </si>
  <si>
    <t>Let CPU rest for 2 minutes</t>
  </si>
  <si>
    <t>Measure initial CPU pressure</t>
  </si>
  <si>
    <t>Initial pressure</t>
  </si>
  <si>
    <t>Wait 10 minutes, measure final CPU pressure</t>
  </si>
  <si>
    <t>Final pressure</t>
  </si>
  <si>
    <t>Pass &lt; 5psi loss in 10 minutes</t>
  </si>
  <si>
    <t>Pass/Fail</t>
  </si>
  <si>
    <t>Proceed to assembling CPU to Press Section</t>
  </si>
  <si>
    <t>CPU to Payload Assembly Checklist</t>
  </si>
  <si>
    <t>______________</t>
  </si>
  <si>
    <t>Clean payload o-ring grove</t>
  </si>
  <si>
    <t>Krytox o-ring and groove</t>
  </si>
  <si>
    <t>Install o-ring</t>
  </si>
  <si>
    <t>Connect Main CPU connector</t>
  </si>
  <si>
    <t>Connect ACS connector</t>
  </si>
  <si>
    <t>Connect GPS connector and torque</t>
  </si>
  <si>
    <t>Connect AGU connector and torque</t>
  </si>
  <si>
    <t>Allign Z- and attach payload to CPU</t>
  </si>
  <si>
    <t>Secure with 60 10-32 5/16" 100CSK</t>
  </si>
  <si>
    <t>CPU to Press Section Assembly</t>
  </si>
  <si>
    <t>Align the computer section with the pressure section in the correct orientation for flight.</t>
  </si>
  <si>
    <t>Connect the appropriate AN-10 upper ACS gas feed line to the CPU bulkhead connection using an Aluminum seal.  Ensure hose orientation lays smoothly and the hose is connected in such a manner as it will not loosen when the CPU section is attached to the pressure section</t>
  </si>
  <si>
    <t>Connect the sensors, actuators and Lower ACS D connections (3 Cannon Plugs)</t>
  </si>
  <si>
    <t xml:space="preserve">Connect the Antennae cables (at least 3) 2 Comms and 1 AGU </t>
  </si>
  <si>
    <t>Visually inspect to ensure no wires or gas lines will be kinked caught or scraped while sliding the CPU section onto the Pressure section</t>
  </si>
  <si>
    <t>Secure CPU bulkhead to the pressure section with screws match Z- orientation</t>
  </si>
  <si>
    <t>Recovery Glow Plug Check</t>
  </si>
  <si>
    <t>_____________</t>
  </si>
  <si>
    <t>Disconnect glow plugs, both cutters</t>
  </si>
  <si>
    <t>Lamp Resistance</t>
  </si>
  <si>
    <t>Measure impedance between each the two plug leads on each side, should be 2-2.5 ohms</t>
  </si>
  <si>
    <t>Left</t>
  </si>
  <si>
    <t>Right</t>
  </si>
  <si>
    <t>Connect leads to glow plugs</t>
  </si>
  <si>
    <t>Plug impedance</t>
  </si>
  <si>
    <t>Measure resistance between power wires at the power supply, must be 0.6 - 1.0 ohms</t>
  </si>
  <si>
    <t>Pass / Fail</t>
  </si>
  <si>
    <t>lamp impedance is not required to pass</t>
  </si>
  <si>
    <t>Recovery to Payload Assembly</t>
  </si>
  <si>
    <t>Connect main CPU connector</t>
  </si>
  <si>
    <t>Connect GPS cable and torque</t>
  </si>
  <si>
    <t>Connect AGU cable and torque</t>
  </si>
  <si>
    <t>Align Z- and set recovery into payload section</t>
  </si>
  <si>
    <t>Secure with 60 10-32 5/16" 100CSK bolts</t>
  </si>
  <si>
    <t>SARGE:  Preflight pressurization section Field Operations Checklist</t>
  </si>
  <si>
    <t>The purpose of this checklist is to ensure safe remote pressurization of the high pressure tank used for onboard pressure in the SARGE vehicle.</t>
  </si>
  <si>
    <t>INITIAL SETUP</t>
  </si>
  <si>
    <t>Place vehicle pressure section on it's handling cart in a safe location out of the way of work areas and foot traffic</t>
  </si>
  <si>
    <t>Set Haskel pump transport box adjacent to Press section</t>
  </si>
  <si>
    <t>Set a FULL Helium 6 pack a few feet from Press section, this is the pressurization supply and control area</t>
  </si>
  <si>
    <t>Set High Volume High Pressure (HVHP) Helium tanks in same location</t>
  </si>
  <si>
    <t>Install shade over press section</t>
  </si>
  <si>
    <t>Unpack the pump box and place the pump on top of the box</t>
  </si>
  <si>
    <t>Co-locate the Gas powered compressor within easy reach and where the operator is able to easily see the pressure gage on the compressor</t>
  </si>
  <si>
    <t>Make sure the Haskel pump operating valve is closed</t>
  </si>
  <si>
    <t>Connect the Compressor air line to the Haskel Pump</t>
  </si>
  <si>
    <t>Check the oil and start the compressor to make sure it operates, bring it up to full pressure and shut it off</t>
  </si>
  <si>
    <t>Setup work table, tools and hardware.</t>
  </si>
  <si>
    <t>Install 6K psi CONCOA regulator on the helium 6 pack.</t>
  </si>
  <si>
    <t>Connect appropriate length -6AN line between regulator and inlet side of the Haskel Pump</t>
  </si>
  <si>
    <t>Connect appropriate length -4AN line between the outlet side of the Haskel Pump and the 10K psi calibrated gage. This hose should have a high pressure vent valve to relieve pressure before disconnecting the line.</t>
  </si>
  <si>
    <t>Zero the 10K gage</t>
  </si>
  <si>
    <t>Hang the gage in a safe location to make sure it does not fall</t>
  </si>
  <si>
    <t>COOLING and MONITORING Setup</t>
  </si>
  <si>
    <t>Place the air conditioning unit on the cart under the pressure section and level with a 3/4 to 1 inch shim</t>
  </si>
  <si>
    <t>Install the cooling plenum on the bottom end of the pressure section with the fill line passing through the notch on the plenum</t>
  </si>
  <si>
    <t>Connect Air conditioner to generator power and turn on to begin cooling Receiving tank. Verify that the AC is set to cool and the fan is on high.</t>
  </si>
  <si>
    <t>Place a fully charged automotive battery next to the Air unit on a wooden board to insulate it from the cart and raise it above any condensation that could come from the Air Conditioner</t>
  </si>
  <si>
    <t>Install press section monitoring adapter orange case to 2 main cables and 2 thermocouple connections at top of press section</t>
  </si>
  <si>
    <t>Connect monitoring adapter to the Battery, Blue LED should come on</t>
  </si>
  <si>
    <t>Connect extended USB cable to laptop located at the pressurization supply and control area.</t>
  </si>
  <si>
    <t xml:space="preserve"> on Laptop, open press terminal shortcut.</t>
  </si>
  <si>
    <t>Under the system tab Open settings and select settings appropriate to the press section you are servicing</t>
  </si>
  <si>
    <t xml:space="preserve">When the settings window opens click on apply </t>
  </si>
  <si>
    <t>Connect to the press section GSE adapter using the connect button in the open window on the laptop</t>
  </si>
  <si>
    <t>Click on F checked for thermocouple data in Fahrenheit and click on filter to get more consistent readings</t>
  </si>
  <si>
    <r>
      <t xml:space="preserve">Numbers close to the travel pressure and a reasonable approximation of temperature should appear. If not, trouble shoot system for leaks, sensor failures, etc.  </t>
    </r>
    <r>
      <rPr>
        <b/>
        <sz val="11"/>
        <color theme="1"/>
        <rFont val="Calibri"/>
        <family val="2"/>
        <scheme val="minor"/>
      </rPr>
      <t>Note Temp and pressure</t>
    </r>
    <r>
      <rPr>
        <sz val="11"/>
        <color theme="1"/>
        <rFont val="Calibri"/>
        <family val="2"/>
        <scheme val="minor"/>
      </rPr>
      <t>. _________________________</t>
    </r>
  </si>
  <si>
    <t>PRESSURIZATION</t>
  </si>
  <si>
    <t>With the plumbing assembled and not connected to the receiving tank. Secure the high pressure outlet end of the hose to prevent/eliminate hose whip when blowing the line clear</t>
  </si>
  <si>
    <t>Close all cylinder valves on the helium 6 pack.</t>
  </si>
  <si>
    <t>Close the CONCOA 6Kpsi regulator</t>
  </si>
  <si>
    <t>Open the first cylinder to be used on the Helium 6 pack and the main valve and briefly open then close the regulator to blow the entire line clear</t>
  </si>
  <si>
    <t>Connect the booster pump pressure outlet hose to pressure section of the rocket</t>
  </si>
  <si>
    <t>Connect thermocouple extensions on the high pressure side of the booster pump to the thermocouple readout unit</t>
  </si>
  <si>
    <t>Close the High pressure line vent valve</t>
  </si>
  <si>
    <t>Pressurize the system to 200psi close the regulator and check for leaks with soapy water if available.</t>
  </si>
  <si>
    <t>Relieve the pressure in the system to avoid rapid overpressure of the rocket high pressure tank if it has lost its pressure charge</t>
  </si>
  <si>
    <t>Reclose all vents.</t>
  </si>
  <si>
    <t>Slowly open the receiving tank valve in the pressure section and verify that the pressure showing on the 10K psi gage is at or near the travel pressure allowing for temperature difference.</t>
  </si>
  <si>
    <r>
      <t xml:space="preserve">Set the regulator on the 6 pack to the pressure level of the tank being filled or the max available pressure in the cylinder whichever is </t>
    </r>
    <r>
      <rPr>
        <b/>
        <sz val="11"/>
        <color theme="1"/>
        <rFont val="Calibri"/>
        <family val="2"/>
        <scheme val="minor"/>
      </rPr>
      <t>LESS</t>
    </r>
    <r>
      <rPr>
        <sz val="11"/>
        <color theme="1"/>
        <rFont val="Calibri"/>
        <family val="2"/>
        <scheme val="minor"/>
      </rPr>
      <t>.</t>
    </r>
  </si>
  <si>
    <t>Carefully recheck all of the plumbing for leaks and correct as needed</t>
  </si>
  <si>
    <t>With all valves open and fully prepared to fill, open the regulator to 200 psi above tank pressure to begin cascade fill.</t>
  </si>
  <si>
    <t>Monitor receiving tank temperatures.</t>
  </si>
  <si>
    <t>When feed pressure falls to within about 100 psi of tank pressure, restart the compressor</t>
  </si>
  <si>
    <t>When the compressor fills and goes to idle the booster is ready to begin using</t>
  </si>
  <si>
    <t>Adjust the booster control valve as needed so that the compressor operation is optimized and the pressure/temperature requirements are adhered to.</t>
  </si>
  <si>
    <r>
      <t>Monitor tank and pump exit temperatures.  Due to sensor latency on the receiving tank, never exceed 125°F as sensed from the highest sensing thermocouple on the tank. If using a heat exchanger, never let the temperature drop below 15</t>
    </r>
    <r>
      <rPr>
        <sz val="11"/>
        <color theme="1"/>
        <rFont val="Calibri"/>
        <family val="2"/>
      </rPr>
      <t>°F on the tank. Avoid temperatures in excess of 150°F on the Haskel Pump outlet.</t>
    </r>
  </si>
  <si>
    <t>Cascade fill from a single cylinder at a time. Repeating steps 41 through 47 as needed.  Ratio of supply tank to receiving tank is dependent upon how fast a fill you desire relative to time available for the tasking, ambient temperature is a factor and tank temperatures shall never be violated.</t>
  </si>
  <si>
    <t>Switch cylinders when the pressure in the supply cylinder is approximately half that of the pressure in the receiving tank.</t>
  </si>
  <si>
    <t>When the receiving tank is above 4500 - 4800 psi switch over to one of the HVHP Helium tanks and continue cascade boost until vehicle pressure section is filled to 5200psi operational pressure.</t>
  </si>
  <si>
    <t xml:space="preserve">Once operational pressure is reached, stop the flow of gas by turning off the booster pump and let the system rest under pressure for a few minutes. </t>
  </si>
  <si>
    <t>Close the Helium supply cylinders</t>
  </si>
  <si>
    <t>Turn off the Compressor</t>
  </si>
  <si>
    <t>Close vehicle high pressure valve</t>
  </si>
  <si>
    <t>Check the vehicle pressure section for leaks</t>
  </si>
  <si>
    <t>Refuel Compressor</t>
  </si>
  <si>
    <t>Continue to monitor the system through the readout on the laptop</t>
  </si>
  <si>
    <t>When necessary restart the system and add pressure to compensate for the loss of pressure through cooling of the hardware</t>
  </si>
  <si>
    <t>Turn air conditioner to "Fan" to keep air flowing through the pressure section while it warms up to prevent moisture from forming.</t>
  </si>
  <si>
    <t>Open the high pressure line vent valve SLOWLY, hearing protection is required</t>
  </si>
  <si>
    <r>
      <t xml:space="preserve">Allow system to return to ambient temperature and evaluate whether additional pressurization is needed by checking the press terminal readout. If so, pressurize in accordance with the above steps. Upon completion </t>
    </r>
    <r>
      <rPr>
        <b/>
        <sz val="11"/>
        <color theme="1"/>
        <rFont val="Calibri"/>
        <family val="2"/>
        <scheme val="minor"/>
      </rPr>
      <t>Record press and temp_________</t>
    </r>
  </si>
  <si>
    <t>Once the day's operations are complete, press the Disconnect button in the monitoring software and terminate the session.</t>
  </si>
  <si>
    <t>Disconnect monitoring box from power.</t>
  </si>
  <si>
    <t>Leave systems in place to the extent that they are secure overnight at the launch prep site.</t>
  </si>
  <si>
    <t>Protect from weather as needed.</t>
  </si>
  <si>
    <t>MORNING OF LAUNCH</t>
  </si>
  <si>
    <t>Reconnect any fittings or electrical connections removed after initial pressurization</t>
  </si>
  <si>
    <t>Verify Zero on 10K psi gage.</t>
  </si>
  <si>
    <r>
      <t xml:space="preserve">Read press and temp of receiving tank through software.  Pressure should reflect the overnight cool down but should not be drastically lower.  If so, troubleshoot the system for problems. </t>
    </r>
    <r>
      <rPr>
        <b/>
        <sz val="11"/>
        <color theme="1"/>
        <rFont val="Calibri"/>
        <family val="2"/>
        <scheme val="minor"/>
      </rPr>
      <t>Record press and temp__________</t>
    </r>
  </si>
  <si>
    <t>Barring any problems, start generator and turn on Air conditioner.</t>
  </si>
  <si>
    <t>Open Highest available pressure cylinder</t>
  </si>
  <si>
    <t>If pressure is over 4800 fill from unused HVHP cylinder.</t>
  </si>
  <si>
    <t>Monitor pressure and temperature according to prior instructions.</t>
  </si>
  <si>
    <t>Once Mission pressure plus 30psi is achieved Closeout pressurization operations</t>
  </si>
  <si>
    <t xml:space="preserve">Close all valves and regulators, </t>
  </si>
  <si>
    <t>Disconnect Fill hardware</t>
  </si>
  <si>
    <t>Cap fill port on vehicle pressure section.</t>
  </si>
  <si>
    <t xml:space="preserve">Using the regulator vent buttons in the monitoring software window, Vent any pressure indicated in the regulation accumulators for 5 minutes prior to disconnecting from monitor.  </t>
  </si>
  <si>
    <t>INSTALLATION ON VEHICLE</t>
  </si>
  <si>
    <t>Move the pressure section on the cart from the fill point to the vehicle.</t>
  </si>
  <si>
    <t>Align the pressure section with the vehicle tank section</t>
  </si>
  <si>
    <t>Connect the Antennae cables (at least 3: H, V, and AGU)</t>
  </si>
  <si>
    <t>Connect the sensors, actuator connections (Cannon Plugs) and their ground Connectors</t>
  </si>
  <si>
    <t>Connect the appropriate AN-10 gas feed lines to the ullage connections using Aluminum seals.  Ensure hose orientation lays smoothly  and connect the lines so they will not loosen when the pressure section is attached to the tank section</t>
  </si>
  <si>
    <t>Visually inspect to ensure no antenna cables, wires or gas lines will be kinked caught or scraped while sliding the pressure section onto the body of the rocket</t>
  </si>
  <si>
    <t>Secure press section with 1/4-28 screws to the upper tank bulkhead in the proper orientation. (bolt size for R1-R2. Normally 10-32)</t>
  </si>
  <si>
    <t>Install "360 fly" cameras (2) into pressure section</t>
  </si>
  <si>
    <t>Execute CPU to Press Section Checklist when CPU-Payload Press Check is complete</t>
  </si>
  <si>
    <t>Engine Bay Preflight Checklist</t>
  </si>
  <si>
    <t xml:space="preserve">Tools Needed:  </t>
  </si>
  <si>
    <t>2) 9-16" Wrenches</t>
  </si>
  <si>
    <t>1) Small Cresent Wrench</t>
  </si>
  <si>
    <t>1) 7-16" Wrench</t>
  </si>
  <si>
    <t>1) 3-16" Allen Wrench</t>
  </si>
  <si>
    <t>1) -10 AN Wrench</t>
  </si>
  <si>
    <t>1) SMA Torque Wrench (assembly to airframe)</t>
  </si>
  <si>
    <r>
      <t>(</t>
    </r>
    <r>
      <rPr>
        <b/>
        <sz val="12"/>
        <color theme="1"/>
        <rFont val="Calibri"/>
        <family val="2"/>
        <scheme val="minor"/>
      </rPr>
      <t>TS</t>
    </r>
    <r>
      <rPr>
        <sz val="12"/>
        <color theme="1"/>
        <rFont val="Calibri"/>
        <family val="2"/>
        <scheme val="minor"/>
      </rPr>
      <t>) = verify Torque Seal Paint is intact.</t>
    </r>
  </si>
  <si>
    <t>PLUMBING</t>
  </si>
  <si>
    <r>
      <t>Fuel pressure transducer hardline both ends (</t>
    </r>
    <r>
      <rPr>
        <b/>
        <sz val="12"/>
        <color theme="1"/>
        <rFont val="Calibri"/>
        <family val="2"/>
        <scheme val="minor"/>
      </rPr>
      <t>TS</t>
    </r>
    <r>
      <rPr>
        <sz val="12"/>
        <color theme="1"/>
        <rFont val="Calibri"/>
        <family val="2"/>
        <scheme val="minor"/>
      </rPr>
      <t>)</t>
    </r>
  </si>
  <si>
    <r>
      <t>Fuel overboard dump connection both ends on dump valve inlet side (</t>
    </r>
    <r>
      <rPr>
        <b/>
        <sz val="12"/>
        <color theme="1"/>
        <rFont val="Calibri"/>
        <family val="2"/>
        <scheme val="minor"/>
      </rPr>
      <t>TS</t>
    </r>
    <r>
      <rPr>
        <sz val="12"/>
        <color theme="1"/>
        <rFont val="Calibri"/>
        <family val="2"/>
        <scheme val="minor"/>
      </rPr>
      <t>)</t>
    </r>
  </si>
  <si>
    <t>Fuel overboard dump hose to valve outlet (PRE-Launch only)</t>
  </si>
  <si>
    <t>FUEL sanitary From tank adapter to top of valves</t>
  </si>
  <si>
    <t>FUEL Fill/drain extension on inter-valve plumbing</t>
  </si>
  <si>
    <t>Flex line from fill/drain extension to igniter solenoid both ends</t>
  </si>
  <si>
    <t>Fuel Purge connection at bottom of valve set both ends</t>
  </si>
  <si>
    <t>Fuel Sanitary connection to Main line at bottom of valves</t>
  </si>
  <si>
    <t>Fuel Sanitary connection from main line to engine</t>
  </si>
  <si>
    <t>Fuel purge feed from ullage pipe to purge solenoid both ends</t>
  </si>
  <si>
    <t>ACS Gas feed connection to Ullage pipe</t>
  </si>
  <si>
    <t>Sanitary clamp connecting LOX downpipe to flex line</t>
  </si>
  <si>
    <t>LOX purge feed from ullage pipe to purge solenoid both ends</t>
  </si>
  <si>
    <r>
      <t>Lox pressure transducer Hardline both ends (</t>
    </r>
    <r>
      <rPr>
        <b/>
        <sz val="12"/>
        <color theme="1"/>
        <rFont val="Calibri"/>
        <family val="2"/>
        <scheme val="minor"/>
      </rPr>
      <t>TS</t>
    </r>
    <r>
      <rPr>
        <sz val="12"/>
        <color theme="1"/>
        <rFont val="Calibri"/>
        <family val="2"/>
        <scheme val="minor"/>
      </rPr>
      <t>)</t>
    </r>
  </si>
  <si>
    <r>
      <t>LOX safety return/pressure transducer connection to tank adapter 3 connections to "T"</t>
    </r>
    <r>
      <rPr>
        <b/>
        <sz val="12"/>
        <color theme="1"/>
        <rFont val="Calibri"/>
        <family val="2"/>
        <scheme val="minor"/>
      </rPr>
      <t xml:space="preserve"> (TS)</t>
    </r>
  </si>
  <si>
    <r>
      <t>LOX overboard dump connection both ends and -4 connection on dump valve inlet side (</t>
    </r>
    <r>
      <rPr>
        <b/>
        <sz val="12"/>
        <color theme="1"/>
        <rFont val="Calibri"/>
        <family val="2"/>
        <scheme val="minor"/>
      </rPr>
      <t>TS</t>
    </r>
    <r>
      <rPr>
        <sz val="12"/>
        <color theme="1"/>
        <rFont val="Calibri"/>
        <family val="2"/>
        <scheme val="minor"/>
      </rPr>
      <t>)</t>
    </r>
  </si>
  <si>
    <t>LOX overboard dump hose to valve outlet (PRE-Launch only)</t>
  </si>
  <si>
    <t xml:space="preserve">Sanitary clamp connecting LOX flex line to top of valve set </t>
  </si>
  <si>
    <t>LOX fill/drain extension on upper to lower valve plumbing</t>
  </si>
  <si>
    <t>LOX fill drain extension dash 4 hardline to check valve/igniter line "T" both ends</t>
  </si>
  <si>
    <t>LOX check valve connection to upper and lower "T" both ends</t>
  </si>
  <si>
    <t>LOX igniter hose from "T" to igniter solenoid both ends</t>
  </si>
  <si>
    <t>LOX purge hardline from bottom of valves to purge solenoid both ends</t>
  </si>
  <si>
    <t>LOX sanitary from bottom of valves to engine feed line</t>
  </si>
  <si>
    <t>LOX sanitary from feed line to engine</t>
  </si>
  <si>
    <r>
      <t>Fuel igniter solenoid hardline to igniter both ends (</t>
    </r>
    <r>
      <rPr>
        <b/>
        <sz val="12"/>
        <color theme="1"/>
        <rFont val="Calibri"/>
        <family val="2"/>
        <scheme val="minor"/>
      </rPr>
      <t>TS</t>
    </r>
    <r>
      <rPr>
        <sz val="12"/>
        <color theme="1"/>
        <rFont val="Calibri"/>
        <family val="2"/>
        <scheme val="minor"/>
      </rPr>
      <t>)</t>
    </r>
  </si>
  <si>
    <r>
      <t>LOX igniter solenoid hardline to igniter both ends (</t>
    </r>
    <r>
      <rPr>
        <b/>
        <sz val="12"/>
        <color theme="1"/>
        <rFont val="Calibri"/>
        <family val="2"/>
        <scheme val="minor"/>
      </rPr>
      <t>TS</t>
    </r>
    <r>
      <rPr>
        <sz val="12"/>
        <color theme="1"/>
        <rFont val="Calibri"/>
        <family val="2"/>
        <scheme val="minor"/>
      </rPr>
      <t>)</t>
    </r>
  </si>
  <si>
    <t>Igniter/chamber pressure transducer hardline both ends</t>
  </si>
  <si>
    <t>Manual Fuel vent valve dash 10 fittings</t>
  </si>
  <si>
    <t>Manual LOX vent valve dash 10 fittings</t>
  </si>
  <si>
    <r>
      <t xml:space="preserve">ACS Feed lines on </t>
    </r>
    <r>
      <rPr>
        <b/>
        <sz val="12"/>
        <color theme="1"/>
        <rFont val="Calibri"/>
        <family val="2"/>
        <scheme val="minor"/>
      </rPr>
      <t>Fin can</t>
    </r>
    <r>
      <rPr>
        <sz val="12"/>
        <color theme="1"/>
        <rFont val="Calibri"/>
        <family val="2"/>
        <scheme val="minor"/>
      </rPr>
      <t xml:space="preserve"> (8 connections) (</t>
    </r>
    <r>
      <rPr>
        <b/>
        <sz val="12"/>
        <color theme="1"/>
        <rFont val="Calibri"/>
        <family val="2"/>
        <scheme val="minor"/>
      </rPr>
      <t>TS</t>
    </r>
    <r>
      <rPr>
        <sz val="12"/>
        <color theme="1"/>
        <rFont val="Calibri"/>
        <family val="2"/>
        <scheme val="minor"/>
      </rPr>
      <t>)</t>
    </r>
  </si>
  <si>
    <r>
      <t xml:space="preserve">Main ACS connection on </t>
    </r>
    <r>
      <rPr>
        <b/>
        <sz val="12"/>
        <color theme="1"/>
        <rFont val="Calibri"/>
        <family val="2"/>
        <scheme val="minor"/>
      </rPr>
      <t>Fin Can</t>
    </r>
    <r>
      <rPr>
        <sz val="12"/>
        <color theme="1"/>
        <rFont val="Calibri"/>
        <family val="2"/>
        <scheme val="minor"/>
      </rPr>
      <t xml:space="preserve"> (1 AN-10 Hose 42" long) (</t>
    </r>
    <r>
      <rPr>
        <b/>
        <sz val="12"/>
        <color theme="1"/>
        <rFont val="Calibri"/>
        <family val="2"/>
        <scheme val="minor"/>
      </rPr>
      <t>TS</t>
    </r>
    <r>
      <rPr>
        <sz val="12"/>
        <color theme="1"/>
        <rFont val="Calibri"/>
        <family val="2"/>
        <scheme val="minor"/>
      </rPr>
      <t>)</t>
    </r>
  </si>
  <si>
    <t>HARDWARE AND ACTUATORS</t>
  </si>
  <si>
    <t>Check gimbal beams for weld cracks</t>
  </si>
  <si>
    <r>
      <t>Bolts on LOX fill/drain extension (2) (</t>
    </r>
    <r>
      <rPr>
        <b/>
        <sz val="12"/>
        <color theme="1"/>
        <rFont val="Calibri"/>
        <family val="2"/>
        <scheme val="minor"/>
      </rPr>
      <t>TS</t>
    </r>
    <r>
      <rPr>
        <sz val="12"/>
        <color theme="1"/>
        <rFont val="Calibri"/>
        <family val="2"/>
        <scheme val="minor"/>
      </rPr>
      <t>)</t>
    </r>
  </si>
  <si>
    <r>
      <t>Bolts on FUEL fill/drain extension (2) (</t>
    </r>
    <r>
      <rPr>
        <b/>
        <sz val="12"/>
        <color theme="1"/>
        <rFont val="Calibri"/>
        <family val="2"/>
        <scheme val="minor"/>
      </rPr>
      <t>TS</t>
    </r>
    <r>
      <rPr>
        <sz val="12"/>
        <color theme="1"/>
        <rFont val="Calibri"/>
        <family val="2"/>
        <scheme val="minor"/>
      </rPr>
      <t>)</t>
    </r>
  </si>
  <si>
    <r>
      <t>Nuts on Purge solenoids' bracket (2) (</t>
    </r>
    <r>
      <rPr>
        <b/>
        <sz val="12"/>
        <color theme="1"/>
        <rFont val="Calibri"/>
        <family val="2"/>
        <scheme val="minor"/>
      </rPr>
      <t>TS</t>
    </r>
    <r>
      <rPr>
        <sz val="12"/>
        <color theme="1"/>
        <rFont val="Calibri"/>
        <family val="2"/>
        <scheme val="minor"/>
      </rPr>
      <t>)</t>
    </r>
  </si>
  <si>
    <t>Gimbal Linear Actuator u-joint bolts to gimbal beams (2)</t>
  </si>
  <si>
    <r>
      <t>Gimbal linear actuators lock nuts on threaded shaft to heim joint (4) (</t>
    </r>
    <r>
      <rPr>
        <b/>
        <sz val="12"/>
        <color theme="1"/>
        <rFont val="Calibri"/>
        <family val="2"/>
        <scheme val="minor"/>
      </rPr>
      <t>TS</t>
    </r>
    <r>
      <rPr>
        <sz val="12"/>
        <color theme="1"/>
        <rFont val="Calibri"/>
        <family val="2"/>
        <scheme val="minor"/>
      </rPr>
      <t>)</t>
    </r>
  </si>
  <si>
    <r>
      <t>Engine gimbal actuator attach points bolts and lock nuts (2)  (</t>
    </r>
    <r>
      <rPr>
        <b/>
        <sz val="12"/>
        <color theme="1"/>
        <rFont val="Calibri"/>
        <family val="2"/>
        <scheme val="minor"/>
      </rPr>
      <t>TS</t>
    </r>
    <r>
      <rPr>
        <sz val="12"/>
        <color theme="1"/>
        <rFont val="Calibri"/>
        <family val="2"/>
        <scheme val="minor"/>
      </rPr>
      <t>)</t>
    </r>
  </si>
  <si>
    <t>Valve assembly clevis pins and retainer clips (circlips) (2)</t>
  </si>
  <si>
    <r>
      <t>Valve actuator clamp rings (2) (</t>
    </r>
    <r>
      <rPr>
        <b/>
        <sz val="12"/>
        <color theme="1"/>
        <rFont val="Calibri"/>
        <family val="2"/>
        <scheme val="minor"/>
      </rPr>
      <t>TS</t>
    </r>
    <r>
      <rPr>
        <sz val="12"/>
        <color theme="1"/>
        <rFont val="Calibri"/>
        <family val="2"/>
        <scheme val="minor"/>
      </rPr>
      <t>)</t>
    </r>
  </si>
  <si>
    <r>
      <t>Bolts for Heim joints from thrust cross to gimbal ring (2) (</t>
    </r>
    <r>
      <rPr>
        <b/>
        <sz val="12"/>
        <color theme="1"/>
        <rFont val="Calibri"/>
        <family val="2"/>
        <scheme val="minor"/>
      </rPr>
      <t>TS</t>
    </r>
    <r>
      <rPr>
        <sz val="12"/>
        <color theme="1"/>
        <rFont val="Calibri"/>
        <family val="2"/>
        <scheme val="minor"/>
      </rPr>
      <t>)</t>
    </r>
  </si>
  <si>
    <r>
      <t>Gimbal ring bolts (4) (</t>
    </r>
    <r>
      <rPr>
        <b/>
        <sz val="12"/>
        <color theme="1"/>
        <rFont val="Calibri"/>
        <family val="2"/>
        <scheme val="minor"/>
      </rPr>
      <t>TS)</t>
    </r>
  </si>
  <si>
    <r>
      <t>Lock nuts on engine swing limit bolts (2 on cross 2 on engine) (</t>
    </r>
    <r>
      <rPr>
        <b/>
        <sz val="12"/>
        <color theme="1"/>
        <rFont val="Calibri"/>
        <family val="2"/>
        <scheme val="minor"/>
      </rPr>
      <t>TS</t>
    </r>
    <r>
      <rPr>
        <sz val="12"/>
        <color theme="1"/>
        <rFont val="Calibri"/>
        <family val="2"/>
        <scheme val="minor"/>
      </rPr>
      <t>)</t>
    </r>
  </si>
  <si>
    <r>
      <t>Lock nuts on engine load ring heim joints (</t>
    </r>
    <r>
      <rPr>
        <b/>
        <sz val="12"/>
        <color theme="1"/>
        <rFont val="Calibri"/>
        <family val="2"/>
        <scheme val="minor"/>
      </rPr>
      <t>TS</t>
    </r>
    <r>
      <rPr>
        <sz val="12"/>
        <color theme="1"/>
        <rFont val="Calibri"/>
        <family val="2"/>
        <scheme val="minor"/>
      </rPr>
      <t>)</t>
    </r>
  </si>
  <si>
    <t>Nuts on igniter coil studs</t>
  </si>
  <si>
    <t>Igniter/chamber pressure transducer secure (Hose clamp to bracket)</t>
  </si>
  <si>
    <r>
      <t>Bolts on bottom of igniter solenoids (4) (</t>
    </r>
    <r>
      <rPr>
        <b/>
        <sz val="12"/>
        <color theme="1"/>
        <rFont val="Calibri"/>
        <family val="2"/>
        <scheme val="minor"/>
      </rPr>
      <t>TS</t>
    </r>
    <r>
      <rPr>
        <sz val="12"/>
        <color theme="1"/>
        <rFont val="Calibri"/>
        <family val="2"/>
        <scheme val="minor"/>
      </rPr>
      <t>)</t>
    </r>
  </si>
  <si>
    <t>ELECTRICAL CONNECTIONS</t>
  </si>
  <si>
    <t>LOX pressure transducer</t>
  </si>
  <si>
    <t>Fuel pressure transducer</t>
  </si>
  <si>
    <t>Chamber pressure transducer</t>
  </si>
  <si>
    <t>East/West gimbal actuator (Yellow)</t>
  </si>
  <si>
    <t>East/West gimbal position feedback</t>
  </si>
  <si>
    <t>North/South gimbal actuator (Green)</t>
  </si>
  <si>
    <t>North/South gimbal position feedback</t>
  </si>
  <si>
    <t>Throttle valve Actuator</t>
  </si>
  <si>
    <t>Throttle Valve position feedback</t>
  </si>
  <si>
    <t>Master Cutoff (MCO) valve Actuator</t>
  </si>
  <si>
    <t>MCO Valve position feedback</t>
  </si>
  <si>
    <t>Igniter actuator</t>
  </si>
  <si>
    <t>Purge solenoids</t>
  </si>
  <si>
    <t>Overboard dump valves</t>
  </si>
  <si>
    <t>Spark plug wire</t>
  </si>
  <si>
    <t>FIN CAN INSTALLATION</t>
  </si>
  <si>
    <t>While sliding on the Fin can, Connect FIN CAN ACS line to engine bay ACS AN-10 located behind Manual fuel vent valve</t>
  </si>
  <si>
    <t>Install Fin can to bulkhead</t>
  </si>
  <si>
    <t>Install bulkhead screws</t>
  </si>
  <si>
    <t>Connect fin can Antenna cables to the engine bay Antenna connections inside access port</t>
  </si>
  <si>
    <t>Connect Fin can Cannon plug to engine bay connection Inside access port</t>
  </si>
  <si>
    <t>Connect Fin Can Harness ground CPC to engine bay ground CPC</t>
  </si>
  <si>
    <t>Install access port cover</t>
  </si>
  <si>
    <t>Connect overboard dump hoses to fin can fittings (2 AN-10 Hoses at the bottom of the fin can near the boat tail)</t>
  </si>
  <si>
    <t>Sign off 1</t>
  </si>
  <si>
    <t>sign off 2</t>
  </si>
  <si>
    <t>Pad Ops Tools Checklist</t>
  </si>
  <si>
    <t>Pad Tools List</t>
  </si>
  <si>
    <t>#</t>
  </si>
  <si>
    <t>Check</t>
  </si>
  <si>
    <t>Large Sanitary "T" Handle</t>
  </si>
  <si>
    <t>Vent Valve Handle</t>
  </si>
  <si>
    <t>Cap T Handles</t>
  </si>
  <si>
    <t>2 Crescent Wrenches</t>
  </si>
  <si>
    <t>Power Supply Box</t>
  </si>
  <si>
    <t>2 Inverter Boxes</t>
  </si>
  <si>
    <t>2 Extension cords</t>
  </si>
  <si>
    <t>12V Heavy duty "Y" Cable</t>
  </si>
  <si>
    <t>Medium Large Needle Nose Pliars</t>
  </si>
  <si>
    <t>Wire Cutters</t>
  </si>
  <si>
    <t>2 Phillips Screw Drivers</t>
  </si>
  <si>
    <t>1 Slot Screw Driver</t>
  </si>
  <si>
    <t>Fuel Vent Catch Container</t>
  </si>
  <si>
    <t>Trash Bucket</t>
  </si>
  <si>
    <t>Rocket Retreival Tools Checklist</t>
  </si>
  <si>
    <t>QTY</t>
  </si>
  <si>
    <t>Yellow Stand</t>
  </si>
  <si>
    <t>Small Electric Screwdrivers</t>
  </si>
  <si>
    <t>Manual Screwdrivers</t>
  </si>
  <si>
    <t>7/16" Wrenches</t>
  </si>
  <si>
    <t>3/4" Socket and ratchet</t>
  </si>
  <si>
    <t>Dykes</t>
  </si>
  <si>
    <t>Tank Vent Wrench</t>
  </si>
  <si>
    <t>Tie Wraps</t>
  </si>
  <si>
    <t>Containers for screws</t>
  </si>
  <si>
    <t>Recovery blanket for Main Parachute</t>
  </si>
  <si>
    <t>Large bin for Main Parachute</t>
  </si>
  <si>
    <t>Plywood or cardboard to keep dirt out of recovery section</t>
  </si>
  <si>
    <t>Tripod Lift Device</t>
  </si>
  <si>
    <t>Lift Strap</t>
  </si>
  <si>
    <t>Battery for Lift Device</t>
  </si>
  <si>
    <t>Personal Equipment and Tools Checklist, Phil</t>
  </si>
  <si>
    <t>Checklist for: Phil</t>
  </si>
  <si>
    <t>Flight Suit</t>
  </si>
  <si>
    <t>Hat</t>
  </si>
  <si>
    <t>Goggles</t>
  </si>
  <si>
    <t>Extra Dessert Shoes</t>
  </si>
  <si>
    <t>Spare Rocket Tracking Radio and GPS Equipment</t>
  </si>
  <si>
    <t>Spare Audio Patch Cords</t>
  </si>
  <si>
    <t>Recovery System Tool Box</t>
  </si>
  <si>
    <t>Recovery Laptop</t>
  </si>
  <si>
    <t>Craig.Brenden@faa.gov</t>
  </si>
  <si>
    <t>10 Day Notification to ZAB, Click for requirements.</t>
  </si>
  <si>
    <t>15 Day Notification Contacts</t>
  </si>
  <si>
    <t>Summer, Fall</t>
  </si>
  <si>
    <t>Winter, Spring</t>
  </si>
  <si>
    <t>10 day notification contacts.  See next tab for data requirement.</t>
  </si>
  <si>
    <t>10 Day Notification Requirements</t>
  </si>
  <si>
    <t>10 Day Notification Email Contacts:</t>
  </si>
  <si>
    <t xml:space="preserve">(c) Notify ZAB Airspace &amp; Procedures Office and ATCSCC Space Operations ten (10) business days in advance of their scheduled launch. If the request is made within ten (10) business days, it will be approved at the discretion of the ZAB Support Manager for Airspace and Procedures. 
1. The notification must include: 
</t>
  </si>
  <si>
    <t xml:space="preserve">d. Confirmation that coordination has been accomplished with White Sands Missile Range, if R5107B, R5111A/B/C/D will be affected. </t>
  </si>
  <si>
    <t xml:space="preserve">a. Dates and time of mission, back-up times </t>
  </si>
  <si>
    <t xml:space="preserve">b. Radius of Hazard Area </t>
  </si>
  <si>
    <t xml:space="preserve">c. Altitude </t>
  </si>
  <si>
    <t>GMT Summer/fall</t>
  </si>
  <si>
    <t>GMT Winter/Spring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</si>
</sst>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409]h:mm\ AM/PM;@"/>
    <numFmt numFmtId="165" formatCode="[$-F400]h:mm:ss\ AM/PM"/>
    <numFmt numFmtId="166" formatCode="[h]:mm:ss;@"/>
    <numFmt numFmtId="167" formatCode="m/d/yy\ h:mm;@"/>
    <numFmt numFmtId="168" formatCode="h:mm;@"/>
  </numFmts>
  <fonts count="30" x14ac:knownFonts="1">
    <font>
      <sz val="11"/>
      <color theme="1"/>
      <name val="Calibri"/>
      <family val="2"/>
      <scheme val="minor"/>
    </font>
    <font>
      <b/>
      <sz val="11"/>
      <color theme="1"/>
      <name val="Calibri"/>
      <family val="2"/>
      <scheme val="minor"/>
    </font>
    <font>
      <b/>
      <u/>
      <sz val="20"/>
      <color theme="1"/>
      <name val="Calibri"/>
      <family val="2"/>
      <scheme val="minor"/>
    </font>
    <font>
      <b/>
      <sz val="12"/>
      <color theme="1"/>
      <name val="Calibri"/>
      <family val="2"/>
      <scheme val="minor"/>
    </font>
    <font>
      <b/>
      <sz val="16"/>
      <color theme="1"/>
      <name val="Calibri"/>
      <family val="2"/>
      <scheme val="minor"/>
    </font>
    <font>
      <u/>
      <sz val="11"/>
      <color theme="10"/>
      <name val="Calibri"/>
      <family val="2"/>
      <scheme val="minor"/>
    </font>
    <font>
      <b/>
      <u/>
      <sz val="16"/>
      <color theme="10"/>
      <name val="Calibri"/>
      <family val="2"/>
      <scheme val="minor"/>
    </font>
    <font>
      <b/>
      <u/>
      <sz val="12"/>
      <color theme="10"/>
      <name val="Calibri"/>
      <family val="2"/>
      <scheme val="minor"/>
    </font>
    <font>
      <sz val="9"/>
      <color indexed="81"/>
      <name val="Tahoma"/>
      <family val="2"/>
    </font>
    <font>
      <b/>
      <sz val="9"/>
      <color indexed="81"/>
      <name val="Tahoma"/>
      <family val="2"/>
    </font>
    <font>
      <sz val="11"/>
      <color theme="1"/>
      <name val="Calibri"/>
      <family val="2"/>
      <scheme val="minor"/>
    </font>
    <font>
      <sz val="11"/>
      <color rgb="FF000000"/>
      <name val="Calibri"/>
      <family val="2"/>
      <scheme val="minor"/>
    </font>
    <font>
      <b/>
      <u/>
      <sz val="11"/>
      <color theme="1"/>
      <name val="Calibri"/>
      <family val="2"/>
      <scheme val="minor"/>
    </font>
    <font>
      <b/>
      <u/>
      <sz val="11"/>
      <color rgb="FF000000"/>
      <name val="Calibri"/>
      <family val="2"/>
      <scheme val="minor"/>
    </font>
    <font>
      <b/>
      <u/>
      <sz val="12"/>
      <color theme="1"/>
      <name val="Calibri"/>
      <family val="2"/>
      <scheme val="minor"/>
    </font>
    <font>
      <u/>
      <sz val="11"/>
      <color theme="1"/>
      <name val="Calibri"/>
      <family val="2"/>
      <scheme val="minor"/>
    </font>
    <font>
      <b/>
      <sz val="16"/>
      <color rgb="FFFF0000"/>
      <name val="Calibri"/>
      <family val="2"/>
      <scheme val="minor"/>
    </font>
    <font>
      <sz val="11"/>
      <name val="Calibri"/>
      <family val="2"/>
      <scheme val="minor"/>
    </font>
    <font>
      <sz val="11"/>
      <color rgb="FF3F3F76"/>
      <name val="Calibri"/>
      <family val="2"/>
      <scheme val="minor"/>
    </font>
    <font>
      <sz val="16"/>
      <color theme="1"/>
      <name val="Symbol"/>
      <family val="1"/>
      <charset val="2"/>
    </font>
    <font>
      <sz val="16"/>
      <color theme="1"/>
      <name val="Calibri"/>
      <family val="2"/>
      <scheme val="minor"/>
    </font>
    <font>
      <sz val="20"/>
      <color theme="1"/>
      <name val="Calibri"/>
      <family val="2"/>
      <scheme val="minor"/>
    </font>
    <font>
      <sz val="12"/>
      <color theme="1"/>
      <name val="Calibri"/>
      <family val="2"/>
      <scheme val="minor"/>
    </font>
    <font>
      <sz val="10"/>
      <color theme="1"/>
      <name val="Calibri"/>
      <family val="2"/>
      <scheme val="minor"/>
    </font>
    <font>
      <sz val="14"/>
      <color theme="1"/>
      <name val="Calibri"/>
      <family val="2"/>
      <scheme val="minor"/>
    </font>
    <font>
      <sz val="14"/>
      <color rgb="FF3F3F76"/>
      <name val="Calibri"/>
      <family val="2"/>
      <scheme val="minor"/>
    </font>
    <font>
      <sz val="18"/>
      <color theme="1"/>
      <name val="Calibri"/>
      <family val="2"/>
      <scheme val="minor"/>
    </font>
    <font>
      <b/>
      <sz val="14"/>
      <color theme="1"/>
      <name val="Calibri"/>
      <family val="2"/>
      <scheme val="minor"/>
    </font>
    <font>
      <sz val="9"/>
      <color theme="1"/>
      <name val="Calibri"/>
      <family val="2"/>
      <scheme val="minor"/>
    </font>
    <font>
      <sz val="11"/>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C99"/>
      </patternFill>
    </fill>
  </fills>
  <borders count="5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diagonal/>
    </border>
    <border>
      <left style="thin">
        <color indexed="64"/>
      </left>
      <right/>
      <top style="medium">
        <color indexed="64"/>
      </top>
      <bottom/>
      <diagonal/>
    </border>
    <border>
      <left/>
      <right/>
      <top/>
      <bottom style="medium">
        <color indexed="64"/>
      </bottom>
      <diagonal/>
    </border>
    <border>
      <left style="thin">
        <color indexed="64"/>
      </left>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0" fontId="5" fillId="0" borderId="0" applyNumberFormat="0" applyFill="0" applyBorder="0" applyAlignment="0" applyProtection="0"/>
    <xf numFmtId="0" fontId="18" fillId="4" borderId="44" applyNumberFormat="0" applyAlignment="0" applyProtection="0"/>
  </cellStyleXfs>
  <cellXfs count="296">
    <xf numFmtId="0" fontId="0" fillId="0" borderId="0" xfId="0"/>
    <xf numFmtId="0" fontId="0" fillId="0" borderId="0" xfId="0" applyAlignment="1">
      <alignment horizontal="center"/>
    </xf>
    <xf numFmtId="0" fontId="0" fillId="0" borderId="0" xfId="0" applyAlignment="1">
      <alignment horizontal="center" vertical="center"/>
    </xf>
    <xf numFmtId="0" fontId="1" fillId="0" borderId="0" xfId="0" applyFont="1"/>
    <xf numFmtId="0" fontId="1" fillId="0" borderId="0" xfId="0" applyFont="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0" fillId="0" borderId="1" xfId="0" applyBorder="1"/>
    <xf numFmtId="0" fontId="0" fillId="0" borderId="6" xfId="0" applyBorder="1" applyAlignment="1">
      <alignment horizontal="center"/>
    </xf>
    <xf numFmtId="0" fontId="0" fillId="0" borderId="7" xfId="0" applyBorder="1"/>
    <xf numFmtId="0" fontId="0" fillId="0" borderId="8" xfId="0" applyBorder="1" applyAlignment="1">
      <alignment horizontal="center"/>
    </xf>
    <xf numFmtId="0" fontId="0" fillId="0" borderId="9" xfId="0" applyBorder="1" applyAlignment="1">
      <alignment horizontal="center" vertical="center"/>
    </xf>
    <xf numFmtId="0" fontId="0" fillId="0" borderId="9" xfId="0" applyBorder="1"/>
    <xf numFmtId="0" fontId="0" fillId="0" borderId="10" xfId="0" applyBorder="1"/>
    <xf numFmtId="0" fontId="0" fillId="0" borderId="13" xfId="0" applyBorder="1" applyAlignment="1">
      <alignment horizontal="center"/>
    </xf>
    <xf numFmtId="164" fontId="0" fillId="0" borderId="14" xfId="0" applyNumberFormat="1" applyBorder="1" applyAlignment="1">
      <alignment horizontal="center"/>
    </xf>
    <xf numFmtId="0" fontId="0" fillId="0" borderId="14" xfId="0" applyBorder="1"/>
    <xf numFmtId="0" fontId="0" fillId="0" borderId="15" xfId="0" applyBorder="1"/>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0" fillId="0" borderId="3" xfId="0" applyBorder="1" applyAlignment="1">
      <alignment horizontal="center"/>
    </xf>
    <xf numFmtId="0" fontId="0" fillId="0" borderId="4" xfId="0" applyBorder="1" applyAlignment="1">
      <alignment horizontal="center" vertical="center"/>
    </xf>
    <xf numFmtId="0" fontId="0" fillId="0" borderId="4" xfId="0" applyBorder="1"/>
    <xf numFmtId="0" fontId="0" fillId="0" borderId="5" xfId="0" applyBorder="1"/>
    <xf numFmtId="164" fontId="1" fillId="0" borderId="17" xfId="0" applyNumberFormat="1"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wrapText="1"/>
    </xf>
    <xf numFmtId="0" fontId="1" fillId="0" borderId="23" xfId="0" applyFont="1" applyBorder="1" applyAlignment="1">
      <alignment horizontal="center" vertical="center"/>
    </xf>
    <xf numFmtId="0" fontId="1" fillId="0" borderId="24" xfId="0" applyFont="1" applyBorder="1" applyAlignment="1">
      <alignment horizontal="center" vertical="center"/>
    </xf>
    <xf numFmtId="164" fontId="0" fillId="0" borderId="4" xfId="0" applyNumberFormat="1" applyBorder="1" applyAlignment="1">
      <alignment horizontal="center"/>
    </xf>
    <xf numFmtId="0" fontId="6" fillId="0" borderId="2" xfId="1" applyFont="1" applyBorder="1" applyAlignment="1">
      <alignment horizontal="center" vertical="center"/>
    </xf>
    <xf numFmtId="164" fontId="0" fillId="0" borderId="19" xfId="0" applyNumberFormat="1" applyBorder="1" applyAlignment="1">
      <alignment horizontal="center"/>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7" xfId="0" applyBorder="1" applyAlignment="1">
      <alignment vertical="center" wrapText="1"/>
    </xf>
    <xf numFmtId="0" fontId="0" fillId="0" borderId="14"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164" fontId="0" fillId="0" borderId="1" xfId="0" applyNumberFormat="1" applyBorder="1" applyAlignment="1">
      <alignment horizontal="center" vertical="center" wrapText="1"/>
    </xf>
    <xf numFmtId="0" fontId="0" fillId="0" borderId="9" xfId="0" applyBorder="1" applyAlignment="1">
      <alignment horizontal="center" vertical="center" wrapText="1"/>
    </xf>
    <xf numFmtId="164" fontId="0" fillId="0" borderId="9" xfId="0" applyNumberFormat="1" applyBorder="1" applyAlignment="1">
      <alignment horizontal="center" vertical="center" wrapText="1"/>
    </xf>
    <xf numFmtId="0" fontId="0" fillId="0" borderId="13" xfId="0" applyBorder="1" applyAlignment="1">
      <alignment horizontal="center" vertical="center" wrapText="1"/>
    </xf>
    <xf numFmtId="164" fontId="0" fillId="0" borderId="14" xfId="0" applyNumberFormat="1" applyBorder="1" applyAlignment="1">
      <alignment horizontal="center" vertical="center" wrapText="1"/>
    </xf>
    <xf numFmtId="0" fontId="0" fillId="0" borderId="14" xfId="0" applyBorder="1" applyAlignment="1">
      <alignment vertical="center" wrapText="1"/>
    </xf>
    <xf numFmtId="0" fontId="0" fillId="0" borderId="15" xfId="0" applyBorder="1" applyAlignment="1">
      <alignment vertical="center" wrapText="1"/>
    </xf>
    <xf numFmtId="0" fontId="0" fillId="0" borderId="0" xfId="0" applyAlignment="1">
      <alignment vertical="center" wrapText="1"/>
    </xf>
    <xf numFmtId="0" fontId="0" fillId="0" borderId="8" xfId="0" applyBorder="1" applyAlignment="1">
      <alignment horizontal="center" vertical="center" wrapText="1"/>
    </xf>
    <xf numFmtId="0" fontId="0" fillId="0" borderId="9" xfId="0" applyBorder="1" applyAlignment="1">
      <alignment vertical="center" wrapText="1"/>
    </xf>
    <xf numFmtId="0" fontId="0" fillId="0" borderId="10" xfId="0" applyBorder="1" applyAlignment="1">
      <alignment vertical="center" wrapText="1"/>
    </xf>
    <xf numFmtId="166" fontId="0" fillId="0" borderId="4" xfId="0" applyNumberFormat="1" applyBorder="1" applyAlignment="1">
      <alignment horizontal="center" vertical="center" wrapText="1"/>
    </xf>
    <xf numFmtId="0" fontId="0" fillId="0" borderId="3" xfId="0" applyBorder="1" applyAlignment="1">
      <alignment horizontal="center" vertical="center" wrapText="1"/>
    </xf>
    <xf numFmtId="164" fontId="0" fillId="0" borderId="4" xfId="0" applyNumberFormat="1" applyBorder="1" applyAlignment="1">
      <alignment horizontal="center" vertical="center" wrapText="1"/>
    </xf>
    <xf numFmtId="0" fontId="0" fillId="0" borderId="4" xfId="0" applyBorder="1" applyAlignment="1">
      <alignment vertical="center" wrapText="1"/>
    </xf>
    <xf numFmtId="0" fontId="0" fillId="0" borderId="5" xfId="0" applyBorder="1" applyAlignment="1">
      <alignment vertical="center" wrapText="1"/>
    </xf>
    <xf numFmtId="164" fontId="1" fillId="0" borderId="23" xfId="0" applyNumberFormat="1" applyFont="1" applyBorder="1" applyAlignment="1">
      <alignment horizontal="center" vertical="center"/>
    </xf>
    <xf numFmtId="166" fontId="0" fillId="0" borderId="1" xfId="0" applyNumberFormat="1" applyBorder="1" applyAlignment="1">
      <alignment horizontal="center" vertical="center" wrapText="1"/>
    </xf>
    <xf numFmtId="166" fontId="3" fillId="0" borderId="1" xfId="0" applyNumberFormat="1" applyFont="1" applyBorder="1" applyAlignment="1">
      <alignment horizontal="center" vertical="center" wrapText="1"/>
    </xf>
    <xf numFmtId="166" fontId="0" fillId="0" borderId="9" xfId="0" applyNumberFormat="1" applyBorder="1" applyAlignment="1">
      <alignment horizontal="center" vertical="center" wrapText="1"/>
    </xf>
    <xf numFmtId="0" fontId="1" fillId="0" borderId="9" xfId="0" applyFont="1" applyBorder="1"/>
    <xf numFmtId="0" fontId="1" fillId="0" borderId="10" xfId="0" applyFont="1" applyBorder="1"/>
    <xf numFmtId="0" fontId="1" fillId="0" borderId="8" xfId="0" applyFont="1" applyBorder="1" applyAlignment="1">
      <alignment horizontal="center"/>
    </xf>
    <xf numFmtId="0" fontId="0" fillId="0" borderId="27" xfId="0" applyBorder="1"/>
    <xf numFmtId="0" fontId="1" fillId="0" borderId="2" xfId="0" applyFont="1" applyBorder="1" applyAlignment="1">
      <alignment horizontal="center" vertical="center"/>
    </xf>
    <xf numFmtId="166" fontId="0" fillId="0" borderId="11" xfId="0" applyNumberFormat="1" applyBorder="1" applyAlignment="1">
      <alignment horizontal="center" vertical="center" wrapText="1"/>
    </xf>
    <xf numFmtId="164" fontId="0" fillId="0" borderId="11" xfId="0" applyNumberFormat="1" applyBorder="1" applyAlignment="1">
      <alignment horizontal="center" vertical="center" wrapText="1"/>
    </xf>
    <xf numFmtId="0" fontId="0" fillId="0" borderId="11" xfId="0" applyBorder="1" applyAlignment="1">
      <alignment vertical="center" wrapText="1"/>
    </xf>
    <xf numFmtId="0" fontId="0" fillId="0" borderId="12" xfId="0" applyBorder="1" applyAlignment="1">
      <alignment vertical="center" wrapText="1"/>
    </xf>
    <xf numFmtId="0" fontId="1" fillId="0" borderId="30" xfId="0" applyFont="1" applyBorder="1" applyAlignment="1">
      <alignment horizontal="center" vertical="center"/>
    </xf>
    <xf numFmtId="0" fontId="0" fillId="0" borderId="3" xfId="0" applyBorder="1" applyAlignment="1">
      <alignment horizontal="center" vertical="center"/>
    </xf>
    <xf numFmtId="14" fontId="0" fillId="0" borderId="4" xfId="0" applyNumberFormat="1" applyBorder="1" applyAlignment="1">
      <alignment horizontal="center" vertical="center"/>
    </xf>
    <xf numFmtId="0" fontId="0" fillId="0" borderId="4" xfId="0" applyBorder="1" applyAlignment="1">
      <alignment vertical="center"/>
    </xf>
    <xf numFmtId="0" fontId="0" fillId="0" borderId="6"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vertical="center"/>
    </xf>
    <xf numFmtId="0" fontId="7" fillId="0" borderId="1" xfId="1" applyFont="1" applyBorder="1" applyAlignment="1">
      <alignment vertical="center"/>
    </xf>
    <xf numFmtId="0" fontId="0" fillId="0" borderId="8" xfId="0" applyBorder="1" applyAlignment="1">
      <alignment horizontal="center" vertical="center"/>
    </xf>
    <xf numFmtId="14" fontId="0" fillId="0" borderId="9" xfId="0" applyNumberFormat="1" applyBorder="1" applyAlignment="1">
      <alignment horizontal="center" vertical="center"/>
    </xf>
    <xf numFmtId="0" fontId="0" fillId="0" borderId="9" xfId="0" applyBorder="1" applyAlignment="1">
      <alignment vertical="center"/>
    </xf>
    <xf numFmtId="0" fontId="5" fillId="0" borderId="1" xfId="1" applyBorder="1" applyAlignment="1">
      <alignment vertical="center" wrapText="1"/>
    </xf>
    <xf numFmtId="0" fontId="5" fillId="0" borderId="1" xfId="1" applyBorder="1" applyAlignment="1">
      <alignment vertical="center"/>
    </xf>
    <xf numFmtId="0" fontId="0" fillId="0" borderId="1" xfId="0" applyFill="1" applyBorder="1" applyAlignment="1">
      <alignment vertical="center"/>
    </xf>
    <xf numFmtId="0" fontId="0" fillId="0" borderId="31" xfId="0" applyBorder="1"/>
    <xf numFmtId="0" fontId="5" fillId="0" borderId="0" xfId="1" applyBorder="1"/>
    <xf numFmtId="0" fontId="0" fillId="0" borderId="32" xfId="0" applyFont="1" applyBorder="1" applyAlignment="1">
      <alignment vertical="center" wrapText="1"/>
    </xf>
    <xf numFmtId="0" fontId="0" fillId="0" borderId="0" xfId="0" applyAlignment="1">
      <alignment horizontal="left"/>
    </xf>
    <xf numFmtId="0" fontId="14" fillId="0" borderId="0" xfId="0" applyFont="1"/>
    <xf numFmtId="0" fontId="0" fillId="0" borderId="0" xfId="0" applyAlignment="1">
      <alignment horizontal="left" vertical="center" wrapText="1"/>
    </xf>
    <xf numFmtId="165" fontId="16" fillId="2" borderId="25" xfId="0" applyNumberFormat="1" applyFont="1" applyFill="1" applyBorder="1" applyAlignment="1">
      <alignment horizontal="right"/>
    </xf>
    <xf numFmtId="1" fontId="16" fillId="2" borderId="18" xfId="0" applyNumberFormat="1" applyFont="1" applyFill="1" applyBorder="1" applyAlignment="1">
      <alignment horizontal="center"/>
    </xf>
    <xf numFmtId="0" fontId="4" fillId="2" borderId="2" xfId="0" applyFont="1" applyFill="1" applyBorder="1" applyAlignment="1">
      <alignment horizontal="right"/>
    </xf>
    <xf numFmtId="14" fontId="4" fillId="2" borderId="2" xfId="0" applyNumberFormat="1" applyFont="1" applyFill="1" applyBorder="1" applyAlignment="1">
      <alignment horizontal="center"/>
    </xf>
    <xf numFmtId="14" fontId="4" fillId="0" borderId="21" xfId="0" applyNumberFormat="1" applyFont="1" applyFill="1" applyBorder="1" applyAlignment="1"/>
    <xf numFmtId="165" fontId="4" fillId="3" borderId="29" xfId="0" applyNumberFormat="1" applyFont="1" applyFill="1" applyBorder="1" applyAlignment="1"/>
    <xf numFmtId="0" fontId="17" fillId="0" borderId="1" xfId="1" applyFont="1" applyBorder="1" applyAlignment="1">
      <alignment vertical="center" wrapText="1"/>
    </xf>
    <xf numFmtId="0" fontId="5" fillId="0" borderId="0" xfId="1"/>
    <xf numFmtId="0" fontId="5" fillId="0" borderId="0" xfId="1" applyAlignment="1">
      <alignment vertical="center" wrapText="1"/>
    </xf>
    <xf numFmtId="0" fontId="12" fillId="0" borderId="0" xfId="0" applyFont="1" applyAlignment="1">
      <alignment horizontal="center" wrapText="1"/>
    </xf>
    <xf numFmtId="167" fontId="4" fillId="3" borderId="21" xfId="0" applyNumberFormat="1" applyFont="1" applyFill="1" applyBorder="1" applyAlignment="1">
      <alignment horizontal="left"/>
    </xf>
    <xf numFmtId="0" fontId="13" fillId="0" borderId="27" xfId="0" applyFont="1" applyBorder="1" applyAlignment="1">
      <alignment vertical="center" wrapText="1"/>
    </xf>
    <xf numFmtId="0" fontId="11" fillId="0" borderId="33" xfId="0" applyFont="1" applyBorder="1" applyAlignment="1">
      <alignment vertical="center" wrapText="1"/>
    </xf>
    <xf numFmtId="0" fontId="11" fillId="0" borderId="34" xfId="0" applyFont="1" applyBorder="1" applyAlignment="1">
      <alignment vertical="center" wrapText="1"/>
    </xf>
    <xf numFmtId="0" fontId="11" fillId="0" borderId="35" xfId="0" applyFont="1" applyBorder="1" applyAlignment="1">
      <alignment vertical="center" wrapText="1"/>
    </xf>
    <xf numFmtId="0" fontId="11" fillId="0" borderId="36" xfId="0" applyFont="1" applyBorder="1" applyAlignment="1">
      <alignment vertical="center" wrapText="1"/>
    </xf>
    <xf numFmtId="0" fontId="12" fillId="0" borderId="37" xfId="0" applyFont="1" applyBorder="1" applyAlignment="1"/>
    <xf numFmtId="0" fontId="0" fillId="0" borderId="38" xfId="0" applyBorder="1" applyAlignment="1">
      <alignment vertical="center" wrapText="1"/>
    </xf>
    <xf numFmtId="0" fontId="0" fillId="0" borderId="34" xfId="0" applyBorder="1" applyAlignment="1">
      <alignment vertical="center" wrapText="1"/>
    </xf>
    <xf numFmtId="0" fontId="0" fillId="0" borderId="36" xfId="0" applyBorder="1" applyAlignment="1">
      <alignment vertical="center" wrapText="1"/>
    </xf>
    <xf numFmtId="167" fontId="11" fillId="0" borderId="39" xfId="0" applyNumberFormat="1" applyFont="1" applyBorder="1" applyAlignment="1">
      <alignment horizontal="left" vertical="center" wrapText="1"/>
    </xf>
    <xf numFmtId="167" fontId="11" fillId="0" borderId="40" xfId="0" applyNumberFormat="1" applyFont="1" applyBorder="1" applyAlignment="1">
      <alignment horizontal="left" vertical="center" wrapText="1"/>
    </xf>
    <xf numFmtId="167" fontId="11" fillId="0" borderId="41" xfId="0" applyNumberFormat="1" applyFont="1" applyBorder="1" applyAlignment="1">
      <alignment horizontal="left" vertical="center" wrapText="1"/>
    </xf>
    <xf numFmtId="18" fontId="11" fillId="0" borderId="39" xfId="0" applyNumberFormat="1" applyFont="1" applyBorder="1" applyAlignment="1">
      <alignment horizontal="left" vertical="center" wrapText="1"/>
    </xf>
    <xf numFmtId="0" fontId="11" fillId="0" borderId="40" xfId="0" applyFont="1" applyBorder="1" applyAlignment="1">
      <alignment horizontal="left" vertical="center" wrapText="1"/>
    </xf>
    <xf numFmtId="18" fontId="11" fillId="0" borderId="40" xfId="0" applyNumberFormat="1" applyFont="1" applyBorder="1" applyAlignment="1">
      <alignment horizontal="left" vertical="center" wrapText="1"/>
    </xf>
    <xf numFmtId="18" fontId="11" fillId="0" borderId="42" xfId="0" applyNumberFormat="1" applyFont="1" applyBorder="1" applyAlignment="1">
      <alignment horizontal="left" vertical="center" wrapText="1"/>
    </xf>
    <xf numFmtId="0" fontId="10" fillId="0" borderId="40" xfId="0" applyFont="1" applyBorder="1" applyAlignment="1">
      <alignment horizontal="left" vertical="center" wrapText="1"/>
    </xf>
    <xf numFmtId="18" fontId="11" fillId="0" borderId="41" xfId="0" applyNumberFormat="1" applyFont="1" applyBorder="1" applyAlignment="1">
      <alignment horizontal="left" vertical="center" wrapText="1"/>
    </xf>
    <xf numFmtId="164" fontId="0" fillId="0" borderId="43" xfId="0" applyNumberFormat="1" applyBorder="1" applyAlignment="1">
      <alignment horizontal="left" vertical="center" wrapText="1"/>
    </xf>
    <xf numFmtId="164" fontId="0" fillId="0" borderId="40" xfId="0" applyNumberFormat="1" applyBorder="1" applyAlignment="1">
      <alignment horizontal="left" vertical="center" wrapText="1"/>
    </xf>
    <xf numFmtId="164" fontId="0" fillId="0" borderId="42" xfId="0" applyNumberFormat="1" applyBorder="1" applyAlignment="1">
      <alignment horizontal="left" vertical="center" wrapText="1"/>
    </xf>
    <xf numFmtId="0" fontId="12" fillId="0" borderId="2" xfId="0" applyFont="1" applyBorder="1" applyAlignment="1">
      <alignment horizontal="center" vertical="center" wrapText="1"/>
    </xf>
    <xf numFmtId="14" fontId="13" fillId="0" borderId="2" xfId="0" applyNumberFormat="1" applyFont="1" applyBorder="1" applyAlignment="1">
      <alignment horizontal="center" vertical="center" wrapText="1"/>
    </xf>
    <xf numFmtId="0" fontId="0" fillId="0" borderId="0" xfId="0" applyAlignment="1">
      <alignment horizontal="left" wrapText="1"/>
    </xf>
    <xf numFmtId="0" fontId="0" fillId="0" borderId="15" xfId="0" applyBorder="1" applyAlignment="1">
      <alignment wrapText="1"/>
    </xf>
    <xf numFmtId="0" fontId="5" fillId="0" borderId="7" xfId="1" applyBorder="1"/>
    <xf numFmtId="0" fontId="12" fillId="0" borderId="0" xfId="0" applyFont="1" applyAlignment="1">
      <alignment horizontal="center" vertical="center" wrapText="1"/>
    </xf>
    <xf numFmtId="0" fontId="20" fillId="0" borderId="0" xfId="0" applyFont="1" applyAlignment="1">
      <alignment horizontal="left" vertical="center" indent="2"/>
    </xf>
    <xf numFmtId="0" fontId="2" fillId="0" borderId="0" xfId="0" applyFont="1" applyAlignment="1"/>
    <xf numFmtId="0" fontId="19" fillId="0" borderId="6" xfId="0" applyFont="1" applyBorder="1" applyAlignment="1">
      <alignment horizontal="left" vertical="center" indent="5"/>
    </xf>
    <xf numFmtId="0" fontId="19" fillId="0" borderId="8" xfId="0" applyFont="1" applyBorder="1" applyAlignment="1">
      <alignment horizontal="left" vertical="center" indent="5"/>
    </xf>
    <xf numFmtId="0" fontId="19" fillId="0" borderId="13" xfId="0" applyFont="1" applyBorder="1" applyAlignment="1">
      <alignment horizontal="left" vertical="center" indent="5"/>
    </xf>
    <xf numFmtId="0" fontId="24" fillId="0" borderId="15" xfId="0" applyFont="1" applyBorder="1"/>
    <xf numFmtId="0" fontId="24" fillId="0" borderId="7" xfId="0" applyFont="1" applyBorder="1"/>
    <xf numFmtId="0" fontId="24" fillId="0" borderId="10" xfId="0" applyFont="1" applyBorder="1"/>
    <xf numFmtId="0" fontId="21" fillId="0" borderId="0" xfId="0" applyFont="1"/>
    <xf numFmtId="0" fontId="24" fillId="0" borderId="1" xfId="0" applyFont="1" applyBorder="1" applyAlignment="1">
      <alignment horizontal="center" vertical="center"/>
    </xf>
    <xf numFmtId="0" fontId="24" fillId="0" borderId="1" xfId="0" applyFont="1" applyBorder="1" applyAlignment="1">
      <alignment vertical="center"/>
    </xf>
    <xf numFmtId="0" fontId="24" fillId="0" borderId="32" xfId="0" applyFont="1" applyBorder="1" applyAlignment="1">
      <alignment vertical="center"/>
    </xf>
    <xf numFmtId="0" fontId="24" fillId="0" borderId="45" xfId="0" applyFont="1" applyBorder="1" applyAlignment="1">
      <alignment vertical="center"/>
    </xf>
    <xf numFmtId="0" fontId="24" fillId="0" borderId="0" xfId="0" applyFont="1" applyAlignment="1">
      <alignment vertical="center"/>
    </xf>
    <xf numFmtId="0" fontId="24" fillId="0" borderId="46" xfId="0" applyFont="1" applyBorder="1" applyAlignment="1">
      <alignment vertical="center"/>
    </xf>
    <xf numFmtId="0" fontId="0" fillId="0" borderId="32" xfId="0" applyBorder="1"/>
    <xf numFmtId="0" fontId="0" fillId="0" borderId="46" xfId="0" applyBorder="1"/>
    <xf numFmtId="0" fontId="0" fillId="0" borderId="45" xfId="0" applyBorder="1"/>
    <xf numFmtId="0" fontId="0" fillId="0" borderId="1" xfId="0" applyBorder="1" applyAlignment="1">
      <alignment horizontal="center"/>
    </xf>
    <xf numFmtId="0" fontId="26" fillId="0" borderId="0" xfId="0" applyFont="1" applyAlignment="1">
      <alignment horizontal="left" vertical="center"/>
    </xf>
    <xf numFmtId="0" fontId="22" fillId="0" borderId="1" xfId="0" applyFont="1" applyBorder="1" applyAlignment="1">
      <alignment horizontal="center" vertical="center"/>
    </xf>
    <xf numFmtId="0" fontId="21" fillId="0" borderId="0" xfId="0" applyFont="1" applyAlignment="1">
      <alignment horizontal="left"/>
    </xf>
    <xf numFmtId="0" fontId="24" fillId="0" borderId="32" xfId="0" applyFont="1" applyBorder="1" applyAlignment="1">
      <alignment horizontal="center" vertical="center"/>
    </xf>
    <xf numFmtId="0" fontId="24" fillId="0" borderId="47" xfId="0" applyFont="1" applyBorder="1" applyAlignment="1">
      <alignment vertical="center"/>
    </xf>
    <xf numFmtId="0" fontId="24" fillId="0" borderId="48" xfId="0" applyFont="1" applyBorder="1" applyAlignment="1">
      <alignment vertical="center"/>
    </xf>
    <xf numFmtId="0" fontId="24" fillId="0" borderId="0" xfId="0" applyFont="1" applyBorder="1" applyAlignment="1">
      <alignment horizontal="center" vertical="center"/>
    </xf>
    <xf numFmtId="0" fontId="24" fillId="0" borderId="0" xfId="0" applyFont="1" applyBorder="1" applyAlignment="1">
      <alignment vertical="center"/>
    </xf>
    <xf numFmtId="0" fontId="0" fillId="0" borderId="0" xfId="0" applyBorder="1" applyAlignment="1">
      <alignment horizontal="center"/>
    </xf>
    <xf numFmtId="0" fontId="24" fillId="0" borderId="0" xfId="0" applyFont="1" applyAlignment="1">
      <alignment horizontal="center" vertical="center"/>
    </xf>
    <xf numFmtId="0" fontId="24" fillId="0" borderId="49" xfId="0" applyFont="1" applyBorder="1" applyAlignment="1">
      <alignment vertical="center"/>
    </xf>
    <xf numFmtId="0" fontId="27" fillId="0" borderId="1" xfId="0" applyFont="1" applyBorder="1" applyAlignment="1">
      <alignment vertical="center" wrapText="1"/>
    </xf>
    <xf numFmtId="0" fontId="28"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22" fillId="0" borderId="0" xfId="0" applyFont="1" applyAlignment="1">
      <alignment horizontal="center" vertical="center"/>
    </xf>
    <xf numFmtId="0" fontId="24" fillId="0" borderId="0" xfId="0" applyFont="1" applyAlignment="1">
      <alignment vertical="center" wrapText="1"/>
    </xf>
    <xf numFmtId="0" fontId="22" fillId="0" borderId="0" xfId="0" applyFont="1" applyAlignment="1">
      <alignment horizontal="left" vertical="center"/>
    </xf>
    <xf numFmtId="0" fontId="21" fillId="0" borderId="0" xfId="0" applyFont="1" applyAlignment="1">
      <alignment vertical="center" wrapText="1"/>
    </xf>
    <xf numFmtId="0" fontId="22" fillId="0" borderId="0" xfId="0" applyFont="1" applyAlignment="1">
      <alignment vertical="center"/>
    </xf>
    <xf numFmtId="0" fontId="23" fillId="0" borderId="0" xfId="0" applyFont="1" applyAlignment="1">
      <alignment horizontal="left" vertical="center"/>
    </xf>
    <xf numFmtId="0" fontId="22" fillId="0" borderId="0" xfId="0" applyFont="1" applyAlignment="1">
      <alignment vertical="center" wrapText="1"/>
    </xf>
    <xf numFmtId="0" fontId="23" fillId="0" borderId="0" xfId="0" applyFont="1" applyAlignment="1">
      <alignment vertical="center"/>
    </xf>
    <xf numFmtId="0" fontId="23" fillId="0" borderId="0" xfId="0" quotePrefix="1" applyFont="1" applyAlignment="1">
      <alignment vertical="center" wrapText="1"/>
    </xf>
    <xf numFmtId="0" fontId="23" fillId="0" borderId="0" xfId="0" applyFont="1" applyAlignment="1">
      <alignment vertical="center" wrapText="1"/>
    </xf>
    <xf numFmtId="0" fontId="22" fillId="0" borderId="1" xfId="0" applyFont="1" applyBorder="1" applyAlignment="1">
      <alignment horizontal="left" vertical="center"/>
    </xf>
    <xf numFmtId="0" fontId="22" fillId="0" borderId="1" xfId="0" applyFont="1" applyBorder="1" applyAlignment="1">
      <alignment horizontal="right" vertical="center"/>
    </xf>
    <xf numFmtId="0" fontId="22" fillId="0" borderId="1" xfId="0" applyFont="1" applyBorder="1" applyAlignment="1">
      <alignment vertical="center"/>
    </xf>
    <xf numFmtId="0" fontId="22" fillId="0" borderId="1" xfId="0" applyFont="1" applyBorder="1" applyAlignment="1">
      <alignment vertical="center" wrapText="1"/>
    </xf>
    <xf numFmtId="0" fontId="27" fillId="0" borderId="50" xfId="0" applyFont="1" applyBorder="1" applyAlignment="1">
      <alignment horizontal="center"/>
    </xf>
    <xf numFmtId="0" fontId="27" fillId="0" borderId="19" xfId="0" applyFont="1" applyBorder="1" applyAlignment="1">
      <alignment horizontal="center"/>
    </xf>
    <xf numFmtId="0" fontId="27" fillId="0" borderId="51" xfId="0" applyFont="1" applyBorder="1" applyAlignment="1"/>
    <xf numFmtId="0" fontId="24" fillId="0" borderId="13" xfId="0" applyFont="1" applyBorder="1"/>
    <xf numFmtId="0" fontId="24" fillId="0" borderId="14" xfId="0" applyFont="1" applyBorder="1"/>
    <xf numFmtId="0" fontId="24" fillId="0" borderId="15" xfId="0" applyFont="1" applyBorder="1"/>
    <xf numFmtId="0" fontId="24" fillId="0" borderId="6" xfId="0" applyFont="1" applyBorder="1"/>
    <xf numFmtId="0" fontId="24" fillId="0" borderId="1" xfId="0" applyFont="1" applyBorder="1"/>
    <xf numFmtId="0" fontId="24" fillId="0" borderId="7" xfId="0" applyFont="1" applyBorder="1"/>
    <xf numFmtId="0" fontId="24" fillId="0" borderId="8" xfId="0" applyFont="1" applyBorder="1"/>
    <xf numFmtId="0" fontId="24" fillId="0" borderId="9" xfId="0" applyFont="1" applyBorder="1"/>
    <xf numFmtId="0" fontId="24" fillId="0" borderId="10" xfId="0" applyFont="1" applyBorder="1"/>
    <xf numFmtId="0" fontId="24" fillId="0" borderId="21" xfId="0" applyFont="1" applyFill="1" applyBorder="1"/>
    <xf numFmtId="0" fontId="27" fillId="0" borderId="50" xfId="0" applyFont="1" applyBorder="1" applyAlignment="1">
      <alignment horizontal="center"/>
    </xf>
    <xf numFmtId="0" fontId="27" fillId="0" borderId="19" xfId="0" applyFont="1" applyBorder="1" applyAlignment="1">
      <alignment horizontal="center"/>
    </xf>
    <xf numFmtId="0" fontId="27" fillId="0" borderId="51" xfId="0" applyFont="1" applyBorder="1" applyAlignment="1"/>
    <xf numFmtId="0" fontId="24" fillId="0" borderId="13" xfId="0" applyFont="1" applyBorder="1"/>
    <xf numFmtId="0" fontId="24" fillId="0" borderId="14" xfId="0" applyFont="1" applyBorder="1"/>
    <xf numFmtId="0" fontId="24" fillId="0" borderId="15" xfId="0" applyFont="1" applyBorder="1"/>
    <xf numFmtId="0" fontId="24" fillId="0" borderId="6" xfId="0" applyFont="1" applyBorder="1"/>
    <xf numFmtId="0" fontId="24" fillId="0" borderId="1" xfId="0" applyFont="1" applyBorder="1"/>
    <xf numFmtId="0" fontId="24" fillId="0" borderId="7" xfId="0" applyFont="1" applyBorder="1"/>
    <xf numFmtId="0" fontId="24" fillId="0" borderId="8" xfId="0" applyFont="1" applyBorder="1"/>
    <xf numFmtId="0" fontId="24" fillId="0" borderId="9" xfId="0" applyFont="1" applyBorder="1"/>
    <xf numFmtId="0" fontId="24" fillId="0" borderId="10" xfId="0" applyFont="1" applyBorder="1"/>
    <xf numFmtId="0" fontId="27" fillId="0" borderId="50" xfId="0" applyFont="1" applyBorder="1" applyAlignment="1">
      <alignment horizontal="center"/>
    </xf>
    <xf numFmtId="0" fontId="27" fillId="0" borderId="19" xfId="0" applyFont="1" applyBorder="1" applyAlignment="1">
      <alignment horizontal="center"/>
    </xf>
    <xf numFmtId="0" fontId="27" fillId="0" borderId="51" xfId="0" applyFont="1" applyBorder="1" applyAlignment="1"/>
    <xf numFmtId="0" fontId="24" fillId="0" borderId="13" xfId="0" applyFont="1" applyBorder="1"/>
    <xf numFmtId="0" fontId="24" fillId="0" borderId="14" xfId="0" applyFont="1" applyBorder="1"/>
    <xf numFmtId="0" fontId="24" fillId="0" borderId="15" xfId="0" applyFont="1" applyBorder="1"/>
    <xf numFmtId="0" fontId="24" fillId="0" borderId="6" xfId="0" applyFont="1" applyBorder="1"/>
    <xf numFmtId="0" fontId="24" fillId="0" borderId="1" xfId="0" applyFont="1" applyBorder="1"/>
    <xf numFmtId="0" fontId="24" fillId="0" borderId="7" xfId="0" applyFont="1" applyBorder="1"/>
    <xf numFmtId="0" fontId="24" fillId="0" borderId="8" xfId="0" applyFont="1" applyBorder="1"/>
    <xf numFmtId="0" fontId="24" fillId="0" borderId="9" xfId="0" applyFont="1" applyBorder="1"/>
    <xf numFmtId="0" fontId="24" fillId="0" borderId="10" xfId="0" applyFont="1" applyBorder="1"/>
    <xf numFmtId="0" fontId="24" fillId="0" borderId="21" xfId="0" applyFont="1" applyFill="1" applyBorder="1"/>
    <xf numFmtId="0" fontId="5" fillId="0" borderId="38" xfId="1" applyBorder="1"/>
    <xf numFmtId="0" fontId="5" fillId="0" borderId="34" xfId="1" applyBorder="1"/>
    <xf numFmtId="0" fontId="5" fillId="0" borderId="36" xfId="1" applyBorder="1"/>
    <xf numFmtId="0" fontId="0" fillId="0" borderId="0" xfId="0" applyAlignment="1">
      <alignment wrapText="1"/>
    </xf>
    <xf numFmtId="0" fontId="0" fillId="0" borderId="0" xfId="0" applyBorder="1" applyAlignment="1">
      <alignment vertical="center" wrapText="1"/>
    </xf>
    <xf numFmtId="0" fontId="5" fillId="0" borderId="43" xfId="1" applyBorder="1"/>
    <xf numFmtId="0" fontId="5" fillId="0" borderId="40" xfId="1" applyBorder="1"/>
    <xf numFmtId="0" fontId="0" fillId="0" borderId="40" xfId="0" applyBorder="1"/>
    <xf numFmtId="0" fontId="5" fillId="0" borderId="42" xfId="1" applyBorder="1"/>
    <xf numFmtId="0" fontId="5" fillId="0" borderId="39" xfId="1" applyBorder="1"/>
    <xf numFmtId="0" fontId="12" fillId="0" borderId="2" xfId="0" applyFont="1" applyBorder="1"/>
    <xf numFmtId="0" fontId="1" fillId="0" borderId="13" xfId="0" applyFont="1" applyBorder="1" applyAlignment="1">
      <alignment horizontal="left" vertical="center"/>
    </xf>
    <xf numFmtId="0" fontId="1" fillId="0" borderId="6" xfId="0" applyFont="1" applyBorder="1" applyAlignment="1">
      <alignment vertical="center"/>
    </xf>
    <xf numFmtId="0" fontId="1" fillId="0" borderId="8" xfId="0" applyFont="1" applyBorder="1" applyAlignment="1">
      <alignment vertical="center"/>
    </xf>
    <xf numFmtId="0" fontId="5" fillId="0" borderId="0" xfId="1" applyAlignment="1">
      <alignment horizontal="center" vertical="center" wrapText="1"/>
    </xf>
    <xf numFmtId="0" fontId="0" fillId="0" borderId="46" xfId="0" applyBorder="1" applyAlignment="1">
      <alignment vertical="center" wrapText="1"/>
    </xf>
    <xf numFmtId="0" fontId="12" fillId="0" borderId="43" xfId="0" applyFont="1" applyBorder="1" applyAlignment="1">
      <alignment horizontal="center"/>
    </xf>
    <xf numFmtId="164" fontId="0" fillId="0" borderId="42" xfId="0" applyNumberFormat="1" applyBorder="1" applyAlignment="1">
      <alignment horizontal="center"/>
    </xf>
    <xf numFmtId="168" fontId="0" fillId="0" borderId="0" xfId="0" applyNumberFormat="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xf numFmtId="0" fontId="4" fillId="0" borderId="28" xfId="0" applyFont="1" applyBorder="1" applyAlignment="1">
      <alignment horizontal="center"/>
    </xf>
    <xf numFmtId="0" fontId="4" fillId="0" borderId="18" xfId="0" applyFont="1" applyBorder="1" applyAlignment="1">
      <alignment horizontal="center"/>
    </xf>
    <xf numFmtId="0" fontId="4" fillId="0" borderId="20" xfId="0" applyFont="1" applyFill="1" applyBorder="1" applyAlignment="1">
      <alignment horizontal="right"/>
    </xf>
    <xf numFmtId="0" fontId="4" fillId="0" borderId="21" xfId="0" applyFont="1" applyFill="1" applyBorder="1" applyAlignment="1">
      <alignment horizontal="right"/>
    </xf>
    <xf numFmtId="0" fontId="2" fillId="0" borderId="25" xfId="0" applyFont="1" applyBorder="1" applyAlignment="1">
      <alignment horizontal="center"/>
    </xf>
    <xf numFmtId="0" fontId="2" fillId="0" borderId="26" xfId="0" applyFont="1" applyBorder="1" applyAlignment="1">
      <alignment horizontal="center"/>
    </xf>
    <xf numFmtId="0" fontId="2" fillId="0" borderId="27" xfId="0" applyFont="1" applyBorder="1" applyAlignment="1">
      <alignment horizont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52" xfId="0" applyBorder="1" applyAlignment="1">
      <alignment horizontal="center" vertical="center" wrapText="1"/>
    </xf>
    <xf numFmtId="0" fontId="0" fillId="0" borderId="37"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55" xfId="0" applyBorder="1" applyAlignment="1">
      <alignment horizontal="center" vertical="center" wrapText="1"/>
    </xf>
    <xf numFmtId="0" fontId="0" fillId="0" borderId="56" xfId="0" applyBorder="1" applyAlignment="1">
      <alignment horizontal="center" vertical="center" wrapText="1"/>
    </xf>
    <xf numFmtId="0" fontId="12" fillId="0" borderId="25" xfId="0" applyFont="1" applyBorder="1" applyAlignment="1">
      <alignment horizontal="center"/>
    </xf>
    <xf numFmtId="0" fontId="12" fillId="0" borderId="26" xfId="0" applyFont="1" applyBorder="1" applyAlignment="1">
      <alignment horizontal="center"/>
    </xf>
    <xf numFmtId="0" fontId="12" fillId="0" borderId="27" xfId="0" applyFont="1" applyBorder="1" applyAlignment="1">
      <alignment horizontal="center"/>
    </xf>
    <xf numFmtId="0" fontId="1" fillId="0" borderId="6" xfId="0" applyFont="1" applyBorder="1" applyAlignment="1">
      <alignment horizontal="left" wrapText="1"/>
    </xf>
    <xf numFmtId="0" fontId="1" fillId="0" borderId="7" xfId="0" applyFont="1" applyBorder="1" applyAlignment="1">
      <alignment horizontal="left" wrapText="1"/>
    </xf>
    <xf numFmtId="0" fontId="1" fillId="0" borderId="8" xfId="0" applyFont="1" applyBorder="1" applyAlignment="1">
      <alignment horizontal="left" wrapText="1"/>
    </xf>
    <xf numFmtId="0" fontId="1" fillId="0" borderId="10" xfId="0" applyFont="1" applyBorder="1" applyAlignment="1">
      <alignment horizontal="left" wrapText="1"/>
    </xf>
    <xf numFmtId="0" fontId="2" fillId="0" borderId="25" xfId="0" applyFont="1" applyBorder="1" applyAlignment="1">
      <alignment horizontal="center" vertical="center"/>
    </xf>
    <xf numFmtId="0" fontId="2" fillId="0" borderId="27" xfId="0" applyFont="1" applyBorder="1" applyAlignment="1">
      <alignment horizontal="center" vertical="center"/>
    </xf>
    <xf numFmtId="0" fontId="1" fillId="0" borderId="16" xfId="0" applyFont="1" applyBorder="1" applyAlignment="1">
      <alignment horizontal="left" vertical="center" wrapText="1"/>
    </xf>
    <xf numFmtId="0" fontId="1" fillId="0" borderId="18" xfId="0" applyFont="1" applyBorder="1" applyAlignment="1">
      <alignment horizontal="left" vertical="center" wrapText="1"/>
    </xf>
    <xf numFmtId="0" fontId="1" fillId="0" borderId="13" xfId="0" applyFont="1" applyBorder="1" applyAlignment="1">
      <alignment horizontal="left" wrapText="1"/>
    </xf>
    <xf numFmtId="0" fontId="1" fillId="0" borderId="15" xfId="0" applyFont="1" applyBorder="1" applyAlignment="1">
      <alignment horizontal="lef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0" fillId="0" borderId="0" xfId="0" applyFont="1" applyAlignment="1">
      <alignment horizontal="left" vertical="center"/>
    </xf>
    <xf numFmtId="0" fontId="2" fillId="0" borderId="22" xfId="0" applyFont="1" applyBorder="1" applyAlignment="1">
      <alignment horizontal="center"/>
    </xf>
    <xf numFmtId="0" fontId="2" fillId="0" borderId="24" xfId="0" applyFont="1" applyBorder="1" applyAlignment="1">
      <alignment horizontal="center"/>
    </xf>
    <xf numFmtId="0" fontId="20" fillId="0" borderId="16" xfId="0" applyFont="1" applyBorder="1" applyAlignment="1">
      <alignment horizontal="left"/>
    </xf>
    <xf numFmtId="0" fontId="20" fillId="0" borderId="18" xfId="0" applyFont="1" applyBorder="1" applyAlignment="1">
      <alignment horizontal="left"/>
    </xf>
    <xf numFmtId="0" fontId="25" fillId="4" borderId="1" xfId="2" applyFont="1" applyBorder="1" applyAlignment="1">
      <alignment vertical="center"/>
    </xf>
    <xf numFmtId="0" fontId="24" fillId="0" borderId="1" xfId="0" applyFont="1" applyBorder="1" applyAlignment="1">
      <alignment vertical="center"/>
    </xf>
    <xf numFmtId="0" fontId="20" fillId="0" borderId="1" xfId="0" applyFont="1" applyBorder="1" applyAlignment="1">
      <alignment horizontal="left" vertical="center"/>
    </xf>
    <xf numFmtId="0" fontId="20" fillId="0" borderId="1" xfId="0" applyFont="1" applyBorder="1" applyAlignment="1">
      <alignment vertical="center"/>
    </xf>
    <xf numFmtId="0" fontId="24" fillId="0" borderId="32" xfId="0" applyFont="1" applyBorder="1" applyAlignment="1">
      <alignment vertical="center" wrapText="1"/>
    </xf>
    <xf numFmtId="0" fontId="24" fillId="0" borderId="46" xfId="0" applyFont="1" applyBorder="1" applyAlignment="1">
      <alignment vertical="center" wrapText="1"/>
    </xf>
    <xf numFmtId="0" fontId="24" fillId="0" borderId="45" xfId="0" applyFont="1" applyBorder="1" applyAlignment="1">
      <alignment vertical="center" wrapText="1"/>
    </xf>
    <xf numFmtId="0" fontId="24" fillId="0" borderId="32" xfId="0" applyFont="1" applyBorder="1" applyAlignment="1">
      <alignment horizontal="left" vertical="center" wrapText="1"/>
    </xf>
    <xf numFmtId="0" fontId="24" fillId="0" borderId="46" xfId="0" applyFont="1" applyBorder="1" applyAlignment="1">
      <alignment horizontal="left" vertical="center" wrapText="1"/>
    </xf>
    <xf numFmtId="0" fontId="24" fillId="0" borderId="45" xfId="0" applyFont="1" applyBorder="1" applyAlignment="1">
      <alignment horizontal="left" vertical="center" wrapText="1"/>
    </xf>
    <xf numFmtId="0" fontId="24" fillId="0" borderId="32" xfId="0" applyFont="1" applyBorder="1" applyAlignment="1">
      <alignment horizontal="center" vertical="center"/>
    </xf>
    <xf numFmtId="0" fontId="24" fillId="0" borderId="46" xfId="0" applyFont="1" applyBorder="1" applyAlignment="1">
      <alignment horizontal="center" vertical="center"/>
    </xf>
    <xf numFmtId="0" fontId="24" fillId="0" borderId="45" xfId="0" applyFont="1" applyBorder="1" applyAlignment="1">
      <alignment horizontal="center" vertical="center"/>
    </xf>
    <xf numFmtId="0" fontId="24" fillId="0" borderId="32" xfId="0" applyFont="1" applyBorder="1" applyAlignment="1">
      <alignment vertical="center"/>
    </xf>
    <xf numFmtId="0" fontId="24" fillId="0" borderId="45" xfId="0" applyFont="1" applyBorder="1" applyAlignment="1">
      <alignment vertical="center"/>
    </xf>
    <xf numFmtId="0" fontId="24" fillId="0" borderId="46" xfId="0" applyFont="1" applyBorder="1" applyAlignment="1">
      <alignment vertical="center"/>
    </xf>
    <xf numFmtId="0" fontId="24" fillId="0" borderId="0" xfId="0" applyFont="1" applyAlignment="1">
      <alignment horizontal="center" vertic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xf numFmtId="0" fontId="4" fillId="0" borderId="25" xfId="0" applyFont="1" applyBorder="1" applyAlignment="1">
      <alignment horizontal="left"/>
    </xf>
    <xf numFmtId="0" fontId="2" fillId="0" borderId="26" xfId="0" applyFont="1" applyBorder="1" applyAlignment="1">
      <alignment horizontal="left"/>
    </xf>
    <xf numFmtId="0" fontId="2" fillId="0" borderId="27" xfId="0" applyFont="1" applyBorder="1" applyAlignment="1">
      <alignment horizontal="left"/>
    </xf>
  </cellXfs>
  <cellStyles count="3">
    <cellStyle name="Hyperlink" xfId="1" builtinId="8"/>
    <cellStyle name="Input" xfId="2" builtinId="20"/>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sean.j.spradling@erac.com" TargetMode="External"/><Relationship Id="rId7" Type="http://schemas.openxmlformats.org/officeDocument/2006/relationships/hyperlink" Target="https://www.law.cornell.edu/cfr/text/14/431.79" TargetMode="External"/><Relationship Id="rId2" Type="http://schemas.openxmlformats.org/officeDocument/2006/relationships/hyperlink" Target="mailto:Tom.Moran@roanokegroup.com" TargetMode="External"/><Relationship Id="rId1" Type="http://schemas.openxmlformats.org/officeDocument/2006/relationships/hyperlink" Target="mailto:dana.smith@jltaerospace.com;" TargetMode="External"/><Relationship Id="rId6" Type="http://schemas.openxmlformats.org/officeDocument/2006/relationships/hyperlink" Target="mailto:bill.gutman@spaceportamerica.com" TargetMode="External"/><Relationship Id="rId5" Type="http://schemas.openxmlformats.org/officeDocument/2006/relationships/hyperlink" Target="mailto:AST-400@faa.gov" TargetMode="External"/><Relationship Id="rId10" Type="http://schemas.openxmlformats.org/officeDocument/2006/relationships/comments" Target="../comments1.xml"/><Relationship Id="rId4" Type="http://schemas.openxmlformats.org/officeDocument/2006/relationships/hyperlink" Target="https://www.law.cornell.edu/cfr/text/14/431.79"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mailto:peaton@exosaero.com" TargetMode="External"/><Relationship Id="rId3" Type="http://schemas.openxmlformats.org/officeDocument/2006/relationships/hyperlink" Target="mailto:AST-400@faa.gov;" TargetMode="External"/><Relationship Id="rId7" Type="http://schemas.openxmlformats.org/officeDocument/2006/relationships/hyperlink" Target="mailto:smillard@exosaero.com;" TargetMode="External"/><Relationship Id="rId2" Type="http://schemas.openxmlformats.org/officeDocument/2006/relationships/hyperlink" Target="mailto:Henry.Lampazzi@faa.gov;" TargetMode="External"/><Relationship Id="rId1" Type="http://schemas.openxmlformats.org/officeDocument/2006/relationships/hyperlink" Target="mailto:sherman.council@faa.gov;" TargetMode="External"/><Relationship Id="rId6" Type="http://schemas.openxmlformats.org/officeDocument/2006/relationships/hyperlink" Target="mailto:nmilburn@exosaero.com;" TargetMode="External"/><Relationship Id="rId5" Type="http://schemas.openxmlformats.org/officeDocument/2006/relationships/hyperlink" Target="mailto:jquinn@exosaero.com;" TargetMode="External"/><Relationship Id="rId4" Type="http://schemas.openxmlformats.org/officeDocument/2006/relationships/hyperlink" Target="mailto:annette.parks@faa.gov;" TargetMode="External"/><Relationship Id="rId9" Type="http://schemas.openxmlformats.org/officeDocument/2006/relationships/hyperlink" Target="mailto:tlong@exosaero.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peaton@exosaero.com" TargetMode="External"/><Relationship Id="rId13" Type="http://schemas.openxmlformats.org/officeDocument/2006/relationships/hyperlink" Target="mailto:beth.e.adams@faa.gov;" TargetMode="External"/><Relationship Id="rId3" Type="http://schemas.openxmlformats.org/officeDocument/2006/relationships/hyperlink" Target="mailto:AST-400@faa.gov;" TargetMode="External"/><Relationship Id="rId7" Type="http://schemas.openxmlformats.org/officeDocument/2006/relationships/hyperlink" Target="mailto:smillard@exosaero.com;" TargetMode="External"/><Relationship Id="rId12" Type="http://schemas.openxmlformats.org/officeDocument/2006/relationships/hyperlink" Target="mailto:9-asw-zab530@faa.gov;" TargetMode="External"/><Relationship Id="rId2" Type="http://schemas.openxmlformats.org/officeDocument/2006/relationships/hyperlink" Target="mailto:Henry.Lampazzi@faa.gov;" TargetMode="External"/><Relationship Id="rId16" Type="http://schemas.openxmlformats.org/officeDocument/2006/relationships/comments" Target="../comments2.xml"/><Relationship Id="rId1" Type="http://schemas.openxmlformats.org/officeDocument/2006/relationships/hyperlink" Target="mailto:sherman.council@faa.gov;" TargetMode="External"/><Relationship Id="rId6" Type="http://schemas.openxmlformats.org/officeDocument/2006/relationships/hyperlink" Target="mailto:nmilburn@exosaero.com;" TargetMode="External"/><Relationship Id="rId11" Type="http://schemas.openxmlformats.org/officeDocument/2006/relationships/hyperlink" Target="mailto:spaceops@spaceportamerica.com;" TargetMode="External"/><Relationship Id="rId5" Type="http://schemas.openxmlformats.org/officeDocument/2006/relationships/hyperlink" Target="mailto:jquinn@exosaero.com;" TargetMode="External"/><Relationship Id="rId15" Type="http://schemas.openxmlformats.org/officeDocument/2006/relationships/vmlDrawing" Target="../drawings/vmlDrawing2.vml"/><Relationship Id="rId10" Type="http://schemas.openxmlformats.org/officeDocument/2006/relationships/hyperlink" Target="mailto:9-AWA-AJR-SPACE.OPS@faa.gov;" TargetMode="External"/><Relationship Id="rId4" Type="http://schemas.openxmlformats.org/officeDocument/2006/relationships/hyperlink" Target="mailto:annette.parks@faa.gov;" TargetMode="External"/><Relationship Id="rId9" Type="http://schemas.openxmlformats.org/officeDocument/2006/relationships/hyperlink" Target="mailto:tlong@exosaero.com;" TargetMode="External"/><Relationship Id="rId14"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mailto:spaceops@spaceportamerica.com" TargetMode="External"/><Relationship Id="rId2" Type="http://schemas.openxmlformats.org/officeDocument/2006/relationships/hyperlink" Target="mailto:9-AWA-AJR-SPCE.OPS@faa.gov" TargetMode="External"/><Relationship Id="rId1" Type="http://schemas.openxmlformats.org/officeDocument/2006/relationships/hyperlink" Target="mailto:9-asw-zab530@faa.gov" TargetMode="External"/><Relationship Id="rId6" Type="http://schemas.openxmlformats.org/officeDocument/2006/relationships/printerSettings" Target="../printerSettings/printerSettings6.bin"/><Relationship Id="rId5" Type="http://schemas.openxmlformats.org/officeDocument/2006/relationships/hyperlink" Target="https://www.google.com/maps/place/32%C2%B056'37.3%22N+106%C2%B055'20.5%22W/@32.9436732,-106.9227411,125m/data=!3m1!1e3!4m5!3m4!1s0x0:0x0!8m2!3d32.943699!4d-106.922364" TargetMode="External"/><Relationship Id="rId4" Type="http://schemas.openxmlformats.org/officeDocument/2006/relationships/hyperlink" Target="mailto:beth.e.adams@faa.gov"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27"/>
  <sheetViews>
    <sheetView tabSelected="1" workbookViewId="0">
      <pane ySplit="4" topLeftCell="A11" activePane="bottomLeft" state="frozen"/>
      <selection pane="bottomLeft" sqref="A1:F1"/>
    </sheetView>
  </sheetViews>
  <sheetFormatPr defaultRowHeight="15" x14ac:dyDescent="0.25"/>
  <cols>
    <col min="1" max="1" width="6.5703125" style="1" customWidth="1"/>
    <col min="2" max="2" width="14.42578125" style="2" bestFit="1" customWidth="1"/>
    <col min="3" max="3" width="13.7109375" style="2" customWidth="1"/>
    <col min="4" max="4" width="37.5703125" customWidth="1"/>
    <col min="5" max="5" width="31.140625" bestFit="1" customWidth="1"/>
    <col min="6" max="6" width="17.85546875" bestFit="1" customWidth="1"/>
    <col min="7" max="7" width="33.85546875" bestFit="1" customWidth="1"/>
    <col min="8" max="8" width="26.28515625" customWidth="1"/>
    <col min="9" max="9" width="25.28515625" bestFit="1" customWidth="1"/>
    <col min="10" max="10" width="12.140625" bestFit="1" customWidth="1"/>
    <col min="11" max="11" width="9.7109375" bestFit="1" customWidth="1"/>
  </cols>
  <sheetData>
    <row r="1" spans="1:9" ht="27" thickBot="1" x14ac:dyDescent="0.45">
      <c r="A1" s="237" t="s">
        <v>38</v>
      </c>
      <c r="B1" s="238"/>
      <c r="C1" s="238"/>
      <c r="D1" s="238"/>
      <c r="E1" s="238"/>
      <c r="F1" s="239"/>
      <c r="G1" s="90" t="s">
        <v>183</v>
      </c>
      <c r="H1" s="91">
        <f ca="1">TODAY()</f>
        <v>43977</v>
      </c>
    </row>
    <row r="2" spans="1:9" s="3" customFormat="1" ht="21.75" thickBot="1" x14ac:dyDescent="0.4">
      <c r="A2" s="235" t="s">
        <v>11</v>
      </c>
      <c r="B2" s="236"/>
      <c r="C2" s="236"/>
      <c r="D2" s="98">
        <v>44058.458333333336</v>
      </c>
      <c r="E2" s="92" t="s">
        <v>37</v>
      </c>
      <c r="F2" s="93">
        <f>D2</f>
        <v>44058.458333333336</v>
      </c>
      <c r="G2" s="88" t="s">
        <v>179</v>
      </c>
      <c r="H2" s="89">
        <f ca="1">D2-H1</f>
        <v>81.458333333335759</v>
      </c>
    </row>
    <row r="3" spans="1:9" s="3" customFormat="1" ht="21.75" thickBot="1" x14ac:dyDescent="0.4">
      <c r="A3" s="231" t="s">
        <v>4</v>
      </c>
      <c r="B3" s="232"/>
      <c r="C3" s="232"/>
      <c r="D3" s="232"/>
      <c r="E3" s="232"/>
      <c r="F3" s="232"/>
      <c r="G3" s="233"/>
      <c r="H3" s="234"/>
    </row>
    <row r="4" spans="1:9" s="4" customFormat="1" ht="30.75" thickBot="1" x14ac:dyDescent="0.3">
      <c r="A4" s="26" t="s">
        <v>0</v>
      </c>
      <c r="B4" s="27" t="s">
        <v>3</v>
      </c>
      <c r="C4" s="28" t="s">
        <v>2</v>
      </c>
      <c r="D4" s="28" t="s">
        <v>1</v>
      </c>
      <c r="E4" s="28" t="s">
        <v>5</v>
      </c>
      <c r="F4" s="28" t="s">
        <v>124</v>
      </c>
      <c r="G4" s="68" t="s">
        <v>125</v>
      </c>
      <c r="H4" s="29" t="s">
        <v>6</v>
      </c>
    </row>
    <row r="5" spans="1:9" s="5" customFormat="1" x14ac:dyDescent="0.25">
      <c r="A5" s="69">
        <v>1</v>
      </c>
      <c r="B5" s="22">
        <v>67</v>
      </c>
      <c r="C5" s="70">
        <f t="shared" ref="C5:C25" si="0">$D$2-B5</f>
        <v>43991.458333333336</v>
      </c>
      <c r="D5" s="71" t="s">
        <v>9</v>
      </c>
      <c r="E5" s="71" t="s">
        <v>10</v>
      </c>
      <c r="F5" s="53"/>
      <c r="G5" s="71"/>
      <c r="H5" s="54"/>
    </row>
    <row r="6" spans="1:9" s="5" customFormat="1" x14ac:dyDescent="0.25">
      <c r="A6" s="72">
        <v>2</v>
      </c>
      <c r="B6" s="6">
        <v>65</v>
      </c>
      <c r="C6" s="73">
        <f t="shared" si="0"/>
        <v>43993.458333333336</v>
      </c>
      <c r="D6" s="74" t="s">
        <v>8</v>
      </c>
      <c r="E6" s="74" t="s">
        <v>173</v>
      </c>
      <c r="F6" s="33" t="s">
        <v>133</v>
      </c>
      <c r="G6" s="80" t="s">
        <v>134</v>
      </c>
      <c r="H6" s="35"/>
    </row>
    <row r="7" spans="1:9" s="5" customFormat="1" ht="60" x14ac:dyDescent="0.25">
      <c r="A7" s="72">
        <v>3</v>
      </c>
      <c r="B7" s="6">
        <v>60</v>
      </c>
      <c r="C7" s="73">
        <f t="shared" si="0"/>
        <v>43998.458333333336</v>
      </c>
      <c r="D7" s="96" t="s">
        <v>194</v>
      </c>
      <c r="E7" s="74" t="s">
        <v>7</v>
      </c>
      <c r="F7" s="33" t="s">
        <v>132</v>
      </c>
      <c r="G7" s="33" t="s">
        <v>150</v>
      </c>
      <c r="H7" s="35" t="s">
        <v>126</v>
      </c>
      <c r="I7" s="79" t="s">
        <v>196</v>
      </c>
    </row>
    <row r="8" spans="1:9" s="5" customFormat="1" ht="45" x14ac:dyDescent="0.25">
      <c r="A8" s="72">
        <v>4</v>
      </c>
      <c r="B8" s="6">
        <v>45</v>
      </c>
      <c r="C8" s="73">
        <f t="shared" si="0"/>
        <v>44013.458333333336</v>
      </c>
      <c r="D8" s="33" t="s">
        <v>146</v>
      </c>
      <c r="E8" s="74" t="s">
        <v>171</v>
      </c>
      <c r="F8" s="33" t="s">
        <v>135</v>
      </c>
      <c r="G8" s="79" t="s">
        <v>172</v>
      </c>
      <c r="H8" s="35" t="s">
        <v>127</v>
      </c>
    </row>
    <row r="9" spans="1:9" s="5" customFormat="1" ht="60" x14ac:dyDescent="0.25">
      <c r="A9" s="72">
        <v>5</v>
      </c>
      <c r="B9" s="6">
        <v>45</v>
      </c>
      <c r="C9" s="73">
        <f t="shared" si="0"/>
        <v>44013.458333333336</v>
      </c>
      <c r="D9" s="33" t="s">
        <v>144</v>
      </c>
      <c r="E9" s="33" t="s">
        <v>143</v>
      </c>
      <c r="F9" s="33" t="s">
        <v>141</v>
      </c>
      <c r="G9" s="79" t="s">
        <v>142</v>
      </c>
      <c r="H9" s="35" t="s">
        <v>175</v>
      </c>
    </row>
    <row r="10" spans="1:9" s="5" customFormat="1" x14ac:dyDescent="0.25">
      <c r="A10" s="72">
        <v>6</v>
      </c>
      <c r="B10" s="6">
        <v>45</v>
      </c>
      <c r="C10" s="73">
        <f t="shared" si="0"/>
        <v>44013.458333333336</v>
      </c>
      <c r="D10" s="33" t="s">
        <v>145</v>
      </c>
      <c r="E10" s="33" t="s">
        <v>174</v>
      </c>
      <c r="F10" s="33"/>
      <c r="G10" s="94" t="s">
        <v>184</v>
      </c>
      <c r="H10" s="35"/>
    </row>
    <row r="11" spans="1:9" s="5" customFormat="1" x14ac:dyDescent="0.25">
      <c r="A11" s="72">
        <v>7</v>
      </c>
      <c r="B11" s="6">
        <v>30</v>
      </c>
      <c r="C11" s="73">
        <f t="shared" si="0"/>
        <v>44028.458333333336</v>
      </c>
      <c r="D11" s="33" t="s">
        <v>148</v>
      </c>
      <c r="E11" s="33" t="s">
        <v>180</v>
      </c>
      <c r="F11" s="33"/>
      <c r="G11" s="83" t="s">
        <v>149</v>
      </c>
      <c r="H11" s="35"/>
    </row>
    <row r="12" spans="1:9" s="5" customFormat="1" ht="30" x14ac:dyDescent="0.25">
      <c r="A12" s="72">
        <v>8</v>
      </c>
      <c r="B12" s="6">
        <v>30</v>
      </c>
      <c r="C12" s="73">
        <f t="shared" si="0"/>
        <v>44028.458333333336</v>
      </c>
      <c r="D12" s="74" t="s">
        <v>12</v>
      </c>
      <c r="E12" s="74" t="s">
        <v>13</v>
      </c>
      <c r="F12" s="33" t="s">
        <v>137</v>
      </c>
      <c r="G12" s="80" t="s">
        <v>136</v>
      </c>
      <c r="H12" s="35" t="s">
        <v>127</v>
      </c>
    </row>
    <row r="13" spans="1:9" s="5" customFormat="1" ht="60" x14ac:dyDescent="0.25">
      <c r="A13" s="72">
        <v>9</v>
      </c>
      <c r="B13" s="6">
        <v>30</v>
      </c>
      <c r="C13" s="73">
        <f t="shared" si="0"/>
        <v>44028.458333333336</v>
      </c>
      <c r="D13" s="33" t="s">
        <v>147</v>
      </c>
      <c r="E13" s="74" t="s">
        <v>152</v>
      </c>
      <c r="F13" s="5" t="s">
        <v>151</v>
      </c>
      <c r="G13" s="84" t="s">
        <v>153</v>
      </c>
      <c r="H13" s="35" t="s">
        <v>128</v>
      </c>
    </row>
    <row r="14" spans="1:9" s="5" customFormat="1" x14ac:dyDescent="0.25">
      <c r="A14" s="72">
        <v>10</v>
      </c>
      <c r="B14" s="6">
        <v>21</v>
      </c>
      <c r="C14" s="73">
        <f t="shared" si="0"/>
        <v>44037.458333333336</v>
      </c>
      <c r="D14" s="74" t="s">
        <v>14</v>
      </c>
      <c r="E14" s="74" t="s">
        <v>10</v>
      </c>
      <c r="F14" s="33"/>
      <c r="G14" s="74"/>
      <c r="H14" s="35"/>
    </row>
    <row r="15" spans="1:9" s="5" customFormat="1" ht="60" x14ac:dyDescent="0.25">
      <c r="A15" s="72">
        <v>11</v>
      </c>
      <c r="B15" s="6">
        <v>15</v>
      </c>
      <c r="C15" s="73">
        <f t="shared" si="0"/>
        <v>44043.458333333336</v>
      </c>
      <c r="D15" s="46" t="s">
        <v>197</v>
      </c>
      <c r="E15" s="74" t="s">
        <v>7</v>
      </c>
      <c r="F15" s="33" t="s">
        <v>132</v>
      </c>
      <c r="G15" s="33" t="s">
        <v>150</v>
      </c>
      <c r="H15" s="35" t="s">
        <v>126</v>
      </c>
      <c r="I15" s="79" t="s">
        <v>195</v>
      </c>
    </row>
    <row r="16" spans="1:9" s="5" customFormat="1" ht="75" x14ac:dyDescent="0.25">
      <c r="A16" s="72">
        <v>12</v>
      </c>
      <c r="B16" s="6">
        <v>10</v>
      </c>
      <c r="C16" s="73">
        <f t="shared" si="0"/>
        <v>44048.458333333336</v>
      </c>
      <c r="D16" s="74" t="s">
        <v>15</v>
      </c>
      <c r="E16" s="74" t="s">
        <v>181</v>
      </c>
      <c r="F16" s="33"/>
      <c r="G16" s="87" t="s">
        <v>182</v>
      </c>
      <c r="H16" s="35" t="s">
        <v>129</v>
      </c>
      <c r="I16" s="96" t="s">
        <v>525</v>
      </c>
    </row>
    <row r="17" spans="1:8" s="5" customFormat="1" ht="45" x14ac:dyDescent="0.25">
      <c r="A17" s="72">
        <v>13</v>
      </c>
      <c r="B17" s="6">
        <v>5</v>
      </c>
      <c r="C17" s="73">
        <f t="shared" si="0"/>
        <v>44053.458333333336</v>
      </c>
      <c r="D17" s="74" t="s">
        <v>16</v>
      </c>
      <c r="E17" s="74" t="s">
        <v>130</v>
      </c>
      <c r="F17" s="33" t="s">
        <v>131</v>
      </c>
      <c r="G17" s="74" t="s">
        <v>139</v>
      </c>
      <c r="H17" s="35" t="s">
        <v>178</v>
      </c>
    </row>
    <row r="18" spans="1:8" s="5" customFormat="1" x14ac:dyDescent="0.25">
      <c r="A18" s="72">
        <v>14</v>
      </c>
      <c r="B18" s="6">
        <v>3</v>
      </c>
      <c r="C18" s="73">
        <f t="shared" si="0"/>
        <v>44055.458333333336</v>
      </c>
      <c r="D18" s="74" t="s">
        <v>17</v>
      </c>
      <c r="E18" s="74" t="s">
        <v>10</v>
      </c>
      <c r="F18" s="33"/>
      <c r="G18" s="74"/>
      <c r="H18" s="35"/>
    </row>
    <row r="19" spans="1:8" s="5" customFormat="1" ht="15.75" x14ac:dyDescent="0.25">
      <c r="A19" s="72">
        <v>15</v>
      </c>
      <c r="B19" s="6">
        <v>2</v>
      </c>
      <c r="C19" s="73">
        <f t="shared" si="0"/>
        <v>44056.458333333336</v>
      </c>
      <c r="D19" s="75" t="s">
        <v>18</v>
      </c>
      <c r="E19" s="74" t="s">
        <v>10</v>
      </c>
      <c r="F19" s="33"/>
      <c r="G19" s="74"/>
      <c r="H19" s="35"/>
    </row>
    <row r="20" spans="1:8" s="5" customFormat="1" ht="30" x14ac:dyDescent="0.25">
      <c r="A20" s="72">
        <v>16</v>
      </c>
      <c r="B20" s="6">
        <v>2</v>
      </c>
      <c r="C20" s="73">
        <f t="shared" si="0"/>
        <v>44056.458333333336</v>
      </c>
      <c r="D20" s="74" t="s">
        <v>21</v>
      </c>
      <c r="E20" s="74" t="s">
        <v>176</v>
      </c>
      <c r="F20" s="33"/>
      <c r="G20" s="33" t="s">
        <v>177</v>
      </c>
      <c r="H20" s="35" t="s">
        <v>138</v>
      </c>
    </row>
    <row r="21" spans="1:8" s="5" customFormat="1" x14ac:dyDescent="0.25">
      <c r="A21" s="72">
        <v>17</v>
      </c>
      <c r="B21" s="6">
        <v>2</v>
      </c>
      <c r="C21" s="73">
        <f t="shared" si="0"/>
        <v>44056.458333333336</v>
      </c>
      <c r="D21" s="81" t="s">
        <v>43</v>
      </c>
      <c r="E21" s="74"/>
      <c r="F21" s="33"/>
      <c r="G21" s="74"/>
      <c r="H21" s="35"/>
    </row>
    <row r="22" spans="1:8" s="5" customFormat="1" ht="15.75" x14ac:dyDescent="0.25">
      <c r="A22" s="72">
        <v>18</v>
      </c>
      <c r="B22" s="6">
        <v>1</v>
      </c>
      <c r="C22" s="73">
        <f t="shared" si="0"/>
        <v>44057.458333333336</v>
      </c>
      <c r="D22" s="75" t="s">
        <v>34</v>
      </c>
      <c r="E22" s="74" t="s">
        <v>10</v>
      </c>
      <c r="F22" s="33"/>
      <c r="G22" s="74"/>
      <c r="H22" s="35"/>
    </row>
    <row r="23" spans="1:8" s="5" customFormat="1" x14ac:dyDescent="0.25">
      <c r="A23" s="72">
        <v>19</v>
      </c>
      <c r="B23" s="6">
        <v>1</v>
      </c>
      <c r="C23" s="73">
        <f t="shared" si="0"/>
        <v>44057.458333333336</v>
      </c>
      <c r="D23" s="81" t="s">
        <v>41</v>
      </c>
      <c r="E23" s="81" t="s">
        <v>42</v>
      </c>
      <c r="F23" s="33"/>
      <c r="G23" s="74"/>
      <c r="H23" s="35"/>
    </row>
    <row r="24" spans="1:8" s="5" customFormat="1" ht="15.75" x14ac:dyDescent="0.25">
      <c r="A24" s="72">
        <v>20</v>
      </c>
      <c r="B24" s="6">
        <v>0</v>
      </c>
      <c r="C24" s="73">
        <f t="shared" si="0"/>
        <v>44058.458333333336</v>
      </c>
      <c r="D24" s="75" t="s">
        <v>35</v>
      </c>
      <c r="E24" s="74" t="s">
        <v>36</v>
      </c>
      <c r="F24" s="33"/>
      <c r="G24" s="74"/>
      <c r="H24" s="35"/>
    </row>
    <row r="25" spans="1:8" s="5" customFormat="1" ht="15.75" thickBot="1" x14ac:dyDescent="0.3">
      <c r="A25" s="76">
        <v>21</v>
      </c>
      <c r="B25" s="11">
        <v>0</v>
      </c>
      <c r="C25" s="77">
        <f t="shared" si="0"/>
        <v>44058.458333333336</v>
      </c>
      <c r="D25" s="82" t="s">
        <v>51</v>
      </c>
      <c r="E25" s="78"/>
      <c r="F25" s="48"/>
      <c r="G25" s="78"/>
      <c r="H25" s="49"/>
    </row>
    <row r="27" spans="1:8" s="4" customFormat="1" x14ac:dyDescent="0.25"/>
  </sheetData>
  <mergeCells count="3">
    <mergeCell ref="A3:H3"/>
    <mergeCell ref="A2:C2"/>
    <mergeCell ref="A1:F1"/>
  </mergeCells>
  <conditionalFormatting sqref="C5:C25">
    <cfRule type="cellIs" dxfId="0" priority="2" operator="greaterThan">
      <formula>$H$1</formula>
    </cfRule>
  </conditionalFormatting>
  <hyperlinks>
    <hyperlink ref="D19" location="'Day 1 Setup'!A1" display="1st day of Setup"/>
    <hyperlink ref="D22" location="'Day 2 Setup'!A1" display="2nd Day of Setup"/>
    <hyperlink ref="D24" location="'Launch Day'!A1" display="Launch Day"/>
    <hyperlink ref="G8" r:id="rId1" display="dana.smith@jltaerospace.com; "/>
    <hyperlink ref="G12" r:id="rId2"/>
    <hyperlink ref="G9" r:id="rId3"/>
    <hyperlink ref="I15" r:id="rId4" display="15 Day Noification to AST"/>
    <hyperlink ref="G11" r:id="rId5" display="mailto:AST-400@faa.gov"/>
    <hyperlink ref="G6" r:id="rId6"/>
    <hyperlink ref="I7" r:id="rId7" display="60 Day Launch Notification"/>
    <hyperlink ref="D7" location="'60 Day Notification Contacts'!A1" display="Send 60 Day Notification                  Including Payload Manifest.                          (Click for Contact List)"/>
    <hyperlink ref="I16" location="'10 Day Notification Content'!A1" display="10 Day Notification to ZAB, Click for requirements."/>
  </hyperlinks>
  <pageMargins left="0.25" right="0.25" top="0.75" bottom="0.75" header="0.3" footer="0.3"/>
  <pageSetup scale="69" orientation="landscape" r:id="rId8"/>
  <rowBreaks count="3" manualBreakCount="3">
    <brk id="25" max="16383" man="1"/>
    <brk id="47" max="16383" man="1"/>
    <brk id="68" max="16383" man="1"/>
  </rowBreaks>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2"/>
  <sheetViews>
    <sheetView workbookViewId="0">
      <selection activeCell="G1" sqref="G1"/>
    </sheetView>
  </sheetViews>
  <sheetFormatPr defaultRowHeight="15" x14ac:dyDescent="0.25"/>
  <cols>
    <col min="1" max="1" width="6.5703125" customWidth="1"/>
    <col min="2" max="2" width="14.42578125" bestFit="1" customWidth="1"/>
    <col min="3" max="3" width="13.7109375" customWidth="1"/>
    <col min="4" max="4" width="36.42578125" bestFit="1" customWidth="1"/>
    <col min="5" max="5" width="31.140625" bestFit="1" customWidth="1"/>
    <col min="6" max="6" width="19" bestFit="1" customWidth="1"/>
    <col min="7" max="7" width="32.42578125" bestFit="1" customWidth="1"/>
  </cols>
  <sheetData>
    <row r="1" spans="1:7" ht="27" thickBot="1" x14ac:dyDescent="0.45">
      <c r="A1" s="237" t="s">
        <v>39</v>
      </c>
      <c r="B1" s="238"/>
      <c r="C1" s="238"/>
      <c r="D1" s="238"/>
      <c r="E1" s="238"/>
      <c r="F1" s="239"/>
      <c r="G1" s="31" t="s">
        <v>52</v>
      </c>
    </row>
    <row r="2" spans="1:7" ht="15.75" thickBot="1" x14ac:dyDescent="0.3">
      <c r="A2" s="18" t="s">
        <v>0</v>
      </c>
      <c r="B2" s="19" t="s">
        <v>20</v>
      </c>
      <c r="C2" s="25" t="s">
        <v>26</v>
      </c>
      <c r="D2" s="19" t="s">
        <v>1</v>
      </c>
      <c r="E2" s="19" t="s">
        <v>22</v>
      </c>
      <c r="F2" s="19" t="s">
        <v>24</v>
      </c>
      <c r="G2" s="20" t="s">
        <v>6</v>
      </c>
    </row>
    <row r="3" spans="1:7" x14ac:dyDescent="0.25">
      <c r="A3" s="21">
        <v>1</v>
      </c>
      <c r="B3" s="22" t="str">
        <f>"T - "&amp;'Master Launch Schedule'!D2-'Master Launch Schedule'!C20&amp;" days"</f>
        <v>T - 2 days</v>
      </c>
      <c r="C3" s="30">
        <v>0.29166666666666669</v>
      </c>
      <c r="D3" s="23" t="s">
        <v>33</v>
      </c>
      <c r="E3" s="23" t="s">
        <v>23</v>
      </c>
      <c r="F3" s="23"/>
      <c r="G3" s="24"/>
    </row>
    <row r="4" spans="1:7" x14ac:dyDescent="0.25">
      <c r="A4" s="8">
        <v>2</v>
      </c>
      <c r="B4" s="6"/>
      <c r="C4" s="15"/>
      <c r="D4" s="7" t="s">
        <v>63</v>
      </c>
      <c r="E4" s="7" t="s">
        <v>23</v>
      </c>
      <c r="F4" s="7"/>
      <c r="G4" s="9"/>
    </row>
    <row r="5" spans="1:7" x14ac:dyDescent="0.25">
      <c r="A5" s="8">
        <v>3</v>
      </c>
      <c r="B5" s="6"/>
      <c r="C5" s="15"/>
      <c r="D5" s="7" t="s">
        <v>64</v>
      </c>
      <c r="E5" s="7" t="s">
        <v>23</v>
      </c>
      <c r="F5" s="7"/>
      <c r="G5" s="9"/>
    </row>
    <row r="6" spans="1:7" x14ac:dyDescent="0.25">
      <c r="A6" s="8">
        <v>4</v>
      </c>
      <c r="B6" s="6"/>
      <c r="C6" s="15">
        <v>0.41666666666666669</v>
      </c>
      <c r="D6" s="7" t="s">
        <v>65</v>
      </c>
      <c r="E6" s="7" t="s">
        <v>120</v>
      </c>
      <c r="F6" s="7"/>
      <c r="G6" s="9"/>
    </row>
    <row r="7" spans="1:7" x14ac:dyDescent="0.25">
      <c r="A7" s="8">
        <v>5</v>
      </c>
      <c r="B7" s="6"/>
      <c r="C7" s="15">
        <v>0.4375</v>
      </c>
      <c r="D7" s="7" t="s">
        <v>66</v>
      </c>
      <c r="E7" s="7" t="s">
        <v>23</v>
      </c>
      <c r="F7" s="7"/>
      <c r="G7" s="9"/>
    </row>
    <row r="8" spans="1:7" x14ac:dyDescent="0.25">
      <c r="A8" s="8">
        <v>6</v>
      </c>
      <c r="B8" s="6"/>
      <c r="C8" s="15"/>
      <c r="D8" s="7" t="s">
        <v>67</v>
      </c>
      <c r="E8" s="7" t="s">
        <v>68</v>
      </c>
      <c r="F8" s="7"/>
      <c r="G8" s="9"/>
    </row>
    <row r="9" spans="1:7" x14ac:dyDescent="0.25">
      <c r="A9" s="8">
        <v>7</v>
      </c>
      <c r="B9" s="6"/>
      <c r="C9" s="15">
        <v>1200.5</v>
      </c>
      <c r="D9" s="7" t="s">
        <v>27</v>
      </c>
      <c r="E9" s="7" t="s">
        <v>23</v>
      </c>
      <c r="F9" s="7"/>
      <c r="G9" s="9"/>
    </row>
    <row r="10" spans="1:7" x14ac:dyDescent="0.25">
      <c r="A10" s="8">
        <v>8</v>
      </c>
      <c r="B10" s="6"/>
      <c r="C10" s="15"/>
      <c r="D10" s="7" t="s">
        <v>30</v>
      </c>
      <c r="E10" s="7" t="str">
        <f>$E$13</f>
        <v>Joseph and 1 helper</v>
      </c>
      <c r="F10" s="7"/>
      <c r="G10" s="9"/>
    </row>
    <row r="11" spans="1:7" x14ac:dyDescent="0.25">
      <c r="A11" s="8">
        <v>9</v>
      </c>
      <c r="B11" s="6"/>
      <c r="C11" s="15"/>
      <c r="D11" s="7" t="s">
        <v>69</v>
      </c>
      <c r="E11" s="7" t="s">
        <v>57</v>
      </c>
      <c r="F11" s="7"/>
      <c r="G11" s="9"/>
    </row>
    <row r="12" spans="1:7" x14ac:dyDescent="0.25">
      <c r="A12" s="8">
        <v>10</v>
      </c>
      <c r="B12" s="6"/>
      <c r="C12" s="15"/>
      <c r="D12" s="7" t="s">
        <v>70</v>
      </c>
      <c r="E12" s="7" t="s">
        <v>71</v>
      </c>
      <c r="F12" s="7"/>
      <c r="G12" s="9"/>
    </row>
    <row r="13" spans="1:7" x14ac:dyDescent="0.25">
      <c r="A13" s="8">
        <v>11</v>
      </c>
      <c r="B13" s="6"/>
      <c r="C13" s="15"/>
      <c r="D13" s="7" t="s">
        <v>72</v>
      </c>
      <c r="E13" s="7" t="s">
        <v>29</v>
      </c>
      <c r="F13" s="7"/>
      <c r="G13" s="9"/>
    </row>
    <row r="14" spans="1:7" x14ac:dyDescent="0.25">
      <c r="A14" s="8">
        <v>12</v>
      </c>
      <c r="B14" s="6"/>
      <c r="C14" s="15">
        <v>0.66666666666666663</v>
      </c>
      <c r="D14" s="7" t="s">
        <v>31</v>
      </c>
      <c r="E14" s="7" t="s">
        <v>23</v>
      </c>
      <c r="F14" s="7"/>
      <c r="G14" s="9"/>
    </row>
    <row r="15" spans="1:7" x14ac:dyDescent="0.25">
      <c r="A15" s="8">
        <v>13</v>
      </c>
      <c r="B15" s="6"/>
      <c r="C15" s="15">
        <v>0.70833333333333337</v>
      </c>
      <c r="D15" s="7" t="s">
        <v>32</v>
      </c>
      <c r="E15" s="7" t="s">
        <v>23</v>
      </c>
      <c r="F15" s="7"/>
      <c r="G15" s="9"/>
    </row>
    <row r="16" spans="1:7" x14ac:dyDescent="0.25">
      <c r="A16" s="8">
        <v>14</v>
      </c>
      <c r="B16" s="6"/>
      <c r="C16" s="15"/>
      <c r="D16" s="7"/>
      <c r="E16" s="7"/>
      <c r="F16" s="7"/>
      <c r="G16" s="9"/>
    </row>
    <row r="17" spans="1:7" x14ac:dyDescent="0.25">
      <c r="A17" s="8">
        <v>15</v>
      </c>
      <c r="B17" s="6"/>
      <c r="C17" s="15"/>
      <c r="D17" s="7"/>
      <c r="E17" s="7"/>
      <c r="F17" s="7"/>
      <c r="G17" s="9"/>
    </row>
    <row r="18" spans="1:7" x14ac:dyDescent="0.25">
      <c r="A18" s="8">
        <v>16</v>
      </c>
      <c r="B18" s="6"/>
      <c r="C18" s="15"/>
      <c r="D18" s="7"/>
      <c r="E18" s="7"/>
      <c r="F18" s="7"/>
      <c r="G18" s="9"/>
    </row>
    <row r="19" spans="1:7" x14ac:dyDescent="0.25">
      <c r="A19" s="8">
        <v>17</v>
      </c>
      <c r="B19" s="6"/>
      <c r="C19" s="15"/>
      <c r="D19" s="7"/>
      <c r="E19" s="7"/>
      <c r="F19" s="7"/>
      <c r="G19" s="9"/>
    </row>
    <row r="20" spans="1:7" x14ac:dyDescent="0.25">
      <c r="A20" s="8">
        <v>18</v>
      </c>
      <c r="B20" s="6"/>
      <c r="C20" s="15"/>
      <c r="D20" s="7"/>
      <c r="E20" s="7"/>
      <c r="F20" s="7"/>
      <c r="G20" s="9"/>
    </row>
    <row r="21" spans="1:7" ht="15.75" thickBot="1" x14ac:dyDescent="0.3">
      <c r="A21" s="10">
        <v>19</v>
      </c>
      <c r="B21" s="11"/>
      <c r="C21" s="32"/>
      <c r="D21" s="12"/>
      <c r="E21" s="12"/>
      <c r="F21" s="12"/>
      <c r="G21" s="13"/>
    </row>
    <row r="22" spans="1:7" x14ac:dyDescent="0.25">
      <c r="A22" s="1"/>
      <c r="B22" s="2"/>
      <c r="C22" s="2"/>
    </row>
  </sheetData>
  <mergeCells count="1">
    <mergeCell ref="A1:F1"/>
  </mergeCells>
  <hyperlinks>
    <hyperlink ref="G1" location="'Master Launch Schedule'!A1" display="Return to Master"/>
  </hyperlinks>
  <pageMargins left="0.7" right="0.7" top="0.75" bottom="0.75" header="0.3" footer="0.3"/>
  <pageSetup scale="79" fitToHeight="0"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2"/>
  <sheetViews>
    <sheetView workbookViewId="0">
      <selection activeCell="D28" sqref="D28"/>
    </sheetView>
  </sheetViews>
  <sheetFormatPr defaultRowHeight="15" x14ac:dyDescent="0.25"/>
  <cols>
    <col min="1" max="1" width="6.5703125" customWidth="1"/>
    <col min="2" max="2" width="14.42578125" bestFit="1" customWidth="1"/>
    <col min="3" max="3" width="13.7109375" customWidth="1"/>
    <col min="4" max="4" width="36.28515625" customWidth="1"/>
    <col min="5" max="5" width="34.7109375" bestFit="1" customWidth="1"/>
    <col min="6" max="6" width="19" bestFit="1" customWidth="1"/>
    <col min="7" max="7" width="32.42578125" bestFit="1" customWidth="1"/>
  </cols>
  <sheetData>
    <row r="1" spans="1:7" ht="27" thickBot="1" x14ac:dyDescent="0.45">
      <c r="A1" s="237" t="s">
        <v>40</v>
      </c>
      <c r="B1" s="238"/>
      <c r="C1" s="238"/>
      <c r="D1" s="238"/>
      <c r="E1" s="238"/>
      <c r="F1" s="239"/>
      <c r="G1" s="31" t="s">
        <v>52</v>
      </c>
    </row>
    <row r="2" spans="1:7" ht="15.75" thickBot="1" x14ac:dyDescent="0.3">
      <c r="A2" s="18" t="s">
        <v>0</v>
      </c>
      <c r="B2" s="19" t="s">
        <v>20</v>
      </c>
      <c r="C2" s="25" t="s">
        <v>26</v>
      </c>
      <c r="D2" s="19" t="s">
        <v>1</v>
      </c>
      <c r="E2" s="19" t="s">
        <v>22</v>
      </c>
      <c r="F2" s="19" t="s">
        <v>24</v>
      </c>
      <c r="G2" s="20" t="s">
        <v>6</v>
      </c>
    </row>
    <row r="3" spans="1:7" x14ac:dyDescent="0.25">
      <c r="A3" s="42">
        <v>1</v>
      </c>
      <c r="B3" s="36" t="str">
        <f>"T - "&amp;'Master Launch Schedule'!$D$2-'Master Launch Schedule'!$C$23&amp;" days"</f>
        <v>T - 1 days</v>
      </c>
      <c r="C3" s="43">
        <v>0.29166666666666669</v>
      </c>
      <c r="D3" s="44" t="s">
        <v>33</v>
      </c>
      <c r="E3" s="44" t="s">
        <v>23</v>
      </c>
      <c r="F3" s="44" t="s">
        <v>209</v>
      </c>
      <c r="G3" s="45"/>
    </row>
    <row r="4" spans="1:7" x14ac:dyDescent="0.25">
      <c r="A4" s="38">
        <v>2</v>
      </c>
      <c r="B4" s="37"/>
      <c r="C4" s="39">
        <v>0.34375</v>
      </c>
      <c r="D4" s="33" t="s">
        <v>19</v>
      </c>
      <c r="E4" s="33" t="s">
        <v>23</v>
      </c>
      <c r="F4" s="33" t="s">
        <v>28</v>
      </c>
      <c r="G4" s="35"/>
    </row>
    <row r="5" spans="1:7" x14ac:dyDescent="0.25">
      <c r="A5" s="38">
        <v>3</v>
      </c>
      <c r="B5" s="37"/>
      <c r="C5" s="39"/>
      <c r="D5" s="33" t="s">
        <v>73</v>
      </c>
      <c r="E5" s="33" t="s">
        <v>56</v>
      </c>
      <c r="F5" s="33" t="s">
        <v>87</v>
      </c>
      <c r="G5" s="35"/>
    </row>
    <row r="6" spans="1:7" x14ac:dyDescent="0.25">
      <c r="A6" s="38">
        <v>4</v>
      </c>
      <c r="B6" s="37"/>
      <c r="C6" s="39"/>
      <c r="D6" s="33" t="s">
        <v>53</v>
      </c>
      <c r="E6" s="33" t="s">
        <v>54</v>
      </c>
      <c r="F6" s="33" t="s">
        <v>86</v>
      </c>
      <c r="G6" s="35"/>
    </row>
    <row r="7" spans="1:7" s="5" customFormat="1" ht="30" x14ac:dyDescent="0.25">
      <c r="A7" s="38">
        <v>5</v>
      </c>
      <c r="B7" s="37"/>
      <c r="C7" s="39"/>
      <c r="D7" s="33" t="s">
        <v>74</v>
      </c>
      <c r="E7" s="33" t="s">
        <v>54</v>
      </c>
      <c r="F7" s="34" t="s">
        <v>88</v>
      </c>
      <c r="G7" s="35"/>
    </row>
    <row r="8" spans="1:7" s="5" customFormat="1" ht="60" x14ac:dyDescent="0.25">
      <c r="A8" s="38"/>
      <c r="B8" s="37"/>
      <c r="C8" s="39">
        <v>0.41666666666666669</v>
      </c>
      <c r="D8" s="33" t="s">
        <v>206</v>
      </c>
      <c r="E8" s="33" t="s">
        <v>207</v>
      </c>
      <c r="F8" s="34" t="s">
        <v>208</v>
      </c>
      <c r="G8" s="35" t="s">
        <v>210</v>
      </c>
    </row>
    <row r="9" spans="1:7" x14ac:dyDescent="0.25">
      <c r="A9" s="38">
        <v>6</v>
      </c>
      <c r="B9" s="37"/>
      <c r="C9" s="39">
        <v>0.5</v>
      </c>
      <c r="D9" s="33" t="s">
        <v>55</v>
      </c>
      <c r="E9" s="33" t="s">
        <v>23</v>
      </c>
      <c r="F9" s="33"/>
      <c r="G9" s="35"/>
    </row>
    <row r="10" spans="1:7" s="5" customFormat="1" ht="30" x14ac:dyDescent="0.25">
      <c r="A10" s="38">
        <v>7</v>
      </c>
      <c r="B10" s="37"/>
      <c r="C10" s="39">
        <v>0.54166666666666663</v>
      </c>
      <c r="D10" s="33" t="s">
        <v>75</v>
      </c>
      <c r="E10" s="33" t="s">
        <v>205</v>
      </c>
      <c r="F10" s="33" t="s">
        <v>89</v>
      </c>
      <c r="G10" s="35" t="s">
        <v>93</v>
      </c>
    </row>
    <row r="11" spans="1:7" x14ac:dyDescent="0.25">
      <c r="A11" s="38">
        <v>8</v>
      </c>
      <c r="B11" s="37"/>
      <c r="C11" s="39"/>
      <c r="D11" s="33" t="s">
        <v>76</v>
      </c>
      <c r="E11" s="33" t="s">
        <v>77</v>
      </c>
      <c r="F11" s="33"/>
      <c r="G11" s="35"/>
    </row>
    <row r="12" spans="1:7" x14ac:dyDescent="0.25">
      <c r="A12" s="38">
        <v>9</v>
      </c>
      <c r="B12" s="37"/>
      <c r="C12" s="39"/>
      <c r="D12" s="33" t="s">
        <v>79</v>
      </c>
      <c r="E12" s="33" t="s">
        <v>78</v>
      </c>
      <c r="F12" s="33" t="s">
        <v>90</v>
      </c>
      <c r="G12" s="35"/>
    </row>
    <row r="13" spans="1:7" x14ac:dyDescent="0.25">
      <c r="A13" s="38">
        <v>10</v>
      </c>
      <c r="B13" s="37"/>
      <c r="C13" s="39"/>
      <c r="D13" s="33" t="s">
        <v>80</v>
      </c>
      <c r="E13" s="33" t="s">
        <v>71</v>
      </c>
      <c r="F13" s="33" t="s">
        <v>90</v>
      </c>
      <c r="G13" s="35"/>
    </row>
    <row r="14" spans="1:7" ht="45" x14ac:dyDescent="0.25">
      <c r="A14" s="38">
        <v>11</v>
      </c>
      <c r="B14" s="37"/>
      <c r="C14" s="39"/>
      <c r="D14" s="33" t="s">
        <v>81</v>
      </c>
      <c r="E14" s="33" t="s">
        <v>82</v>
      </c>
      <c r="F14" s="33" t="s">
        <v>28</v>
      </c>
      <c r="G14" s="35" t="s">
        <v>94</v>
      </c>
    </row>
    <row r="15" spans="1:7" s="5" customFormat="1" ht="30" x14ac:dyDescent="0.25">
      <c r="A15" s="38">
        <v>12</v>
      </c>
      <c r="B15" s="37"/>
      <c r="C15" s="39">
        <v>0.66666666666666663</v>
      </c>
      <c r="D15" s="33" t="s">
        <v>83</v>
      </c>
      <c r="E15" s="33" t="s">
        <v>84</v>
      </c>
      <c r="F15" s="33" t="s">
        <v>91</v>
      </c>
      <c r="G15" s="35"/>
    </row>
    <row r="16" spans="1:7" ht="30" x14ac:dyDescent="0.25">
      <c r="A16" s="38">
        <v>13</v>
      </c>
      <c r="B16" s="37"/>
      <c r="C16" s="39">
        <v>0.70833333333333337</v>
      </c>
      <c r="D16" s="33" t="s">
        <v>58</v>
      </c>
      <c r="E16" s="33" t="s">
        <v>85</v>
      </c>
      <c r="F16" s="33" t="s">
        <v>92</v>
      </c>
      <c r="G16" s="35"/>
    </row>
    <row r="17" spans="1:7" x14ac:dyDescent="0.25">
      <c r="A17" s="38">
        <v>14</v>
      </c>
      <c r="B17" s="37"/>
      <c r="C17" s="39"/>
      <c r="D17" s="33" t="s">
        <v>59</v>
      </c>
      <c r="E17" s="33"/>
      <c r="F17" s="33"/>
      <c r="G17" s="35"/>
    </row>
    <row r="18" spans="1:7" x14ac:dyDescent="0.25">
      <c r="A18" s="38">
        <v>15</v>
      </c>
      <c r="B18" s="37"/>
      <c r="C18" s="39"/>
      <c r="D18" s="46"/>
      <c r="E18" s="33"/>
      <c r="F18" s="33"/>
      <c r="G18" s="35"/>
    </row>
    <row r="19" spans="1:7" x14ac:dyDescent="0.25">
      <c r="A19" s="38">
        <v>16</v>
      </c>
      <c r="B19" s="37"/>
      <c r="C19" s="39"/>
      <c r="D19" s="33"/>
      <c r="E19" s="33"/>
      <c r="F19" s="33"/>
      <c r="G19" s="35"/>
    </row>
    <row r="20" spans="1:7" x14ac:dyDescent="0.25">
      <c r="A20" s="38">
        <v>17</v>
      </c>
      <c r="B20" s="37"/>
      <c r="C20" s="39"/>
      <c r="D20" s="33"/>
      <c r="E20" s="33"/>
      <c r="F20" s="33"/>
      <c r="G20" s="35"/>
    </row>
    <row r="21" spans="1:7" x14ac:dyDescent="0.25">
      <c r="A21" s="38">
        <v>18</v>
      </c>
      <c r="B21" s="37"/>
      <c r="C21" s="39"/>
      <c r="D21" s="33"/>
      <c r="E21" s="33"/>
      <c r="F21" s="33"/>
      <c r="G21" s="35"/>
    </row>
    <row r="22" spans="1:7" ht="15.75" thickBot="1" x14ac:dyDescent="0.3">
      <c r="A22" s="47">
        <v>19</v>
      </c>
      <c r="B22" s="40"/>
      <c r="C22" s="41"/>
      <c r="D22" s="48"/>
      <c r="E22" s="48"/>
      <c r="F22" s="48"/>
      <c r="G22" s="49"/>
    </row>
  </sheetData>
  <mergeCells count="1">
    <mergeCell ref="A1:F1"/>
  </mergeCells>
  <hyperlinks>
    <hyperlink ref="G1" location="'Master Launch Schedule'!A1" display="Return to Master"/>
  </hyperlinks>
  <pageMargins left="0.7" right="0.7" top="0.75" bottom="0.75" header="0.3" footer="0.3"/>
  <pageSetup scale="77" fitToHeight="0"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3"/>
  <sheetViews>
    <sheetView workbookViewId="0">
      <selection activeCell="E26" sqref="E26"/>
    </sheetView>
  </sheetViews>
  <sheetFormatPr defaultRowHeight="15" x14ac:dyDescent="0.25"/>
  <cols>
    <col min="1" max="1" width="6.5703125" customWidth="1"/>
    <col min="2" max="2" width="14.85546875" hidden="1" customWidth="1"/>
    <col min="3" max="3" width="13.7109375" customWidth="1"/>
    <col min="4" max="4" width="36.42578125" bestFit="1" customWidth="1"/>
    <col min="5" max="5" width="31.140625" bestFit="1" customWidth="1"/>
    <col min="6" max="6" width="19" bestFit="1" customWidth="1"/>
    <col min="7" max="7" width="32.42578125" bestFit="1" customWidth="1"/>
  </cols>
  <sheetData>
    <row r="1" spans="1:7" ht="27" thickBot="1" x14ac:dyDescent="0.45">
      <c r="A1" s="237" t="s">
        <v>35</v>
      </c>
      <c r="B1" s="238"/>
      <c r="C1" s="238"/>
      <c r="D1" s="238"/>
      <c r="E1" s="238"/>
      <c r="F1" s="239"/>
      <c r="G1" s="31" t="s">
        <v>52</v>
      </c>
    </row>
    <row r="2" spans="1:7" ht="15.75" thickBot="1" x14ac:dyDescent="0.3">
      <c r="A2" s="26" t="s">
        <v>0</v>
      </c>
      <c r="B2" s="28" t="s">
        <v>20</v>
      </c>
      <c r="C2" s="55" t="s">
        <v>26</v>
      </c>
      <c r="D2" s="28" t="s">
        <v>1</v>
      </c>
      <c r="E2" s="28" t="s">
        <v>22</v>
      </c>
      <c r="F2" s="28" t="s">
        <v>24</v>
      </c>
      <c r="G2" s="29" t="s">
        <v>6</v>
      </c>
    </row>
    <row r="3" spans="1:7" x14ac:dyDescent="0.25">
      <c r="A3" s="51">
        <v>1</v>
      </c>
      <c r="B3" s="50">
        <f>'Master Launch Schedule'!$F$2-C3</f>
        <v>44058.25</v>
      </c>
      <c r="C3" s="52">
        <v>0.20833333333333334</v>
      </c>
      <c r="D3" s="53" t="s">
        <v>33</v>
      </c>
      <c r="E3" s="53" t="s">
        <v>23</v>
      </c>
      <c r="F3" s="53"/>
      <c r="G3" s="54"/>
    </row>
    <row r="4" spans="1:7" x14ac:dyDescent="0.25">
      <c r="A4" s="38">
        <v>2</v>
      </c>
      <c r="B4" s="56">
        <f>'Master Launch Schedule'!$F$2-C4</f>
        <v>44058.208333333336</v>
      </c>
      <c r="C4" s="39">
        <v>0.25</v>
      </c>
      <c r="D4" s="33" t="s">
        <v>19</v>
      </c>
      <c r="E4" s="33" t="s">
        <v>23</v>
      </c>
      <c r="F4" s="33"/>
      <c r="G4" s="35"/>
    </row>
    <row r="5" spans="1:7" ht="30" x14ac:dyDescent="0.25">
      <c r="A5" s="38">
        <v>3</v>
      </c>
      <c r="B5" s="56">
        <f>'Master Launch Schedule'!$F$2-C5</f>
        <v>44058.166666666672</v>
      </c>
      <c r="C5" s="39">
        <v>0.29166666666666669</v>
      </c>
      <c r="D5" s="33" t="s">
        <v>95</v>
      </c>
      <c r="E5" s="33" t="s">
        <v>25</v>
      </c>
      <c r="F5" s="33"/>
      <c r="G5" s="35"/>
    </row>
    <row r="6" spans="1:7" ht="30" x14ac:dyDescent="0.25">
      <c r="A6" s="38">
        <v>4</v>
      </c>
      <c r="B6" s="56">
        <f>'Master Launch Schedule'!$F$2-C6</f>
        <v>44058.125</v>
      </c>
      <c r="C6" s="39">
        <v>0.33333333333333331</v>
      </c>
      <c r="D6" s="33" t="s">
        <v>96</v>
      </c>
      <c r="E6" s="33" t="s">
        <v>23</v>
      </c>
      <c r="F6" s="33"/>
      <c r="G6" s="35" t="s">
        <v>97</v>
      </c>
    </row>
    <row r="7" spans="1:7" x14ac:dyDescent="0.25">
      <c r="A7" s="38">
        <v>5</v>
      </c>
      <c r="B7" s="56">
        <f>'Master Launch Schedule'!$F$2-C7</f>
        <v>44058.104166666672</v>
      </c>
      <c r="C7" s="39">
        <v>0.35416666666666669</v>
      </c>
      <c r="D7" s="33" t="s">
        <v>44</v>
      </c>
      <c r="E7" s="33" t="s">
        <v>23</v>
      </c>
      <c r="F7" s="33" t="s">
        <v>98</v>
      </c>
      <c r="G7" s="35"/>
    </row>
    <row r="8" spans="1:7" x14ac:dyDescent="0.25">
      <c r="A8" s="38">
        <v>6</v>
      </c>
      <c r="B8" s="56">
        <f>'Master Launch Schedule'!$F$2-C8</f>
        <v>44058.09375</v>
      </c>
      <c r="C8" s="39">
        <v>0.36458333333333331</v>
      </c>
      <c r="D8" s="33" t="s">
        <v>45</v>
      </c>
      <c r="E8" s="33" t="s">
        <v>23</v>
      </c>
      <c r="F8" s="33" t="s">
        <v>98</v>
      </c>
      <c r="G8" s="35"/>
    </row>
    <row r="9" spans="1:7" ht="30" x14ac:dyDescent="0.25">
      <c r="A9" s="38">
        <v>7</v>
      </c>
      <c r="B9" s="56">
        <f>'Master Launch Schedule'!$F$2-C9</f>
        <v>44058.083333333336</v>
      </c>
      <c r="C9" s="39">
        <v>0.375</v>
      </c>
      <c r="D9" s="33" t="s">
        <v>100</v>
      </c>
      <c r="E9" s="33" t="s">
        <v>23</v>
      </c>
      <c r="F9" s="33"/>
      <c r="G9" s="35"/>
    </row>
    <row r="10" spans="1:7" x14ac:dyDescent="0.25">
      <c r="A10" s="38">
        <v>8</v>
      </c>
      <c r="B10" s="56"/>
      <c r="C10" s="39">
        <v>0.38541666666666669</v>
      </c>
      <c r="D10" s="33" t="s">
        <v>99</v>
      </c>
      <c r="E10" s="33" t="s">
        <v>23</v>
      </c>
      <c r="F10" s="33"/>
      <c r="G10" s="35"/>
    </row>
    <row r="11" spans="1:7" x14ac:dyDescent="0.25">
      <c r="A11" s="38">
        <v>9</v>
      </c>
      <c r="B11" s="56">
        <f>'Master Launch Schedule'!$F$2-C11</f>
        <v>44058.055555555555</v>
      </c>
      <c r="C11" s="39">
        <v>0.40277777777777773</v>
      </c>
      <c r="D11" s="33" t="s">
        <v>46</v>
      </c>
      <c r="E11" s="33" t="s">
        <v>42</v>
      </c>
      <c r="F11" s="33"/>
      <c r="G11" s="35"/>
    </row>
    <row r="12" spans="1:7" ht="30" x14ac:dyDescent="0.25">
      <c r="A12" s="38">
        <v>10</v>
      </c>
      <c r="B12" s="56">
        <f>'Master Launch Schedule'!$F$2-C12</f>
        <v>44058.041666666672</v>
      </c>
      <c r="C12" s="39">
        <v>0.41666666666666669</v>
      </c>
      <c r="D12" s="33" t="s">
        <v>103</v>
      </c>
      <c r="E12" s="33"/>
      <c r="F12" s="33"/>
      <c r="G12" s="35"/>
    </row>
    <row r="13" spans="1:7" x14ac:dyDescent="0.25">
      <c r="A13" s="38">
        <v>11</v>
      </c>
      <c r="B13" s="56">
        <f>'Master Launch Schedule'!$F$2-C13</f>
        <v>44058.041666666672</v>
      </c>
      <c r="C13" s="39">
        <v>0.41666666666666669</v>
      </c>
      <c r="D13" s="33" t="s">
        <v>47</v>
      </c>
      <c r="E13" s="33" t="s">
        <v>23</v>
      </c>
      <c r="F13" s="33"/>
      <c r="G13" s="35"/>
    </row>
    <row r="14" spans="1:7" x14ac:dyDescent="0.25">
      <c r="A14" s="38">
        <v>12</v>
      </c>
      <c r="B14" s="56">
        <f>ABS('Master Launch Schedule'!$F$2-C14)</f>
        <v>44058.026388888895</v>
      </c>
      <c r="C14" s="39">
        <v>0.43194444444444446</v>
      </c>
      <c r="D14" s="33" t="s">
        <v>101</v>
      </c>
      <c r="E14" s="33" t="s">
        <v>23</v>
      </c>
      <c r="F14" s="33"/>
      <c r="G14" s="35"/>
    </row>
    <row r="15" spans="1:7" ht="15.75" x14ac:dyDescent="0.25">
      <c r="A15" s="38">
        <v>13</v>
      </c>
      <c r="B15" s="57">
        <f>ABS('Master Launch Schedule'!$F$2-C15)</f>
        <v>44058</v>
      </c>
      <c r="C15" s="39">
        <v>0.45833333333333331</v>
      </c>
      <c r="D15" s="33" t="s">
        <v>102</v>
      </c>
      <c r="E15" s="33" t="s">
        <v>108</v>
      </c>
      <c r="F15" s="33"/>
      <c r="G15" s="35"/>
    </row>
    <row r="16" spans="1:7" x14ac:dyDescent="0.25">
      <c r="A16" s="38">
        <v>14</v>
      </c>
      <c r="B16" s="56">
        <f>ABS('Master Launch Schedule'!$F$2-C16)</f>
        <v>44057.997222222228</v>
      </c>
      <c r="C16" s="39">
        <v>0.46111111111111108</v>
      </c>
      <c r="D16" s="33" t="s">
        <v>48</v>
      </c>
      <c r="E16" s="33" t="s">
        <v>108</v>
      </c>
      <c r="F16" s="33"/>
      <c r="G16" s="35"/>
    </row>
    <row r="17" spans="1:7" x14ac:dyDescent="0.25">
      <c r="A17" s="38">
        <v>15</v>
      </c>
      <c r="B17" s="56">
        <f>ABS('Master Launch Schedule'!$F$2-C17)</f>
        <v>44057.993750000001</v>
      </c>
      <c r="C17" s="39">
        <v>0.46458333333333335</v>
      </c>
      <c r="D17" s="33" t="s">
        <v>49</v>
      </c>
      <c r="E17" s="33" t="s">
        <v>108</v>
      </c>
      <c r="F17" s="33"/>
      <c r="G17" s="35"/>
    </row>
    <row r="18" spans="1:7" ht="45" x14ac:dyDescent="0.25">
      <c r="A18" s="38">
        <v>16</v>
      </c>
      <c r="B18" s="56">
        <f>ABS('Master Launch Schedule'!$F$2-C18)</f>
        <v>44057.986111111117</v>
      </c>
      <c r="C18" s="39">
        <v>0.47222222222222227</v>
      </c>
      <c r="D18" s="33" t="s">
        <v>50</v>
      </c>
      <c r="E18" s="33" t="s">
        <v>108</v>
      </c>
      <c r="F18" s="33"/>
      <c r="G18" s="35" t="s">
        <v>109</v>
      </c>
    </row>
    <row r="19" spans="1:7" x14ac:dyDescent="0.25">
      <c r="A19" s="38">
        <v>17</v>
      </c>
      <c r="B19" s="56"/>
      <c r="C19" s="39"/>
      <c r="D19" s="33" t="s">
        <v>140</v>
      </c>
      <c r="E19" s="33" t="s">
        <v>107</v>
      </c>
      <c r="F19" s="33"/>
      <c r="G19" s="35"/>
    </row>
    <row r="20" spans="1:7" x14ac:dyDescent="0.25">
      <c r="A20" s="38">
        <v>18</v>
      </c>
      <c r="B20" s="56"/>
      <c r="C20" s="39"/>
      <c r="D20" s="33" t="s">
        <v>60</v>
      </c>
      <c r="E20" s="33" t="s">
        <v>106</v>
      </c>
      <c r="F20" s="33"/>
      <c r="G20" s="35"/>
    </row>
    <row r="21" spans="1:7" ht="30" x14ac:dyDescent="0.25">
      <c r="A21" s="38">
        <v>19</v>
      </c>
      <c r="B21" s="56"/>
      <c r="C21" s="39"/>
      <c r="D21" s="33" t="s">
        <v>61</v>
      </c>
      <c r="E21" s="33" t="s">
        <v>105</v>
      </c>
      <c r="F21" s="33"/>
      <c r="G21" s="35" t="s">
        <v>104</v>
      </c>
    </row>
    <row r="22" spans="1:7" ht="30" x14ac:dyDescent="0.25">
      <c r="A22" s="38">
        <v>20</v>
      </c>
      <c r="B22" s="64"/>
      <c r="C22" s="65"/>
      <c r="D22" s="66" t="s">
        <v>121</v>
      </c>
      <c r="E22" s="66" t="s">
        <v>122</v>
      </c>
      <c r="F22" s="66"/>
      <c r="G22" s="67" t="s">
        <v>123</v>
      </c>
    </row>
    <row r="23" spans="1:7" ht="15.75" thickBot="1" x14ac:dyDescent="0.3">
      <c r="A23" s="47">
        <v>21</v>
      </c>
      <c r="B23" s="58"/>
      <c r="C23" s="41"/>
      <c r="D23" s="48" t="s">
        <v>62</v>
      </c>
      <c r="E23" s="48" t="s">
        <v>23</v>
      </c>
      <c r="F23" s="48"/>
      <c r="G23" s="49"/>
    </row>
  </sheetData>
  <mergeCells count="1">
    <mergeCell ref="A1:F1"/>
  </mergeCells>
  <hyperlinks>
    <hyperlink ref="G1" location="'Master Launch Schedule'!A1" display="Return to Master"/>
  </hyperlinks>
  <pageMargins left="0.7" right="0.7" top="0.75" bottom="0.75" header="0.3" footer="0.3"/>
  <pageSetup scale="79" fitToHeight="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election activeCell="G28" sqref="G28"/>
    </sheetView>
  </sheetViews>
  <sheetFormatPr defaultRowHeight="15" x14ac:dyDescent="0.25"/>
  <cols>
    <col min="1" max="1" width="26.28515625" bestFit="1" customWidth="1"/>
  </cols>
  <sheetData>
    <row r="1" spans="1:1" x14ac:dyDescent="0.25">
      <c r="A1" t="s">
        <v>198</v>
      </c>
    </row>
    <row r="2" spans="1:1" x14ac:dyDescent="0.25">
      <c r="A2" s="95" t="s">
        <v>187</v>
      </c>
    </row>
    <row r="3" spans="1:1" x14ac:dyDescent="0.25">
      <c r="A3" s="95" t="s">
        <v>185</v>
      </c>
    </row>
    <row r="4" spans="1:1" x14ac:dyDescent="0.25">
      <c r="A4" s="95" t="s">
        <v>186</v>
      </c>
    </row>
    <row r="5" spans="1:1" x14ac:dyDescent="0.25">
      <c r="A5" s="95" t="s">
        <v>188</v>
      </c>
    </row>
    <row r="7" spans="1:1" x14ac:dyDescent="0.25">
      <c r="A7" s="95" t="s">
        <v>189</v>
      </c>
    </row>
    <row r="8" spans="1:1" x14ac:dyDescent="0.25">
      <c r="A8" s="95" t="s">
        <v>190</v>
      </c>
    </row>
    <row r="9" spans="1:1" x14ac:dyDescent="0.25">
      <c r="A9" s="95" t="s">
        <v>191</v>
      </c>
    </row>
    <row r="10" spans="1:1" x14ac:dyDescent="0.25">
      <c r="A10" s="95" t="s">
        <v>192</v>
      </c>
    </row>
    <row r="11" spans="1:1" x14ac:dyDescent="0.25">
      <c r="A11" s="95" t="s">
        <v>193</v>
      </c>
    </row>
  </sheetData>
  <hyperlinks>
    <hyperlink ref="A2" r:id="rId1"/>
    <hyperlink ref="A3" r:id="rId2"/>
    <hyperlink ref="A4" r:id="rId3"/>
    <hyperlink ref="A5" r:id="rId4"/>
    <hyperlink ref="A7" r:id="rId5"/>
    <hyperlink ref="A8" r:id="rId6"/>
    <hyperlink ref="A9" r:id="rId7"/>
    <hyperlink ref="A10" r:id="rId8"/>
    <hyperlink ref="A11" r:id="rId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50"/>
  <sheetViews>
    <sheetView topLeftCell="C7" workbookViewId="0">
      <selection activeCell="D1" sqref="D1"/>
    </sheetView>
  </sheetViews>
  <sheetFormatPr defaultRowHeight="15" x14ac:dyDescent="0.25"/>
  <cols>
    <col min="1" max="1" width="14.140625" style="1" hidden="1" customWidth="1"/>
    <col min="2" max="2" width="14" style="1" hidden="1" customWidth="1"/>
    <col min="3" max="3" width="13.85546875" style="85" bestFit="1" customWidth="1"/>
    <col min="4" max="4" width="79.85546875" customWidth="1"/>
    <col min="5" max="5" width="17" bestFit="1" customWidth="1"/>
    <col min="6" max="6" width="18.28515625" bestFit="1" customWidth="1"/>
    <col min="7" max="7" width="13.28515625" customWidth="1"/>
    <col min="8" max="8" width="8.28515625" customWidth="1"/>
    <col min="9" max="9" width="31.7109375" customWidth="1"/>
  </cols>
  <sheetData>
    <row r="1" spans="1:11" ht="30.75" thickBot="1" x14ac:dyDescent="0.3">
      <c r="A1" s="125" t="s">
        <v>221</v>
      </c>
      <c r="B1" s="97" t="s">
        <v>220</v>
      </c>
      <c r="C1" s="120" t="s">
        <v>165</v>
      </c>
      <c r="D1" s="99" t="s">
        <v>164</v>
      </c>
      <c r="E1" s="86" t="s">
        <v>169</v>
      </c>
      <c r="F1" s="230">
        <v>6.25</v>
      </c>
      <c r="G1" s="215" t="s">
        <v>527</v>
      </c>
    </row>
    <row r="2" spans="1:11" ht="16.5" customHeight="1" x14ac:dyDescent="0.25">
      <c r="A2" s="1">
        <v>4</v>
      </c>
      <c r="B2" s="1">
        <v>3</v>
      </c>
      <c r="C2" s="108">
        <f>'Master Launch Schedule'!$D$2-('Schedule for 15day Notification'!A2+(0.0416*B2))</f>
        <v>44054.333533333338</v>
      </c>
      <c r="D2" s="100" t="s">
        <v>166</v>
      </c>
      <c r="E2" s="86" t="s">
        <v>170</v>
      </c>
      <c r="F2" s="230">
        <v>7.291666666666667</v>
      </c>
      <c r="G2" t="s">
        <v>528</v>
      </c>
      <c r="K2" s="216"/>
    </row>
    <row r="3" spans="1:11" ht="15.75" thickBot="1" x14ac:dyDescent="0.3">
      <c r="A3" s="1">
        <v>3</v>
      </c>
      <c r="B3" s="1">
        <v>23</v>
      </c>
      <c r="C3" s="109">
        <f>'Master Launch Schedule'!$D$2-('Schedule for 15day Notification'!A3+(0.04166*B3))</f>
        <v>44054.500153333334</v>
      </c>
      <c r="D3" s="101" t="s">
        <v>167</v>
      </c>
    </row>
    <row r="4" spans="1:11" ht="15.75" thickBot="1" x14ac:dyDescent="0.3">
      <c r="A4" s="1">
        <v>3</v>
      </c>
      <c r="B4" s="1">
        <v>3</v>
      </c>
      <c r="C4" s="109">
        <f>'Master Launch Schedule'!$D$2-('Schedule for 15day Notification'!A4+(0.04166*B4))</f>
        <v>44055.333353333335</v>
      </c>
      <c r="D4" s="101" t="s">
        <v>154</v>
      </c>
      <c r="G4" s="252" t="s">
        <v>198</v>
      </c>
      <c r="H4" s="253"/>
      <c r="I4" s="254"/>
    </row>
    <row r="5" spans="1:11" x14ac:dyDescent="0.25">
      <c r="A5" s="1">
        <v>3</v>
      </c>
      <c r="B5" s="1">
        <v>1</v>
      </c>
      <c r="C5" s="109">
        <f>'Master Launch Schedule'!$D$2-('Schedule for 15day Notification'!A5+(0.04166*B5))</f>
        <v>44055.416673333333</v>
      </c>
      <c r="D5" s="101" t="s">
        <v>155</v>
      </c>
      <c r="G5" s="246" t="s">
        <v>526</v>
      </c>
      <c r="H5" s="247"/>
      <c r="I5" s="217" t="s">
        <v>187</v>
      </c>
    </row>
    <row r="6" spans="1:11" x14ac:dyDescent="0.25">
      <c r="A6" s="1">
        <v>2</v>
      </c>
      <c r="B6" s="1">
        <v>23</v>
      </c>
      <c r="C6" s="109">
        <f>'Master Launch Schedule'!$D$2-('Schedule for 15day Notification'!A6+(0.04166*B6))</f>
        <v>44055.500153333334</v>
      </c>
      <c r="D6" s="101" t="s">
        <v>156</v>
      </c>
      <c r="G6" s="248"/>
      <c r="H6" s="249"/>
      <c r="I6" s="218" t="s">
        <v>185</v>
      </c>
    </row>
    <row r="7" spans="1:11" x14ac:dyDescent="0.25">
      <c r="A7" s="1">
        <v>2</v>
      </c>
      <c r="B7" s="1">
        <v>19</v>
      </c>
      <c r="C7" s="109">
        <f>'Master Launch Schedule'!$D$2-('Schedule for 15day Notification'!A7+(0.04166*B7))</f>
        <v>44055.666793333337</v>
      </c>
      <c r="D7" s="101" t="s">
        <v>219</v>
      </c>
      <c r="G7" s="248"/>
      <c r="H7" s="249"/>
      <c r="I7" s="218" t="s">
        <v>186</v>
      </c>
    </row>
    <row r="8" spans="1:11" ht="15.75" thickBot="1" x14ac:dyDescent="0.3">
      <c r="A8" s="1">
        <v>2</v>
      </c>
      <c r="B8" s="1">
        <v>15</v>
      </c>
      <c r="C8" s="110">
        <f>'Master Launch Schedule'!$D$2-('Schedule for 15day Notification'!A8+(0.04166*B8))</f>
        <v>44055.833433333333</v>
      </c>
      <c r="D8" s="102" t="s">
        <v>157</v>
      </c>
      <c r="G8" s="248"/>
      <c r="H8" s="249"/>
      <c r="I8" s="218" t="s">
        <v>188</v>
      </c>
    </row>
    <row r="9" spans="1:11" ht="15.75" thickBot="1" x14ac:dyDescent="0.3">
      <c r="A9" s="1">
        <v>2</v>
      </c>
      <c r="C9" s="121">
        <f>'Master Launch Schedule'!$D$2-'Schedule for 15day Notification'!A9</f>
        <v>44056.458333333336</v>
      </c>
      <c r="D9" s="99" t="s">
        <v>202</v>
      </c>
      <c r="G9" s="248"/>
      <c r="H9" s="249"/>
      <c r="I9" s="219"/>
    </row>
    <row r="10" spans="1:11" x14ac:dyDescent="0.25">
      <c r="C10" s="111">
        <v>0.29166666666666669</v>
      </c>
      <c r="D10" s="100" t="s">
        <v>33</v>
      </c>
      <c r="G10" s="248"/>
      <c r="H10" s="249"/>
      <c r="I10" s="218" t="s">
        <v>189</v>
      </c>
    </row>
    <row r="11" spans="1:11" x14ac:dyDescent="0.25">
      <c r="C11" s="112"/>
      <c r="D11" s="101" t="s">
        <v>158</v>
      </c>
      <c r="G11" s="248"/>
      <c r="H11" s="249"/>
      <c r="I11" s="218" t="s">
        <v>190</v>
      </c>
    </row>
    <row r="12" spans="1:11" x14ac:dyDescent="0.25">
      <c r="C12" s="113">
        <v>0.41666666666666669</v>
      </c>
      <c r="D12" s="101" t="s">
        <v>65</v>
      </c>
      <c r="G12" s="248"/>
      <c r="H12" s="249"/>
      <c r="I12" s="218" t="s">
        <v>191</v>
      </c>
    </row>
    <row r="13" spans="1:11" x14ac:dyDescent="0.25">
      <c r="C13" s="113">
        <v>0.4375</v>
      </c>
      <c r="D13" s="101" t="s">
        <v>66</v>
      </c>
      <c r="G13" s="248"/>
      <c r="H13" s="249"/>
      <c r="I13" s="218" t="s">
        <v>192</v>
      </c>
    </row>
    <row r="14" spans="1:11" ht="15.75" thickBot="1" x14ac:dyDescent="0.3">
      <c r="C14" s="112"/>
      <c r="D14" s="101" t="s">
        <v>67</v>
      </c>
      <c r="G14" s="250"/>
      <c r="H14" s="251"/>
      <c r="I14" s="220" t="s">
        <v>193</v>
      </c>
    </row>
    <row r="15" spans="1:11" ht="15.75" thickBot="1" x14ac:dyDescent="0.3">
      <c r="C15" s="113">
        <v>0.5</v>
      </c>
      <c r="D15" s="101" t="s">
        <v>27</v>
      </c>
    </row>
    <row r="16" spans="1:11" x14ac:dyDescent="0.25">
      <c r="C16" s="112"/>
      <c r="D16" s="101" t="s">
        <v>159</v>
      </c>
      <c r="G16" s="240" t="s">
        <v>529</v>
      </c>
      <c r="H16" s="241"/>
      <c r="I16" s="212" t="s">
        <v>200</v>
      </c>
    </row>
    <row r="17" spans="1:9" x14ac:dyDescent="0.25">
      <c r="C17" s="113">
        <v>0.66666666666666663</v>
      </c>
      <c r="D17" s="101" t="s">
        <v>31</v>
      </c>
      <c r="G17" s="242"/>
      <c r="H17" s="243"/>
      <c r="I17" s="213" t="s">
        <v>204</v>
      </c>
    </row>
    <row r="18" spans="1:9" ht="15.75" thickBot="1" x14ac:dyDescent="0.3">
      <c r="C18" s="114">
        <v>0.70833333333333337</v>
      </c>
      <c r="D18" s="103" t="s">
        <v>32</v>
      </c>
      <c r="G18" s="242"/>
      <c r="H18" s="243"/>
      <c r="I18" s="213" t="s">
        <v>199</v>
      </c>
    </row>
    <row r="19" spans="1:9" ht="15.75" thickBot="1" x14ac:dyDescent="0.3">
      <c r="A19" s="1">
        <v>1</v>
      </c>
      <c r="C19" s="121">
        <f>'Master Launch Schedule'!$D$2-'Schedule for 15day Notification'!A19</f>
        <v>44057.458333333336</v>
      </c>
      <c r="D19" s="99" t="s">
        <v>203</v>
      </c>
      <c r="G19" s="242"/>
      <c r="H19" s="243"/>
      <c r="I19" s="213" t="s">
        <v>524</v>
      </c>
    </row>
    <row r="20" spans="1:9" ht="15.75" thickBot="1" x14ac:dyDescent="0.3">
      <c r="C20" s="111">
        <v>0.29166666666666669</v>
      </c>
      <c r="D20" s="100" t="s">
        <v>160</v>
      </c>
      <c r="G20" s="244"/>
      <c r="H20" s="245"/>
      <c r="I20" s="214" t="s">
        <v>201</v>
      </c>
    </row>
    <row r="21" spans="1:9" x14ac:dyDescent="0.25">
      <c r="C21" s="113">
        <v>0.33333333333333331</v>
      </c>
      <c r="D21" s="101" t="s">
        <v>161</v>
      </c>
    </row>
    <row r="22" spans="1:9" x14ac:dyDescent="0.25">
      <c r="C22" s="112"/>
      <c r="D22" s="101" t="s">
        <v>162</v>
      </c>
    </row>
    <row r="23" spans="1:9" x14ac:dyDescent="0.25">
      <c r="C23" s="115"/>
      <c r="D23" s="101" t="s">
        <v>163</v>
      </c>
    </row>
    <row r="24" spans="1:9" x14ac:dyDescent="0.25">
      <c r="C24" s="113">
        <v>0.5</v>
      </c>
      <c r="D24" s="101" t="s">
        <v>55</v>
      </c>
    </row>
    <row r="25" spans="1:9" x14ac:dyDescent="0.25">
      <c r="C25" s="113">
        <v>0.54166666666666663</v>
      </c>
      <c r="D25" s="101" t="s">
        <v>75</v>
      </c>
    </row>
    <row r="26" spans="1:9" ht="15.75" thickBot="1" x14ac:dyDescent="0.3">
      <c r="C26" s="116">
        <v>0.70833333333333337</v>
      </c>
      <c r="D26" s="102" t="s">
        <v>41</v>
      </c>
    </row>
    <row r="27" spans="1:9" ht="15.75" thickBot="1" x14ac:dyDescent="0.3">
      <c r="A27" s="1">
        <v>0</v>
      </c>
      <c r="C27" s="121">
        <f>'Master Launch Schedule'!$D$2-'Schedule for 15day Notification'!A27</f>
        <v>44058.458333333336</v>
      </c>
      <c r="D27" s="104" t="s">
        <v>35</v>
      </c>
    </row>
    <row r="28" spans="1:9" x14ac:dyDescent="0.25">
      <c r="B28" s="230"/>
      <c r="C28" s="117">
        <v>0.20833333333333334</v>
      </c>
      <c r="D28" s="105" t="s">
        <v>33</v>
      </c>
    </row>
    <row r="29" spans="1:9" x14ac:dyDescent="0.25">
      <c r="B29" s="230"/>
      <c r="C29" s="118">
        <v>0.25</v>
      </c>
      <c r="D29" s="106" t="s">
        <v>19</v>
      </c>
    </row>
    <row r="30" spans="1:9" x14ac:dyDescent="0.25">
      <c r="B30" s="230"/>
      <c r="C30" s="118">
        <v>0.29166666666666669</v>
      </c>
      <c r="D30" s="106" t="s">
        <v>95</v>
      </c>
    </row>
    <row r="31" spans="1:9" x14ac:dyDescent="0.25">
      <c r="B31" s="230"/>
      <c r="C31" s="118">
        <v>0.33333333333333331</v>
      </c>
      <c r="D31" s="106" t="s">
        <v>96</v>
      </c>
    </row>
    <row r="32" spans="1:9" x14ac:dyDescent="0.25">
      <c r="B32" s="230"/>
      <c r="C32" s="118">
        <v>0.35416666666666669</v>
      </c>
      <c r="D32" s="106" t="s">
        <v>44</v>
      </c>
    </row>
    <row r="33" spans="2:6" x14ac:dyDescent="0.25">
      <c r="B33" s="230"/>
      <c r="C33" s="118">
        <v>0.36458333333333331</v>
      </c>
      <c r="D33" s="106" t="s">
        <v>45</v>
      </c>
    </row>
    <row r="34" spans="2:6" x14ac:dyDescent="0.25">
      <c r="B34" s="230"/>
      <c r="C34" s="118">
        <v>0.375</v>
      </c>
      <c r="D34" s="106" t="s">
        <v>100</v>
      </c>
    </row>
    <row r="35" spans="2:6" x14ac:dyDescent="0.25">
      <c r="B35" s="230"/>
      <c r="C35" s="118">
        <v>0.38541666666666669</v>
      </c>
      <c r="D35" s="106" t="s">
        <v>99</v>
      </c>
    </row>
    <row r="36" spans="2:6" x14ac:dyDescent="0.25">
      <c r="B36" s="230"/>
      <c r="C36" s="118">
        <v>0.40277777777777773</v>
      </c>
      <c r="D36" s="106" t="s">
        <v>46</v>
      </c>
    </row>
    <row r="37" spans="2:6" x14ac:dyDescent="0.25">
      <c r="B37" s="230"/>
      <c r="C37" s="118">
        <v>0.41666666666666669</v>
      </c>
      <c r="D37" s="106" t="s">
        <v>103</v>
      </c>
    </row>
    <row r="38" spans="2:6" ht="15.75" thickBot="1" x14ac:dyDescent="0.3">
      <c r="B38" s="230"/>
      <c r="C38" s="118">
        <v>0.41666666666666669</v>
      </c>
      <c r="D38" s="106" t="s">
        <v>47</v>
      </c>
    </row>
    <row r="39" spans="2:6" x14ac:dyDescent="0.25">
      <c r="B39" s="230"/>
      <c r="C39" s="118">
        <v>0.43194444444444446</v>
      </c>
      <c r="D39" s="227" t="s">
        <v>101</v>
      </c>
      <c r="E39" s="228" t="s">
        <v>537</v>
      </c>
      <c r="F39" s="228" t="s">
        <v>538</v>
      </c>
    </row>
    <row r="40" spans="2:6" ht="15.75" thickBot="1" x14ac:dyDescent="0.3">
      <c r="B40" s="230"/>
      <c r="C40" s="118">
        <f>'Master Launch Schedule'!F2</f>
        <v>44058.458333333336</v>
      </c>
      <c r="D40" s="227" t="s">
        <v>102</v>
      </c>
      <c r="E40" s="229">
        <f>C27+F1</f>
        <v>44064.708333333336</v>
      </c>
      <c r="F40" s="229">
        <f>C27+F2</f>
        <v>44065.75</v>
      </c>
    </row>
    <row r="41" spans="2:6" x14ac:dyDescent="0.25">
      <c r="B41" s="230"/>
      <c r="C41" s="118">
        <v>0.46111111111111108</v>
      </c>
      <c r="D41" s="106" t="s">
        <v>48</v>
      </c>
    </row>
    <row r="42" spans="2:6" x14ac:dyDescent="0.25">
      <c r="B42" s="230"/>
      <c r="C42" s="118">
        <v>0.46458333333333335</v>
      </c>
      <c r="D42" s="106" t="s">
        <v>49</v>
      </c>
    </row>
    <row r="43" spans="2:6" x14ac:dyDescent="0.25">
      <c r="B43" s="230"/>
      <c r="C43" s="118">
        <v>0.47222222222222227</v>
      </c>
      <c r="D43" s="106" t="s">
        <v>50</v>
      </c>
    </row>
    <row r="44" spans="2:6" x14ac:dyDescent="0.25">
      <c r="C44" s="118"/>
      <c r="D44" s="106" t="s">
        <v>140</v>
      </c>
    </row>
    <row r="45" spans="2:6" x14ac:dyDescent="0.25">
      <c r="C45" s="118"/>
      <c r="D45" s="106" t="s">
        <v>60</v>
      </c>
    </row>
    <row r="46" spans="2:6" x14ac:dyDescent="0.25">
      <c r="C46" s="118"/>
      <c r="D46" s="106" t="s">
        <v>61</v>
      </c>
    </row>
    <row r="47" spans="2:6" x14ac:dyDescent="0.25">
      <c r="C47" s="118"/>
      <c r="D47" s="106" t="s">
        <v>121</v>
      </c>
    </row>
    <row r="48" spans="2:6" ht="15.75" thickBot="1" x14ac:dyDescent="0.3">
      <c r="C48" s="119" t="s">
        <v>168</v>
      </c>
      <c r="D48" s="107" t="s">
        <v>62</v>
      </c>
    </row>
    <row r="50" spans="1:2" x14ac:dyDescent="0.25">
      <c r="A50" s="122"/>
      <c r="B50" s="122"/>
    </row>
  </sheetData>
  <mergeCells count="3">
    <mergeCell ref="G16:H20"/>
    <mergeCell ref="G5:H14"/>
    <mergeCell ref="G4:I4"/>
  </mergeCells>
  <hyperlinks>
    <hyperlink ref="I5" r:id="rId1"/>
    <hyperlink ref="I6" r:id="rId2"/>
    <hyperlink ref="I7" r:id="rId3"/>
    <hyperlink ref="I8" r:id="rId4"/>
    <hyperlink ref="I10" r:id="rId5"/>
    <hyperlink ref="I11" r:id="rId6"/>
    <hyperlink ref="I12" r:id="rId7"/>
    <hyperlink ref="I13" r:id="rId8"/>
    <hyperlink ref="I14" r:id="rId9"/>
    <hyperlink ref="I17" r:id="rId10"/>
    <hyperlink ref="I18" r:id="rId11"/>
    <hyperlink ref="I16" r:id="rId12"/>
    <hyperlink ref="I20" r:id="rId13"/>
  </hyperlinks>
  <pageMargins left="0.7" right="0.7" top="0.75" bottom="0.75" header="0.3" footer="0.3"/>
  <pageSetup orientation="portrait" horizontalDpi="0" verticalDpi="0" r:id="rId14"/>
  <legacyDrawing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C1" sqref="C1"/>
    </sheetView>
  </sheetViews>
  <sheetFormatPr defaultRowHeight="15" x14ac:dyDescent="0.25"/>
  <cols>
    <col min="1" max="1" width="48.140625" bestFit="1" customWidth="1"/>
    <col min="2" max="2" width="70" customWidth="1"/>
    <col min="3" max="3" width="13.42578125" customWidth="1"/>
  </cols>
  <sheetData>
    <row r="1" spans="1:3" ht="30.75" thickBot="1" x14ac:dyDescent="0.3">
      <c r="A1" s="259" t="s">
        <v>530</v>
      </c>
      <c r="B1" s="260"/>
      <c r="C1" s="226" t="s">
        <v>52</v>
      </c>
    </row>
    <row r="2" spans="1:3" ht="30" x14ac:dyDescent="0.25">
      <c r="A2" s="223" t="s">
        <v>211</v>
      </c>
      <c r="B2" s="123" t="s">
        <v>215</v>
      </c>
    </row>
    <row r="3" spans="1:3" x14ac:dyDescent="0.25">
      <c r="A3" s="224" t="s">
        <v>212</v>
      </c>
      <c r="B3" s="124" t="s">
        <v>216</v>
      </c>
    </row>
    <row r="4" spans="1:3" x14ac:dyDescent="0.25">
      <c r="A4" s="224" t="s">
        <v>213</v>
      </c>
      <c r="B4" s="9" t="s">
        <v>217</v>
      </c>
    </row>
    <row r="5" spans="1:3" ht="15.75" thickBot="1" x14ac:dyDescent="0.3">
      <c r="A5" s="225" t="s">
        <v>214</v>
      </c>
      <c r="B5" s="13" t="s">
        <v>218</v>
      </c>
    </row>
    <row r="6" spans="1:3" ht="15.75" thickBot="1" x14ac:dyDescent="0.3"/>
    <row r="7" spans="1:3" ht="15.75" thickBot="1" x14ac:dyDescent="0.3">
      <c r="A7" s="222" t="s">
        <v>531</v>
      </c>
    </row>
    <row r="8" spans="1:3" x14ac:dyDescent="0.25">
      <c r="A8" s="221" t="str">
        <f>'Schedule for 15day Notification'!I16</f>
        <v>9-asw-zab530@faa.gov;</v>
      </c>
    </row>
    <row r="9" spans="1:3" x14ac:dyDescent="0.25">
      <c r="A9" s="218" t="str">
        <f>'Schedule for 15day Notification'!I17</f>
        <v>9-AWA-AJR-SPACE.OPS@faa.gov;</v>
      </c>
    </row>
    <row r="10" spans="1:3" x14ac:dyDescent="0.25">
      <c r="A10" s="218" t="str">
        <f>'Schedule for 15day Notification'!I18</f>
        <v>spaceops@spaceportamerica.com;</v>
      </c>
    </row>
    <row r="11" spans="1:3" x14ac:dyDescent="0.25">
      <c r="A11" s="218" t="str">
        <f>'Schedule for 15day Notification'!I19</f>
        <v>Craig.Brenden@faa.gov</v>
      </c>
    </row>
    <row r="12" spans="1:3" ht="15.75" thickBot="1" x14ac:dyDescent="0.3">
      <c r="A12" s="220" t="str">
        <f>'Schedule for 15day Notification'!I20</f>
        <v>beth.e.adams@faa.gov;</v>
      </c>
    </row>
    <row r="14" spans="1:3" ht="15.75" thickBot="1" x14ac:dyDescent="0.3"/>
    <row r="15" spans="1:3" ht="73.5" customHeight="1" thickBot="1" x14ac:dyDescent="0.3">
      <c r="A15" s="261" t="s">
        <v>532</v>
      </c>
      <c r="B15" s="262"/>
    </row>
    <row r="16" spans="1:3" x14ac:dyDescent="0.25">
      <c r="A16" s="263" t="s">
        <v>534</v>
      </c>
      <c r="B16" s="264"/>
    </row>
    <row r="17" spans="1:2" x14ac:dyDescent="0.25">
      <c r="A17" s="255" t="s">
        <v>535</v>
      </c>
      <c r="B17" s="256"/>
    </row>
    <row r="18" spans="1:2" x14ac:dyDescent="0.25">
      <c r="A18" s="255" t="s">
        <v>536</v>
      </c>
      <c r="B18" s="256"/>
    </row>
    <row r="19" spans="1:2" ht="15.75" thickBot="1" x14ac:dyDescent="0.3">
      <c r="A19" s="257" t="s">
        <v>533</v>
      </c>
      <c r="B19" s="258"/>
    </row>
  </sheetData>
  <mergeCells count="6">
    <mergeCell ref="A18:B18"/>
    <mergeCell ref="A19:B19"/>
    <mergeCell ref="A1:B1"/>
    <mergeCell ref="A15:B15"/>
    <mergeCell ref="A16:B16"/>
    <mergeCell ref="A17:B17"/>
  </mergeCells>
  <hyperlinks>
    <hyperlink ref="A8" r:id="rId1" display="9-asw-zab530@faa.gov"/>
    <hyperlink ref="A9" r:id="rId2" display="9-AWA-AJR-SPCE.OPS@faa.gov"/>
    <hyperlink ref="A10" r:id="rId3" display="spaceops@spaceportamerica.com"/>
    <hyperlink ref="A12" r:id="rId4" display="beth.e.adams@faa.gov"/>
    <hyperlink ref="B3" r:id="rId5"/>
    <hyperlink ref="C1" location="'Master Launch Schedule'!A1" display="Return to Master"/>
  </hyperlinks>
  <pageMargins left="0.7" right="0.7" top="0.75" bottom="0.75" header="0.3" footer="0.3"/>
  <pageSetup orientation="portrait" horizontalDpi="0" verticalDpi="0"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G21" sqref="G21"/>
    </sheetView>
  </sheetViews>
  <sheetFormatPr defaultRowHeight="15" x14ac:dyDescent="0.25"/>
  <cols>
    <col min="1" max="1" width="9.140625" style="1"/>
    <col min="2" max="2" width="48.140625" bestFit="1" customWidth="1"/>
    <col min="3" max="3" width="13.28515625" customWidth="1"/>
    <col min="4" max="4" width="12.5703125" customWidth="1"/>
  </cols>
  <sheetData>
    <row r="1" spans="1:4" ht="26.25" x14ac:dyDescent="0.4">
      <c r="A1" s="265" t="s">
        <v>110</v>
      </c>
      <c r="B1" s="266"/>
      <c r="C1" s="266"/>
      <c r="D1" s="267"/>
    </row>
    <row r="2" spans="1:4" ht="15.75" thickBot="1" x14ac:dyDescent="0.3">
      <c r="A2" s="61" t="s">
        <v>0</v>
      </c>
      <c r="B2" s="59" t="s">
        <v>1</v>
      </c>
      <c r="C2" s="59" t="s">
        <v>117</v>
      </c>
      <c r="D2" s="60" t="s">
        <v>118</v>
      </c>
    </row>
    <row r="3" spans="1:4" x14ac:dyDescent="0.25">
      <c r="A3" s="14">
        <v>1</v>
      </c>
      <c r="B3" s="16" t="s">
        <v>116</v>
      </c>
      <c r="C3" s="16"/>
      <c r="D3" s="17"/>
    </row>
    <row r="4" spans="1:4" x14ac:dyDescent="0.25">
      <c r="A4" s="8">
        <v>2</v>
      </c>
      <c r="B4" s="7" t="s">
        <v>111</v>
      </c>
      <c r="C4" s="7"/>
      <c r="D4" s="9"/>
    </row>
    <row r="5" spans="1:4" x14ac:dyDescent="0.25">
      <c r="A5" s="8">
        <v>3</v>
      </c>
      <c r="B5" s="7" t="s">
        <v>112</v>
      </c>
      <c r="C5" s="7"/>
      <c r="D5" s="9"/>
    </row>
    <row r="6" spans="1:4" x14ac:dyDescent="0.25">
      <c r="A6" s="8">
        <v>4</v>
      </c>
      <c r="B6" s="7" t="s">
        <v>113</v>
      </c>
      <c r="C6" s="7"/>
      <c r="D6" s="9"/>
    </row>
    <row r="7" spans="1:4" x14ac:dyDescent="0.25">
      <c r="A7" s="8">
        <v>5</v>
      </c>
      <c r="B7" s="7" t="s">
        <v>114</v>
      </c>
      <c r="C7" s="7"/>
      <c r="D7" s="9"/>
    </row>
    <row r="8" spans="1:4" ht="15.75" thickBot="1" x14ac:dyDescent="0.3">
      <c r="A8" s="10">
        <v>6</v>
      </c>
      <c r="B8" s="12" t="s">
        <v>115</v>
      </c>
      <c r="C8" s="12"/>
      <c r="D8" s="13"/>
    </row>
    <row r="9" spans="1:4" ht="28.5" customHeight="1" thickBot="1" x14ac:dyDescent="0.3">
      <c r="A9" s="63" t="s">
        <v>119</v>
      </c>
      <c r="B9" s="62"/>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D18" sqref="D18"/>
    </sheetView>
  </sheetViews>
  <sheetFormatPr defaultRowHeight="15" x14ac:dyDescent="0.25"/>
  <cols>
    <col min="1" max="1" width="4.42578125" customWidth="1"/>
    <col min="2" max="2" width="85.28515625" bestFit="1" customWidth="1"/>
    <col min="3" max="3" width="9.28515625" customWidth="1"/>
  </cols>
  <sheetData>
    <row r="1" spans="1:3" ht="27" thickBot="1" x14ac:dyDescent="0.45">
      <c r="A1" s="269" t="s">
        <v>243</v>
      </c>
      <c r="B1" s="270"/>
      <c r="C1" s="127"/>
    </row>
    <row r="2" spans="1:3" ht="27" thickBot="1" x14ac:dyDescent="0.45">
      <c r="A2" s="271" t="s">
        <v>244</v>
      </c>
      <c r="B2" s="272"/>
      <c r="C2" s="127"/>
    </row>
    <row r="3" spans="1:3" ht="21.75" x14ac:dyDescent="0.3">
      <c r="A3" s="130"/>
      <c r="B3" s="131" t="s">
        <v>222</v>
      </c>
    </row>
    <row r="4" spans="1:3" ht="21.75" x14ac:dyDescent="0.3">
      <c r="A4" s="128"/>
      <c r="B4" s="132" t="s">
        <v>223</v>
      </c>
    </row>
    <row r="5" spans="1:3" ht="21.75" x14ac:dyDescent="0.3">
      <c r="A5" s="128"/>
      <c r="B5" s="132" t="s">
        <v>224</v>
      </c>
    </row>
    <row r="6" spans="1:3" ht="21.75" x14ac:dyDescent="0.3">
      <c r="A6" s="128"/>
      <c r="B6" s="132" t="s">
        <v>225</v>
      </c>
    </row>
    <row r="7" spans="1:3" ht="21.75" x14ac:dyDescent="0.3">
      <c r="A7" s="128"/>
      <c r="B7" s="132" t="s">
        <v>226</v>
      </c>
    </row>
    <row r="8" spans="1:3" ht="21.75" x14ac:dyDescent="0.3">
      <c r="A8" s="128"/>
      <c r="B8" s="132" t="s">
        <v>227</v>
      </c>
    </row>
    <row r="9" spans="1:3" ht="21.75" x14ac:dyDescent="0.3">
      <c r="A9" s="128"/>
      <c r="B9" s="132" t="s">
        <v>228</v>
      </c>
    </row>
    <row r="10" spans="1:3" ht="21.75" x14ac:dyDescent="0.3">
      <c r="A10" s="128"/>
      <c r="B10" s="132" t="s">
        <v>229</v>
      </c>
    </row>
    <row r="11" spans="1:3" ht="21.75" x14ac:dyDescent="0.3">
      <c r="A11" s="128"/>
      <c r="B11" s="132" t="s">
        <v>230</v>
      </c>
    </row>
    <row r="12" spans="1:3" ht="21.75" x14ac:dyDescent="0.3">
      <c r="A12" s="128"/>
      <c r="B12" s="132" t="s">
        <v>231</v>
      </c>
    </row>
    <row r="13" spans="1:3" ht="21.75" x14ac:dyDescent="0.3">
      <c r="A13" s="128"/>
      <c r="B13" s="132" t="s">
        <v>232</v>
      </c>
    </row>
    <row r="14" spans="1:3" ht="21.75" x14ac:dyDescent="0.3">
      <c r="A14" s="128"/>
      <c r="B14" s="132" t="s">
        <v>233</v>
      </c>
    </row>
    <row r="15" spans="1:3" ht="21.75" x14ac:dyDescent="0.3">
      <c r="A15" s="128"/>
      <c r="B15" s="132" t="s">
        <v>234</v>
      </c>
    </row>
    <row r="16" spans="1:3" ht="21.75" x14ac:dyDescent="0.3">
      <c r="A16" s="128"/>
      <c r="B16" s="132" t="s">
        <v>235</v>
      </c>
    </row>
    <row r="17" spans="1:3" ht="21.75" x14ac:dyDescent="0.3">
      <c r="A17" s="128"/>
      <c r="B17" s="132" t="s">
        <v>236</v>
      </c>
    </row>
    <row r="18" spans="1:3" ht="21.75" x14ac:dyDescent="0.3">
      <c r="A18" s="128"/>
      <c r="B18" s="132" t="s">
        <v>237</v>
      </c>
    </row>
    <row r="19" spans="1:3" ht="21.75" x14ac:dyDescent="0.3">
      <c r="A19" s="128"/>
      <c r="B19" s="132" t="s">
        <v>238</v>
      </c>
    </row>
    <row r="20" spans="1:3" ht="21.75" x14ac:dyDescent="0.3">
      <c r="A20" s="128"/>
      <c r="B20" s="132" t="s">
        <v>239</v>
      </c>
    </row>
    <row r="21" spans="1:3" ht="21.75" x14ac:dyDescent="0.3">
      <c r="A21" s="128"/>
      <c r="B21" s="132" t="s">
        <v>240</v>
      </c>
    </row>
    <row r="22" spans="1:3" ht="22.5" thickBot="1" x14ac:dyDescent="0.35">
      <c r="A22" s="129"/>
      <c r="B22" s="133" t="s">
        <v>241</v>
      </c>
    </row>
    <row r="23" spans="1:3" ht="9" customHeight="1" x14ac:dyDescent="0.25">
      <c r="A23" s="126"/>
    </row>
    <row r="24" spans="1:3" ht="21" x14ac:dyDescent="0.25">
      <c r="A24" s="268" t="s">
        <v>242</v>
      </c>
      <c r="B24" s="268"/>
      <c r="C24" s="126"/>
    </row>
  </sheetData>
  <mergeCells count="3">
    <mergeCell ref="A24:B24"/>
    <mergeCell ref="A1:B1"/>
    <mergeCell ref="A2:B2"/>
  </mergeCells>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selection activeCell="C27" sqref="C27"/>
    </sheetView>
  </sheetViews>
  <sheetFormatPr defaultRowHeight="15" x14ac:dyDescent="0.25"/>
  <cols>
    <col min="2" max="2" width="85.28515625" customWidth="1"/>
    <col min="7" max="8" width="14.140625" style="1" customWidth="1"/>
  </cols>
  <sheetData>
    <row r="1" spans="1:12" ht="26.25" x14ac:dyDescent="0.4">
      <c r="A1" s="134" t="s">
        <v>245</v>
      </c>
      <c r="C1" t="s">
        <v>246</v>
      </c>
      <c r="D1" t="s">
        <v>247</v>
      </c>
    </row>
    <row r="2" spans="1:12" x14ac:dyDescent="0.25">
      <c r="G2" s="1" t="s">
        <v>248</v>
      </c>
      <c r="H2" s="1" t="s">
        <v>249</v>
      </c>
    </row>
    <row r="3" spans="1:12" ht="18.75" x14ac:dyDescent="0.25">
      <c r="A3" s="135">
        <v>1</v>
      </c>
      <c r="B3" s="136" t="s">
        <v>250</v>
      </c>
      <c r="C3" s="136"/>
      <c r="D3" s="136"/>
      <c r="E3" s="137"/>
      <c r="F3" s="138"/>
      <c r="G3" s="135"/>
      <c r="H3" s="135"/>
      <c r="I3" s="139"/>
      <c r="J3" s="139"/>
      <c r="K3" s="139"/>
      <c r="L3" s="139"/>
    </row>
    <row r="4" spans="1:12" ht="18.75" x14ac:dyDescent="0.25">
      <c r="A4" s="135">
        <v>2</v>
      </c>
      <c r="B4" s="136" t="s">
        <v>251</v>
      </c>
      <c r="C4" s="137"/>
      <c r="D4" s="140"/>
      <c r="E4" s="140"/>
      <c r="F4" s="138"/>
      <c r="G4" s="135"/>
      <c r="H4" s="135"/>
      <c r="I4" s="139"/>
      <c r="J4" s="139"/>
      <c r="K4" s="139"/>
      <c r="L4" s="139"/>
    </row>
    <row r="5" spans="1:12" ht="18.75" x14ac:dyDescent="0.25">
      <c r="A5" s="135">
        <v>3</v>
      </c>
      <c r="B5" s="136" t="s">
        <v>252</v>
      </c>
      <c r="C5" s="137"/>
      <c r="D5" s="140"/>
      <c r="E5" s="140"/>
      <c r="F5" s="138"/>
      <c r="G5" s="135"/>
      <c r="H5" s="135"/>
      <c r="I5" s="139"/>
      <c r="J5" s="139"/>
      <c r="K5" s="139"/>
      <c r="L5" s="139"/>
    </row>
    <row r="6" spans="1:12" ht="18.75" x14ac:dyDescent="0.25">
      <c r="A6" s="135">
        <v>4</v>
      </c>
      <c r="B6" s="136" t="s">
        <v>253</v>
      </c>
      <c r="C6" s="137"/>
      <c r="D6" s="140"/>
      <c r="E6" s="140"/>
      <c r="F6" s="138"/>
      <c r="G6" s="135"/>
      <c r="H6" s="135"/>
      <c r="I6" s="139"/>
      <c r="J6" s="139"/>
      <c r="K6" s="139"/>
      <c r="L6" s="139"/>
    </row>
    <row r="7" spans="1:12" s="139" customFormat="1" ht="18.75" x14ac:dyDescent="0.25">
      <c r="A7" s="135">
        <v>5</v>
      </c>
      <c r="B7" s="136" t="s">
        <v>254</v>
      </c>
      <c r="C7" s="137"/>
      <c r="D7" s="140"/>
      <c r="E7" s="140"/>
      <c r="F7" s="138"/>
      <c r="G7" s="135"/>
      <c r="H7" s="135"/>
    </row>
    <row r="8" spans="1:12" s="139" customFormat="1" ht="18.75" x14ac:dyDescent="0.25">
      <c r="A8" s="135">
        <v>6</v>
      </c>
      <c r="B8" s="136" t="s">
        <v>255</v>
      </c>
      <c r="C8" s="137"/>
      <c r="D8" s="140"/>
      <c r="E8" s="140"/>
      <c r="F8" s="138"/>
      <c r="G8" s="135"/>
      <c r="H8" s="135"/>
    </row>
    <row r="9" spans="1:12" s="139" customFormat="1" ht="18.75" x14ac:dyDescent="0.25">
      <c r="A9" s="135">
        <v>7</v>
      </c>
      <c r="B9" s="136" t="s">
        <v>256</v>
      </c>
      <c r="C9" s="136" t="s">
        <v>257</v>
      </c>
      <c r="D9" s="136"/>
      <c r="E9" s="273"/>
      <c r="F9" s="274"/>
      <c r="G9" s="135"/>
      <c r="H9" s="135"/>
    </row>
    <row r="10" spans="1:12" s="139" customFormat="1" ht="18.75" x14ac:dyDescent="0.25">
      <c r="A10" s="135">
        <v>8</v>
      </c>
      <c r="B10" s="136" t="s">
        <v>258</v>
      </c>
      <c r="C10" s="136" t="s">
        <v>259</v>
      </c>
      <c r="D10" s="136"/>
      <c r="E10" s="273"/>
      <c r="F10" s="274"/>
      <c r="G10" s="135"/>
      <c r="H10" s="135"/>
    </row>
    <row r="11" spans="1:12" ht="18.75" x14ac:dyDescent="0.25">
      <c r="A11" s="135">
        <v>9</v>
      </c>
      <c r="B11" s="136" t="s">
        <v>260</v>
      </c>
      <c r="C11" s="136" t="s">
        <v>261</v>
      </c>
      <c r="D11" s="136"/>
      <c r="E11" s="273"/>
      <c r="F11" s="274"/>
      <c r="G11" s="135"/>
      <c r="H11" s="135"/>
    </row>
    <row r="12" spans="1:12" ht="18.75" x14ac:dyDescent="0.25">
      <c r="A12" s="135">
        <v>10</v>
      </c>
      <c r="B12" s="136" t="s">
        <v>262</v>
      </c>
      <c r="C12" s="141"/>
      <c r="D12" s="142"/>
      <c r="E12" s="142"/>
      <c r="F12" s="143"/>
      <c r="G12" s="144"/>
      <c r="H12" s="144"/>
    </row>
  </sheetData>
  <mergeCells count="3">
    <mergeCell ref="E9:F9"/>
    <mergeCell ref="E10:F10"/>
    <mergeCell ref="E11:F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selection activeCell="K25" sqref="K25"/>
    </sheetView>
  </sheetViews>
  <sheetFormatPr defaultRowHeight="15" x14ac:dyDescent="0.25"/>
  <cols>
    <col min="6" max="6" width="39.42578125" customWidth="1"/>
    <col min="7" max="8" width="14.85546875" customWidth="1"/>
  </cols>
  <sheetData>
    <row r="1" spans="1:8" ht="23.25" x14ac:dyDescent="0.25">
      <c r="A1" s="145" t="s">
        <v>263</v>
      </c>
      <c r="G1" s="5" t="s">
        <v>246</v>
      </c>
      <c r="H1" s="5" t="s">
        <v>264</v>
      </c>
    </row>
    <row r="2" spans="1:8" ht="23.25" x14ac:dyDescent="0.25">
      <c r="A2" s="145"/>
      <c r="G2" s="5"/>
      <c r="H2" s="5"/>
    </row>
    <row r="3" spans="1:8" x14ac:dyDescent="0.25">
      <c r="A3" s="2"/>
      <c r="G3" s="1" t="s">
        <v>248</v>
      </c>
      <c r="H3" s="1" t="s">
        <v>249</v>
      </c>
    </row>
    <row r="4" spans="1:8" ht="21" x14ac:dyDescent="0.25">
      <c r="A4" s="6">
        <v>1</v>
      </c>
      <c r="B4" s="276" t="s">
        <v>265</v>
      </c>
      <c r="C4" s="276"/>
      <c r="D4" s="276"/>
      <c r="E4" s="276"/>
      <c r="F4" s="276"/>
      <c r="G4" s="74"/>
      <c r="H4" s="74"/>
    </row>
    <row r="5" spans="1:8" ht="21" x14ac:dyDescent="0.25">
      <c r="A5" s="6">
        <v>2</v>
      </c>
      <c r="B5" s="275" t="s">
        <v>266</v>
      </c>
      <c r="C5" s="275"/>
      <c r="D5" s="275"/>
      <c r="E5" s="275"/>
      <c r="F5" s="275"/>
      <c r="G5" s="74"/>
      <c r="H5" s="74"/>
    </row>
    <row r="6" spans="1:8" ht="21" x14ac:dyDescent="0.25">
      <c r="A6" s="6">
        <v>3</v>
      </c>
      <c r="B6" s="275" t="s">
        <v>267</v>
      </c>
      <c r="C6" s="275"/>
      <c r="D6" s="275"/>
      <c r="E6" s="275"/>
      <c r="F6" s="275"/>
      <c r="G6" s="74"/>
      <c r="H6" s="74"/>
    </row>
    <row r="7" spans="1:8" ht="21" x14ac:dyDescent="0.25">
      <c r="A7" s="6">
        <v>4</v>
      </c>
      <c r="B7" s="275" t="s">
        <v>268</v>
      </c>
      <c r="C7" s="275"/>
      <c r="D7" s="275"/>
      <c r="E7" s="275"/>
      <c r="F7" s="275"/>
      <c r="G7" s="74"/>
      <c r="H7" s="74"/>
    </row>
    <row r="8" spans="1:8" ht="21" x14ac:dyDescent="0.25">
      <c r="A8" s="6">
        <v>5</v>
      </c>
      <c r="B8" s="275" t="s">
        <v>269</v>
      </c>
      <c r="C8" s="275"/>
      <c r="D8" s="275"/>
      <c r="E8" s="275"/>
      <c r="F8" s="275"/>
      <c r="G8" s="74"/>
      <c r="H8" s="74"/>
    </row>
    <row r="9" spans="1:8" ht="21" x14ac:dyDescent="0.25">
      <c r="A9" s="6">
        <v>6</v>
      </c>
      <c r="B9" s="275" t="s">
        <v>270</v>
      </c>
      <c r="C9" s="275"/>
      <c r="D9" s="275"/>
      <c r="E9" s="275"/>
      <c r="F9" s="275"/>
      <c r="G9" s="74"/>
      <c r="H9" s="74"/>
    </row>
    <row r="10" spans="1:8" ht="21" x14ac:dyDescent="0.25">
      <c r="A10" s="6">
        <v>7</v>
      </c>
      <c r="B10" s="275" t="s">
        <v>271</v>
      </c>
      <c r="C10" s="275"/>
      <c r="D10" s="275"/>
      <c r="E10" s="275"/>
      <c r="F10" s="275"/>
      <c r="G10" s="74"/>
      <c r="H10" s="74"/>
    </row>
    <row r="11" spans="1:8" ht="21" x14ac:dyDescent="0.25">
      <c r="A11" s="6">
        <v>8</v>
      </c>
      <c r="B11" s="275" t="s">
        <v>272</v>
      </c>
      <c r="C11" s="275"/>
      <c r="D11" s="275"/>
      <c r="E11" s="275"/>
      <c r="F11" s="275"/>
      <c r="G11" s="74"/>
      <c r="H11" s="74"/>
    </row>
    <row r="12" spans="1:8" ht="21" x14ac:dyDescent="0.25">
      <c r="A12" s="6">
        <v>9</v>
      </c>
      <c r="B12" s="275" t="s">
        <v>273</v>
      </c>
      <c r="C12" s="275"/>
      <c r="D12" s="275"/>
      <c r="E12" s="275"/>
      <c r="F12" s="275"/>
      <c r="G12" s="74"/>
      <c r="H12" s="74"/>
    </row>
  </sheetData>
  <mergeCells count="9">
    <mergeCell ref="B10:F10"/>
    <mergeCell ref="B11:F11"/>
    <mergeCell ref="B12:F12"/>
    <mergeCell ref="B4:F4"/>
    <mergeCell ref="B5:F5"/>
    <mergeCell ref="B6:F6"/>
    <mergeCell ref="B7:F7"/>
    <mergeCell ref="B8:F8"/>
    <mergeCell ref="B9:F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selection activeCell="F20" sqref="F20"/>
    </sheetView>
  </sheetViews>
  <sheetFormatPr defaultRowHeight="15" x14ac:dyDescent="0.25"/>
  <cols>
    <col min="1" max="1" width="7.42578125" customWidth="1"/>
    <col min="6" max="6" width="74.42578125" customWidth="1"/>
    <col min="7" max="8" width="14.7109375" customWidth="1"/>
  </cols>
  <sheetData>
    <row r="1" spans="1:12" ht="23.25" x14ac:dyDescent="0.25">
      <c r="A1" s="145" t="s">
        <v>274</v>
      </c>
      <c r="G1" s="5" t="s">
        <v>246</v>
      </c>
      <c r="H1" s="5" t="s">
        <v>264</v>
      </c>
    </row>
    <row r="2" spans="1:12" ht="23.25" x14ac:dyDescent="0.25">
      <c r="A2" s="145"/>
      <c r="G2" s="5"/>
      <c r="H2" s="5"/>
    </row>
    <row r="3" spans="1:12" x14ac:dyDescent="0.25">
      <c r="A3" s="2"/>
      <c r="G3" s="1" t="s">
        <v>248</v>
      </c>
      <c r="H3" s="1" t="s">
        <v>249</v>
      </c>
    </row>
    <row r="4" spans="1:12" ht="18.75" x14ac:dyDescent="0.25">
      <c r="A4" s="146">
        <v>1</v>
      </c>
      <c r="B4" s="277" t="s">
        <v>275</v>
      </c>
      <c r="C4" s="278"/>
      <c r="D4" s="278"/>
      <c r="E4" s="278"/>
      <c r="F4" s="279"/>
      <c r="G4" s="135"/>
      <c r="H4" s="135"/>
      <c r="I4" s="139"/>
      <c r="J4" s="139"/>
      <c r="K4" s="139"/>
      <c r="L4" s="139"/>
    </row>
    <row r="5" spans="1:12" ht="18.75" x14ac:dyDescent="0.25">
      <c r="A5" s="146">
        <v>2</v>
      </c>
      <c r="B5" s="277" t="s">
        <v>276</v>
      </c>
      <c r="C5" s="278"/>
      <c r="D5" s="278"/>
      <c r="E5" s="278"/>
      <c r="F5" s="279"/>
      <c r="G5" s="135"/>
      <c r="H5" s="135"/>
      <c r="I5" s="139"/>
      <c r="J5" s="139"/>
      <c r="K5" s="139"/>
      <c r="L5" s="139"/>
    </row>
    <row r="6" spans="1:12" ht="18.75" x14ac:dyDescent="0.25">
      <c r="A6" s="146">
        <v>3</v>
      </c>
      <c r="B6" s="277" t="s">
        <v>277</v>
      </c>
      <c r="C6" s="278"/>
      <c r="D6" s="278"/>
      <c r="E6" s="278"/>
      <c r="F6" s="279"/>
      <c r="G6" s="135"/>
      <c r="H6" s="135"/>
      <c r="I6" s="139"/>
      <c r="J6" s="139"/>
      <c r="K6" s="139"/>
      <c r="L6" s="139"/>
    </row>
    <row r="7" spans="1:12" ht="18.75" x14ac:dyDescent="0.25">
      <c r="A7" s="146">
        <v>4</v>
      </c>
      <c r="B7" s="280" t="s">
        <v>278</v>
      </c>
      <c r="C7" s="281"/>
      <c r="D7" s="281"/>
      <c r="E7" s="281"/>
      <c r="F7" s="282"/>
      <c r="G7" s="135"/>
      <c r="H7" s="135"/>
      <c r="I7" s="139"/>
      <c r="J7" s="139"/>
      <c r="K7" s="139"/>
      <c r="L7" s="139"/>
    </row>
    <row r="8" spans="1:12" ht="18.75" x14ac:dyDescent="0.25">
      <c r="A8" s="146">
        <v>5</v>
      </c>
      <c r="B8" s="277" t="s">
        <v>279</v>
      </c>
      <c r="C8" s="278"/>
      <c r="D8" s="278"/>
      <c r="E8" s="278"/>
      <c r="F8" s="279"/>
      <c r="G8" s="135"/>
      <c r="H8" s="135"/>
      <c r="I8" s="139"/>
      <c r="J8" s="139"/>
      <c r="K8" s="139"/>
      <c r="L8" s="139"/>
    </row>
    <row r="9" spans="1:12" ht="18.75" x14ac:dyDescent="0.25">
      <c r="A9" s="146">
        <v>6</v>
      </c>
      <c r="B9" s="277" t="s">
        <v>280</v>
      </c>
      <c r="C9" s="278"/>
      <c r="D9" s="278"/>
      <c r="E9" s="278"/>
      <c r="F9" s="279"/>
      <c r="G9" s="135"/>
      <c r="H9" s="135"/>
      <c r="I9" s="139"/>
      <c r="J9" s="139"/>
      <c r="K9" s="139"/>
      <c r="L9" s="139"/>
    </row>
  </sheetData>
  <mergeCells count="6">
    <mergeCell ref="B9:F9"/>
    <mergeCell ref="B4:F4"/>
    <mergeCell ref="B5:F5"/>
    <mergeCell ref="B6:F6"/>
    <mergeCell ref="B7:F7"/>
    <mergeCell ref="B8:F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
  <sheetViews>
    <sheetView workbookViewId="0">
      <selection activeCell="K22" sqref="K22"/>
    </sheetView>
  </sheetViews>
  <sheetFormatPr defaultRowHeight="15" x14ac:dyDescent="0.25"/>
  <cols>
    <col min="1" max="1" width="5.7109375" customWidth="1"/>
    <col min="13" max="14" width="8" customWidth="1"/>
    <col min="15" max="16" width="8.42578125" customWidth="1"/>
    <col min="17" max="18" width="14.85546875" style="1" customWidth="1"/>
  </cols>
  <sheetData>
    <row r="1" spans="1:18" ht="26.25" x14ac:dyDescent="0.4">
      <c r="A1" s="147" t="s">
        <v>281</v>
      </c>
      <c r="Q1" s="1" t="s">
        <v>246</v>
      </c>
      <c r="R1" s="1" t="s">
        <v>282</v>
      </c>
    </row>
    <row r="2" spans="1:18" ht="26.25" x14ac:dyDescent="0.4">
      <c r="A2" s="147"/>
    </row>
    <row r="3" spans="1:18" x14ac:dyDescent="0.25">
      <c r="A3" s="1"/>
      <c r="Q3" s="1" t="s">
        <v>248</v>
      </c>
      <c r="R3" s="1" t="s">
        <v>249</v>
      </c>
    </row>
    <row r="4" spans="1:18" ht="18.75" x14ac:dyDescent="0.25">
      <c r="A4" s="148">
        <v>1</v>
      </c>
      <c r="B4" s="288" t="s">
        <v>283</v>
      </c>
      <c r="C4" s="288"/>
      <c r="D4" s="288"/>
      <c r="E4" s="288"/>
      <c r="F4" s="288"/>
      <c r="G4" s="288"/>
      <c r="H4" s="288"/>
      <c r="I4" s="288"/>
      <c r="J4" s="288"/>
      <c r="K4" s="288"/>
      <c r="L4" s="287"/>
      <c r="M4" s="149"/>
      <c r="N4" s="150"/>
      <c r="O4" s="150"/>
      <c r="P4" s="150"/>
      <c r="Q4" s="144"/>
      <c r="R4" s="144"/>
    </row>
    <row r="5" spans="1:18" ht="18.75" x14ac:dyDescent="0.25">
      <c r="A5" s="151"/>
      <c r="B5" s="152"/>
      <c r="C5" s="152"/>
      <c r="D5" s="152"/>
      <c r="E5" s="152"/>
      <c r="F5" s="152"/>
      <c r="G5" s="152"/>
      <c r="H5" s="152"/>
      <c r="I5" s="152"/>
      <c r="J5" s="152"/>
      <c r="K5" s="152"/>
      <c r="L5" s="152"/>
      <c r="M5" s="152"/>
      <c r="N5" s="152"/>
      <c r="O5" s="152"/>
      <c r="P5" s="152"/>
      <c r="Q5" s="153"/>
      <c r="R5" s="153"/>
    </row>
    <row r="6" spans="1:18" ht="18.75" x14ac:dyDescent="0.25">
      <c r="A6" s="154"/>
      <c r="B6" s="289"/>
      <c r="C6" s="289"/>
      <c r="D6" s="289"/>
      <c r="E6" s="289"/>
      <c r="F6" s="289"/>
      <c r="G6" s="289"/>
      <c r="H6" s="289"/>
      <c r="I6" s="289"/>
      <c r="J6" s="289"/>
      <c r="K6" s="289"/>
      <c r="L6" s="289"/>
      <c r="M6" s="139" t="s">
        <v>284</v>
      </c>
      <c r="N6" s="139"/>
      <c r="O6" s="139"/>
      <c r="P6" s="139"/>
    </row>
    <row r="7" spans="1:18" ht="18.75" x14ac:dyDescent="0.25">
      <c r="A7" s="135">
        <v>2</v>
      </c>
      <c r="B7" s="136" t="s">
        <v>285</v>
      </c>
      <c r="C7" s="136"/>
      <c r="D7" s="136"/>
      <c r="E7" s="136"/>
      <c r="F7" s="136"/>
      <c r="G7" s="136"/>
      <c r="H7" s="136"/>
      <c r="I7" s="136"/>
      <c r="J7" s="136"/>
      <c r="K7" s="136"/>
      <c r="L7" s="136"/>
      <c r="M7" s="286" t="s">
        <v>286</v>
      </c>
      <c r="N7" s="287"/>
      <c r="O7" s="286" t="s">
        <v>287</v>
      </c>
      <c r="P7" s="287"/>
      <c r="Q7" s="144"/>
      <c r="R7" s="144"/>
    </row>
    <row r="8" spans="1:18" ht="18.75" x14ac:dyDescent="0.25">
      <c r="A8" s="154"/>
      <c r="B8" s="289"/>
      <c r="C8" s="289"/>
      <c r="D8" s="289"/>
      <c r="E8" s="289"/>
      <c r="F8" s="289"/>
      <c r="G8" s="289"/>
      <c r="H8" s="289"/>
      <c r="I8" s="289"/>
      <c r="J8" s="289"/>
      <c r="K8" s="289"/>
      <c r="L8" s="289"/>
      <c r="M8" s="139"/>
      <c r="N8" s="139"/>
      <c r="O8" s="139"/>
      <c r="P8" s="139"/>
    </row>
    <row r="9" spans="1:18" ht="18.75" x14ac:dyDescent="0.25">
      <c r="A9" s="135">
        <v>3</v>
      </c>
      <c r="B9" s="274" t="s">
        <v>288</v>
      </c>
      <c r="C9" s="274"/>
      <c r="D9" s="274"/>
      <c r="E9" s="274"/>
      <c r="F9" s="274"/>
      <c r="G9" s="274"/>
      <c r="H9" s="274"/>
      <c r="I9" s="274"/>
      <c r="J9" s="274"/>
      <c r="K9" s="274"/>
      <c r="L9" s="274"/>
      <c r="M9" s="149"/>
      <c r="N9" s="150"/>
      <c r="O9" s="150"/>
      <c r="P9" s="155"/>
      <c r="Q9" s="144"/>
      <c r="R9" s="144"/>
    </row>
    <row r="10" spans="1:18" ht="18.75" x14ac:dyDescent="0.25">
      <c r="A10" s="151"/>
      <c r="B10" s="152"/>
      <c r="C10" s="152"/>
      <c r="D10" s="152"/>
      <c r="E10" s="152"/>
      <c r="F10" s="152"/>
      <c r="G10" s="152"/>
      <c r="H10" s="152"/>
      <c r="I10" s="152"/>
      <c r="J10" s="152"/>
      <c r="K10" s="152"/>
      <c r="L10" s="152"/>
      <c r="M10" s="152"/>
      <c r="N10" s="152"/>
      <c r="O10" s="152"/>
      <c r="P10" s="152"/>
      <c r="Q10" s="153"/>
      <c r="R10" s="153"/>
    </row>
    <row r="11" spans="1:18" ht="18.75" x14ac:dyDescent="0.25">
      <c r="A11" s="154"/>
      <c r="B11" s="289"/>
      <c r="C11" s="289"/>
      <c r="D11" s="289"/>
      <c r="E11" s="289"/>
      <c r="F11" s="289"/>
      <c r="G11" s="289"/>
      <c r="H11" s="289"/>
      <c r="I11" s="289"/>
      <c r="J11" s="289"/>
      <c r="K11" s="289"/>
      <c r="L11" s="289"/>
      <c r="M11" s="139" t="s">
        <v>289</v>
      </c>
      <c r="N11" s="139"/>
      <c r="O11" s="139"/>
      <c r="P11" s="139"/>
    </row>
    <row r="12" spans="1:18" ht="18.75" x14ac:dyDescent="0.25">
      <c r="A12" s="135">
        <v>4</v>
      </c>
      <c r="B12" s="274" t="s">
        <v>290</v>
      </c>
      <c r="C12" s="274"/>
      <c r="D12" s="274"/>
      <c r="E12" s="274"/>
      <c r="F12" s="274"/>
      <c r="G12" s="274"/>
      <c r="H12" s="274"/>
      <c r="I12" s="274"/>
      <c r="J12" s="274"/>
      <c r="K12" s="274"/>
      <c r="L12" s="274"/>
      <c r="M12" s="286" t="s">
        <v>286</v>
      </c>
      <c r="N12" s="287"/>
      <c r="O12" s="286" t="s">
        <v>287</v>
      </c>
      <c r="P12" s="287"/>
      <c r="Q12" s="144"/>
      <c r="R12" s="144"/>
    </row>
    <row r="13" spans="1:18" ht="18.75" x14ac:dyDescent="0.25">
      <c r="A13" s="154"/>
      <c r="B13" s="289"/>
      <c r="C13" s="289"/>
      <c r="D13" s="289"/>
      <c r="E13" s="289"/>
      <c r="F13" s="289"/>
      <c r="G13" s="289"/>
      <c r="H13" s="289"/>
      <c r="I13" s="289"/>
      <c r="J13" s="289"/>
      <c r="K13" s="289"/>
      <c r="L13" s="289"/>
      <c r="M13" s="139"/>
      <c r="N13" s="139"/>
      <c r="O13" s="139"/>
      <c r="P13" s="139"/>
    </row>
    <row r="14" spans="1:18" ht="18.75" x14ac:dyDescent="0.25">
      <c r="A14" s="135">
        <v>5</v>
      </c>
      <c r="B14" s="136" t="s">
        <v>291</v>
      </c>
      <c r="C14" s="136"/>
      <c r="D14" s="283" t="s">
        <v>292</v>
      </c>
      <c r="E14" s="284"/>
      <c r="F14" s="284"/>
      <c r="G14" s="284"/>
      <c r="H14" s="284"/>
      <c r="I14" s="284"/>
      <c r="J14" s="284"/>
      <c r="K14" s="284"/>
      <c r="L14" s="285"/>
      <c r="M14" s="286" t="s">
        <v>286</v>
      </c>
      <c r="N14" s="287"/>
      <c r="O14" s="286" t="s">
        <v>287</v>
      </c>
      <c r="P14" s="287"/>
      <c r="Q14" s="144"/>
      <c r="R14" s="144"/>
    </row>
    <row r="15" spans="1:18" ht="18.75" x14ac:dyDescent="0.25">
      <c r="A15" s="154"/>
      <c r="B15" s="139"/>
      <c r="C15" s="139"/>
      <c r="D15" s="139"/>
      <c r="E15" s="139"/>
      <c r="F15" s="139"/>
      <c r="G15" s="139"/>
      <c r="H15" s="139"/>
      <c r="I15" s="139"/>
      <c r="J15" s="139"/>
      <c r="K15" s="139"/>
      <c r="L15" s="139"/>
      <c r="M15" s="139"/>
      <c r="N15" s="139"/>
      <c r="O15" s="139"/>
      <c r="P15" s="139"/>
    </row>
  </sheetData>
  <mergeCells count="14">
    <mergeCell ref="D14:L14"/>
    <mergeCell ref="M14:N14"/>
    <mergeCell ref="O14:P14"/>
    <mergeCell ref="B4:L4"/>
    <mergeCell ref="B6:L6"/>
    <mergeCell ref="M7:N7"/>
    <mergeCell ref="O7:P7"/>
    <mergeCell ref="B8:L8"/>
    <mergeCell ref="B9:L9"/>
    <mergeCell ref="B11:L11"/>
    <mergeCell ref="B12:L12"/>
    <mergeCell ref="M12:N12"/>
    <mergeCell ref="O12:P12"/>
    <mergeCell ref="B13:L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sqref="A1:XFD1048576"/>
    </sheetView>
  </sheetViews>
  <sheetFormatPr defaultRowHeight="15" x14ac:dyDescent="0.25"/>
  <cols>
    <col min="1" max="1" width="7.28515625" customWidth="1"/>
    <col min="2" max="2" width="39.5703125" customWidth="1"/>
    <col min="7" max="8" width="16.42578125" customWidth="1"/>
  </cols>
  <sheetData>
    <row r="1" spans="1:8" ht="23.25" x14ac:dyDescent="0.25">
      <c r="A1" s="145" t="s">
        <v>293</v>
      </c>
      <c r="G1" s="5" t="s">
        <v>246</v>
      </c>
      <c r="H1" s="5" t="s">
        <v>247</v>
      </c>
    </row>
    <row r="2" spans="1:8" ht="23.25" x14ac:dyDescent="0.25">
      <c r="A2" s="145"/>
      <c r="G2" s="5"/>
      <c r="H2" s="5"/>
    </row>
    <row r="3" spans="1:8" x14ac:dyDescent="0.25">
      <c r="A3" s="2"/>
      <c r="G3" s="1" t="s">
        <v>248</v>
      </c>
      <c r="H3" s="1" t="s">
        <v>249</v>
      </c>
    </row>
    <row r="4" spans="1:8" ht="18.75" x14ac:dyDescent="0.25">
      <c r="A4" s="146">
        <v>1</v>
      </c>
      <c r="B4" s="277" t="s">
        <v>294</v>
      </c>
      <c r="C4" s="278"/>
      <c r="D4" s="278"/>
      <c r="E4" s="278"/>
      <c r="F4" s="279"/>
      <c r="G4" s="135"/>
      <c r="H4" s="135"/>
    </row>
    <row r="5" spans="1:8" ht="18.75" x14ac:dyDescent="0.25">
      <c r="A5" s="146">
        <v>2</v>
      </c>
      <c r="B5" s="277" t="s">
        <v>295</v>
      </c>
      <c r="C5" s="278"/>
      <c r="D5" s="278"/>
      <c r="E5" s="278"/>
      <c r="F5" s="279"/>
      <c r="G5" s="135"/>
      <c r="H5" s="135"/>
    </row>
    <row r="6" spans="1:8" ht="18.75" x14ac:dyDescent="0.25">
      <c r="A6" s="146">
        <v>3</v>
      </c>
      <c r="B6" s="277" t="s">
        <v>296</v>
      </c>
      <c r="C6" s="278"/>
      <c r="D6" s="278"/>
      <c r="E6" s="278"/>
      <c r="F6" s="279"/>
      <c r="G6" s="135"/>
      <c r="H6" s="135"/>
    </row>
    <row r="7" spans="1:8" ht="18.75" x14ac:dyDescent="0.25">
      <c r="A7" s="146">
        <v>4</v>
      </c>
      <c r="B7" s="280" t="s">
        <v>297</v>
      </c>
      <c r="C7" s="281"/>
      <c r="D7" s="281"/>
      <c r="E7" s="281"/>
      <c r="F7" s="282"/>
      <c r="G7" s="135"/>
      <c r="H7" s="135"/>
    </row>
    <row r="8" spans="1:8" ht="18.75" x14ac:dyDescent="0.25">
      <c r="A8" s="146">
        <v>5</v>
      </c>
      <c r="B8" s="277" t="s">
        <v>298</v>
      </c>
      <c r="C8" s="278"/>
      <c r="D8" s="278"/>
      <c r="E8" s="278"/>
      <c r="F8" s="279"/>
      <c r="G8" s="135"/>
      <c r="H8" s="135"/>
    </row>
  </sheetData>
  <mergeCells count="5">
    <mergeCell ref="B4:F4"/>
    <mergeCell ref="B5:F5"/>
    <mergeCell ref="B6:F6"/>
    <mergeCell ref="B7:F7"/>
    <mergeCell ref="B8:F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5"/>
  <sheetViews>
    <sheetView workbookViewId="0">
      <selection sqref="A1:XFD1048576"/>
    </sheetView>
  </sheetViews>
  <sheetFormatPr defaultColWidth="9.140625" defaultRowHeight="18.75" x14ac:dyDescent="0.25"/>
  <cols>
    <col min="1" max="1" width="4.7109375" style="154" customWidth="1"/>
    <col min="2" max="2" width="101.140625" style="161" customWidth="1"/>
    <col min="3" max="3" width="7" style="139" customWidth="1"/>
    <col min="4" max="4" width="6" style="139" customWidth="1"/>
    <col min="5" max="16384" width="9.140625" style="139"/>
  </cols>
  <sheetData>
    <row r="1" spans="1:4" x14ac:dyDescent="0.25">
      <c r="A1" s="135"/>
      <c r="B1" s="156" t="s">
        <v>299</v>
      </c>
      <c r="C1" s="136"/>
      <c r="D1" s="136"/>
    </row>
    <row r="2" spans="1:4" ht="24" x14ac:dyDescent="0.25">
      <c r="A2" s="135"/>
      <c r="B2" s="157" t="s">
        <v>300</v>
      </c>
      <c r="C2" s="136"/>
      <c r="D2" s="136"/>
    </row>
    <row r="3" spans="1:4" ht="21" x14ac:dyDescent="0.25">
      <c r="A3" s="135"/>
      <c r="B3" s="158" t="s">
        <v>301</v>
      </c>
      <c r="C3" s="136"/>
      <c r="D3" s="136"/>
    </row>
    <row r="4" spans="1:4" ht="30" x14ac:dyDescent="0.25">
      <c r="A4" s="146">
        <v>1</v>
      </c>
      <c r="B4" s="33" t="s">
        <v>302</v>
      </c>
      <c r="C4" s="136"/>
      <c r="D4" s="136"/>
    </row>
    <row r="5" spans="1:4" x14ac:dyDescent="0.25">
      <c r="A5" s="146">
        <v>2</v>
      </c>
      <c r="B5" s="33" t="s">
        <v>303</v>
      </c>
      <c r="C5" s="136"/>
      <c r="D5" s="136"/>
    </row>
    <row r="6" spans="1:4" x14ac:dyDescent="0.25">
      <c r="A6" s="146">
        <v>3</v>
      </c>
      <c r="B6" s="33" t="s">
        <v>304</v>
      </c>
      <c r="C6" s="136"/>
      <c r="D6" s="136"/>
    </row>
    <row r="7" spans="1:4" x14ac:dyDescent="0.25">
      <c r="A7" s="146">
        <v>4</v>
      </c>
      <c r="B7" s="33" t="s">
        <v>305</v>
      </c>
      <c r="C7" s="136"/>
      <c r="D7" s="136"/>
    </row>
    <row r="8" spans="1:4" x14ac:dyDescent="0.25">
      <c r="A8" s="146">
        <v>5</v>
      </c>
      <c r="B8" s="33" t="s">
        <v>306</v>
      </c>
      <c r="C8" s="136"/>
      <c r="D8" s="136"/>
    </row>
    <row r="9" spans="1:4" x14ac:dyDescent="0.25">
      <c r="A9" s="146">
        <v>6</v>
      </c>
      <c r="B9" s="33" t="s">
        <v>307</v>
      </c>
      <c r="C9" s="136"/>
      <c r="D9" s="136"/>
    </row>
    <row r="10" spans="1:4" ht="30" x14ac:dyDescent="0.25">
      <c r="A10" s="146">
        <v>7</v>
      </c>
      <c r="B10" s="33" t="s">
        <v>308</v>
      </c>
      <c r="C10" s="136"/>
      <c r="D10" s="136"/>
    </row>
    <row r="11" spans="1:4" x14ac:dyDescent="0.25">
      <c r="A11" s="146">
        <v>8</v>
      </c>
      <c r="B11" s="33" t="s">
        <v>309</v>
      </c>
      <c r="C11" s="136"/>
      <c r="D11" s="136"/>
    </row>
    <row r="12" spans="1:4" x14ac:dyDescent="0.25">
      <c r="A12" s="146">
        <v>9</v>
      </c>
      <c r="B12" s="33" t="s">
        <v>310</v>
      </c>
      <c r="C12" s="136"/>
      <c r="D12" s="136"/>
    </row>
    <row r="13" spans="1:4" x14ac:dyDescent="0.25">
      <c r="A13" s="146">
        <v>10</v>
      </c>
      <c r="B13" s="33" t="s">
        <v>311</v>
      </c>
      <c r="C13" s="136"/>
      <c r="D13" s="136"/>
    </row>
    <row r="14" spans="1:4" x14ac:dyDescent="0.25">
      <c r="A14" s="146">
        <v>11</v>
      </c>
      <c r="B14" s="33" t="s">
        <v>312</v>
      </c>
      <c r="C14" s="136"/>
      <c r="D14" s="136"/>
    </row>
    <row r="15" spans="1:4" x14ac:dyDescent="0.25">
      <c r="A15" s="146">
        <v>12</v>
      </c>
      <c r="B15" s="33" t="s">
        <v>313</v>
      </c>
      <c r="C15" s="136"/>
      <c r="D15" s="136"/>
    </row>
    <row r="16" spans="1:4" x14ac:dyDescent="0.25">
      <c r="A16" s="146">
        <v>13</v>
      </c>
      <c r="B16" s="33" t="s">
        <v>314</v>
      </c>
      <c r="C16" s="136"/>
      <c r="D16" s="136"/>
    </row>
    <row r="17" spans="1:4" ht="30" x14ac:dyDescent="0.25">
      <c r="A17" s="146">
        <v>14</v>
      </c>
      <c r="B17" s="33" t="s">
        <v>315</v>
      </c>
      <c r="C17" s="136"/>
      <c r="D17" s="136"/>
    </row>
    <row r="18" spans="1:4" x14ac:dyDescent="0.25">
      <c r="A18" s="146">
        <v>15</v>
      </c>
      <c r="B18" s="33" t="s">
        <v>316</v>
      </c>
      <c r="C18" s="136"/>
      <c r="D18" s="136"/>
    </row>
    <row r="19" spans="1:4" x14ac:dyDescent="0.25">
      <c r="A19" s="146">
        <v>16</v>
      </c>
      <c r="B19" s="33" t="s">
        <v>317</v>
      </c>
      <c r="C19" s="136"/>
      <c r="D19" s="136"/>
    </row>
    <row r="20" spans="1:4" ht="21" x14ac:dyDescent="0.25">
      <c r="A20" s="135"/>
      <c r="B20" s="158" t="s">
        <v>318</v>
      </c>
      <c r="C20" s="136"/>
      <c r="D20" s="136"/>
    </row>
    <row r="21" spans="1:4" x14ac:dyDescent="0.25">
      <c r="A21" s="146">
        <v>17</v>
      </c>
      <c r="B21" s="33" t="s">
        <v>319</v>
      </c>
      <c r="C21" s="136"/>
      <c r="D21" s="136"/>
    </row>
    <row r="22" spans="1:4" ht="30" x14ac:dyDescent="0.25">
      <c r="A22" s="146">
        <v>18</v>
      </c>
      <c r="B22" s="33" t="s">
        <v>320</v>
      </c>
      <c r="C22" s="136"/>
      <c r="D22" s="136"/>
    </row>
    <row r="23" spans="1:4" ht="30" x14ac:dyDescent="0.25">
      <c r="A23" s="146">
        <v>19</v>
      </c>
      <c r="B23" s="33" t="s">
        <v>321</v>
      </c>
      <c r="C23" s="136"/>
      <c r="D23" s="136"/>
    </row>
    <row r="24" spans="1:4" ht="30" x14ac:dyDescent="0.25">
      <c r="A24" s="146">
        <v>20</v>
      </c>
      <c r="B24" s="33" t="s">
        <v>322</v>
      </c>
      <c r="C24" s="136"/>
      <c r="D24" s="136"/>
    </row>
    <row r="25" spans="1:4" ht="30" x14ac:dyDescent="0.25">
      <c r="A25" s="146">
        <v>21</v>
      </c>
      <c r="B25" s="33" t="s">
        <v>323</v>
      </c>
      <c r="C25" s="136"/>
      <c r="D25" s="136"/>
    </row>
    <row r="26" spans="1:4" x14ac:dyDescent="0.25">
      <c r="A26" s="146">
        <v>22</v>
      </c>
      <c r="B26" s="33" t="s">
        <v>324</v>
      </c>
      <c r="C26" s="136"/>
      <c r="D26" s="136"/>
    </row>
    <row r="27" spans="1:4" x14ac:dyDescent="0.25">
      <c r="A27" s="146">
        <v>23</v>
      </c>
      <c r="B27" s="33" t="s">
        <v>325</v>
      </c>
      <c r="C27" s="136"/>
      <c r="D27" s="136"/>
    </row>
    <row r="28" spans="1:4" x14ac:dyDescent="0.25">
      <c r="A28" s="146">
        <v>24</v>
      </c>
      <c r="B28" s="33" t="s">
        <v>326</v>
      </c>
      <c r="C28" s="136"/>
      <c r="D28" s="136"/>
    </row>
    <row r="29" spans="1:4" x14ac:dyDescent="0.25">
      <c r="A29" s="146">
        <v>25</v>
      </c>
      <c r="B29" s="33" t="s">
        <v>327</v>
      </c>
      <c r="C29" s="136"/>
      <c r="D29" s="136"/>
    </row>
    <row r="30" spans="1:4" x14ac:dyDescent="0.25">
      <c r="A30" s="146">
        <v>26</v>
      </c>
      <c r="B30" s="33" t="s">
        <v>328</v>
      </c>
      <c r="C30" s="136"/>
      <c r="D30" s="136"/>
    </row>
    <row r="31" spans="1:4" x14ac:dyDescent="0.25">
      <c r="A31" s="146">
        <v>27</v>
      </c>
      <c r="B31" s="33" t="s">
        <v>329</v>
      </c>
      <c r="C31" s="136"/>
      <c r="D31" s="136"/>
    </row>
    <row r="32" spans="1:4" x14ac:dyDescent="0.25">
      <c r="A32" s="146">
        <v>28</v>
      </c>
      <c r="B32" s="33" t="s">
        <v>330</v>
      </c>
      <c r="C32" s="136"/>
      <c r="D32" s="136"/>
    </row>
    <row r="33" spans="1:4" ht="30" x14ac:dyDescent="0.25">
      <c r="A33" s="146">
        <v>29</v>
      </c>
      <c r="B33" s="33" t="s">
        <v>331</v>
      </c>
      <c r="C33" s="136"/>
      <c r="D33" s="136"/>
    </row>
    <row r="34" spans="1:4" ht="21" x14ac:dyDescent="0.25">
      <c r="A34" s="135"/>
      <c r="B34" s="158" t="s">
        <v>332</v>
      </c>
      <c r="C34" s="136"/>
      <c r="D34" s="136"/>
    </row>
    <row r="35" spans="1:4" ht="30" x14ac:dyDescent="0.25">
      <c r="A35" s="146">
        <v>30</v>
      </c>
      <c r="B35" s="33" t="s">
        <v>333</v>
      </c>
      <c r="C35" s="136"/>
      <c r="D35" s="136"/>
    </row>
    <row r="36" spans="1:4" x14ac:dyDescent="0.25">
      <c r="A36" s="146">
        <v>31</v>
      </c>
      <c r="B36" s="33" t="s">
        <v>334</v>
      </c>
      <c r="C36" s="136"/>
      <c r="D36" s="136"/>
    </row>
    <row r="37" spans="1:4" x14ac:dyDescent="0.25">
      <c r="A37" s="146">
        <v>32</v>
      </c>
      <c r="B37" s="33" t="s">
        <v>335</v>
      </c>
      <c r="C37" s="136"/>
      <c r="D37" s="136"/>
    </row>
    <row r="38" spans="1:4" ht="30" x14ac:dyDescent="0.25">
      <c r="A38" s="146">
        <v>33</v>
      </c>
      <c r="B38" s="33" t="s">
        <v>336</v>
      </c>
      <c r="C38" s="136"/>
      <c r="D38" s="136"/>
    </row>
    <row r="39" spans="1:4" x14ac:dyDescent="0.25">
      <c r="A39" s="146">
        <v>34</v>
      </c>
      <c r="B39" s="33" t="s">
        <v>337</v>
      </c>
      <c r="C39" s="136"/>
      <c r="D39" s="136"/>
    </row>
    <row r="40" spans="1:4" ht="30" x14ac:dyDescent="0.25">
      <c r="A40" s="146">
        <v>35</v>
      </c>
      <c r="B40" s="33" t="s">
        <v>338</v>
      </c>
      <c r="C40" s="136"/>
      <c r="D40" s="136"/>
    </row>
    <row r="41" spans="1:4" x14ac:dyDescent="0.25">
      <c r="A41" s="146">
        <v>36</v>
      </c>
      <c r="B41" s="33" t="s">
        <v>339</v>
      </c>
      <c r="C41" s="136"/>
      <c r="D41" s="136"/>
    </row>
    <row r="42" spans="1:4" x14ac:dyDescent="0.25">
      <c r="A42" s="146">
        <v>37</v>
      </c>
      <c r="B42" s="33" t="s">
        <v>340</v>
      </c>
      <c r="C42" s="136"/>
      <c r="D42" s="136"/>
    </row>
    <row r="43" spans="1:4" ht="30" x14ac:dyDescent="0.25">
      <c r="A43" s="146">
        <v>38</v>
      </c>
      <c r="B43" s="33" t="s">
        <v>341</v>
      </c>
      <c r="C43" s="136"/>
      <c r="D43" s="136"/>
    </row>
    <row r="44" spans="1:4" x14ac:dyDescent="0.25">
      <c r="A44" s="146">
        <v>39</v>
      </c>
      <c r="B44" s="33" t="s">
        <v>342</v>
      </c>
      <c r="C44" s="136"/>
      <c r="D44" s="136"/>
    </row>
    <row r="45" spans="1:4" ht="30" x14ac:dyDescent="0.25">
      <c r="A45" s="146">
        <v>40</v>
      </c>
      <c r="B45" s="33" t="s">
        <v>343</v>
      </c>
      <c r="C45" s="136"/>
      <c r="D45" s="136"/>
    </row>
    <row r="46" spans="1:4" ht="30" x14ac:dyDescent="0.25">
      <c r="A46" s="146">
        <v>41</v>
      </c>
      <c r="B46" s="33" t="s">
        <v>344</v>
      </c>
      <c r="C46" s="136"/>
      <c r="D46" s="136"/>
    </row>
    <row r="47" spans="1:4" x14ac:dyDescent="0.25">
      <c r="A47" s="146">
        <v>42</v>
      </c>
      <c r="B47" s="33" t="s">
        <v>345</v>
      </c>
      <c r="C47" s="136"/>
      <c r="D47" s="136"/>
    </row>
    <row r="48" spans="1:4" ht="30" x14ac:dyDescent="0.25">
      <c r="A48" s="146">
        <v>43</v>
      </c>
      <c r="B48" s="34" t="s">
        <v>346</v>
      </c>
      <c r="C48" s="136"/>
      <c r="D48" s="136"/>
    </row>
    <row r="49" spans="1:4" x14ac:dyDescent="0.25">
      <c r="A49" s="146">
        <v>44</v>
      </c>
      <c r="B49" s="33" t="s">
        <v>347</v>
      </c>
      <c r="C49" s="136"/>
      <c r="D49" s="136"/>
    </row>
    <row r="50" spans="1:4" x14ac:dyDescent="0.25">
      <c r="A50" s="146">
        <v>45</v>
      </c>
      <c r="B50" s="33" t="s">
        <v>348</v>
      </c>
      <c r="C50" s="136"/>
      <c r="D50" s="136"/>
    </row>
    <row r="51" spans="1:4" x14ac:dyDescent="0.25">
      <c r="A51" s="146">
        <v>46</v>
      </c>
      <c r="B51" s="33" t="s">
        <v>349</v>
      </c>
      <c r="C51" s="136"/>
      <c r="D51" s="136"/>
    </row>
    <row r="52" spans="1:4" ht="30" x14ac:dyDescent="0.25">
      <c r="A52" s="146">
        <v>47</v>
      </c>
      <c r="B52" s="33" t="s">
        <v>350</v>
      </c>
      <c r="C52" s="136"/>
      <c r="D52" s="136"/>
    </row>
    <row r="53" spans="1:4" ht="45" x14ac:dyDescent="0.25">
      <c r="A53" s="146">
        <v>48</v>
      </c>
      <c r="B53" s="33" t="s">
        <v>351</v>
      </c>
      <c r="C53" s="136"/>
      <c r="D53" s="136"/>
    </row>
    <row r="54" spans="1:4" ht="45" x14ac:dyDescent="0.25">
      <c r="A54" s="146">
        <v>49</v>
      </c>
      <c r="B54" s="33" t="s">
        <v>352</v>
      </c>
      <c r="C54" s="136"/>
      <c r="D54" s="136"/>
    </row>
    <row r="55" spans="1:4" ht="30" x14ac:dyDescent="0.25">
      <c r="A55" s="146">
        <v>50</v>
      </c>
      <c r="B55" s="33" t="s">
        <v>353</v>
      </c>
      <c r="C55" s="136"/>
      <c r="D55" s="136"/>
    </row>
    <row r="56" spans="1:4" ht="30" x14ac:dyDescent="0.25">
      <c r="A56" s="146">
        <v>51</v>
      </c>
      <c r="B56" s="33" t="s">
        <v>354</v>
      </c>
      <c r="C56" s="136"/>
      <c r="D56" s="136"/>
    </row>
    <row r="57" spans="1:4" ht="30" x14ac:dyDescent="0.25">
      <c r="A57" s="146">
        <v>52</v>
      </c>
      <c r="B57" s="33" t="s">
        <v>355</v>
      </c>
      <c r="C57" s="136"/>
      <c r="D57" s="136"/>
    </row>
    <row r="58" spans="1:4" x14ac:dyDescent="0.25">
      <c r="A58" s="146">
        <v>53</v>
      </c>
      <c r="B58" s="33" t="s">
        <v>356</v>
      </c>
      <c r="C58" s="136"/>
      <c r="D58" s="136"/>
    </row>
    <row r="59" spans="1:4" x14ac:dyDescent="0.25">
      <c r="A59" s="146">
        <v>54</v>
      </c>
      <c r="B59" s="33" t="s">
        <v>357</v>
      </c>
      <c r="C59" s="136"/>
      <c r="D59" s="136"/>
    </row>
    <row r="60" spans="1:4" x14ac:dyDescent="0.25">
      <c r="A60" s="146">
        <v>55</v>
      </c>
      <c r="B60" s="33" t="s">
        <v>358</v>
      </c>
      <c r="C60" s="136"/>
      <c r="D60" s="136"/>
    </row>
    <row r="61" spans="1:4" x14ac:dyDescent="0.25">
      <c r="A61" s="146">
        <v>56</v>
      </c>
      <c r="B61" s="33" t="s">
        <v>359</v>
      </c>
      <c r="C61" s="136"/>
      <c r="D61" s="136"/>
    </row>
    <row r="62" spans="1:4" x14ac:dyDescent="0.25">
      <c r="A62" s="146">
        <v>57</v>
      </c>
      <c r="B62" s="33" t="s">
        <v>360</v>
      </c>
      <c r="C62" s="136"/>
      <c r="D62" s="136"/>
    </row>
    <row r="63" spans="1:4" x14ac:dyDescent="0.25">
      <c r="A63" s="146">
        <v>58</v>
      </c>
      <c r="B63" s="33" t="s">
        <v>361</v>
      </c>
      <c r="C63" s="136"/>
      <c r="D63" s="136"/>
    </row>
    <row r="64" spans="1:4" ht="30" x14ac:dyDescent="0.25">
      <c r="A64" s="146">
        <v>59</v>
      </c>
      <c r="B64" s="33" t="s">
        <v>362</v>
      </c>
      <c r="C64" s="136"/>
      <c r="D64" s="136"/>
    </row>
    <row r="65" spans="1:4" ht="30" x14ac:dyDescent="0.25">
      <c r="A65" s="146">
        <v>60</v>
      </c>
      <c r="B65" s="33" t="s">
        <v>363</v>
      </c>
      <c r="C65" s="136"/>
      <c r="D65" s="136"/>
    </row>
    <row r="66" spans="1:4" x14ac:dyDescent="0.25">
      <c r="A66" s="146">
        <v>61</v>
      </c>
      <c r="B66" s="33" t="s">
        <v>364</v>
      </c>
      <c r="C66" s="136"/>
      <c r="D66" s="136"/>
    </row>
    <row r="67" spans="1:4" ht="45" x14ac:dyDescent="0.25">
      <c r="A67" s="146">
        <v>62</v>
      </c>
      <c r="B67" s="33" t="s">
        <v>365</v>
      </c>
      <c r="C67" s="136"/>
      <c r="D67" s="136"/>
    </row>
    <row r="68" spans="1:4" ht="30" x14ac:dyDescent="0.25">
      <c r="A68" s="146">
        <v>63</v>
      </c>
      <c r="B68" s="33" t="s">
        <v>366</v>
      </c>
      <c r="C68" s="136"/>
      <c r="D68" s="136"/>
    </row>
    <row r="69" spans="1:4" x14ac:dyDescent="0.25">
      <c r="A69" s="146">
        <v>64</v>
      </c>
      <c r="B69" s="46" t="s">
        <v>367</v>
      </c>
      <c r="C69" s="136"/>
      <c r="D69" s="136"/>
    </row>
    <row r="70" spans="1:4" x14ac:dyDescent="0.25">
      <c r="A70" s="146">
        <v>65</v>
      </c>
      <c r="B70" s="33" t="s">
        <v>368</v>
      </c>
      <c r="C70" s="136"/>
      <c r="D70" s="136"/>
    </row>
    <row r="71" spans="1:4" x14ac:dyDescent="0.25">
      <c r="A71" s="146">
        <v>66</v>
      </c>
      <c r="B71" s="46" t="s">
        <v>369</v>
      </c>
      <c r="C71" s="136"/>
      <c r="D71" s="136"/>
    </row>
    <row r="72" spans="1:4" ht="21" x14ac:dyDescent="0.25">
      <c r="A72" s="135"/>
      <c r="B72" s="159" t="s">
        <v>370</v>
      </c>
      <c r="C72" s="136"/>
      <c r="D72" s="136"/>
    </row>
    <row r="73" spans="1:4" x14ac:dyDescent="0.25">
      <c r="A73" s="146">
        <v>67</v>
      </c>
      <c r="B73" s="33" t="s">
        <v>371</v>
      </c>
      <c r="C73" s="136"/>
      <c r="D73" s="136"/>
    </row>
    <row r="74" spans="1:4" x14ac:dyDescent="0.25">
      <c r="A74" s="146">
        <v>68</v>
      </c>
      <c r="B74" s="33" t="s">
        <v>372</v>
      </c>
      <c r="C74" s="136"/>
      <c r="D74" s="136"/>
    </row>
    <row r="75" spans="1:4" ht="45" x14ac:dyDescent="0.25">
      <c r="A75" s="146">
        <v>69</v>
      </c>
      <c r="B75" s="33" t="s">
        <v>373</v>
      </c>
      <c r="C75" s="136"/>
      <c r="D75" s="136"/>
    </row>
    <row r="76" spans="1:4" x14ac:dyDescent="0.25">
      <c r="A76" s="146">
        <v>70</v>
      </c>
      <c r="B76" s="33" t="s">
        <v>374</v>
      </c>
      <c r="C76" s="136"/>
      <c r="D76" s="136"/>
    </row>
    <row r="77" spans="1:4" x14ac:dyDescent="0.25">
      <c r="A77" s="146">
        <v>71</v>
      </c>
      <c r="B77" s="33" t="s">
        <v>375</v>
      </c>
      <c r="C77" s="136"/>
      <c r="D77" s="136"/>
    </row>
    <row r="78" spans="1:4" x14ac:dyDescent="0.25">
      <c r="A78" s="146">
        <v>72</v>
      </c>
      <c r="B78" s="33" t="s">
        <v>376</v>
      </c>
      <c r="C78" s="136"/>
      <c r="D78" s="136"/>
    </row>
    <row r="79" spans="1:4" x14ac:dyDescent="0.25">
      <c r="A79" s="146">
        <v>73</v>
      </c>
      <c r="B79" s="33" t="s">
        <v>377</v>
      </c>
      <c r="C79" s="136"/>
      <c r="D79" s="136"/>
    </row>
    <row r="80" spans="1:4" x14ac:dyDescent="0.25">
      <c r="A80" s="146">
        <v>74</v>
      </c>
      <c r="B80" s="33" t="s">
        <v>378</v>
      </c>
      <c r="C80" s="136"/>
      <c r="D80" s="136"/>
    </row>
    <row r="81" spans="1:4" x14ac:dyDescent="0.25">
      <c r="A81" s="146">
        <v>75</v>
      </c>
      <c r="B81" s="33" t="s">
        <v>379</v>
      </c>
      <c r="C81" s="136"/>
      <c r="D81" s="136"/>
    </row>
    <row r="82" spans="1:4" x14ac:dyDescent="0.25">
      <c r="A82" s="146">
        <v>76</v>
      </c>
      <c r="B82" s="33" t="s">
        <v>380</v>
      </c>
      <c r="C82" s="136"/>
      <c r="D82" s="136"/>
    </row>
    <row r="83" spans="1:4" x14ac:dyDescent="0.25">
      <c r="A83" s="146">
        <v>77</v>
      </c>
      <c r="B83" s="33" t="s">
        <v>381</v>
      </c>
      <c r="C83" s="136"/>
      <c r="D83" s="136"/>
    </row>
    <row r="84" spans="1:4" ht="30" x14ac:dyDescent="0.25">
      <c r="A84" s="146">
        <v>78</v>
      </c>
      <c r="B84" s="33" t="s">
        <v>382</v>
      </c>
      <c r="C84" s="136"/>
      <c r="D84" s="136"/>
    </row>
    <row r="85" spans="1:4" ht="21" x14ac:dyDescent="0.25">
      <c r="A85" s="135"/>
      <c r="B85" s="159" t="s">
        <v>383</v>
      </c>
      <c r="C85" s="136"/>
      <c r="D85" s="136"/>
    </row>
    <row r="86" spans="1:4" x14ac:dyDescent="0.25">
      <c r="A86" s="146">
        <v>79</v>
      </c>
      <c r="B86" s="33" t="s">
        <v>384</v>
      </c>
      <c r="C86" s="136"/>
      <c r="D86" s="136"/>
    </row>
    <row r="87" spans="1:4" x14ac:dyDescent="0.25">
      <c r="A87" s="146">
        <v>80</v>
      </c>
      <c r="B87" s="33" t="s">
        <v>385</v>
      </c>
      <c r="C87" s="136"/>
      <c r="D87" s="136"/>
    </row>
    <row r="88" spans="1:4" x14ac:dyDescent="0.25">
      <c r="A88" s="146">
        <v>81</v>
      </c>
      <c r="B88" s="33" t="s">
        <v>386</v>
      </c>
      <c r="C88" s="136"/>
      <c r="D88" s="136"/>
    </row>
    <row r="89" spans="1:4" x14ac:dyDescent="0.25">
      <c r="A89" s="146">
        <v>82</v>
      </c>
      <c r="B89" s="33" t="s">
        <v>387</v>
      </c>
      <c r="C89" s="136"/>
      <c r="D89" s="136"/>
    </row>
    <row r="90" spans="1:4" ht="45" x14ac:dyDescent="0.25">
      <c r="A90" s="146">
        <v>83</v>
      </c>
      <c r="B90" s="33" t="s">
        <v>388</v>
      </c>
      <c r="C90" s="136"/>
      <c r="D90" s="136"/>
    </row>
    <row r="91" spans="1:4" ht="30" x14ac:dyDescent="0.25">
      <c r="A91" s="146">
        <v>84</v>
      </c>
      <c r="B91" s="33" t="s">
        <v>389</v>
      </c>
      <c r="C91" s="136"/>
      <c r="D91" s="136"/>
    </row>
    <row r="92" spans="1:4" ht="30" x14ac:dyDescent="0.25">
      <c r="A92" s="146">
        <v>85</v>
      </c>
      <c r="B92" s="33" t="s">
        <v>390</v>
      </c>
      <c r="C92" s="136"/>
      <c r="D92" s="136"/>
    </row>
    <row r="93" spans="1:4" x14ac:dyDescent="0.25">
      <c r="A93" s="146">
        <v>86</v>
      </c>
      <c r="B93" s="74" t="s">
        <v>391</v>
      </c>
      <c r="C93" s="136"/>
      <c r="D93" s="136"/>
    </row>
    <row r="94" spans="1:4" x14ac:dyDescent="0.25">
      <c r="A94" s="160"/>
    </row>
    <row r="95" spans="1:4" x14ac:dyDescent="0.25">
      <c r="A95" s="146">
        <v>87</v>
      </c>
      <c r="B95" s="33" t="s">
        <v>392</v>
      </c>
      <c r="C95" s="136"/>
      <c r="D95" s="13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9"/>
  <sheetViews>
    <sheetView workbookViewId="0">
      <selection activeCell="B1" sqref="B1"/>
    </sheetView>
  </sheetViews>
  <sheetFormatPr defaultColWidth="9.140625" defaultRowHeight="15.75" x14ac:dyDescent="0.25"/>
  <cols>
    <col min="1" max="1" width="3.5703125" style="162" customWidth="1"/>
    <col min="2" max="2" width="109.85546875" style="166" customWidth="1"/>
    <col min="3" max="3" width="7" style="164" customWidth="1"/>
    <col min="4" max="4" width="6" style="164" customWidth="1"/>
    <col min="5" max="16384" width="9.140625" style="164"/>
  </cols>
  <sheetData>
    <row r="1" spans="1:4" ht="26.25" x14ac:dyDescent="0.25">
      <c r="B1" s="163" t="s">
        <v>393</v>
      </c>
    </row>
    <row r="2" spans="1:4" ht="16.5" customHeight="1" x14ac:dyDescent="0.25">
      <c r="B2" s="163"/>
    </row>
    <row r="3" spans="1:4" x14ac:dyDescent="0.25">
      <c r="A3" s="165"/>
      <c r="B3" s="166" t="s">
        <v>394</v>
      </c>
      <c r="C3" s="167"/>
      <c r="D3" s="167"/>
    </row>
    <row r="4" spans="1:4" x14ac:dyDescent="0.25">
      <c r="A4" s="165"/>
      <c r="B4" s="168" t="s">
        <v>395</v>
      </c>
      <c r="C4" s="167"/>
      <c r="D4" s="167"/>
    </row>
    <row r="5" spans="1:4" x14ac:dyDescent="0.25">
      <c r="A5" s="165"/>
      <c r="B5" s="169" t="s">
        <v>396</v>
      </c>
      <c r="C5" s="167"/>
      <c r="D5" s="167"/>
    </row>
    <row r="6" spans="1:4" x14ac:dyDescent="0.25">
      <c r="A6" s="165"/>
      <c r="B6" s="169" t="s">
        <v>397</v>
      </c>
      <c r="C6" s="167"/>
      <c r="D6" s="167"/>
    </row>
    <row r="7" spans="1:4" x14ac:dyDescent="0.25">
      <c r="B7" s="169" t="s">
        <v>398</v>
      </c>
    </row>
    <row r="8" spans="1:4" x14ac:dyDescent="0.25">
      <c r="B8" s="169" t="s">
        <v>399</v>
      </c>
    </row>
    <row r="9" spans="1:4" x14ac:dyDescent="0.25">
      <c r="B9" s="169" t="s">
        <v>400</v>
      </c>
    </row>
    <row r="10" spans="1:4" x14ac:dyDescent="0.25">
      <c r="B10" s="169"/>
    </row>
    <row r="11" spans="1:4" x14ac:dyDescent="0.25">
      <c r="A11" s="170"/>
      <c r="B11" s="171" t="s">
        <v>401</v>
      </c>
      <c r="C11" s="172"/>
      <c r="D11" s="172"/>
    </row>
    <row r="12" spans="1:4" ht="21" x14ac:dyDescent="0.25">
      <c r="A12" s="170"/>
      <c r="B12" s="159" t="s">
        <v>402</v>
      </c>
      <c r="C12" s="172"/>
      <c r="D12" s="172"/>
    </row>
    <row r="13" spans="1:4" ht="26.45" customHeight="1" x14ac:dyDescent="0.25">
      <c r="A13" s="170">
        <v>1</v>
      </c>
      <c r="B13" s="173" t="s">
        <v>403</v>
      </c>
      <c r="C13" s="172"/>
      <c r="D13" s="172"/>
    </row>
    <row r="14" spans="1:4" ht="26.45" customHeight="1" x14ac:dyDescent="0.25">
      <c r="A14" s="170">
        <v>2</v>
      </c>
      <c r="B14" s="173" t="s">
        <v>404</v>
      </c>
      <c r="C14" s="172"/>
      <c r="D14" s="172"/>
    </row>
    <row r="15" spans="1:4" ht="26.45" customHeight="1" x14ac:dyDescent="0.25">
      <c r="A15" s="170">
        <v>3</v>
      </c>
      <c r="B15" s="173" t="s">
        <v>405</v>
      </c>
      <c r="C15" s="172"/>
      <c r="D15" s="172"/>
    </row>
    <row r="16" spans="1:4" ht="26.45" customHeight="1" x14ac:dyDescent="0.25">
      <c r="A16" s="170">
        <v>4</v>
      </c>
      <c r="B16" s="173" t="s">
        <v>406</v>
      </c>
      <c r="C16" s="172"/>
      <c r="D16" s="172"/>
    </row>
    <row r="17" spans="1:4" ht="26.45" customHeight="1" x14ac:dyDescent="0.25">
      <c r="A17" s="170">
        <v>5</v>
      </c>
      <c r="B17" s="173" t="s">
        <v>407</v>
      </c>
      <c r="C17" s="172"/>
      <c r="D17" s="172"/>
    </row>
    <row r="18" spans="1:4" ht="26.45" customHeight="1" x14ac:dyDescent="0.25">
      <c r="A18" s="170">
        <v>6</v>
      </c>
      <c r="B18" s="173" t="s">
        <v>408</v>
      </c>
      <c r="C18" s="172"/>
      <c r="D18" s="172"/>
    </row>
    <row r="19" spans="1:4" ht="26.45" customHeight="1" x14ac:dyDescent="0.25">
      <c r="A19" s="170">
        <v>7</v>
      </c>
      <c r="B19" s="173" t="s">
        <v>409</v>
      </c>
      <c r="C19" s="172"/>
      <c r="D19" s="172"/>
    </row>
    <row r="20" spans="1:4" ht="26.45" customHeight="1" x14ac:dyDescent="0.25">
      <c r="A20" s="170">
        <v>8</v>
      </c>
      <c r="B20" s="173" t="s">
        <v>410</v>
      </c>
      <c r="C20" s="172"/>
      <c r="D20" s="172"/>
    </row>
    <row r="21" spans="1:4" ht="26.45" customHeight="1" x14ac:dyDescent="0.25">
      <c r="A21" s="170">
        <v>9</v>
      </c>
      <c r="B21" s="173" t="s">
        <v>411</v>
      </c>
      <c r="C21" s="172"/>
      <c r="D21" s="172"/>
    </row>
    <row r="22" spans="1:4" ht="26.45" customHeight="1" x14ac:dyDescent="0.25">
      <c r="A22" s="170">
        <v>10</v>
      </c>
      <c r="B22" s="173" t="s">
        <v>412</v>
      </c>
      <c r="C22" s="172"/>
      <c r="D22" s="172"/>
    </row>
    <row r="23" spans="1:4" ht="26.45" customHeight="1" x14ac:dyDescent="0.25">
      <c r="A23" s="170">
        <v>11</v>
      </c>
      <c r="B23" s="173" t="s">
        <v>413</v>
      </c>
      <c r="C23" s="172"/>
      <c r="D23" s="172"/>
    </row>
    <row r="24" spans="1:4" ht="26.45" customHeight="1" x14ac:dyDescent="0.25">
      <c r="A24" s="170">
        <v>12</v>
      </c>
      <c r="B24" s="173" t="s">
        <v>414</v>
      </c>
      <c r="C24" s="172"/>
      <c r="D24" s="172"/>
    </row>
    <row r="25" spans="1:4" ht="26.45" customHeight="1" x14ac:dyDescent="0.25">
      <c r="A25" s="170">
        <v>13</v>
      </c>
      <c r="B25" s="173" t="s">
        <v>415</v>
      </c>
      <c r="C25" s="172"/>
      <c r="D25" s="172"/>
    </row>
    <row r="26" spans="1:4" ht="26.45" customHeight="1" x14ac:dyDescent="0.25">
      <c r="A26" s="170">
        <v>14</v>
      </c>
      <c r="B26" s="173" t="s">
        <v>416</v>
      </c>
      <c r="C26" s="172"/>
      <c r="D26" s="172"/>
    </row>
    <row r="27" spans="1:4" ht="26.45" customHeight="1" x14ac:dyDescent="0.25">
      <c r="A27" s="170">
        <v>15</v>
      </c>
      <c r="B27" s="173" t="s">
        <v>417</v>
      </c>
      <c r="C27" s="172"/>
      <c r="D27" s="172"/>
    </row>
    <row r="28" spans="1:4" ht="26.45" customHeight="1" x14ac:dyDescent="0.25">
      <c r="A28" s="170">
        <v>16</v>
      </c>
      <c r="B28" s="173" t="s">
        <v>418</v>
      </c>
      <c r="C28" s="172"/>
      <c r="D28" s="172"/>
    </row>
    <row r="29" spans="1:4" ht="26.45" customHeight="1" x14ac:dyDescent="0.25">
      <c r="A29" s="170">
        <v>17</v>
      </c>
      <c r="B29" s="173" t="s">
        <v>419</v>
      </c>
      <c r="C29" s="172"/>
      <c r="D29" s="172"/>
    </row>
    <row r="30" spans="1:4" ht="26.45" customHeight="1" x14ac:dyDescent="0.25">
      <c r="A30" s="170">
        <v>18</v>
      </c>
      <c r="B30" s="173" t="s">
        <v>420</v>
      </c>
      <c r="C30" s="172"/>
      <c r="D30" s="172"/>
    </row>
    <row r="31" spans="1:4" ht="26.45" customHeight="1" x14ac:dyDescent="0.25">
      <c r="A31" s="170">
        <v>19</v>
      </c>
      <c r="B31" s="173" t="s">
        <v>421</v>
      </c>
      <c r="C31" s="172"/>
      <c r="D31" s="172"/>
    </row>
    <row r="32" spans="1:4" ht="26.45" customHeight="1" x14ac:dyDescent="0.25">
      <c r="A32" s="170">
        <v>20</v>
      </c>
      <c r="B32" s="173" t="s">
        <v>422</v>
      </c>
      <c r="C32" s="172"/>
      <c r="D32" s="172"/>
    </row>
    <row r="33" spans="1:4" ht="26.45" customHeight="1" x14ac:dyDescent="0.25">
      <c r="A33" s="170">
        <v>21</v>
      </c>
      <c r="B33" s="173" t="s">
        <v>423</v>
      </c>
      <c r="C33" s="172"/>
      <c r="D33" s="172"/>
    </row>
    <row r="34" spans="1:4" ht="26.45" customHeight="1" x14ac:dyDescent="0.25">
      <c r="A34" s="170">
        <v>22</v>
      </c>
      <c r="B34" s="173" t="s">
        <v>424</v>
      </c>
      <c r="C34" s="172"/>
      <c r="D34" s="172"/>
    </row>
    <row r="35" spans="1:4" ht="26.45" customHeight="1" x14ac:dyDescent="0.25">
      <c r="A35" s="170">
        <v>23</v>
      </c>
      <c r="B35" s="173" t="s">
        <v>425</v>
      </c>
      <c r="C35" s="172"/>
      <c r="D35" s="172"/>
    </row>
    <row r="36" spans="1:4" ht="26.45" customHeight="1" x14ac:dyDescent="0.25">
      <c r="A36" s="170">
        <v>24</v>
      </c>
      <c r="B36" s="173" t="s">
        <v>426</v>
      </c>
      <c r="C36" s="172"/>
      <c r="D36" s="172"/>
    </row>
    <row r="37" spans="1:4" ht="26.45" customHeight="1" x14ac:dyDescent="0.25">
      <c r="A37" s="170">
        <v>25</v>
      </c>
      <c r="B37" s="173" t="s">
        <v>427</v>
      </c>
      <c r="C37" s="172"/>
      <c r="D37" s="172"/>
    </row>
    <row r="38" spans="1:4" ht="26.45" customHeight="1" x14ac:dyDescent="0.25">
      <c r="A38" s="170">
        <v>26</v>
      </c>
      <c r="B38" s="173" t="s">
        <v>428</v>
      </c>
      <c r="C38" s="172"/>
      <c r="D38" s="172"/>
    </row>
    <row r="39" spans="1:4" ht="26.45" customHeight="1" x14ac:dyDescent="0.25">
      <c r="A39" s="170">
        <v>27</v>
      </c>
      <c r="B39" s="173" t="s">
        <v>429</v>
      </c>
      <c r="C39" s="172"/>
      <c r="D39" s="172"/>
    </row>
    <row r="40" spans="1:4" ht="26.45" customHeight="1" x14ac:dyDescent="0.25">
      <c r="A40" s="170">
        <v>28</v>
      </c>
      <c r="B40" s="173" t="s">
        <v>430</v>
      </c>
      <c r="C40" s="172"/>
      <c r="D40" s="172"/>
    </row>
    <row r="41" spans="1:4" ht="26.45" customHeight="1" x14ac:dyDescent="0.25">
      <c r="A41" s="170">
        <v>29</v>
      </c>
      <c r="B41" s="173" t="s">
        <v>431</v>
      </c>
      <c r="C41" s="172"/>
      <c r="D41" s="172"/>
    </row>
    <row r="42" spans="1:4" ht="26.45" customHeight="1" x14ac:dyDescent="0.25">
      <c r="A42" s="170">
        <v>30</v>
      </c>
      <c r="B42" s="173" t="s">
        <v>432</v>
      </c>
      <c r="C42" s="172"/>
      <c r="D42" s="172"/>
    </row>
    <row r="43" spans="1:4" ht="26.45" customHeight="1" x14ac:dyDescent="0.25">
      <c r="A43" s="170">
        <v>31</v>
      </c>
      <c r="B43" s="173" t="s">
        <v>433</v>
      </c>
      <c r="C43" s="172"/>
      <c r="D43" s="172"/>
    </row>
    <row r="44" spans="1:4" ht="26.45" customHeight="1" x14ac:dyDescent="0.25">
      <c r="A44" s="170">
        <v>32</v>
      </c>
      <c r="B44" s="173" t="s">
        <v>434</v>
      </c>
      <c r="C44" s="172"/>
      <c r="D44" s="172"/>
    </row>
    <row r="45" spans="1:4" ht="26.45" customHeight="1" x14ac:dyDescent="0.25">
      <c r="A45" s="170"/>
      <c r="B45" s="159" t="s">
        <v>435</v>
      </c>
      <c r="C45" s="172"/>
      <c r="D45" s="172"/>
    </row>
    <row r="46" spans="1:4" ht="26.45" customHeight="1" x14ac:dyDescent="0.25">
      <c r="A46" s="170">
        <v>33</v>
      </c>
      <c r="B46" s="173" t="s">
        <v>436</v>
      </c>
      <c r="C46" s="172"/>
      <c r="D46" s="172"/>
    </row>
    <row r="47" spans="1:4" ht="26.45" customHeight="1" x14ac:dyDescent="0.25">
      <c r="A47" s="170">
        <v>34</v>
      </c>
      <c r="B47" s="173" t="s">
        <v>437</v>
      </c>
      <c r="C47" s="172"/>
      <c r="D47" s="172"/>
    </row>
    <row r="48" spans="1:4" ht="26.45" customHeight="1" x14ac:dyDescent="0.25">
      <c r="A48" s="170">
        <v>35</v>
      </c>
      <c r="B48" s="173" t="s">
        <v>438</v>
      </c>
      <c r="C48" s="172"/>
      <c r="D48" s="172"/>
    </row>
    <row r="49" spans="1:4" ht="26.45" customHeight="1" x14ac:dyDescent="0.25">
      <c r="A49" s="170">
        <v>36</v>
      </c>
      <c r="B49" s="173" t="s">
        <v>439</v>
      </c>
      <c r="C49" s="172"/>
      <c r="D49" s="172"/>
    </row>
    <row r="50" spans="1:4" ht="26.45" customHeight="1" x14ac:dyDescent="0.25">
      <c r="A50" s="170">
        <v>37</v>
      </c>
      <c r="B50" s="173" t="s">
        <v>440</v>
      </c>
      <c r="C50" s="172"/>
      <c r="D50" s="172"/>
    </row>
    <row r="51" spans="1:4" ht="26.45" customHeight="1" x14ac:dyDescent="0.25">
      <c r="A51" s="170">
        <v>38</v>
      </c>
      <c r="B51" s="173" t="s">
        <v>441</v>
      </c>
      <c r="C51" s="172"/>
      <c r="D51" s="172"/>
    </row>
    <row r="52" spans="1:4" ht="26.45" customHeight="1" x14ac:dyDescent="0.25">
      <c r="A52" s="170">
        <v>39</v>
      </c>
      <c r="B52" s="173" t="s">
        <v>442</v>
      </c>
      <c r="C52" s="172"/>
      <c r="D52" s="172"/>
    </row>
    <row r="53" spans="1:4" ht="26.45" customHeight="1" x14ac:dyDescent="0.25">
      <c r="A53" s="170">
        <v>40</v>
      </c>
      <c r="B53" s="173" t="s">
        <v>443</v>
      </c>
      <c r="C53" s="172"/>
      <c r="D53" s="172"/>
    </row>
    <row r="54" spans="1:4" ht="26.45" customHeight="1" x14ac:dyDescent="0.25">
      <c r="A54" s="170">
        <v>41</v>
      </c>
      <c r="B54" s="173" t="s">
        <v>444</v>
      </c>
      <c r="C54" s="172"/>
      <c r="D54" s="172"/>
    </row>
    <row r="55" spans="1:4" ht="26.45" customHeight="1" x14ac:dyDescent="0.25">
      <c r="A55" s="170">
        <v>42</v>
      </c>
      <c r="B55" s="173" t="s">
        <v>445</v>
      </c>
      <c r="C55" s="172"/>
      <c r="D55" s="172"/>
    </row>
    <row r="56" spans="1:4" ht="26.45" customHeight="1" x14ac:dyDescent="0.25">
      <c r="A56" s="170">
        <v>43</v>
      </c>
      <c r="B56" s="173" t="s">
        <v>446</v>
      </c>
      <c r="C56" s="172"/>
      <c r="D56" s="172"/>
    </row>
    <row r="57" spans="1:4" ht="26.45" customHeight="1" x14ac:dyDescent="0.25">
      <c r="A57" s="170">
        <v>44</v>
      </c>
      <c r="B57" s="173" t="s">
        <v>447</v>
      </c>
      <c r="C57" s="172"/>
      <c r="D57" s="172"/>
    </row>
    <row r="58" spans="1:4" ht="26.45" customHeight="1" x14ac:dyDescent="0.25">
      <c r="A58" s="170">
        <v>45</v>
      </c>
      <c r="B58" s="173" t="s">
        <v>448</v>
      </c>
      <c r="C58" s="172"/>
      <c r="D58" s="172"/>
    </row>
    <row r="59" spans="1:4" ht="26.45" customHeight="1" x14ac:dyDescent="0.25">
      <c r="A59" s="170">
        <v>46</v>
      </c>
      <c r="B59" s="173" t="s">
        <v>449</v>
      </c>
      <c r="C59" s="172"/>
      <c r="D59" s="172"/>
    </row>
    <row r="60" spans="1:4" ht="26.45" customHeight="1" x14ac:dyDescent="0.25">
      <c r="A60" s="170">
        <v>47</v>
      </c>
      <c r="B60" s="173" t="s">
        <v>450</v>
      </c>
      <c r="C60" s="172"/>
      <c r="D60" s="172"/>
    </row>
    <row r="61" spans="1:4" ht="26.45" customHeight="1" x14ac:dyDescent="0.25">
      <c r="A61" s="170">
        <v>48</v>
      </c>
      <c r="B61" s="173" t="s">
        <v>451</v>
      </c>
      <c r="C61" s="172"/>
      <c r="D61" s="172"/>
    </row>
    <row r="62" spans="1:4" ht="26.45" customHeight="1" x14ac:dyDescent="0.25">
      <c r="A62" s="170"/>
      <c r="B62" s="159" t="s">
        <v>452</v>
      </c>
      <c r="C62" s="172"/>
      <c r="D62" s="172"/>
    </row>
    <row r="63" spans="1:4" ht="26.45" customHeight="1" x14ac:dyDescent="0.25">
      <c r="A63" s="170">
        <v>49</v>
      </c>
      <c r="B63" s="173" t="s">
        <v>453</v>
      </c>
      <c r="C63" s="172"/>
      <c r="D63" s="172"/>
    </row>
    <row r="64" spans="1:4" ht="26.45" customHeight="1" x14ac:dyDescent="0.25">
      <c r="A64" s="170">
        <v>50</v>
      </c>
      <c r="B64" s="173" t="s">
        <v>454</v>
      </c>
      <c r="C64" s="172"/>
      <c r="D64" s="172"/>
    </row>
    <row r="65" spans="1:4" ht="26.45" customHeight="1" x14ac:dyDescent="0.25">
      <c r="A65" s="170">
        <v>51</v>
      </c>
      <c r="B65" s="173" t="s">
        <v>455</v>
      </c>
      <c r="C65" s="172"/>
      <c r="D65" s="172"/>
    </row>
    <row r="66" spans="1:4" ht="26.45" customHeight="1" x14ac:dyDescent="0.25">
      <c r="A66" s="170">
        <v>52</v>
      </c>
      <c r="B66" s="173" t="s">
        <v>456</v>
      </c>
      <c r="C66" s="172"/>
      <c r="D66" s="172"/>
    </row>
    <row r="67" spans="1:4" ht="26.45" customHeight="1" x14ac:dyDescent="0.25">
      <c r="A67" s="170">
        <v>53</v>
      </c>
      <c r="B67" s="173" t="s">
        <v>457</v>
      </c>
      <c r="C67" s="172"/>
      <c r="D67" s="172"/>
    </row>
    <row r="68" spans="1:4" ht="26.45" customHeight="1" x14ac:dyDescent="0.25">
      <c r="A68" s="170">
        <v>54</v>
      </c>
      <c r="B68" s="173" t="s">
        <v>458</v>
      </c>
      <c r="C68" s="172"/>
      <c r="D68" s="172"/>
    </row>
    <row r="69" spans="1:4" ht="26.45" customHeight="1" x14ac:dyDescent="0.25">
      <c r="A69" s="170">
        <v>55</v>
      </c>
      <c r="B69" s="173" t="s">
        <v>459</v>
      </c>
      <c r="C69" s="172"/>
      <c r="D69" s="172"/>
    </row>
    <row r="70" spans="1:4" ht="26.45" customHeight="1" x14ac:dyDescent="0.25">
      <c r="A70" s="170">
        <v>56</v>
      </c>
      <c r="B70" s="173" t="s">
        <v>460</v>
      </c>
      <c r="C70" s="172"/>
      <c r="D70" s="172"/>
    </row>
    <row r="71" spans="1:4" ht="26.45" customHeight="1" x14ac:dyDescent="0.25">
      <c r="A71" s="170">
        <v>57</v>
      </c>
      <c r="B71" s="173" t="s">
        <v>461</v>
      </c>
      <c r="C71" s="172"/>
      <c r="D71" s="172"/>
    </row>
    <row r="72" spans="1:4" ht="26.45" customHeight="1" x14ac:dyDescent="0.25">
      <c r="A72" s="170">
        <v>58</v>
      </c>
      <c r="B72" s="173" t="s">
        <v>462</v>
      </c>
      <c r="C72" s="172"/>
      <c r="D72" s="172"/>
    </row>
    <row r="73" spans="1:4" ht="26.45" customHeight="1" x14ac:dyDescent="0.25">
      <c r="A73" s="170">
        <v>59</v>
      </c>
      <c r="B73" s="173" t="s">
        <v>463</v>
      </c>
      <c r="C73" s="172"/>
      <c r="D73" s="172"/>
    </row>
    <row r="74" spans="1:4" ht="26.45" customHeight="1" x14ac:dyDescent="0.25">
      <c r="A74" s="170">
        <v>60</v>
      </c>
      <c r="B74" s="173" t="s">
        <v>464</v>
      </c>
      <c r="C74" s="172"/>
      <c r="D74" s="172"/>
    </row>
    <row r="75" spans="1:4" ht="26.45" customHeight="1" x14ac:dyDescent="0.25">
      <c r="A75" s="170">
        <v>61</v>
      </c>
      <c r="B75" s="173" t="s">
        <v>465</v>
      </c>
      <c r="C75" s="172"/>
      <c r="D75" s="172"/>
    </row>
    <row r="76" spans="1:4" ht="26.45" customHeight="1" x14ac:dyDescent="0.25">
      <c r="A76" s="170">
        <v>62</v>
      </c>
      <c r="B76" s="173" t="s">
        <v>466</v>
      </c>
      <c r="C76" s="172"/>
      <c r="D76" s="172"/>
    </row>
    <row r="77" spans="1:4" ht="26.45" customHeight="1" x14ac:dyDescent="0.25">
      <c r="A77" s="170">
        <v>63</v>
      </c>
      <c r="B77" s="173" t="s">
        <v>467</v>
      </c>
      <c r="C77" s="172"/>
      <c r="D77" s="172"/>
    </row>
    <row r="78" spans="1:4" ht="26.45" customHeight="1" x14ac:dyDescent="0.25">
      <c r="A78" s="170"/>
      <c r="B78" s="159" t="s">
        <v>468</v>
      </c>
      <c r="C78" s="172"/>
      <c r="D78" s="172"/>
    </row>
    <row r="79" spans="1:4" ht="26.45" customHeight="1" x14ac:dyDescent="0.25">
      <c r="A79" s="170">
        <v>64</v>
      </c>
      <c r="B79" s="173" t="s">
        <v>469</v>
      </c>
      <c r="C79" s="172"/>
      <c r="D79" s="172"/>
    </row>
    <row r="80" spans="1:4" ht="26.45" customHeight="1" x14ac:dyDescent="0.25">
      <c r="A80" s="170">
        <v>65</v>
      </c>
      <c r="B80" s="173" t="s">
        <v>470</v>
      </c>
      <c r="C80" s="172"/>
      <c r="D80" s="172"/>
    </row>
    <row r="81" spans="1:4" ht="26.45" customHeight="1" x14ac:dyDescent="0.25">
      <c r="A81" s="170">
        <v>66</v>
      </c>
      <c r="B81" s="173" t="s">
        <v>471</v>
      </c>
      <c r="C81" s="172"/>
      <c r="D81" s="172"/>
    </row>
    <row r="82" spans="1:4" ht="26.45" customHeight="1" x14ac:dyDescent="0.25">
      <c r="A82" s="170">
        <v>67</v>
      </c>
      <c r="B82" s="173" t="s">
        <v>472</v>
      </c>
      <c r="C82" s="172"/>
      <c r="D82" s="172"/>
    </row>
    <row r="83" spans="1:4" ht="26.45" customHeight="1" x14ac:dyDescent="0.25">
      <c r="A83" s="170">
        <v>68</v>
      </c>
      <c r="B83" s="173" t="s">
        <v>473</v>
      </c>
      <c r="C83" s="172"/>
      <c r="D83" s="172"/>
    </row>
    <row r="84" spans="1:4" ht="26.45" customHeight="1" x14ac:dyDescent="0.25">
      <c r="A84" s="170">
        <v>69</v>
      </c>
      <c r="B84" s="173" t="s">
        <v>474</v>
      </c>
      <c r="C84" s="172"/>
      <c r="D84" s="172"/>
    </row>
    <row r="85" spans="1:4" ht="26.45" customHeight="1" x14ac:dyDescent="0.25">
      <c r="A85" s="170">
        <v>70</v>
      </c>
      <c r="B85" s="173" t="s">
        <v>475</v>
      </c>
      <c r="C85" s="172"/>
      <c r="D85" s="172"/>
    </row>
    <row r="86" spans="1:4" ht="26.45" customHeight="1" x14ac:dyDescent="0.25">
      <c r="A86" s="170">
        <v>71</v>
      </c>
      <c r="B86" s="173" t="s">
        <v>476</v>
      </c>
      <c r="C86" s="172"/>
      <c r="D86" s="172"/>
    </row>
    <row r="87" spans="1:4" ht="26.45" customHeight="1" x14ac:dyDescent="0.25">
      <c r="A87" s="170"/>
      <c r="C87" s="172"/>
      <c r="D87" s="172"/>
    </row>
    <row r="88" spans="1:4" ht="26.45" customHeight="1" x14ac:dyDescent="0.25">
      <c r="A88" s="170"/>
      <c r="B88" s="173" t="s">
        <v>477</v>
      </c>
      <c r="C88" s="172"/>
      <c r="D88" s="172"/>
    </row>
    <row r="89" spans="1:4" ht="26.45" customHeight="1" x14ac:dyDescent="0.25">
      <c r="A89" s="170"/>
      <c r="B89" s="173" t="s">
        <v>478</v>
      </c>
      <c r="C89" s="172"/>
      <c r="D89" s="17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sqref="A1:C1"/>
    </sheetView>
  </sheetViews>
  <sheetFormatPr defaultRowHeight="15" x14ac:dyDescent="0.25"/>
  <cols>
    <col min="1" max="1" width="4.140625" bestFit="1" customWidth="1"/>
    <col min="2" max="2" width="38.85546875" bestFit="1" customWidth="1"/>
    <col min="3" max="3" width="8" bestFit="1" customWidth="1"/>
  </cols>
  <sheetData>
    <row r="1" spans="1:3" ht="27" thickBot="1" x14ac:dyDescent="0.45">
      <c r="A1" s="290" t="s">
        <v>479</v>
      </c>
      <c r="B1" s="291"/>
      <c r="C1" s="292"/>
    </row>
    <row r="2" spans="1:3" ht="27" thickBot="1" x14ac:dyDescent="0.45">
      <c r="A2" s="293" t="s">
        <v>480</v>
      </c>
      <c r="B2" s="294"/>
      <c r="C2" s="295"/>
    </row>
    <row r="3" spans="1:3" ht="19.5" thickBot="1" x14ac:dyDescent="0.35">
      <c r="A3" s="174" t="s">
        <v>481</v>
      </c>
      <c r="B3" s="175" t="s">
        <v>1</v>
      </c>
      <c r="C3" s="176" t="s">
        <v>482</v>
      </c>
    </row>
    <row r="4" spans="1:3" ht="18.75" x14ac:dyDescent="0.3">
      <c r="A4" s="177">
        <v>1</v>
      </c>
      <c r="B4" s="178" t="s">
        <v>483</v>
      </c>
      <c r="C4" s="179"/>
    </row>
    <row r="5" spans="1:3" ht="18.75" x14ac:dyDescent="0.3">
      <c r="A5" s="180">
        <v>2</v>
      </c>
      <c r="B5" s="181" t="s">
        <v>484</v>
      </c>
      <c r="C5" s="182"/>
    </row>
    <row r="6" spans="1:3" ht="18.75" x14ac:dyDescent="0.3">
      <c r="A6" s="180">
        <v>3</v>
      </c>
      <c r="B6" s="181" t="s">
        <v>485</v>
      </c>
      <c r="C6" s="182"/>
    </row>
    <row r="7" spans="1:3" ht="18.75" x14ac:dyDescent="0.3">
      <c r="A7" s="180">
        <v>4</v>
      </c>
      <c r="B7" s="186" t="s">
        <v>486</v>
      </c>
      <c r="C7" s="182"/>
    </row>
    <row r="8" spans="1:3" ht="18.75" x14ac:dyDescent="0.3">
      <c r="A8" s="180">
        <v>5</v>
      </c>
      <c r="B8" s="181" t="s">
        <v>487</v>
      </c>
      <c r="C8" s="182"/>
    </row>
    <row r="9" spans="1:3" ht="18.75" x14ac:dyDescent="0.3">
      <c r="A9" s="180">
        <v>6</v>
      </c>
      <c r="B9" s="181" t="s">
        <v>488</v>
      </c>
      <c r="C9" s="182"/>
    </row>
    <row r="10" spans="1:3" ht="18.75" x14ac:dyDescent="0.3">
      <c r="A10" s="180">
        <v>7</v>
      </c>
      <c r="B10" s="181" t="s">
        <v>489</v>
      </c>
      <c r="C10" s="182"/>
    </row>
    <row r="11" spans="1:3" ht="18.75" x14ac:dyDescent="0.3">
      <c r="A11" s="180">
        <v>8</v>
      </c>
      <c r="B11" s="181" t="s">
        <v>490</v>
      </c>
      <c r="C11" s="182"/>
    </row>
    <row r="12" spans="1:3" ht="18.75" x14ac:dyDescent="0.3">
      <c r="A12" s="180">
        <v>9</v>
      </c>
      <c r="B12" s="181" t="s">
        <v>491</v>
      </c>
      <c r="C12" s="182"/>
    </row>
    <row r="13" spans="1:3" ht="18.75" x14ac:dyDescent="0.3">
      <c r="A13" s="180">
        <v>10</v>
      </c>
      <c r="B13" s="181" t="s">
        <v>492</v>
      </c>
      <c r="C13" s="182"/>
    </row>
    <row r="14" spans="1:3" ht="18.75" x14ac:dyDescent="0.3">
      <c r="A14" s="180">
        <v>11</v>
      </c>
      <c r="B14" s="181" t="s">
        <v>493</v>
      </c>
      <c r="C14" s="182"/>
    </row>
    <row r="15" spans="1:3" ht="18.75" x14ac:dyDescent="0.3">
      <c r="A15" s="180">
        <v>12</v>
      </c>
      <c r="B15" s="181" t="s">
        <v>494</v>
      </c>
      <c r="C15" s="182"/>
    </row>
    <row r="16" spans="1:3" ht="18.75" x14ac:dyDescent="0.3">
      <c r="A16" s="180">
        <v>13</v>
      </c>
      <c r="B16" s="181" t="s">
        <v>495</v>
      </c>
      <c r="C16" s="182"/>
    </row>
    <row r="17" spans="1:3" ht="18.75" x14ac:dyDescent="0.3">
      <c r="A17" s="180">
        <v>14</v>
      </c>
      <c r="B17" s="181" t="s">
        <v>496</v>
      </c>
      <c r="C17" s="182"/>
    </row>
    <row r="18" spans="1:3" ht="19.5" thickBot="1" x14ac:dyDescent="0.35">
      <c r="A18" s="183">
        <v>15</v>
      </c>
      <c r="B18" s="184"/>
      <c r="C18" s="185"/>
    </row>
  </sheetData>
  <mergeCells count="2">
    <mergeCell ref="A1:C1"/>
    <mergeCell ref="A2:C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G23" sqref="G23"/>
    </sheetView>
  </sheetViews>
  <sheetFormatPr defaultRowHeight="15" x14ac:dyDescent="0.25"/>
  <cols>
    <col min="1" max="1" width="4.140625" bestFit="1" customWidth="1"/>
    <col min="2" max="2" width="66.7109375" bestFit="1" customWidth="1"/>
    <col min="3" max="3" width="8.28515625" customWidth="1"/>
  </cols>
  <sheetData>
    <row r="1" spans="1:3" ht="27" thickBot="1" x14ac:dyDescent="0.45">
      <c r="A1" s="290" t="s">
        <v>497</v>
      </c>
      <c r="B1" s="291"/>
      <c r="C1" s="292"/>
    </row>
    <row r="2" spans="1:3" ht="19.5" thickBot="1" x14ac:dyDescent="0.35">
      <c r="A2" s="187" t="s">
        <v>481</v>
      </c>
      <c r="B2" s="188" t="s">
        <v>1</v>
      </c>
      <c r="C2" s="189" t="s">
        <v>498</v>
      </c>
    </row>
    <row r="3" spans="1:3" ht="18.75" x14ac:dyDescent="0.3">
      <c r="A3" s="190">
        <v>1</v>
      </c>
      <c r="B3" s="191" t="s">
        <v>499</v>
      </c>
      <c r="C3" s="192"/>
    </row>
    <row r="4" spans="1:3" ht="18.75" x14ac:dyDescent="0.3">
      <c r="A4" s="193">
        <v>2</v>
      </c>
      <c r="B4" s="194" t="s">
        <v>500</v>
      </c>
      <c r="C4" s="195"/>
    </row>
    <row r="5" spans="1:3" ht="18.75" x14ac:dyDescent="0.3">
      <c r="A5" s="193">
        <v>3</v>
      </c>
      <c r="B5" s="194" t="s">
        <v>501</v>
      </c>
      <c r="C5" s="195"/>
    </row>
    <row r="6" spans="1:3" ht="18.75" x14ac:dyDescent="0.3">
      <c r="A6" s="193">
        <v>4</v>
      </c>
      <c r="B6" s="194" t="s">
        <v>502</v>
      </c>
      <c r="C6" s="195"/>
    </row>
    <row r="7" spans="1:3" ht="18.75" x14ac:dyDescent="0.3">
      <c r="A7" s="193">
        <v>5</v>
      </c>
      <c r="B7" s="194" t="s">
        <v>503</v>
      </c>
      <c r="C7" s="195"/>
    </row>
    <row r="8" spans="1:3" ht="18.75" x14ac:dyDescent="0.3">
      <c r="A8" s="193">
        <v>6</v>
      </c>
      <c r="B8" s="194" t="s">
        <v>504</v>
      </c>
      <c r="C8" s="195"/>
    </row>
    <row r="9" spans="1:3" ht="18.75" x14ac:dyDescent="0.3">
      <c r="A9" s="193">
        <v>7</v>
      </c>
      <c r="B9" s="194" t="s">
        <v>505</v>
      </c>
      <c r="C9" s="195"/>
    </row>
    <row r="10" spans="1:3" ht="18.75" x14ac:dyDescent="0.3">
      <c r="A10" s="193">
        <v>8</v>
      </c>
      <c r="B10" s="194" t="s">
        <v>506</v>
      </c>
      <c r="C10" s="195"/>
    </row>
    <row r="11" spans="1:3" ht="18.75" x14ac:dyDescent="0.3">
      <c r="A11" s="193">
        <v>9</v>
      </c>
      <c r="B11" s="194" t="s">
        <v>507</v>
      </c>
      <c r="C11" s="195"/>
    </row>
    <row r="12" spans="1:3" ht="18.75" x14ac:dyDescent="0.3">
      <c r="A12" s="193">
        <v>10</v>
      </c>
      <c r="B12" s="194" t="s">
        <v>508</v>
      </c>
      <c r="C12" s="195"/>
    </row>
    <row r="13" spans="1:3" ht="18.75" x14ac:dyDescent="0.3">
      <c r="A13" s="193">
        <v>11</v>
      </c>
      <c r="B13" s="194" t="s">
        <v>509</v>
      </c>
      <c r="C13" s="195"/>
    </row>
    <row r="14" spans="1:3" ht="18.75" x14ac:dyDescent="0.3">
      <c r="A14" s="193">
        <v>12</v>
      </c>
      <c r="B14" s="194" t="s">
        <v>510</v>
      </c>
      <c r="C14" s="195"/>
    </row>
    <row r="15" spans="1:3" ht="18.75" x14ac:dyDescent="0.3">
      <c r="A15" s="193">
        <v>13</v>
      </c>
      <c r="B15" s="194" t="s">
        <v>511</v>
      </c>
      <c r="C15" s="195"/>
    </row>
    <row r="16" spans="1:3" ht="18.75" x14ac:dyDescent="0.3">
      <c r="A16" s="193">
        <v>14</v>
      </c>
      <c r="B16" s="194" t="s">
        <v>512</v>
      </c>
      <c r="C16" s="195"/>
    </row>
    <row r="17" spans="1:3" ht="19.5" thickBot="1" x14ac:dyDescent="0.35">
      <c r="A17" s="196">
        <v>15</v>
      </c>
      <c r="B17" s="197" t="s">
        <v>513</v>
      </c>
      <c r="C17" s="198"/>
    </row>
  </sheetData>
  <mergeCells count="1">
    <mergeCell ref="A1:C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B24" sqref="B24"/>
    </sheetView>
  </sheetViews>
  <sheetFormatPr defaultRowHeight="15" x14ac:dyDescent="0.25"/>
  <cols>
    <col min="1" max="1" width="4.140625" bestFit="1" customWidth="1"/>
    <col min="2" max="2" width="72" customWidth="1"/>
    <col min="3" max="3" width="8" bestFit="1" customWidth="1"/>
  </cols>
  <sheetData>
    <row r="1" spans="1:3" ht="27" thickBot="1" x14ac:dyDescent="0.45">
      <c r="A1" s="290" t="s">
        <v>514</v>
      </c>
      <c r="B1" s="291"/>
      <c r="C1" s="292"/>
    </row>
    <row r="2" spans="1:3" ht="27" thickBot="1" x14ac:dyDescent="0.45">
      <c r="A2" s="293" t="s">
        <v>515</v>
      </c>
      <c r="B2" s="294"/>
      <c r="C2" s="295"/>
    </row>
    <row r="3" spans="1:3" ht="19.5" thickBot="1" x14ac:dyDescent="0.35">
      <c r="A3" s="199" t="s">
        <v>481</v>
      </c>
      <c r="B3" s="200" t="s">
        <v>1</v>
      </c>
      <c r="C3" s="201" t="s">
        <v>482</v>
      </c>
    </row>
    <row r="4" spans="1:3" ht="18.75" x14ac:dyDescent="0.3">
      <c r="A4" s="202">
        <v>1</v>
      </c>
      <c r="B4" s="203" t="s">
        <v>516</v>
      </c>
      <c r="C4" s="204"/>
    </row>
    <row r="5" spans="1:3" ht="18.75" x14ac:dyDescent="0.3">
      <c r="A5" s="205">
        <v>2</v>
      </c>
      <c r="B5" s="206" t="s">
        <v>517</v>
      </c>
      <c r="C5" s="207"/>
    </row>
    <row r="6" spans="1:3" ht="18.75" x14ac:dyDescent="0.3">
      <c r="A6" s="205">
        <v>3</v>
      </c>
      <c r="B6" s="206" t="s">
        <v>518</v>
      </c>
      <c r="C6" s="207"/>
    </row>
    <row r="7" spans="1:3" ht="18.75" x14ac:dyDescent="0.3">
      <c r="A7" s="205">
        <v>4</v>
      </c>
      <c r="B7" s="211" t="s">
        <v>519</v>
      </c>
      <c r="C7" s="207"/>
    </row>
    <row r="8" spans="1:3" ht="18.75" x14ac:dyDescent="0.3">
      <c r="A8" s="205">
        <v>5</v>
      </c>
      <c r="B8" s="206" t="s">
        <v>520</v>
      </c>
      <c r="C8" s="207"/>
    </row>
    <row r="9" spans="1:3" ht="18.75" x14ac:dyDescent="0.3">
      <c r="A9" s="205">
        <v>6</v>
      </c>
      <c r="B9" s="206" t="s">
        <v>521</v>
      </c>
      <c r="C9" s="207"/>
    </row>
    <row r="10" spans="1:3" ht="18.75" x14ac:dyDescent="0.3">
      <c r="A10" s="205">
        <v>7</v>
      </c>
      <c r="B10" s="206" t="s">
        <v>522</v>
      </c>
      <c r="C10" s="207"/>
    </row>
    <row r="11" spans="1:3" ht="18.75" x14ac:dyDescent="0.3">
      <c r="A11" s="205">
        <v>8</v>
      </c>
      <c r="B11" s="206" t="s">
        <v>523</v>
      </c>
      <c r="C11" s="207"/>
    </row>
    <row r="12" spans="1:3" ht="18.75" x14ac:dyDescent="0.3">
      <c r="A12" s="205">
        <v>9</v>
      </c>
      <c r="B12" s="206"/>
      <c r="C12" s="207"/>
    </row>
    <row r="13" spans="1:3" ht="18.75" x14ac:dyDescent="0.3">
      <c r="A13" s="205">
        <v>10</v>
      </c>
      <c r="B13" s="206"/>
      <c r="C13" s="207"/>
    </row>
    <row r="14" spans="1:3" ht="18.75" x14ac:dyDescent="0.3">
      <c r="A14" s="205">
        <v>11</v>
      </c>
      <c r="B14" s="206"/>
      <c r="C14" s="207"/>
    </row>
    <row r="15" spans="1:3" ht="18.75" x14ac:dyDescent="0.3">
      <c r="A15" s="205">
        <v>12</v>
      </c>
      <c r="B15" s="206"/>
      <c r="C15" s="207"/>
    </row>
    <row r="16" spans="1:3" ht="18.75" x14ac:dyDescent="0.3">
      <c r="A16" s="205">
        <v>13</v>
      </c>
      <c r="B16" s="206"/>
      <c r="C16" s="207"/>
    </row>
    <row r="17" spans="1:3" ht="18.75" x14ac:dyDescent="0.3">
      <c r="A17" s="205">
        <v>14</v>
      </c>
      <c r="B17" s="206"/>
      <c r="C17" s="207"/>
    </row>
    <row r="18" spans="1:3" ht="19.5" thickBot="1" x14ac:dyDescent="0.35">
      <c r="A18" s="208">
        <v>15</v>
      </c>
      <c r="B18" s="209"/>
      <c r="C18" s="210"/>
    </row>
  </sheetData>
  <mergeCells count="2">
    <mergeCell ref="A1:C1"/>
    <mergeCell ref="A2: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3BA222B086F94CB80A831AC79560FC" ma:contentTypeVersion="0" ma:contentTypeDescription="Create a new document." ma:contentTypeScope="" ma:versionID="e6d4bfeaac68fd51c27ad90f17084626">
  <xsd:schema xmlns:xsd="http://www.w3.org/2001/XMLSchema" xmlns:xs="http://www.w3.org/2001/XMLSchema" xmlns:p="http://schemas.microsoft.com/office/2006/metadata/properties" targetNamespace="http://schemas.microsoft.com/office/2006/metadata/properties" ma:root="true" ma:fieldsID="31d5eec3c12ee2e8127422d567928f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564CF6B-4B5B-46B1-8D79-1184848241EC}"/>
</file>

<file path=customXml/itemProps2.xml><?xml version="1.0" encoding="utf-8"?>
<ds:datastoreItem xmlns:ds="http://schemas.openxmlformats.org/officeDocument/2006/customXml" ds:itemID="{D4694D27-4EFB-48CA-9BF5-46B0770AE140}"/>
</file>

<file path=customXml/itemProps3.xml><?xml version="1.0" encoding="utf-8"?>
<ds:datastoreItem xmlns:ds="http://schemas.openxmlformats.org/officeDocument/2006/customXml" ds:itemID="{5FDB75E4-6B22-4B91-B6FA-6587D4C84C3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vt:i4>
      </vt:variant>
    </vt:vector>
  </HeadingPairs>
  <TitlesOfParts>
    <vt:vector size="24" baseType="lpstr">
      <vt:lpstr>Master Launch Schedule</vt:lpstr>
      <vt:lpstr>Day 1 Setup</vt:lpstr>
      <vt:lpstr>Day 2 Setup</vt:lpstr>
      <vt:lpstr>Launch Day</vt:lpstr>
      <vt:lpstr>60 Day Notification Contacts</vt:lpstr>
      <vt:lpstr>Schedule for 15day Notification</vt:lpstr>
      <vt:lpstr>10 Day Notification Content</vt:lpstr>
      <vt:lpstr>Final Assembly Checklist</vt:lpstr>
      <vt:lpstr>Recovery Section Checklist</vt:lpstr>
      <vt:lpstr>CPU Pressure Check</vt:lpstr>
      <vt:lpstr>CPU to Payload Assembly</vt:lpstr>
      <vt:lpstr>CPU to Press Section Assembly</vt:lpstr>
      <vt:lpstr>Recovery Glow Plug Test</vt:lpstr>
      <vt:lpstr>Recovery to Payload Assembly</vt:lpstr>
      <vt:lpstr>Preflight Press Section</vt:lpstr>
      <vt:lpstr>Engine Bay Preflight Checklist</vt:lpstr>
      <vt:lpstr>Pad Ops Tools Checklist</vt:lpstr>
      <vt:lpstr>Rocket Retrieval Tools Checklis</vt:lpstr>
      <vt:lpstr>Personal Equipment Checklist</vt:lpstr>
      <vt:lpstr>'Day 1 Setup'!Print_Area</vt:lpstr>
      <vt:lpstr>'Day 2 Setup'!Print_Area</vt:lpstr>
      <vt:lpstr>'Launch Day'!Print_Area</vt:lpstr>
      <vt:lpstr>'Master Launch Schedule'!Print_Area</vt:lpstr>
      <vt:lpstr>'Recovery Section Checklist'!Print_Area</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 Exos</dc:creator>
  <cp:lastModifiedBy>Phil Exos</cp:lastModifiedBy>
  <cp:lastPrinted>2019-10-17T23:36:46Z</cp:lastPrinted>
  <dcterms:created xsi:type="dcterms:W3CDTF">2019-03-18T20:46:57Z</dcterms:created>
  <dcterms:modified xsi:type="dcterms:W3CDTF">2020-05-29T21:36:40Z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0x010100B93BA222B086F94CB80A831AC79560FC</vt:lpwstr>
  </property>
</Properties>
</file>