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2" i="1" l="1"/>
</calcChain>
</file>

<file path=xl/sharedStrings.xml><?xml version="1.0" encoding="utf-8"?>
<sst xmlns="http://schemas.openxmlformats.org/spreadsheetml/2006/main" count="143" uniqueCount="143">
  <si>
    <t>Scorpius Space Launch Company</t>
  </si>
  <si>
    <t>Balance Sheet</t>
  </si>
  <si>
    <t>As of Oct 11, 2026</t>
  </si>
  <si>
    <t>Assets</t>
  </si>
  <si>
    <t>Current Assets</t>
  </si>
  <si>
    <t>Bank Accounts</t>
  </si>
  <si>
    <t>1010 Petty Cash</t>
  </si>
  <si>
    <t>1030 General Checking Account</t>
  </si>
  <si>
    <t>1072 Bill.com Money Out Clearing</t>
  </si>
  <si>
    <t>Total for Bank Accounts</t>
  </si>
  <si>
    <t>Accounts Receivable</t>
  </si>
  <si>
    <t>1100 Accounts Receivable Billed</t>
  </si>
  <si>
    <t>1110 Accounts Receivable Unbilled</t>
  </si>
  <si>
    <t>Total for Accounts Receivable</t>
  </si>
  <si>
    <t>Other Current Assets</t>
  </si>
  <si>
    <t>1200 Raw Materials</t>
  </si>
  <si>
    <t>1210 Inventory Asset</t>
  </si>
  <si>
    <t>1252 10" Half Shell</t>
  </si>
  <si>
    <t>1252-L LABOR 10" Half Shell</t>
  </si>
  <si>
    <t>1252-NL NON LABOR 10" Half Shell</t>
  </si>
  <si>
    <t>Total for 1252 10" Half Shell</t>
  </si>
  <si>
    <t>1256 27" Top Hat</t>
  </si>
  <si>
    <t>1256-L LABOR 27" Top Hat</t>
  </si>
  <si>
    <t>1256-NL NON LABOR 27" Top Hat</t>
  </si>
  <si>
    <t>Total for 1256 27" Top Hat</t>
  </si>
  <si>
    <t>Total for 1210 Inventory Asset</t>
  </si>
  <si>
    <t>1310 Prepaid Franchise Tax</t>
  </si>
  <si>
    <t>1320 Prepaid Federal Inc Tax</t>
  </si>
  <si>
    <t>1340 Prepaid Gross Receipts Tax</t>
  </si>
  <si>
    <t>1370 Workmans Comp Ins Deposit</t>
  </si>
  <si>
    <t>1380 Prepaid Rent</t>
  </si>
  <si>
    <t>1390 Prepaid Travel</t>
  </si>
  <si>
    <t>1410 Prepaid Other</t>
  </si>
  <si>
    <t>1420 Employee Receivables</t>
  </si>
  <si>
    <t>1430 MDAB Receivables</t>
  </si>
  <si>
    <t>1435 Microcosm Receivables</t>
  </si>
  <si>
    <t>1480 Workman's Comp Over/Under</t>
  </si>
  <si>
    <t>1481 Loan to Microcosm</t>
  </si>
  <si>
    <t>1499 Undeposited Funds</t>
  </si>
  <si>
    <t>Product Parts</t>
  </si>
  <si>
    <t>1250 28" Half Shell</t>
  </si>
  <si>
    <t>1253 28" Skirt</t>
  </si>
  <si>
    <t>Total for Product Parts</t>
  </si>
  <si>
    <t>WORK IN PROGRESS (CWIP)</t>
  </si>
  <si>
    <t>1610 27" DS Tridyne Tooling</t>
  </si>
  <si>
    <t>NON-LABOR 27" DS Tridyne Toolin</t>
  </si>
  <si>
    <t>Total for 1610 27" DS Tridyne Tooling</t>
  </si>
  <si>
    <t>Total for WORK IN PROGRESS (CWIP)</t>
  </si>
  <si>
    <t>Total for Other Current Assets</t>
  </si>
  <si>
    <t>Total for Current Assets</t>
  </si>
  <si>
    <t>Fixed Assets</t>
  </si>
  <si>
    <t>1500 FIXED ASSETS</t>
  </si>
  <si>
    <t>1510 1510 Computer Equipment</t>
  </si>
  <si>
    <t>1515 1515 Computer Software</t>
  </si>
  <si>
    <t>1520 1520 Tools &amp; Equipment</t>
  </si>
  <si>
    <t>1530 1530 Tank Tooling</t>
  </si>
  <si>
    <t>1540 1540 High Pressure Test Stand</t>
  </si>
  <si>
    <t>1550 1550 Fuel Bladder Test Stand</t>
  </si>
  <si>
    <t>1560 1560 2Kgal vert storage tank</t>
  </si>
  <si>
    <t>1570a 1570a Tank Tooling - 42"</t>
  </si>
  <si>
    <t>1571 1571 Tank Tooling - 25"</t>
  </si>
  <si>
    <t>1572 1572 Tridyne Tooling - 10"</t>
  </si>
  <si>
    <t>1573 1573 General Tank Tooling - 10"</t>
  </si>
  <si>
    <t>1574 1574 Skirt Tool.V3/20 - 28"</t>
  </si>
  <si>
    <t>1575 1575 Dome Tool - 28"</t>
  </si>
  <si>
    <t>1576 1576 DS Tridyne Tool - 27"</t>
  </si>
  <si>
    <t>1591 28" Inter-Tank Section</t>
  </si>
  <si>
    <t>1592 28" Nose Cone</t>
  </si>
  <si>
    <t>1593 28" Support Stands</t>
  </si>
  <si>
    <t>1910 Organization Costs</t>
  </si>
  <si>
    <t>Total for 1500 FIXED ASSETS</t>
  </si>
  <si>
    <t>1700 ACCUM DEPRECIATION</t>
  </si>
  <si>
    <t>1710 1710 Accum Depr - Comp Equip</t>
  </si>
  <si>
    <t>1715 1715 Accum Depr - Computer SW</t>
  </si>
  <si>
    <t>1720 1720 Accum Depr - Tools/Equip</t>
  </si>
  <si>
    <t>1730 1730 Accum Depr - Tank Tooling</t>
  </si>
  <si>
    <t>1740 1740 Accum Depr - High Press Te</t>
  </si>
  <si>
    <t>1750 1750 Accum Depr- Fuel Blad Test</t>
  </si>
  <si>
    <t>1760 1760 Accum Depr - 2Kgal tank</t>
  </si>
  <si>
    <t>1915 Accum Amortization-Org Cos</t>
  </si>
  <si>
    <t>Total for 1700 ACCUM DEPRECIATION</t>
  </si>
  <si>
    <t>Total for Fixed Assets</t>
  </si>
  <si>
    <t>Other Assets</t>
  </si>
  <si>
    <t>1930 Resin Development</t>
  </si>
  <si>
    <t>1931 Nano Launcher</t>
  </si>
  <si>
    <t>1932 PMD Development</t>
  </si>
  <si>
    <t>Total for Other Assets</t>
  </si>
  <si>
    <t>Total for Assets</t>
  </si>
  <si>
    <t>Liabilities and Equity</t>
  </si>
  <si>
    <t>Liabilities</t>
  </si>
  <si>
    <t>Current Liabilities</t>
  </si>
  <si>
    <t>Accounts Payable</t>
  </si>
  <si>
    <t>2000 Accounts Payable</t>
  </si>
  <si>
    <t>Total for Accounts Payable</t>
  </si>
  <si>
    <t>Credit Cards</t>
  </si>
  <si>
    <t>2334 Chase Visa</t>
  </si>
  <si>
    <t>2335 ABB Credit Card</t>
  </si>
  <si>
    <t>Total for Credit Cards</t>
  </si>
  <si>
    <t>Other Current Liabilities</t>
  </si>
  <si>
    <t>2200 Accrued Expenses</t>
  </si>
  <si>
    <t>2201 Sales Tax Payable</t>
  </si>
  <si>
    <t>2220 Wages Payable</t>
  </si>
  <si>
    <t>2221 Wages Payable - Accrued</t>
  </si>
  <si>
    <t>2230 Accrued Vacation</t>
  </si>
  <si>
    <t>2230a Accrual - Earned Vacation</t>
  </si>
  <si>
    <t>2230b PR-Vacation Taken</t>
  </si>
  <si>
    <t>Total for 2230 Accrued Vacation</t>
  </si>
  <si>
    <t>2300 Payroll Taxes Payable</t>
  </si>
  <si>
    <t>2301 COVID FICA Deferred</t>
  </si>
  <si>
    <t>2310 401K Deductions Payable</t>
  </si>
  <si>
    <t>2315 Ins PR Deduction Payable</t>
  </si>
  <si>
    <t>2320 Employee Benefits Payable</t>
  </si>
  <si>
    <t>2325 Garnishment</t>
  </si>
  <si>
    <t>2380 Deposits from Customers</t>
  </si>
  <si>
    <t>2390 Revolving Line of Credit</t>
  </si>
  <si>
    <t>2490 Other Current Liabilities</t>
  </si>
  <si>
    <t>Franchise Tax Board Payable</t>
  </si>
  <si>
    <t>Sales Tax Agency Payable</t>
  </si>
  <si>
    <t>Sales Tax Payable 2</t>
  </si>
  <si>
    <t>Sales Tax Payable 6</t>
  </si>
  <si>
    <t>Total for Other Current Liabilities</t>
  </si>
  <si>
    <t>Total for Current Liabilities</t>
  </si>
  <si>
    <t>Long-term Liabilities</t>
  </si>
  <si>
    <t>2385 Due to Microcosm</t>
  </si>
  <si>
    <t>2700 Notes Payable- Bookstore</t>
  </si>
  <si>
    <t>2701 Loan Payable - Microcosm</t>
  </si>
  <si>
    <t>2710 Loan Payable - Bank</t>
  </si>
  <si>
    <t>2712 Loan Payable - EIDL</t>
  </si>
  <si>
    <t>2714 Loan Payable - Wertz</t>
  </si>
  <si>
    <t>2720 Loan Payable - EXOS</t>
  </si>
  <si>
    <t>Total for Long-term Liabilities</t>
  </si>
  <si>
    <t>Total for Liabilities</t>
  </si>
  <si>
    <t>Equity</t>
  </si>
  <si>
    <t>3000 Opening Bal Equity</t>
  </si>
  <si>
    <t>Additional Paid in Capital</t>
  </si>
  <si>
    <t>Common Stock</t>
  </si>
  <si>
    <t>3900 RETAINED EARNINGS</t>
  </si>
  <si>
    <t>Net Income</t>
  </si>
  <si>
    <t>Total for Equity</t>
  </si>
  <si>
    <t>Total for Liabilities and Equity</t>
  </si>
  <si>
    <t/>
  </si>
  <si>
    <t>Total</t>
  </si>
  <si>
    <t>Accrual Basis Monday, October 12, 2026 11:42 AM GMT+09:00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</si>
</sst>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6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7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5"/>
    </xf>
    <xf numFmtId="0" fontId="5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146"/>
  <sheetViews>
    <sheetView tabSelected="1" workbookViewId="0" topLeftCell="A1"/>
  </sheetViews>
  <sheetFormatPr defaultColWidth="11.255" defaultRowHeight="16"/>
  <cols>
    <col min="1" max="1" width="32.375" style="52" customWidth="1"/>
    <col min="2" max="2" width="17" style="52" customWidth="1"/>
  </cols>
  <sheetData>
    <row r="1" spans="1:1" ht="16">
      <c r="A1" s="37" t="s">
        <v>0</v>
      </c>
    </row>
    <row r="2" spans="1:1" ht="16">
      <c r="A2" s="38" t="s">
        <v>1</v>
      </c>
    </row>
    <row r="3" spans="1:1" ht="16">
      <c r="A3" s="39" t="s">
        <v>2</v>
      </c>
    </row>
    <row r="5" spans="1:2" ht="16">
      <c r="A5" s="54" t="s">
        <v>140</v>
      </c>
      <c r="B5" s="59" t="s">
        <v>141</v>
      </c>
    </row>
    <row r="6" spans="1:1" ht="16">
      <c r="A6" s="41" t="s">
        <v>3</v>
      </c>
    </row>
    <row r="7" spans="1:1" ht="16">
      <c r="A7" s="42" t="s">
        <v>4</v>
      </c>
    </row>
    <row r="8" spans="1:1" ht="16">
      <c r="A8" s="43" t="s">
        <v>5</v>
      </c>
    </row>
    <row r="9" spans="1:2" ht="16">
      <c r="A9" s="44" t="s">
        <v>6</v>
      </c>
      <c r="B9" s="55">
        <v>0</v>
      </c>
    </row>
    <row r="10" spans="1:2" ht="16">
      <c r="A10" s="44" t="s">
        <v>7</v>
      </c>
      <c r="B10" s="55">
        <v>590344.45</v>
      </c>
    </row>
    <row r="11" spans="1:2" ht="16">
      <c r="A11" s="44" t="s">
        <v>8</v>
      </c>
      <c r="B11" s="55">
        <v>0</v>
      </c>
    </row>
    <row r="12" spans="1:2" ht="16">
      <c r="A12" s="45" t="s">
        <v>9</v>
      </c>
      <c r="B12" s="56">
        <f>B8+B9+B10+B11</f>
        <v>590344.45</v>
      </c>
    </row>
    <row r="13" spans="1:1" ht="16">
      <c r="A13" s="43" t="s">
        <v>10</v>
      </c>
    </row>
    <row r="14" spans="1:2" ht="16">
      <c r="A14" s="44" t="s">
        <v>11</v>
      </c>
      <c r="B14" s="57">
        <v>0</v>
      </c>
    </row>
    <row r="15" spans="1:2" ht="16">
      <c r="A15" s="44" t="s">
        <v>12</v>
      </c>
      <c r="B15" s="55">
        <v>-942177.24</v>
      </c>
    </row>
    <row r="16" spans="1:2" ht="16">
      <c r="A16" s="45" t="s">
        <v>13</v>
      </c>
      <c r="B16" s="56">
        <f>B13+B14+B15</f>
        <v>-942177.24</v>
      </c>
    </row>
    <row r="17" spans="1:1" ht="16">
      <c r="A17" s="43" t="s">
        <v>14</v>
      </c>
    </row>
    <row r="18" spans="1:2" ht="16">
      <c r="A18" s="44" t="s">
        <v>15</v>
      </c>
      <c r="B18" s="55">
        <v>89612.88</v>
      </c>
    </row>
    <row r="19" spans="1:2" ht="16">
      <c r="A19" s="44" t="s">
        <v>16</v>
      </c>
      <c r="B19" s="58"/>
    </row>
    <row r="20" spans="1:2" ht="16">
      <c r="A20" s="46" t="s">
        <v>17</v>
      </c>
      <c r="B20" s="58"/>
    </row>
    <row r="21" spans="1:2" ht="16">
      <c r="A21" s="47" t="s">
        <v>18</v>
      </c>
      <c r="B21" s="57">
        <v>0</v>
      </c>
    </row>
    <row r="22" spans="1:2" ht="16">
      <c r="A22" s="47" t="s">
        <v>19</v>
      </c>
      <c r="B22" s="57">
        <v>0</v>
      </c>
    </row>
    <row r="23" spans="1:2" ht="16">
      <c r="A23" s="48" t="s">
        <v>20</v>
      </c>
      <c r="B23" s="56">
        <f>B20+B21+B22</f>
        <v>0.0</v>
      </c>
    </row>
    <row r="24" spans="1:2" ht="16">
      <c r="A24" s="46" t="s">
        <v>21</v>
      </c>
      <c r="B24" s="58"/>
    </row>
    <row r="25" spans="1:2" ht="16">
      <c r="A25" s="47" t="s">
        <v>22</v>
      </c>
      <c r="B25" s="57">
        <v>0</v>
      </c>
    </row>
    <row r="26" spans="1:2" ht="16">
      <c r="A26" s="47" t="s">
        <v>23</v>
      </c>
      <c r="B26" s="57">
        <v>0</v>
      </c>
    </row>
    <row r="27" spans="1:2" ht="16">
      <c r="A27" s="48" t="s">
        <v>24</v>
      </c>
      <c r="B27" s="56">
        <f>B24+B25+B26</f>
        <v>0.0</v>
      </c>
    </row>
    <row r="28" spans="1:2" ht="16">
      <c r="A28" s="49" t="s">
        <v>25</v>
      </c>
      <c r="B28" s="56">
        <f>B19+B23+B27</f>
        <v>0.0</v>
      </c>
    </row>
    <row r="29" spans="1:2" ht="16">
      <c r="A29" s="44" t="s">
        <v>26</v>
      </c>
      <c r="B29" s="55">
        <v>800.0</v>
      </c>
    </row>
    <row r="30" spans="1:2" ht="16">
      <c r="A30" s="44" t="s">
        <v>27</v>
      </c>
      <c r="B30" s="55">
        <v>7803.37</v>
      </c>
    </row>
    <row r="31" spans="1:2" ht="16">
      <c r="A31" s="44" t="s">
        <v>28</v>
      </c>
      <c r="B31" s="57">
        <v>0</v>
      </c>
    </row>
    <row r="32" spans="1:2" ht="16">
      <c r="A32" s="44" t="s">
        <v>29</v>
      </c>
      <c r="B32" s="57">
        <v>0</v>
      </c>
    </row>
    <row r="33" spans="1:2" ht="16">
      <c r="A33" s="44" t="s">
        <v>30</v>
      </c>
      <c r="B33" s="57">
        <v>0</v>
      </c>
    </row>
    <row r="34" spans="1:2" ht="16">
      <c r="A34" s="44" t="s">
        <v>31</v>
      </c>
      <c r="B34" s="57">
        <v>0</v>
      </c>
    </row>
    <row r="35" spans="1:2" ht="16">
      <c r="A35" s="44" t="s">
        <v>32</v>
      </c>
      <c r="B35" s="55">
        <v>30689.06</v>
      </c>
    </row>
    <row r="36" spans="1:2" ht="16">
      <c r="A36" s="44" t="s">
        <v>33</v>
      </c>
      <c r="B36" s="57">
        <v>0</v>
      </c>
    </row>
    <row r="37" spans="1:2" ht="16">
      <c r="A37" s="44" t="s">
        <v>34</v>
      </c>
      <c r="B37" s="55">
        <v>5322.78</v>
      </c>
    </row>
    <row r="38" spans="1:2" ht="16">
      <c r="A38" s="44" t="s">
        <v>35</v>
      </c>
      <c r="B38" s="55">
        <v>3529.09</v>
      </c>
    </row>
    <row r="39" spans="1:2" ht="16">
      <c r="A39" s="44" t="s">
        <v>36</v>
      </c>
      <c r="B39" s="55">
        <v>1137.24</v>
      </c>
    </row>
    <row r="40" spans="1:2" ht="16">
      <c r="A40" s="44" t="s">
        <v>37</v>
      </c>
      <c r="B40" s="57">
        <v>0</v>
      </c>
    </row>
    <row r="41" spans="1:2" ht="16">
      <c r="A41" s="44" t="s">
        <v>38</v>
      </c>
      <c r="B41" s="57">
        <v>0</v>
      </c>
    </row>
    <row r="42" spans="1:2" ht="16">
      <c r="A42" s="44" t="s">
        <v>39</v>
      </c>
      <c r="B42" s="58"/>
    </row>
    <row r="43" spans="1:2" ht="16">
      <c r="A43" s="46" t="s">
        <v>40</v>
      </c>
      <c r="B43" s="57">
        <v>0</v>
      </c>
    </row>
    <row r="44" spans="1:2" ht="16">
      <c r="A44" s="46" t="s">
        <v>41</v>
      </c>
      <c r="B44" s="57">
        <v>0</v>
      </c>
    </row>
    <row r="45" spans="1:2" ht="16">
      <c r="A45" s="49" t="s">
        <v>42</v>
      </c>
      <c r="B45" s="56">
        <f>B42+B43+B44</f>
        <v>0.0</v>
      </c>
    </row>
    <row r="46" spans="1:2" ht="16">
      <c r="A46" s="44" t="s">
        <v>43</v>
      </c>
      <c r="B46" s="58"/>
    </row>
    <row r="47" spans="1:2" ht="16">
      <c r="A47" s="46" t="s">
        <v>44</v>
      </c>
      <c r="B47" s="58"/>
    </row>
    <row r="48" spans="1:2" ht="16">
      <c r="A48" s="47" t="s">
        <v>45</v>
      </c>
      <c r="B48" s="57">
        <v>0</v>
      </c>
    </row>
    <row r="49" spans="1:2" ht="16">
      <c r="A49" s="48" t="s">
        <v>46</v>
      </c>
      <c r="B49" s="56">
        <f>B47+B48</f>
        <v>0.0</v>
      </c>
    </row>
    <row r="50" spans="1:2" ht="16">
      <c r="A50" s="49" t="s">
        <v>47</v>
      </c>
      <c r="B50" s="56">
        <f>B46+B49</f>
        <v>0.0</v>
      </c>
    </row>
    <row r="51" spans="1:2" ht="16">
      <c r="A51" s="45" t="s">
        <v>48</v>
      </c>
      <c r="B51" s="56">
        <f>B17+B18+B28+B29+B30+B31+B32+B33+B34+B35+B36+B37+B38+B39+B40+B41+B45+B50</f>
        <v>138894.41999999998</v>
      </c>
    </row>
    <row r="52" spans="1:2" ht="16">
      <c r="A52" s="50" t="s">
        <v>49</v>
      </c>
      <c r="B52" s="56">
        <f>B7+B12+B16+B51</f>
        <v>-212938.37000000005</v>
      </c>
    </row>
    <row r="53" spans="1:1" ht="16">
      <c r="A53" s="42" t="s">
        <v>50</v>
      </c>
    </row>
    <row r="54" spans="1:2" ht="16">
      <c r="A54" s="43" t="s">
        <v>51</v>
      </c>
      <c r="B54" s="58"/>
    </row>
    <row r="55" spans="1:2" ht="16">
      <c r="A55" s="44" t="s">
        <v>52</v>
      </c>
      <c r="B55" s="55">
        <v>9616.18</v>
      </c>
    </row>
    <row r="56" spans="1:2" ht="16">
      <c r="A56" s="44" t="s">
        <v>53</v>
      </c>
      <c r="B56" s="55">
        <v>6245.0</v>
      </c>
    </row>
    <row r="57" spans="1:2" ht="16">
      <c r="A57" s="44" t="s">
        <v>54</v>
      </c>
      <c r="B57" s="55">
        <v>15639.97</v>
      </c>
    </row>
    <row r="58" spans="1:2" ht="16">
      <c r="A58" s="44" t="s">
        <v>55</v>
      </c>
      <c r="B58" s="55">
        <v>49438.53</v>
      </c>
    </row>
    <row r="59" spans="1:2" ht="16">
      <c r="A59" s="44" t="s">
        <v>56</v>
      </c>
      <c r="B59" s="55">
        <v>22198.37</v>
      </c>
    </row>
    <row r="60" spans="1:2" ht="16">
      <c r="A60" s="44" t="s">
        <v>57</v>
      </c>
      <c r="B60" s="55">
        <v>11025.13</v>
      </c>
    </row>
    <row r="61" spans="1:2" ht="16">
      <c r="A61" s="44" t="s">
        <v>58</v>
      </c>
      <c r="B61" s="55">
        <v>1878.03</v>
      </c>
    </row>
    <row r="62" spans="1:2" ht="16">
      <c r="A62" s="44" t="s">
        <v>59</v>
      </c>
      <c r="B62" s="55">
        <v>59165.57</v>
      </c>
    </row>
    <row r="63" spans="1:2" ht="16">
      <c r="A63" s="44" t="s">
        <v>60</v>
      </c>
      <c r="B63" s="55">
        <v>14320.72</v>
      </c>
    </row>
    <row r="64" spans="1:2" ht="16">
      <c r="A64" s="44" t="s">
        <v>61</v>
      </c>
      <c r="B64" s="55">
        <v>2805.45</v>
      </c>
    </row>
    <row r="65" spans="1:2" ht="16">
      <c r="A65" s="44" t="s">
        <v>62</v>
      </c>
      <c r="B65" s="55">
        <v>3227.5</v>
      </c>
    </row>
    <row r="66" spans="1:2" ht="16">
      <c r="A66" s="44" t="s">
        <v>63</v>
      </c>
      <c r="B66" s="55">
        <v>3332.85</v>
      </c>
    </row>
    <row r="67" spans="1:2" ht="16">
      <c r="A67" s="44" t="s">
        <v>64</v>
      </c>
      <c r="B67" s="55">
        <v>3353.61</v>
      </c>
    </row>
    <row r="68" spans="1:2" ht="16">
      <c r="A68" s="44" t="s">
        <v>65</v>
      </c>
      <c r="B68" s="55">
        <v>14054.32</v>
      </c>
    </row>
    <row r="69" spans="1:2" ht="16">
      <c r="A69" s="44" t="s">
        <v>66</v>
      </c>
      <c r="B69" s="55">
        <v>26396.27</v>
      </c>
    </row>
    <row r="70" spans="1:2" ht="16">
      <c r="A70" s="44" t="s">
        <v>67</v>
      </c>
      <c r="B70" s="55">
        <v>9641.39</v>
      </c>
    </row>
    <row r="71" spans="1:2" ht="16">
      <c r="A71" s="44" t="s">
        <v>68</v>
      </c>
      <c r="B71" s="55">
        <v>846.7</v>
      </c>
    </row>
    <row r="72" spans="1:2" ht="16">
      <c r="A72" s="44" t="s">
        <v>69</v>
      </c>
      <c r="B72" s="55">
        <v>290971.0</v>
      </c>
    </row>
    <row r="73" spans="1:2" ht="16">
      <c r="A73" s="45" t="s">
        <v>70</v>
      </c>
      <c r="B73" s="56">
        <f>B54+B55+B56+B57+B58+B59+B60+B61+B62+B63+B64+B65+B66+B67+B68+B69+B70+B71+B72</f>
        <v>544156.5900000001</v>
      </c>
    </row>
    <row r="74" spans="1:2" ht="16">
      <c r="A74" s="43" t="s">
        <v>71</v>
      </c>
      <c r="B74" s="58"/>
    </row>
    <row r="75" spans="1:2" ht="16">
      <c r="A75" s="44" t="s">
        <v>72</v>
      </c>
      <c r="B75" s="55">
        <v>-9616.18</v>
      </c>
    </row>
    <row r="76" spans="1:2" ht="16">
      <c r="A76" s="44" t="s">
        <v>73</v>
      </c>
      <c r="B76" s="55">
        <v>-6245.0</v>
      </c>
    </row>
    <row r="77" spans="1:2" ht="16">
      <c r="A77" s="44" t="s">
        <v>74</v>
      </c>
      <c r="B77" s="55">
        <v>-11001.72</v>
      </c>
    </row>
    <row r="78" spans="1:2" ht="16">
      <c r="A78" s="44" t="s">
        <v>75</v>
      </c>
      <c r="B78" s="55">
        <v>-186582.91</v>
      </c>
    </row>
    <row r="79" spans="1:2" ht="16">
      <c r="A79" s="44" t="s">
        <v>76</v>
      </c>
      <c r="B79" s="55">
        <v>-22198.37</v>
      </c>
    </row>
    <row r="80" spans="1:2" ht="16">
      <c r="A80" s="44" t="s">
        <v>77</v>
      </c>
      <c r="B80" s="55">
        <v>-11025.13</v>
      </c>
    </row>
    <row r="81" spans="1:2" ht="16">
      <c r="A81" s="44" t="s">
        <v>78</v>
      </c>
      <c r="B81" s="55">
        <v>-1878.03</v>
      </c>
    </row>
    <row r="82" spans="1:2" ht="16">
      <c r="A82" s="44" t="s">
        <v>79</v>
      </c>
      <c r="B82" s="55">
        <v>-290971.0</v>
      </c>
    </row>
    <row r="83" spans="1:2" ht="16">
      <c r="A83" s="45" t="s">
        <v>80</v>
      </c>
      <c r="B83" s="56">
        <f>B74+B75+B76+B77+B78+B79+B80+B81+B82</f>
        <v>-539518.34</v>
      </c>
    </row>
    <row r="84" spans="1:2" ht="16">
      <c r="A84" s="50" t="s">
        <v>81</v>
      </c>
      <c r="B84" s="56">
        <f>B53+B73+B83</f>
        <v>4638.250000000116</v>
      </c>
    </row>
    <row r="85" spans="1:1" ht="16">
      <c r="A85" s="42" t="s">
        <v>82</v>
      </c>
    </row>
    <row r="86" spans="1:2" ht="16">
      <c r="A86" s="43" t="s">
        <v>83</v>
      </c>
      <c r="B86" s="55">
        <v>3492.2</v>
      </c>
    </row>
    <row r="87" spans="1:2" ht="16">
      <c r="A87" s="43" t="s">
        <v>84</v>
      </c>
      <c r="B87" s="55">
        <v>35304.41</v>
      </c>
    </row>
    <row r="88" spans="1:2" ht="16">
      <c r="A88" s="43" t="s">
        <v>85</v>
      </c>
      <c r="B88" s="55">
        <v>22141.78</v>
      </c>
    </row>
    <row r="89" spans="1:2" ht="16">
      <c r="A89" s="50" t="s">
        <v>86</v>
      </c>
      <c r="B89" s="56">
        <f>B85+B86+B87+B88</f>
        <v>60938.39</v>
      </c>
    </row>
    <row r="90" spans="1:2" ht="16">
      <c r="A90" s="51" t="s">
        <v>87</v>
      </c>
      <c r="B90" s="56">
        <f>B6+B52+B84+B89</f>
        <v>-147361.72999999992</v>
      </c>
    </row>
    <row r="91" spans="1:1" ht="16">
      <c r="A91" s="41" t="s">
        <v>88</v>
      </c>
    </row>
    <row r="92" spans="1:1" ht="16">
      <c r="A92" s="42" t="s">
        <v>89</v>
      </c>
    </row>
    <row r="93" spans="1:1" ht="16">
      <c r="A93" s="43" t="s">
        <v>90</v>
      </c>
    </row>
    <row r="94" spans="1:1" ht="16">
      <c r="A94" s="44" t="s">
        <v>91</v>
      </c>
    </row>
    <row r="95" spans="1:2" ht="16">
      <c r="A95" s="46" t="s">
        <v>92</v>
      </c>
      <c r="B95" s="55">
        <v>18128.85</v>
      </c>
    </row>
    <row r="96" spans="1:2" ht="16">
      <c r="A96" s="49" t="s">
        <v>93</v>
      </c>
      <c r="B96" s="56">
        <f>B94+B95</f>
        <v>18128.85</v>
      </c>
    </row>
    <row r="97" spans="1:1" ht="16">
      <c r="A97" s="44" t="s">
        <v>94</v>
      </c>
    </row>
    <row r="98" spans="1:2" ht="16">
      <c r="A98" s="46" t="s">
        <v>95</v>
      </c>
      <c r="B98" s="55">
        <v>19636.27</v>
      </c>
    </row>
    <row r="99" spans="1:2" ht="16">
      <c r="A99" s="46" t="s">
        <v>96</v>
      </c>
      <c r="B99" s="55">
        <v>4183.27</v>
      </c>
    </row>
    <row r="100" spans="1:2" ht="16">
      <c r="A100" s="49" t="s">
        <v>97</v>
      </c>
      <c r="B100" s="56">
        <f>B97+B98+B99</f>
        <v>23819.54</v>
      </c>
    </row>
    <row r="101" spans="1:1" ht="16">
      <c r="A101" s="44" t="s">
        <v>98</v>
      </c>
    </row>
    <row r="102" spans="1:2" ht="16">
      <c r="A102" s="46" t="s">
        <v>99</v>
      </c>
      <c r="B102" s="57">
        <v>0</v>
      </c>
    </row>
    <row r="103" spans="1:2" ht="16">
      <c r="A103" s="46" t="s">
        <v>100</v>
      </c>
      <c r="B103" s="57">
        <v>0</v>
      </c>
    </row>
    <row r="104" spans="1:2" ht="16">
      <c r="A104" s="46" t="s">
        <v>101</v>
      </c>
      <c r="B104" s="57">
        <v>0</v>
      </c>
    </row>
    <row r="105" spans="1:2" ht="16">
      <c r="A105" s="46" t="s">
        <v>102</v>
      </c>
      <c r="B105" s="55">
        <v>47659.42</v>
      </c>
    </row>
    <row r="106" spans="1:2" ht="16">
      <c r="A106" s="46" t="s">
        <v>103</v>
      </c>
      <c r="B106" s="57">
        <v>0</v>
      </c>
    </row>
    <row r="107" spans="1:2" ht="16">
      <c r="A107" s="47" t="s">
        <v>104</v>
      </c>
      <c r="B107" s="55">
        <v>374362.94</v>
      </c>
    </row>
    <row r="108" spans="1:2" ht="16">
      <c r="A108" s="47" t="s">
        <v>105</v>
      </c>
      <c r="B108" s="55">
        <v>-312841.55</v>
      </c>
    </row>
    <row r="109" spans="1:2" ht="16">
      <c r="A109" s="48" t="s">
        <v>106</v>
      </c>
      <c r="B109" s="56">
        <f>B106+B107+B108</f>
        <v>61521.390000000014</v>
      </c>
    </row>
    <row r="110" spans="1:2" ht="16">
      <c r="A110" s="46" t="s">
        <v>107</v>
      </c>
      <c r="B110" s="57">
        <v>0</v>
      </c>
    </row>
    <row r="111" spans="1:2" ht="16">
      <c r="A111" s="46" t="s">
        <v>108</v>
      </c>
      <c r="B111" s="57">
        <v>0</v>
      </c>
    </row>
    <row r="112" spans="1:2" ht="16">
      <c r="A112" s="46" t="s">
        <v>109</v>
      </c>
      <c r="B112" s="55">
        <v>-2130.4</v>
      </c>
    </row>
    <row r="113" spans="1:2" ht="16">
      <c r="A113" s="46" t="s">
        <v>110</v>
      </c>
      <c r="B113" s="55">
        <v>-260.82</v>
      </c>
    </row>
    <row r="114" spans="1:2" ht="16">
      <c r="A114" s="46" t="s">
        <v>111</v>
      </c>
      <c r="B114" s="57">
        <v>0</v>
      </c>
    </row>
    <row r="115" spans="1:2" ht="16">
      <c r="A115" s="46" t="s">
        <v>112</v>
      </c>
      <c r="B115" s="57">
        <v>0</v>
      </c>
    </row>
    <row r="116" spans="1:2" ht="16">
      <c r="A116" s="46" t="s">
        <v>113</v>
      </c>
      <c r="B116" s="55">
        <v>120000.0</v>
      </c>
    </row>
    <row r="117" spans="1:2" ht="16">
      <c r="A117" s="46" t="s">
        <v>114</v>
      </c>
      <c r="B117" s="57">
        <v>0</v>
      </c>
    </row>
    <row r="118" spans="1:2" ht="16">
      <c r="A118" s="46" t="s">
        <v>115</v>
      </c>
      <c r="B118" s="57">
        <v>0</v>
      </c>
    </row>
    <row r="119" spans="1:2" ht="16">
      <c r="A119" s="46" t="s">
        <v>116</v>
      </c>
      <c r="B119" s="57">
        <v>0</v>
      </c>
    </row>
    <row r="120" spans="1:2" ht="16">
      <c r="A120" s="46" t="s">
        <v>117</v>
      </c>
      <c r="B120" s="57">
        <v>0</v>
      </c>
    </row>
    <row r="121" spans="1:2" ht="16">
      <c r="A121" s="46" t="s">
        <v>118</v>
      </c>
      <c r="B121" s="57">
        <v>0</v>
      </c>
    </row>
    <row r="122" spans="1:2" ht="16">
      <c r="A122" s="46" t="s">
        <v>119</v>
      </c>
      <c r="B122" s="57">
        <v>0</v>
      </c>
    </row>
    <row r="123" spans="1:2" ht="16">
      <c r="A123" s="49" t="s">
        <v>120</v>
      </c>
      <c r="B123" s="56">
        <f>B101+B102+B103+B104+B105+B109+B110+B111+B112+B113+B114+B115+B116+B117+B118+B119+B120+B121+B122</f>
        <v>226789.59000000003</v>
      </c>
    </row>
    <row r="124" spans="1:2" ht="16">
      <c r="A124" s="45" t="s">
        <v>121</v>
      </c>
      <c r="B124" s="56">
        <f>B93+B96+B100+B123</f>
        <v>268737.98000000004</v>
      </c>
    </row>
    <row r="125" spans="1:1" ht="16">
      <c r="A125" s="43" t="s">
        <v>122</v>
      </c>
    </row>
    <row r="126" spans="1:2" ht="16">
      <c r="A126" s="44" t="s">
        <v>123</v>
      </c>
      <c r="B126" s="55">
        <v>451429.04</v>
      </c>
    </row>
    <row r="127" spans="1:2" ht="16">
      <c r="A127" s="44" t="s">
        <v>124</v>
      </c>
      <c r="B127" s="55">
        <v>320581.61</v>
      </c>
    </row>
    <row r="128" spans="1:2" ht="16">
      <c r="A128" s="44" t="s">
        <v>125</v>
      </c>
      <c r="B128" s="57">
        <v>0</v>
      </c>
    </row>
    <row r="129" spans="1:2" ht="16">
      <c r="A129" s="44" t="s">
        <v>126</v>
      </c>
      <c r="B129" s="57">
        <v>0</v>
      </c>
    </row>
    <row r="130" spans="1:2" ht="16">
      <c r="A130" s="44" t="s">
        <v>127</v>
      </c>
      <c r="B130" s="55">
        <v>132072.0</v>
      </c>
    </row>
    <row r="131" spans="1:2" ht="16">
      <c r="A131" s="44" t="s">
        <v>128</v>
      </c>
      <c r="B131" s="55">
        <v>92500.0</v>
      </c>
    </row>
    <row r="132" spans="1:2" ht="16">
      <c r="A132" s="44" t="s">
        <v>129</v>
      </c>
      <c r="B132" s="55">
        <v>31200.0</v>
      </c>
    </row>
    <row r="133" spans="1:2" ht="16">
      <c r="A133" s="45" t="s">
        <v>130</v>
      </c>
      <c r="B133" s="56">
        <f>B125+B126+B127+B128+B129+B130+B131+B132</f>
        <v>1027782.6499999999</v>
      </c>
    </row>
    <row r="134" spans="1:2" ht="16">
      <c r="A134" s="50" t="s">
        <v>131</v>
      </c>
      <c r="B134" s="56">
        <f>B92+B124+B133</f>
        <v>1296520.63</v>
      </c>
    </row>
    <row r="135" spans="1:1" ht="16">
      <c r="A135" s="42" t="s">
        <v>132</v>
      </c>
    </row>
    <row r="136" spans="1:2" ht="16">
      <c r="A136" s="43" t="s">
        <v>133</v>
      </c>
      <c r="B136" s="57">
        <v>0</v>
      </c>
    </row>
    <row r="137" spans="1:2" ht="16">
      <c r="A137" s="43" t="s">
        <v>134</v>
      </c>
      <c r="B137" s="55">
        <v>4042.0</v>
      </c>
    </row>
    <row r="138" spans="1:2" ht="16">
      <c r="A138" s="43" t="s">
        <v>135</v>
      </c>
      <c r="B138" s="55">
        <v>1010423.0</v>
      </c>
    </row>
    <row r="139" spans="1:2" ht="16">
      <c r="A139" s="43" t="s">
        <v>136</v>
      </c>
      <c r="B139" s="55">
        <v>-2571012.9899999998</v>
      </c>
    </row>
    <row r="140" spans="1:2" ht="16">
      <c r="A140" s="43" t="s">
        <v>137</v>
      </c>
      <c r="B140" s="55">
        <v>112665.63000000014</v>
      </c>
    </row>
    <row r="141" spans="1:2" ht="16">
      <c r="A141" s="50" t="s">
        <v>138</v>
      </c>
      <c r="B141" s="56">
        <f>B135+B136+B137+B138+B139+B140</f>
        <v>-1443882.3599999996</v>
      </c>
    </row>
    <row r="142" spans="1:2" ht="16">
      <c r="A142" s="51" t="s">
        <v>139</v>
      </c>
      <c r="B142" s="56">
        <f>B91+B134+B141</f>
        <v>-147361.72999999975</v>
      </c>
    </row>
    <row r="146" spans="1:1" ht="16">
      <c r="A146" s="60" t="s">
        <v>142</v>
      </c>
    </row>
  </sheetData>
  <mergeCells count="4">
    <mergeCell ref="A1:B1"/>
    <mergeCell ref="A2:B2"/>
    <mergeCell ref="A3:B3"/>
    <mergeCell ref="A146:B14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