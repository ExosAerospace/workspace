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CRM_Master" sheetId="2" state="visible" r:id="rId2"/>
    <sheet xmlns:r="http://schemas.openxmlformats.org/officeDocument/2006/relationships" name="Firm_Summary" sheetId="3" state="visible" r:id="rId3"/>
    <sheet xmlns:r="http://schemas.openxmlformats.org/officeDocument/2006/relationships" name="Today_Queue" sheetId="4" state="visible" r:id="rId4"/>
    <sheet xmlns:r="http://schemas.openxmlformats.org/officeDocument/2006/relationships" name="Fundraise_Guide" sheetId="5" state="visible" r:id="rId5"/>
    <sheet xmlns:r="http://schemas.openxmlformats.org/officeDocument/2006/relationships" name="JQ Follow Up" sheetId="6" state="visible" r:id="rId6"/>
    <sheet xmlns:r="http://schemas.openxmlformats.org/officeDocument/2006/relationships" name="Follow‑Up Priority Tracker" sheetId="7" state="visible" r:id="rId7"/>
    <sheet xmlns:r="http://schemas.openxmlformats.org/officeDocument/2006/relationships" name="Term Sheets" sheetId="8" state="visible" r:id="rId8"/>
    <sheet xmlns:r="http://schemas.openxmlformats.org/officeDocument/2006/relationships" name="John - Investor Contacts" sheetId="9" state="visible" r:id="rId9"/>
    <sheet xmlns:r="http://schemas.openxmlformats.org/officeDocument/2006/relationships" name="Solicitation Tracker" sheetId="10" state="visible" r:id="rId10"/>
    <sheet xmlns:r="http://schemas.openxmlformats.org/officeDocument/2006/relationships" name="STIB Engagement" sheetId="11" state="visible" r:id="rId11"/>
    <sheet xmlns:r="http://schemas.openxmlformats.org/officeDocument/2006/relationships" name="Payload Contacts" sheetId="12" state="visible" r:id="rId12"/>
    <sheet xmlns:r="http://schemas.openxmlformats.org/officeDocument/2006/relationships" name="Payload Follow Up" sheetId="13" state="visible" r:id="rId13"/>
    <sheet xmlns:r="http://schemas.openxmlformats.org/officeDocument/2006/relationships" name="NCE" sheetId="14" state="visible" r:id="rId14"/>
    <sheet xmlns:r="http://schemas.openxmlformats.org/officeDocument/2006/relationships" name="Derek Contacts" sheetId="15" state="visible" r:id="rId15"/>
    <sheet xmlns:r="http://schemas.openxmlformats.org/officeDocument/2006/relationships" name="Tank Contacts" sheetId="16" state="visible" r:id="rId16"/>
    <sheet xmlns:r="http://schemas.openxmlformats.org/officeDocument/2006/relationships" name="OSC" sheetId="17" state="visible" r:id="rId17"/>
    <sheet xmlns:r="http://schemas.openxmlformats.org/officeDocument/2006/relationships" name="Vendors" sheetId="18" state="visible" r:id="rId18"/>
    <sheet xmlns:r="http://schemas.openxmlformats.org/officeDocument/2006/relationships" name="Toshi Contacts" sheetId="19" state="visible" r:id="rId19"/>
    <sheet xmlns:r="http://schemas.openxmlformats.org/officeDocument/2006/relationships" name="LeadLoft" sheetId="20" state="visible" r:id="rId20"/>
    <sheet xmlns:r="http://schemas.openxmlformats.org/officeDocument/2006/relationships" name="Factor Companies " sheetId="21" state="visible" r:id="rId21"/>
    <sheet xmlns:r="http://schemas.openxmlformats.org/officeDocument/2006/relationships" name="Factor_For_Government_Contracts" sheetId="22" state="visible" r:id="rId22"/>
    <sheet xmlns:r="http://schemas.openxmlformats.org/officeDocument/2006/relationships" name="Investors_Private_Equity " sheetId="23" state="visible" r:id="rId23"/>
    <sheet xmlns:r="http://schemas.openxmlformats.org/officeDocument/2006/relationships" name="Lizi - Investor Contacts" sheetId="24" state="visible" r:id="rId24"/>
    <sheet xmlns:r="http://schemas.openxmlformats.org/officeDocument/2006/relationships" name="Random Contacts" sheetId="25" state="visible" r:id="rId25"/>
    <sheet xmlns:r="http://schemas.openxmlformats.org/officeDocument/2006/relationships" name="SMD 25" sheetId="26" state="visible" r:id="rId26"/>
    <sheet xmlns:r="http://schemas.openxmlformats.org/officeDocument/2006/relationships" name="SpaceCom 26" sheetId="27" state="visible" r:id="rId27"/>
    <sheet xmlns:r="http://schemas.openxmlformats.org/officeDocument/2006/relationships" name="Factor Companies" sheetId="28" state="visible" r:id="rId28"/>
    <sheet xmlns:r="http://schemas.openxmlformats.org/officeDocument/2006/relationships" name="Investors_Private_Equity" sheetId="29" state="visible" r:id="rId29"/>
    <sheet xmlns:r="http://schemas.openxmlformats.org/officeDocument/2006/relationships" name="Factor Companies (2)" sheetId="30" state="visible" r:id="rId30"/>
    <sheet xmlns:r="http://schemas.openxmlformats.org/officeDocument/2006/relationships" name="Investors_Private_Equity (2)" sheetId="31" state="visible" r:id="rId31"/>
  </sheets>
  <definedNames/>
</workbook>
</file>

<file path=xl/styles.xml><?xml version="1.0" encoding="utf-8"?>
<styleSheet xmlns="http://schemas.openxmlformats.org/spreadsheetml/2006/main">
  <numFmts count="2">
    <numFmt numFmtId="164" formatCode="m/d"/>
    <numFmt numFmtId="165" formatCode="m/d/yyyy"/>
  </numFmts>
  <fonts count="161">
    <font>
      <name val="Arial"/>
      <color rgb="FF000000"/>
      <sz val="10"/>
      <scheme val="minor"/>
    </font>
    <font>
      <name val="Arial"/>
      <b val="1"/>
      <color theme="1"/>
      <sz val="10"/>
      <scheme val="minor"/>
    </font>
    <font>
      <name val="Arial"/>
      <color theme="1"/>
      <sz val="10"/>
      <scheme val="minor"/>
    </font>
    <font>
      <name val="Arial"/>
      <color rgb="FF0000FF"/>
      <sz val="10"/>
      <u val="single"/>
    </font>
    <font>
      <name val="-apple-system"/>
      <color rgb="FF424C60"/>
      <sz val="12"/>
    </font>
    <font>
      <name val="-apple-system"/>
      <color rgb="FF424C60"/>
      <sz val="12"/>
      <u val="single"/>
    </font>
    <font>
      <name val="Arial"/>
      <color rgb="FF22262B"/>
      <sz val="11"/>
    </font>
    <font>
      <name val="&quot;Helvetica Neue&quot;"/>
      <color rgb="FF333333"/>
      <sz val="12"/>
    </font>
    <font>
      <name val="&quot;Helvetica Neue&quot;"/>
      <color rgb="FF333333"/>
      <sz val="12"/>
      <u val="single"/>
    </font>
    <font>
      <name val="Arial"/>
      <color rgb="FF141414"/>
      <sz val="10"/>
      <scheme val="minor"/>
    </font>
    <font>
      <name val="&quot;Open Sans&quot;"/>
      <color rgb="FF32373C"/>
      <sz val="14"/>
    </font>
    <font>
      <name val="&quot;Google Sans&quot;"/>
      <color rgb="FF222222"/>
      <sz val="11"/>
    </font>
    <font>
      <name val="&quot;Google Sans&quot;"/>
      <color rgb="FF1155CC"/>
      <sz val="10"/>
      <u val="single"/>
    </font>
    <font>
      <name val="Arial"/>
      <color theme="1"/>
      <sz val="10"/>
    </font>
    <font>
      <name val="Arial"/>
      <color rgb="FF424C60"/>
      <sz val="12"/>
    </font>
    <font>
      <name val="Arial"/>
      <color rgb="FF222222"/>
      <sz val="10"/>
      <u val="single"/>
    </font>
    <font>
      <name val="&quot;Source Sans 3&quot;"/>
      <color rgb="FF333333"/>
      <sz val="11"/>
    </font>
    <font>
      <name val="CircularStd"/>
      <color rgb="FF4E3629"/>
      <sz val="10"/>
    </font>
    <font>
      <name val="&quot;Roboto Condensed&quot;"/>
      <color rgb="FF384660"/>
      <sz val="10"/>
    </font>
    <font>
      <name val="Arial"/>
      <color rgb="FF222222"/>
      <sz val="10"/>
    </font>
    <font>
      <name val="Arial"/>
      <color rgb="FF111111"/>
      <sz val="10"/>
    </font>
    <font>
      <name val="Roboto"/>
      <color rgb="FF111111"/>
      <sz val="12"/>
      <u val="single"/>
    </font>
    <font>
      <name val="&quot;Helvetica Neue&quot;"/>
      <color rgb="FF000000"/>
      <sz val="12"/>
      <u val="single"/>
    </font>
    <font>
      <name val="Arial"/>
      <color rgb="FF1155CC"/>
      <sz val="10"/>
      <u val="single"/>
    </font>
    <font>
      <name val="Arial"/>
      <b val="1"/>
      <color theme="1"/>
      <sz val="10"/>
      <u val="single"/>
      <scheme val="minor"/>
    </font>
    <font>
      <name val="-apple-system"/>
      <color rgb="FF424C60"/>
      <sz val="11"/>
    </font>
    <font>
      <name val="&quot;Google Sans Text&quot;"/>
      <color rgb="FF444746"/>
      <sz val="10"/>
    </font>
    <font>
      <name val="&quot;Google Sans Text&quot;"/>
      <color rgb="FF444746"/>
      <sz val="18"/>
    </font>
    <font>
      <name val="&quot;Google Sans Text&quot;"/>
      <color rgb="FF3C4043"/>
      <sz val="18"/>
    </font>
    <font>
      <name val="Roboto"/>
      <color rgb="FF000000"/>
      <sz val="12"/>
    </font>
    <font>
      <name val="Arial"/>
      <color theme="1"/>
      <sz val="11"/>
    </font>
    <font>
      <name val="Aptos"/>
      <color rgb="FF0000FF"/>
      <sz val="11"/>
      <u val="single"/>
    </font>
    <font>
      <name val="Georgia"/>
      <color rgb="FF083261"/>
      <sz val="11"/>
    </font>
    <font>
      <name val="Georgia"/>
      <color rgb="FF083261"/>
      <sz val="11"/>
      <u val="single"/>
    </font>
    <font>
      <name val="Arial"/>
      <color rgb="FF083261"/>
      <sz val="11"/>
    </font>
    <font>
      <name val="Aptos"/>
      <color rgb="FF083261"/>
      <sz val="11"/>
      <u val="single"/>
    </font>
    <font>
      <name val="Aptos"/>
      <b val="1"/>
      <color theme="1"/>
      <sz val="11"/>
    </font>
    <font>
      <name val="Aptos"/>
      <b val="1"/>
      <color rgb="FF0000FF"/>
      <sz val="11"/>
      <u val="single"/>
    </font>
    <font>
      <name val="Arial"/>
      <b val="1"/>
      <color theme="5"/>
      <sz val="10"/>
      <scheme val="minor"/>
    </font>
    <font>
      <name val="&quot;Aptos Narrow&quot;"/>
      <color rgb="FF000000"/>
      <sz val="11"/>
    </font>
    <font>
      <name val="&quot;Aptos Narrow&quot;"/>
      <b val="1"/>
      <color rgb="FF000000"/>
      <sz val="11"/>
    </font>
    <font>
      <name val="Arial"/>
      <sz val="10"/>
    </font>
    <font>
      <name val="&quot;Aptos Narrow&quot;"/>
      <b val="1"/>
      <color rgb="FFFF0000"/>
      <sz val="11"/>
    </font>
    <font>
      <name val="&quot;Aptos Narrow&quot;"/>
      <color rgb="FFFF0000"/>
      <sz val="11"/>
    </font>
    <font>
      <name val="&quot;Aptos Narrow&quot;"/>
      <color rgb="FF0000FF"/>
      <sz val="11"/>
      <u val="single"/>
    </font>
    <font>
      <name val="&quot;Segoe UI&quot;"/>
      <color rgb="FFFF0000"/>
      <sz val="10"/>
    </font>
    <font>
      <name val="&quot;Avenir Book&quot;"/>
      <color rgb="FF2F2F2F"/>
      <sz val="9"/>
    </font>
    <font>
      <name val="Arial"/>
      <color rgb="FF000000"/>
      <sz val="11"/>
      <u val="single"/>
    </font>
    <font>
      <name val="&quot;Segoe UI&quot;"/>
      <color rgb="FF424C60"/>
      <sz val="10"/>
    </font>
    <font>
      <name val="&quot;Aptos Narrow&quot;"/>
      <color rgb="FF000000"/>
      <sz val="11"/>
      <u val="single"/>
    </font>
    <font>
      <name val="&quot;Aptos Narrow&quot;"/>
      <color rgb="FF467886"/>
      <sz val="11"/>
      <u val="single"/>
    </font>
    <font>
      <name val="Arial"/>
      <color rgb="FFFF0000"/>
      <sz val="11"/>
      <u val="single"/>
    </font>
    <font>
      <name val="&quot;Aptos Narrow&quot;"/>
      <color rgb="FFFF0000"/>
      <sz val="11"/>
      <u val="single"/>
    </font>
    <font>
      <name val="Arial"/>
      <color rgb="FF000000"/>
      <sz val="11"/>
    </font>
    <font>
      <name val="Arial"/>
      <color rgb="FF1155CC"/>
      <sz val="12"/>
      <u val="single"/>
      <scheme val="minor"/>
    </font>
    <font>
      <name val="Arial, Helvetica, sans-serif"/>
      <color rgb="FF1155CC"/>
      <sz val="10"/>
      <u val="single"/>
    </font>
    <font>
      <name val="Arial"/>
      <color rgb="FF000000"/>
      <sz val="10"/>
    </font>
    <font>
      <name val="Aptos, sans-serif"/>
      <color rgb="FF1155CC"/>
      <sz val="11"/>
      <u val="single"/>
    </font>
    <font>
      <name val="Georgia, serif"/>
      <color rgb="FF1155CC"/>
      <sz val="11"/>
      <u val="single"/>
    </font>
    <font>
      <name val="Aptos, sans-serif"/>
      <b val="1"/>
      <color rgb="FF1155CC"/>
      <sz val="11"/>
      <u val="single"/>
    </font>
    <font>
      <name val="Aptos, sans-serif"/>
      <b val="1"/>
      <sz val="11"/>
    </font>
    <font>
      <name val="&quot;Aptos Narrow&quot;, sans-serif"/>
      <color rgb="FF1155CC"/>
      <sz val="11"/>
      <u val="single"/>
    </font>
    <font>
      <name val="Arial"/>
      <color theme="10"/>
      <sz val="10"/>
      <u val="single"/>
      <scheme val="minor"/>
    </font>
    <font>
      <name val="Arial"/>
      <family val="2"/>
      <color rgb="FF000000"/>
      <sz val="11"/>
      <scheme val="minor"/>
    </font>
    <font>
      <name val="Arial"/>
      <family val="2"/>
      <color theme="1"/>
      <sz val="10"/>
      <scheme val="minor"/>
    </font>
    <font>
      <name val="Segoe UI"/>
      <family val="2"/>
      <color rgb="FF424C60"/>
      <sz val="8"/>
    </font>
    <font>
      <name val="Arial"/>
      <color theme="3"/>
      <sz val="10"/>
      <scheme val="minor"/>
    </font>
    <font>
      <name val="Arial"/>
      <color theme="3"/>
      <sz val="10"/>
      <u val="single"/>
    </font>
    <font>
      <name val="Arial"/>
      <family val="2"/>
      <color rgb="FF000000"/>
      <sz val="10"/>
      <scheme val="minor"/>
    </font>
    <font>
      <name val="Segoe UI"/>
      <family val="2"/>
      <color rgb="FF242424"/>
      <sz val="10"/>
    </font>
    <font>
      <name val="Arial"/>
      <family val="2"/>
      <b val="1"/>
      <color rgb="FF000000"/>
      <sz val="10"/>
      <u val="single"/>
      <scheme val="minor"/>
    </font>
    <font>
      <name val="Arial"/>
      <family val="2"/>
      <color rgb="FF424C60"/>
      <sz val="12"/>
    </font>
    <font>
      <name val="Aptos Narrow"/>
      <family val="2"/>
      <color rgb="FF242424"/>
      <sz val="7"/>
    </font>
    <font>
      <name val="Arial"/>
      <color rgb="FF000000"/>
      <sz val="11"/>
      <scheme val="minor"/>
    </font>
    <font>
      <name val="Arial"/>
      <family val="2"/>
      <color rgb="FF000000"/>
      <sz val="12"/>
      <scheme val="minor"/>
    </font>
    <font>
      <name val="Arial"/>
      <family val="2"/>
      <sz val="8"/>
      <scheme val="minor"/>
    </font>
    <font>
      <name val="Arial"/>
      <family val="2"/>
      <color rgb="FF000000"/>
      <sz val="11"/>
      <scheme val="major"/>
    </font>
    <font>
      <name val="-Apple-System"/>
      <color rgb="FF424C60"/>
      <sz val="12"/>
    </font>
    <font>
      <name val="Aptos Narrow"/>
      <color rgb="FF242424"/>
      <sz val="11"/>
    </font>
    <font>
      <name val="Arial"/>
      <color rgb="FFFF0000"/>
      <sz val="10"/>
      <scheme val="minor"/>
    </font>
    <font>
      <name val="Arial"/>
      <family val="2"/>
      <color rgb="FFFF0000"/>
      <sz val="10"/>
      <scheme val="minor"/>
    </font>
    <font>
      <name val="Arial"/>
      <color rgb="FFFF0000"/>
      <sz val="10"/>
    </font>
    <font>
      <name val="Arial"/>
      <family val="2"/>
      <b val="1"/>
      <color rgb="FFFF0000"/>
      <sz val="10"/>
      <scheme val="minor"/>
    </font>
    <font>
      <name val="Arial"/>
      <b val="1"/>
      <color rgb="FFFF0000"/>
      <sz val="10"/>
      <scheme val="minor"/>
    </font>
    <font>
      <name val="Trend Sans One"/>
      <family val="2"/>
      <color rgb="FFFFFFFF"/>
      <sz val="10"/>
    </font>
    <font>
      <name val="Open Sans"/>
      <family val="2"/>
      <color rgb="FFFFFFFF"/>
      <sz val="11"/>
    </font>
    <font>
      <name val="Arial"/>
      <b val="1"/>
      <color rgb="FF000000"/>
      <sz val="10"/>
      <u val="single"/>
      <scheme val="minor"/>
    </font>
    <font>
      <name val="Arial"/>
      <family val="2"/>
      <color rgb="FF000000"/>
      <sz val="11"/>
    </font>
    <font>
      <name val="Arial"/>
      <family val="2"/>
      <color rgb="FF000000"/>
      <sz val="12"/>
    </font>
    <font>
      <name val="Arial"/>
      <b val="1"/>
      <color rgb="FF000000"/>
      <sz val="10"/>
      <scheme val="minor"/>
    </font>
    <font>
      <name val="Arial"/>
      <color rgb="FF000000"/>
      <sz val="10"/>
      <u val="single"/>
      <scheme val="minor"/>
    </font>
    <font>
      <name val="Aptos"/>
      <color rgb="FF000000"/>
      <sz val="12"/>
    </font>
    <font>
      <name val="Aptos Narrow"/>
      <family val="2"/>
      <color rgb="FF000000"/>
      <sz val="11"/>
    </font>
    <font>
      <name val="Calibri"/>
      <family val="2"/>
      <color rgb="FF000000"/>
      <sz val="11"/>
    </font>
    <font>
      <name val="Calibri"/>
      <family val="2"/>
      <color rgb="FF000000"/>
      <sz val="11"/>
    </font>
    <font>
      <name val="Calibri"/>
      <family val="2"/>
      <sz val="11"/>
    </font>
    <font>
      <name val="Segoe UI"/>
      <color rgb="FF242424"/>
      <sz val="11"/>
    </font>
    <font>
      <name val="Arial"/>
      <color theme="10"/>
      <sz val="10"/>
      <scheme val="minor"/>
    </font>
    <font>
      <name val="Arial"/>
      <color rgb="FF000000"/>
      <sz val="10"/>
      <scheme val="major"/>
    </font>
    <font>
      <name val="Arial"/>
      <color rgb="FF424C60"/>
      <sz val="12"/>
      <scheme val="major"/>
    </font>
    <font>
      <name val="Arial"/>
      <color rgb="FF000000"/>
      <sz val="11"/>
      <scheme val="major"/>
    </font>
    <font>
      <name val="Arial"/>
      <color theme="10"/>
      <sz val="10"/>
      <u val="single"/>
      <scheme val="major"/>
    </font>
    <font>
      <name val="Arial"/>
      <b val="1"/>
      <color rgb="FF000000"/>
      <sz val="10"/>
      <u val="single"/>
      <scheme val="major"/>
    </font>
    <font>
      <name val="Arial"/>
      <color rgb="FF404040"/>
      <sz val="9"/>
    </font>
    <font>
      <name val="-Apple-System"/>
      <color rgb="FF22262B"/>
      <sz val="11"/>
    </font>
    <font>
      <name val="Aptos"/>
      <color rgb="FF002451"/>
      <sz val="12"/>
    </font>
    <font>
      <name val="Arial"/>
      <color rgb="FFEA4335"/>
      <sz val="10"/>
      <scheme val="minor"/>
    </font>
    <font>
      <name val="-Apple-System"/>
      <color rgb="FF000000"/>
      <sz val="12"/>
    </font>
    <font>
      <name val="Arial"/>
      <color theme="1"/>
      <sz val="11"/>
      <scheme val="major"/>
    </font>
    <font>
      <name val="Arial"/>
      <color rgb="FF000000"/>
      <sz val="10"/>
    </font>
    <font>
      <name val="Arial"/>
      <color rgb="FF000000"/>
      <sz val="12"/>
      <scheme val="minor"/>
    </font>
    <font>
      <name val="Arial"/>
      <color theme="1"/>
      <sz val="10"/>
      <u val="single"/>
      <scheme val="minor"/>
    </font>
    <font>
      <name val="Arial"/>
      <b val="1"/>
      <color theme="1"/>
      <sz val="12"/>
      <scheme val="minor"/>
    </font>
    <font>
      <name val="Arial"/>
      <b val="1"/>
      <color theme="1"/>
      <sz val="14"/>
      <scheme val="minor"/>
    </font>
    <font>
      <name val="Arial"/>
      <color theme="7"/>
      <sz val="10"/>
      <scheme val="minor"/>
    </font>
    <font>
      <name val="Arial"/>
      <i val="1"/>
      <color rgb="FF000000"/>
      <sz val="10"/>
      <scheme val="minor"/>
    </font>
    <font>
      <name val="Arial"/>
      <i val="1"/>
      <color theme="5" tint="-0.24998"/>
      <sz val="10"/>
      <scheme val="minor"/>
    </font>
    <font>
      <name val="Arial"/>
      <b val="1"/>
      <i val="1"/>
      <color theme="4"/>
      <sz val="10"/>
      <scheme val="minor"/>
    </font>
    <font>
      <name val="Arial"/>
      <b val="1"/>
      <color theme="4" tint="-0.24998"/>
      <sz val="10"/>
      <scheme val="minor"/>
    </font>
    <font>
      <name val="Arial"/>
      <color rgb="FF424C60"/>
      <sz val="10"/>
      <scheme val="minor"/>
    </font>
    <font>
      <name val="Calibri"/>
      <family val="2"/>
      <b val="1"/>
      <color rgb="FF000000"/>
      <sz val="11"/>
      <u val="single"/>
    </font>
    <font>
      <name val="Arial"/>
      <b val="1"/>
      <color rgb="FFFF0000"/>
      <sz val="10"/>
      <u val="single"/>
      <scheme val="minor"/>
    </font>
    <font>
      <name val="Arial"/>
      <b val="1"/>
      <color theme="6"/>
      <sz val="10"/>
      <u val="single"/>
      <scheme val="minor"/>
    </font>
    <font>
      <name val="Arial"/>
      <b val="1"/>
      <color rgb="FFFF0000"/>
      <sz val="10"/>
      <u val="single"/>
    </font>
    <font>
      <name val="Arial"/>
      <b val="1"/>
      <color rgb="FFFFC000"/>
      <sz val="10"/>
      <u val="single"/>
    </font>
    <font>
      <name val="Arial"/>
      <b val="1"/>
      <color rgb="FF000000"/>
      <sz val="10"/>
      <u val="single"/>
    </font>
    <font>
      <name val="Arial"/>
      <b val="1"/>
      <color rgb="FFFFFFFF"/>
      <sz val="10"/>
      <u val="single"/>
    </font>
    <font>
      <name val="Arial"/>
      <color rgb="FFC00000"/>
      <sz val="10"/>
      <scheme val="minor"/>
    </font>
    <font>
      <name val="Arial"/>
      <color rgb="FFC00000"/>
      <sz val="10"/>
      <u val="single"/>
      <scheme val="minor"/>
    </font>
    <font>
      <name val="Calibri"/>
      <family val="2"/>
      <b val="1"/>
      <color rgb="FF000000"/>
      <sz val="11"/>
    </font>
    <font>
      <name val="Calibri"/>
      <b val="1"/>
      <color rgb="FF000000"/>
      <sz val="11"/>
      <u val="single"/>
    </font>
    <font>
      <name val="Arial"/>
      <i val="1"/>
      <color rgb="FFC00000"/>
      <sz val="10"/>
      <scheme val="minor"/>
    </font>
    <font>
      <name val="Calibri"/>
      <b val="1"/>
      <color rgb="FF000000"/>
      <sz val="11"/>
    </font>
    <font>
      <name val="Calibri"/>
      <color rgb="FF000000"/>
      <sz val="11"/>
    </font>
    <font>
      <name val="Arial"/>
      <i val="1"/>
      <color rgb="FFFF0000"/>
      <sz val="10"/>
      <scheme val="minor"/>
    </font>
    <font>
      <name val="Arial"/>
      <color rgb="FFFF0000"/>
      <sz val="10"/>
      <u val="single"/>
      <scheme val="minor"/>
    </font>
    <font>
      <name val="Arial"/>
      <b val="1"/>
      <i val="1"/>
      <color rgb="FF000000"/>
      <sz val="10"/>
      <scheme val="minor"/>
    </font>
    <font>
      <name val="Aptos Narrow"/>
      <family val="2"/>
      <color rgb="FFFF0000"/>
      <sz val="11"/>
    </font>
    <font>
      <name val="-Apple-System"/>
      <color rgb="FF2B2826"/>
      <sz val="12"/>
    </font>
    <font>
      <name val="-Apple-System"/>
      <color rgb="FF000000"/>
      <sz val="11"/>
    </font>
    <font>
      <name val="Arial"/>
      <b val="1"/>
      <color theme="4"/>
      <sz val="10"/>
      <scheme val="minor"/>
    </font>
    <font>
      <name val="Arial"/>
      <b val="1"/>
      <color theme="4"/>
      <sz val="10"/>
      <u val="single"/>
      <scheme val="minor"/>
    </font>
    <font>
      <name val="Arial"/>
      <color rgb="FFFF0000"/>
      <sz val="11"/>
      <scheme val="major"/>
    </font>
    <font>
      <name val="Aptos Narrow"/>
      <color rgb="FFFF0000"/>
      <sz val="11"/>
    </font>
    <font>
      <name val="Arial"/>
      <color rgb="FFFF0000"/>
      <sz val="10"/>
      <scheme val="major"/>
    </font>
    <font>
      <name val="Georgia"/>
      <family val="1"/>
      <color rgb="FF000000"/>
      <sz val="10"/>
    </font>
    <font>
      <name val="Arial"/>
      <color theme="4"/>
      <sz val="11"/>
      <scheme val="major"/>
    </font>
    <font>
      <name val="Arial"/>
      <color theme="4"/>
      <sz val="10"/>
      <scheme val="minor"/>
    </font>
    <font>
      <name val="Aptos Narrow"/>
      <color theme="4"/>
      <sz val="11"/>
    </font>
    <font>
      <name val="Times New Roman"/>
      <color rgb="FF000000"/>
      <sz val="10"/>
    </font>
    <font>
      <name val="Arial"/>
      <color theme="6" tint="-0.24998"/>
      <sz val="10"/>
      <scheme val="minor"/>
    </font>
    <font>
      <name val="Arial"/>
      <color theme="6" tint="-0.24998"/>
      <sz val="10"/>
      <u val="single"/>
      <scheme val="minor"/>
    </font>
    <font>
      <name val="Arial"/>
      <color theme="6" tint="-0.24998"/>
      <sz val="11"/>
      <scheme val="major"/>
    </font>
    <font>
      <name val="Segoe UI"/>
      <color rgb="FF000000"/>
      <sz val="11"/>
    </font>
    <font>
      <b val="1"/>
      <color rgb="00FFFFFF"/>
      <sz val="16"/>
    </font>
    <font>
      <b val="1"/>
    </font>
    <font>
      <b val="1"/>
      <color rgb="000000FF"/>
    </font>
    <font>
      <b val="1"/>
      <color rgb="00FFFFFF"/>
    </font>
    <font>
      <color rgb="000000FF"/>
    </font>
    <font>
      <color rgb="00000000"/>
    </font>
    <font>
      <b val="1"/>
      <color rgb="00FFFFFF"/>
      <sz val="15"/>
    </font>
  </fonts>
  <fills count="35">
    <fill>
      <patternFill/>
    </fill>
    <fill>
      <patternFill patternType="gray125"/>
    </fill>
    <fill>
      <patternFill patternType="solid">
        <fgColor rgb="FFFFFFFF"/>
      </patternFill>
    </fill>
    <fill>
      <patternFill patternType="solid">
        <fgColor rgb="FFFF0000"/>
      </patternFill>
    </fill>
    <fill>
      <patternFill patternType="solid">
        <fgColor theme="6"/>
      </patternFill>
    </fill>
    <fill>
      <patternFill patternType="solid">
        <fgColor rgb="FFF2F2F2"/>
      </patternFill>
    </fill>
    <fill>
      <patternFill patternType="solid">
        <fgColor theme="7"/>
      </patternFill>
    </fill>
    <fill>
      <patternFill patternType="solid">
        <fgColor theme="5"/>
      </patternFill>
    </fill>
    <fill>
      <patternFill patternType="solid">
        <fgColor theme="0"/>
      </patternFill>
    </fill>
    <fill>
      <patternFill patternType="solid">
        <fgColor rgb="FFF8FAFD"/>
      </patternFill>
    </fill>
    <fill>
      <patternFill patternType="solid">
        <fgColor rgb="FFF0F4F9"/>
      </patternFill>
    </fill>
    <fill>
      <patternFill patternType="solid">
        <fgColor rgb="FFFFFF00"/>
      </patternFill>
    </fill>
    <fill>
      <patternFill patternType="solid">
        <fgColor rgb="FFA6C9EC"/>
      </patternFill>
    </fill>
    <fill>
      <patternFill patternType="solid">
        <fgColor rgb="FFDAF2D0"/>
      </patternFill>
    </fill>
    <fill>
      <patternFill patternType="solid">
        <fgColor rgb="FFFF0000"/>
      </patternFill>
    </fill>
    <fill>
      <patternFill patternType="solid">
        <fgColor rgb="FFFF0000"/>
      </patternFill>
    </fill>
    <fill>
      <patternFill patternType="solid">
        <fgColor theme="7"/>
      </patternFill>
    </fill>
    <fill>
      <patternFill patternType="solid">
        <fgColor theme="0"/>
      </patternFill>
    </fill>
    <fill>
      <patternFill patternType="solid">
        <fgColor theme="6"/>
      </patternFill>
    </fill>
    <fill>
      <patternFill patternType="solid">
        <fgColor rgb="FFFFC000"/>
      </patternFill>
    </fill>
    <fill>
      <patternFill patternType="solid">
        <fgColor theme="0"/>
      </patternFill>
    </fill>
    <fill>
      <patternFill patternType="solid">
        <fgColor theme="0"/>
      </patternFill>
    </fill>
    <fill>
      <patternFill patternType="solid">
        <fgColor rgb="FF00B050"/>
      </patternFill>
    </fill>
    <fill>
      <patternFill patternType="solid">
        <fgColor rgb="FF000000"/>
      </patternFill>
    </fill>
    <fill>
      <patternFill patternType="solid">
        <fgColor rgb="FFFFFFFF"/>
      </patternFill>
    </fill>
    <fill>
      <patternFill patternType="solid">
        <fgColor theme="5"/>
      </patternFill>
    </fill>
    <fill>
      <patternFill patternType="solid">
        <fgColor rgb="FFFFFF00"/>
      </patternFill>
    </fill>
    <fill>
      <patternFill patternType="solid">
        <fgColor theme="7" tint="0.79998"/>
      </patternFill>
    </fill>
    <fill>
      <patternFill patternType="solid">
        <fgColor rgb="FF00B0F0"/>
      </patternFill>
    </fill>
    <fill>
      <patternFill patternType="solid">
        <fgColor rgb="FF92D050"/>
      </patternFill>
    </fill>
    <fill>
      <patternFill patternType="solid">
        <fgColor theme="0" tint="-0.34999"/>
      </patternFill>
    </fill>
    <fill>
      <patternFill patternType="solid">
        <fgColor theme="5" tint="0.39998"/>
      </patternFill>
    </fill>
    <fill>
      <patternFill patternType="solid">
        <fgColor rgb="001F4E78"/>
      </patternFill>
    </fill>
    <fill>
      <patternFill patternType="solid">
        <fgColor rgb="00D9EAF7"/>
      </patternFill>
    </fill>
    <fill>
      <patternFill patternType="solid">
        <fgColor rgb="00FFF2CC"/>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bottom style="thin">
        <color rgb="00D9D9D9"/>
      </bottom>
    </border>
    <border>
      <left/>
      <right/>
      <top/>
      <bottom style="thin">
        <color rgb="00D9D9D9"/>
      </bottom>
      <diagonal/>
    </border>
  </borders>
  <cellStyleXfs count="2">
    <xf numFmtId="0" fontId="0" fillId="0" borderId="0"/>
    <xf numFmtId="0" fontId="62" fillId="0" borderId="0"/>
  </cellStyleXfs>
  <cellXfs count="44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2" fillId="3" borderId="0" pivotButton="0" quotePrefix="0" xfId="0"/>
    <xf numFmtId="0" fontId="4" fillId="3" borderId="0" pivotButton="0" quotePrefix="0" xfId="0"/>
    <xf numFmtId="0" fontId="5" fillId="2" borderId="0" pivotButton="0" quotePrefix="0" xfId="0"/>
    <xf numFmtId="0" fontId="6" fillId="2" borderId="0" applyAlignment="1" pivotButton="0" quotePrefix="0" xfId="0">
      <alignment horizontal="left"/>
    </xf>
    <xf numFmtId="0" fontId="2" fillId="4" borderId="0" pivotButton="0" quotePrefix="0" xfId="0"/>
    <xf numFmtId="0" fontId="4" fillId="4" borderId="0" pivotButton="0" quotePrefix="0" xfId="0"/>
    <xf numFmtId="0" fontId="7" fillId="2" borderId="0" applyAlignment="1" pivotButton="0" quotePrefix="0" xfId="0">
      <alignment horizontal="left"/>
    </xf>
    <xf numFmtId="0" fontId="8" fillId="2" borderId="0" applyAlignment="1" pivotButton="0" quotePrefix="0" xfId="0">
      <alignment horizontal="right"/>
    </xf>
    <xf numFmtId="0" fontId="9" fillId="2" borderId="0" pivotButton="0" quotePrefix="0" xfId="0"/>
    <xf numFmtId="0" fontId="10" fillId="5" borderId="0" applyAlignment="1" pivotButton="0" quotePrefix="0" xfId="0">
      <alignment horizontal="left"/>
    </xf>
    <xf numFmtId="0" fontId="10" fillId="3" borderId="0" applyAlignment="1" pivotButton="0" quotePrefix="0" xfId="0">
      <alignment horizontal="left"/>
    </xf>
    <xf numFmtId="0" fontId="2" fillId="6" borderId="0" pivotButton="0" quotePrefix="0" xfId="0"/>
    <xf numFmtId="0" fontId="4" fillId="6" borderId="0" pivotButton="0" quotePrefix="0" xfId="0"/>
    <xf numFmtId="0" fontId="11" fillId="2" borderId="0" pivotButton="0" quotePrefix="0" xfId="0"/>
    <xf numFmtId="0" fontId="12" fillId="2" borderId="0" pivotButton="0" quotePrefix="0" xfId="0"/>
    <xf numFmtId="0" fontId="13" fillId="2" borderId="0" pivotButton="0" quotePrefix="0" xfId="0"/>
    <xf numFmtId="0" fontId="14" fillId="6" borderId="0" pivotButton="0" quotePrefix="0" xfId="0"/>
    <xf numFmtId="0" fontId="2" fillId="7" borderId="0" pivotButton="0" quotePrefix="0" xfId="0"/>
    <xf numFmtId="0" fontId="15" fillId="3" borderId="0" pivotButton="0" quotePrefix="0" xfId="0"/>
    <xf numFmtId="0" fontId="16" fillId="6" borderId="0" pivotButton="0" quotePrefix="0" xfId="0"/>
    <xf numFmtId="0" fontId="16" fillId="2" borderId="0" pivotButton="0" quotePrefix="0" xfId="0"/>
    <xf numFmtId="0" fontId="16" fillId="7" borderId="0" pivotButton="0" quotePrefix="0" xfId="0"/>
    <xf numFmtId="0" fontId="17" fillId="2" borderId="0" pivotButton="0" quotePrefix="0" xfId="0"/>
    <xf numFmtId="0" fontId="18" fillId="2" borderId="0" applyAlignment="1" pivotButton="0" quotePrefix="0" xfId="0">
      <alignment horizontal="left"/>
    </xf>
    <xf numFmtId="0" fontId="19" fillId="2" borderId="0" pivotButton="0" quotePrefix="0" xfId="0"/>
    <xf numFmtId="0" fontId="20" fillId="2" borderId="0" pivotButton="0" quotePrefix="0" xfId="0"/>
    <xf numFmtId="0" fontId="21" fillId="2" borderId="0" applyAlignment="1" pivotButton="0" quotePrefix="0" xfId="0">
      <alignment wrapText="1"/>
    </xf>
    <xf numFmtId="0" fontId="22" fillId="0" borderId="0" pivotButton="0" quotePrefix="0" xfId="0"/>
    <xf numFmtId="0" fontId="2" fillId="8" borderId="0" pivotButton="0" quotePrefix="0" xfId="0"/>
    <xf numFmtId="0" fontId="4" fillId="8" borderId="0" pivotButton="0" quotePrefix="0" xfId="0"/>
    <xf numFmtId="0" fontId="14" fillId="8" borderId="0" pivotButton="0" quotePrefix="0" xfId="0"/>
    <xf numFmtId="0" fontId="13" fillId="8" borderId="0" pivotButton="0" quotePrefix="0" xfId="0"/>
    <xf numFmtId="0" fontId="23" fillId="8" borderId="0" pivotButton="0" quotePrefix="0" xfId="0"/>
    <xf numFmtId="164" fontId="2" fillId="6" borderId="0" pivotButton="0" quotePrefix="0" xfId="0"/>
    <xf numFmtId="164" fontId="2" fillId="0" borderId="0" pivotButton="0" quotePrefix="0" xfId="0"/>
    <xf numFmtId="0" fontId="24" fillId="0" borderId="0" pivotButton="0" quotePrefix="0" xfId="0"/>
    <xf numFmtId="0" fontId="11" fillId="6" borderId="0" pivotButton="0" quotePrefix="0" xfId="0"/>
    <xf numFmtId="0" fontId="26" fillId="9" borderId="0" pivotButton="0" quotePrefix="0" xfId="0"/>
    <xf numFmtId="0" fontId="27" fillId="0" borderId="0" pivotButton="0" quotePrefix="0" xfId="0"/>
    <xf numFmtId="0" fontId="28" fillId="0" borderId="0" pivotButton="0" quotePrefix="0" xfId="0"/>
    <xf numFmtId="0" fontId="29" fillId="10" borderId="0" pivotButton="0" quotePrefix="0" xfId="0"/>
    <xf numFmtId="0" fontId="30" fillId="0" borderId="0" pivotButton="0" quotePrefix="0" xfId="0"/>
    <xf numFmtId="0" fontId="31" fillId="0" borderId="0" pivotButton="0" quotePrefix="0" xfId="0"/>
    <xf numFmtId="0" fontId="32" fillId="0" borderId="0" pivotButton="0" quotePrefix="0" xfId="0"/>
    <xf numFmtId="0" fontId="33" fillId="0" borderId="0" pivotButton="0" quotePrefix="0" xfId="0"/>
    <xf numFmtId="0" fontId="34" fillId="0" borderId="0" pivotButton="0" quotePrefix="0" xfId="0"/>
    <xf numFmtId="0" fontId="35" fillId="0" borderId="0" pivotButton="0" quotePrefix="0" xfId="0"/>
    <xf numFmtId="0" fontId="36" fillId="0" borderId="0" pivotButton="0" quotePrefix="0" xfId="0"/>
    <xf numFmtId="0" fontId="37" fillId="0" borderId="0" pivotButton="0" quotePrefix="0" xfId="0"/>
    <xf numFmtId="0" fontId="38" fillId="0" borderId="0" pivotButton="0" quotePrefix="0" xfId="0"/>
    <xf numFmtId="0" fontId="39" fillId="0" borderId="0" pivotButton="0" quotePrefix="0" xfId="0"/>
    <xf numFmtId="0" fontId="39" fillId="0" borderId="1" pivotButton="0" quotePrefix="0" xfId="0"/>
    <xf numFmtId="0" fontId="40" fillId="0" borderId="3" applyAlignment="1" pivotButton="0" quotePrefix="0" xfId="0">
      <alignment horizontal="center"/>
    </xf>
    <xf numFmtId="0" fontId="39" fillId="0" borderId="4" pivotButton="0" quotePrefix="0" xfId="0"/>
    <xf numFmtId="0" fontId="39" fillId="11" borderId="6" pivotButton="0" quotePrefix="0" xfId="0"/>
    <xf numFmtId="0" fontId="39" fillId="0" borderId="6" pivotButton="0" quotePrefix="0" xfId="0"/>
    <xf numFmtId="0" fontId="42" fillId="0" borderId="4" applyAlignment="1" pivotButton="0" quotePrefix="0" xfId="0">
      <alignment horizontal="center"/>
    </xf>
    <xf numFmtId="0" fontId="39" fillId="0" borderId="6" applyAlignment="1" pivotButton="0" quotePrefix="0" xfId="0">
      <alignment horizontal="center"/>
    </xf>
    <xf numFmtId="0" fontId="43" fillId="0" borderId="6" pivotButton="0" quotePrefix="0" xfId="0"/>
    <xf numFmtId="0" fontId="44" fillId="0" borderId="6" pivotButton="0" quotePrefix="0" xfId="0"/>
    <xf numFmtId="0" fontId="45" fillId="0" borderId="6" pivotButton="0" quotePrefix="0" xfId="0"/>
    <xf numFmtId="0" fontId="39" fillId="12" borderId="6" applyAlignment="1" pivotButton="0" quotePrefix="0" xfId="0">
      <alignment horizontal="center"/>
    </xf>
    <xf numFmtId="0" fontId="46" fillId="0" borderId="6" pivotButton="0" quotePrefix="0" xfId="0"/>
    <xf numFmtId="0" fontId="47" fillId="0" borderId="6" pivotButton="0" quotePrefix="0" xfId="0"/>
    <xf numFmtId="0" fontId="48" fillId="0" borderId="6" pivotButton="0" quotePrefix="0" xfId="0"/>
    <xf numFmtId="0" fontId="49" fillId="0" borderId="6" pivotButton="0" quotePrefix="0" xfId="0"/>
    <xf numFmtId="0" fontId="43" fillId="0" borderId="0" pivotButton="0" quotePrefix="0" xfId="0"/>
    <xf numFmtId="0" fontId="43" fillId="0" borderId="6" applyAlignment="1" pivotButton="0" quotePrefix="0" xfId="0">
      <alignment horizontal="center"/>
    </xf>
    <xf numFmtId="0" fontId="50" fillId="0" borderId="6" pivotButton="0" quotePrefix="0" xfId="0"/>
    <xf numFmtId="0" fontId="51" fillId="0" borderId="6" pivotButton="0" quotePrefix="0" xfId="0"/>
    <xf numFmtId="0" fontId="52" fillId="0" borderId="6" pivotButton="0" quotePrefix="0" xfId="0"/>
    <xf numFmtId="0" fontId="53" fillId="0" borderId="0" applyAlignment="1" pivotButton="0" quotePrefix="0" xfId="0">
      <alignment wrapText="1"/>
    </xf>
    <xf numFmtId="0" fontId="53" fillId="0" borderId="0" applyAlignment="1" pivotButton="0" quotePrefix="0" xfId="0">
      <alignment horizontal="center"/>
    </xf>
    <xf numFmtId="0" fontId="53" fillId="0" borderId="6" pivotButton="0" quotePrefix="0" xfId="0"/>
    <xf numFmtId="0" fontId="39" fillId="0" borderId="0" applyAlignment="1" pivotButton="0" quotePrefix="0" xfId="0">
      <alignment wrapText="1"/>
    </xf>
    <xf numFmtId="16" fontId="0" fillId="0" borderId="0" pivotButton="0" quotePrefix="0" xfId="0"/>
    <xf numFmtId="0" fontId="63" fillId="0" borderId="0" pivotButton="0" quotePrefix="0" xfId="0"/>
    <xf numFmtId="0" fontId="64" fillId="0" borderId="0" pivotButton="0" quotePrefix="0" xfId="0"/>
    <xf numFmtId="0" fontId="65" fillId="0" borderId="0" pivotButton="0" quotePrefix="0" xfId="0"/>
    <xf numFmtId="0" fontId="62" fillId="0" borderId="0" pivotButton="0" quotePrefix="0" xfId="1"/>
    <xf numFmtId="0" fontId="66" fillId="14" borderId="0" pivotButton="0" quotePrefix="0" xfId="0"/>
    <xf numFmtId="0" fontId="67" fillId="14" borderId="0" pivotButton="0" quotePrefix="0" xfId="0"/>
    <xf numFmtId="0" fontId="68" fillId="0" borderId="0" pivotButton="0" quotePrefix="0" xfId="0"/>
    <xf numFmtId="0" fontId="68" fillId="16" borderId="0" pivotButton="0" quotePrefix="0" xfId="0"/>
    <xf numFmtId="0" fontId="0" fillId="16" borderId="0" pivotButton="0" quotePrefix="0" xfId="0"/>
    <xf numFmtId="0" fontId="68" fillId="17" borderId="0" pivotButton="0" quotePrefix="0" xfId="0"/>
    <xf numFmtId="0" fontId="63" fillId="17" borderId="0" pivotButton="0" quotePrefix="0" xfId="0"/>
    <xf numFmtId="0" fontId="62" fillId="17" borderId="0" pivotButton="0" quotePrefix="0" xfId="1"/>
    <xf numFmtId="16" fontId="0" fillId="17" borderId="0" pivotButton="0" quotePrefix="0" xfId="0"/>
    <xf numFmtId="0" fontId="70" fillId="0" borderId="0" pivotButton="0" quotePrefix="0" xfId="0"/>
    <xf numFmtId="0" fontId="0" fillId="18" borderId="0" pivotButton="0" quotePrefix="0" xfId="0"/>
    <xf numFmtId="0" fontId="0" fillId="14" borderId="0" pivotButton="0" quotePrefix="0" xfId="0"/>
    <xf numFmtId="0" fontId="63" fillId="14" borderId="0" pivotButton="0" quotePrefix="0" xfId="0"/>
    <xf numFmtId="0" fontId="63" fillId="0" borderId="0" applyAlignment="1" pivotButton="0" quotePrefix="0" xfId="0">
      <alignment wrapText="1"/>
    </xf>
    <xf numFmtId="16" fontId="0" fillId="19" borderId="0" pivotButton="0" quotePrefix="0" xfId="0"/>
    <xf numFmtId="0" fontId="0" fillId="17" borderId="0" pivotButton="0" quotePrefix="0" xfId="0"/>
    <xf numFmtId="0" fontId="2" fillId="14" borderId="0" pivotButton="0" quotePrefix="0" xfId="0"/>
    <xf numFmtId="0" fontId="3" fillId="14" borderId="0" pivotButton="0" quotePrefix="0" xfId="0"/>
    <xf numFmtId="0" fontId="2" fillId="17" borderId="0" pivotButton="0" quotePrefix="0" xfId="0"/>
    <xf numFmtId="0" fontId="3" fillId="17" borderId="0" pivotButton="0" quotePrefix="0" xfId="0"/>
    <xf numFmtId="164" fontId="2" fillId="17" borderId="0" pivotButton="0" quotePrefix="0" xfId="0"/>
    <xf numFmtId="164" fontId="2" fillId="21" borderId="0" pivotButton="0" quotePrefix="0" xfId="0"/>
    <xf numFmtId="164" fontId="66" fillId="17" borderId="0" pivotButton="0" quotePrefix="0" xfId="0"/>
    <xf numFmtId="16" fontId="68" fillId="0" borderId="0" pivotButton="0" quotePrefix="0" xfId="0"/>
    <xf numFmtId="0" fontId="65" fillId="0" borderId="0" pivotButton="0" quotePrefix="0" xfId="0"/>
    <xf numFmtId="0" fontId="62" fillId="0" borderId="0" pivotButton="0" quotePrefix="0" xfId="1"/>
    <xf numFmtId="0" fontId="62" fillId="0" borderId="0" pivotButton="0" quotePrefix="0" xfId="1"/>
    <xf numFmtId="0" fontId="73" fillId="0" borderId="0" pivotButton="0" quotePrefix="0" xfId="0"/>
    <xf numFmtId="164" fontId="2" fillId="14" borderId="0" pivotButton="0" quotePrefix="0" xfId="0"/>
    <xf numFmtId="0" fontId="0" fillId="0" borderId="0" applyAlignment="1" pivotButton="0" quotePrefix="0" xfId="0">
      <alignment wrapText="1"/>
    </xf>
    <xf numFmtId="0" fontId="68" fillId="19" borderId="0" pivotButton="0" quotePrefix="0" xfId="0"/>
    <xf numFmtId="0" fontId="63" fillId="19" borderId="0" applyAlignment="1" pivotButton="0" quotePrefix="0" xfId="0">
      <alignment wrapText="1"/>
    </xf>
    <xf numFmtId="0" fontId="62" fillId="19" borderId="0" pivotButton="0" quotePrefix="0" xfId="1"/>
    <xf numFmtId="0" fontId="0" fillId="19" borderId="0" pivotButton="0" quotePrefix="0" xfId="0"/>
    <xf numFmtId="0" fontId="68" fillId="22" borderId="0" pivotButton="0" quotePrefix="0" xfId="0"/>
    <xf numFmtId="0" fontId="62" fillId="22" borderId="0" pivotButton="0" quotePrefix="0" xfId="1"/>
    <xf numFmtId="16" fontId="0" fillId="22" borderId="0" pivotButton="0" quotePrefix="0" xfId="0"/>
    <xf numFmtId="0" fontId="0" fillId="22" borderId="0" pivotButton="0" quotePrefix="0" xfId="0"/>
    <xf numFmtId="0" fontId="63" fillId="22" borderId="0" applyAlignment="1" pivotButton="0" quotePrefix="0" xfId="0">
      <alignment wrapText="1"/>
    </xf>
    <xf numFmtId="0" fontId="72" fillId="22" borderId="0" pivotButton="0" quotePrefix="0" xfId="0"/>
    <xf numFmtId="0" fontId="68" fillId="14" borderId="0" pivotButton="0" quotePrefix="0" xfId="0"/>
    <xf numFmtId="0" fontId="63" fillId="14" borderId="0" applyAlignment="1" pivotButton="0" quotePrefix="0" xfId="0">
      <alignment wrapText="1"/>
    </xf>
    <xf numFmtId="0" fontId="62" fillId="14" borderId="0" pivotButton="0" quotePrefix="0" xfId="1"/>
    <xf numFmtId="0" fontId="62" fillId="22" borderId="0" applyAlignment="1" pivotButton="0" quotePrefix="0" xfId="1">
      <alignment vertical="center" wrapText="1"/>
    </xf>
    <xf numFmtId="16" fontId="0" fillId="14" borderId="0" pivotButton="0" quotePrefix="0" xfId="0"/>
    <xf numFmtId="0" fontId="74" fillId="0" borderId="0" pivotButton="0" quotePrefix="0" xfId="0"/>
    <xf numFmtId="0" fontId="62" fillId="0" borderId="0" applyAlignment="1" pivotButton="0" quotePrefix="0" xfId="1">
      <alignment horizontal="center" vertical="center" wrapText="1"/>
    </xf>
    <xf numFmtId="0" fontId="68" fillId="0" borderId="0" applyAlignment="1" pivotButton="0" quotePrefix="0" xfId="0">
      <alignment wrapText="1"/>
    </xf>
    <xf numFmtId="0" fontId="74" fillId="14" borderId="0" pivotButton="0" quotePrefix="0" xfId="0"/>
    <xf numFmtId="0" fontId="3" fillId="3" borderId="0" pivotButton="0" quotePrefix="0" xfId="0"/>
    <xf numFmtId="0" fontId="3" fillId="4" borderId="0" pivotButton="0" quotePrefix="0" xfId="0"/>
    <xf numFmtId="0" fontId="3" fillId="6" borderId="0" pivotButton="0" quotePrefix="0" xfId="0"/>
    <xf numFmtId="0" fontId="3" fillId="7" borderId="0" pivotButton="0" quotePrefix="0" xfId="0"/>
    <xf numFmtId="0" fontId="3" fillId="8" borderId="0" pivotButton="0" quotePrefix="0" xfId="0"/>
    <xf numFmtId="0" fontId="3" fillId="9" borderId="0" pivotButton="0" quotePrefix="0" xfId="0"/>
    <xf numFmtId="0" fontId="3" fillId="0" borderId="6" pivotButton="0" quotePrefix="0" xfId="0"/>
    <xf numFmtId="0" fontId="44" fillId="0" borderId="0" applyAlignment="1" pivotButton="0" quotePrefix="0" xfId="0">
      <alignment horizontal="left"/>
    </xf>
    <xf numFmtId="0" fontId="49" fillId="0" borderId="0" pivotButton="0" quotePrefix="0" xfId="0"/>
    <xf numFmtId="0" fontId="77" fillId="0" borderId="0" pivotButton="0" quotePrefix="0" xfId="0"/>
    <xf numFmtId="0" fontId="78" fillId="0" borderId="0" pivotButton="0" quotePrefix="0" xfId="0"/>
    <xf numFmtId="0" fontId="79" fillId="0" borderId="0" applyAlignment="1" pivotButton="0" quotePrefix="0" xfId="0">
      <alignment wrapText="1"/>
    </xf>
    <xf numFmtId="0" fontId="79" fillId="0" borderId="0" pivotButton="0" quotePrefix="0" xfId="0"/>
    <xf numFmtId="0" fontId="80" fillId="0" borderId="0" pivotButton="0" quotePrefix="0" xfId="0"/>
    <xf numFmtId="0" fontId="80" fillId="0" borderId="0" applyAlignment="1" pivotButton="0" quotePrefix="0" xfId="0">
      <alignment wrapText="1"/>
    </xf>
    <xf numFmtId="0" fontId="56" fillId="0" borderId="0" pivotButton="0" quotePrefix="0" xfId="0"/>
    <xf numFmtId="0" fontId="82" fillId="0" borderId="0" pivotButton="0" quotePrefix="0" xfId="0"/>
    <xf numFmtId="0" fontId="40" fillId="0" borderId="6" pivotButton="0" quotePrefix="0" xfId="0"/>
    <xf numFmtId="0" fontId="83" fillId="0" borderId="0" pivotButton="0" quotePrefix="0" xfId="0"/>
    <xf numFmtId="0" fontId="77" fillId="14" borderId="0" pivotButton="0" quotePrefix="0" xfId="0"/>
    <xf numFmtId="0" fontId="84" fillId="23" borderId="0" applyAlignment="1" pivotButton="0" quotePrefix="0" xfId="0">
      <alignment wrapText="1"/>
    </xf>
    <xf numFmtId="0" fontId="85" fillId="23" borderId="0" applyAlignment="1" pivotButton="0" quotePrefix="0" xfId="0">
      <alignment wrapText="1"/>
    </xf>
    <xf numFmtId="0" fontId="62" fillId="0" borderId="0" applyAlignment="1" pivotButton="0" quotePrefix="0" xfId="1">
      <alignment wrapText="1"/>
    </xf>
    <xf numFmtId="0" fontId="86" fillId="0" borderId="0" pivotButton="0" quotePrefix="0" xfId="0"/>
    <xf numFmtId="0" fontId="0" fillId="0" borderId="0" pivotButton="0" quotePrefix="0" xfId="0"/>
    <xf numFmtId="0" fontId="73" fillId="22" borderId="0" pivotButton="0" quotePrefix="0" xfId="0"/>
    <xf numFmtId="0" fontId="87" fillId="0" borderId="0" pivotButton="0" quotePrefix="0" xfId="0"/>
    <xf numFmtId="0" fontId="87" fillId="24" borderId="0" pivotButton="0" quotePrefix="0" xfId="0"/>
    <xf numFmtId="0" fontId="88" fillId="24" borderId="0" pivotButton="0" quotePrefix="0" xfId="0"/>
    <xf numFmtId="0" fontId="89" fillId="0" borderId="0" pivotButton="0" quotePrefix="0" xfId="0"/>
    <xf numFmtId="14" fontId="0" fillId="0" borderId="0" pivotButton="0" quotePrefix="0" xfId="0"/>
    <xf numFmtId="0" fontId="90" fillId="0" borderId="0" pivotButton="0" quotePrefix="0" xfId="0"/>
    <xf numFmtId="0" fontId="91" fillId="0" borderId="0" pivotButton="0" quotePrefix="0" xfId="0"/>
    <xf numFmtId="0" fontId="92" fillId="0" borderId="0" pivotButton="0" quotePrefix="0" xfId="0"/>
    <xf numFmtId="0" fontId="93" fillId="0" borderId="0" pivotButton="0" quotePrefix="0" xfId="0"/>
    <xf numFmtId="0" fontId="94" fillId="0" borderId="0" pivotButton="0" quotePrefix="0" xfId="0"/>
    <xf numFmtId="0" fontId="95" fillId="0" borderId="0" pivotButton="0" quotePrefix="0" xfId="0"/>
    <xf numFmtId="0" fontId="94" fillId="14" borderId="0" pivotButton="0" quotePrefix="0" xfId="0"/>
    <xf numFmtId="0" fontId="95" fillId="14" borderId="0" pivotButton="0" quotePrefix="0" xfId="0"/>
    <xf numFmtId="0" fontId="62" fillId="22" borderId="0" applyAlignment="1" pivotButton="0" quotePrefix="0" xfId="1">
      <alignment wrapText="1"/>
    </xf>
    <xf numFmtId="0" fontId="94" fillId="22" borderId="0" pivotButton="0" quotePrefix="0" xfId="0"/>
    <xf numFmtId="0" fontId="92" fillId="0" borderId="0" pivotButton="0" quotePrefix="0" xfId="0"/>
    <xf numFmtId="0" fontId="24" fillId="0" borderId="0" applyAlignment="1" pivotButton="0" quotePrefix="0" xfId="0">
      <alignment wrapText="1"/>
    </xf>
    <xf numFmtId="0" fontId="4" fillId="2" borderId="0" applyAlignment="1" pivotButton="0" quotePrefix="0" xfId="0">
      <alignment wrapText="1"/>
    </xf>
    <xf numFmtId="0" fontId="2" fillId="0" borderId="0" applyAlignment="1" pivotButton="0" quotePrefix="0" xfId="0">
      <alignment wrapText="1"/>
    </xf>
    <xf numFmtId="0" fontId="62" fillId="15" borderId="0" applyAlignment="1" pivotButton="0" quotePrefix="0" xfId="1">
      <alignment wrapText="1"/>
    </xf>
    <xf numFmtId="0" fontId="4" fillId="15" borderId="0" applyAlignment="1" pivotButton="0" quotePrefix="0" xfId="0">
      <alignment wrapText="1"/>
    </xf>
    <xf numFmtId="0" fontId="14" fillId="2" borderId="0" applyAlignment="1" pivotButton="0" quotePrefix="0" xfId="0">
      <alignment wrapText="1"/>
    </xf>
    <xf numFmtId="0" fontId="62" fillId="2" borderId="0" applyAlignment="1" pivotButton="0" quotePrefix="0" xfId="1">
      <alignment wrapText="1"/>
    </xf>
    <xf numFmtId="0" fontId="71" fillId="2" borderId="0" applyAlignment="1" pivotButton="0" quotePrefix="0" xfId="0">
      <alignment wrapText="1"/>
    </xf>
    <xf numFmtId="0" fontId="25" fillId="2" borderId="0" applyAlignment="1" pivotButton="0" quotePrefix="0" xfId="0">
      <alignment wrapText="1"/>
    </xf>
    <xf numFmtId="0" fontId="4" fillId="20" borderId="0" applyAlignment="1" pivotButton="0" quotePrefix="0" xfId="0">
      <alignment wrapText="1"/>
    </xf>
    <xf numFmtId="0" fontId="4" fillId="7" borderId="0" applyAlignment="1" pivotButton="0" quotePrefix="0" xfId="0">
      <alignment wrapText="1"/>
    </xf>
    <xf numFmtId="0" fontId="2" fillId="6" borderId="0" applyAlignment="1" pivotButton="0" quotePrefix="0" xfId="0">
      <alignment wrapText="1"/>
    </xf>
    <xf numFmtId="0" fontId="65" fillId="0" borderId="0" applyAlignment="1" pivotButton="0" quotePrefix="0" xfId="0">
      <alignment wrapText="1"/>
    </xf>
    <xf numFmtId="0" fontId="65" fillId="14" borderId="0" applyAlignment="1" pivotButton="0" quotePrefix="0" xfId="0">
      <alignment wrapText="1"/>
    </xf>
    <xf numFmtId="0" fontId="65" fillId="17" borderId="0" applyAlignment="1" pivotButton="0" quotePrefix="0" xfId="0">
      <alignment wrapText="1"/>
    </xf>
    <xf numFmtId="0" fontId="62" fillId="22" borderId="0" applyAlignment="1" pivotButton="0" quotePrefix="0" xfId="1">
      <alignment wrapText="1"/>
    </xf>
    <xf numFmtId="0" fontId="69" fillId="0" borderId="0" applyAlignment="1" pivotButton="0" quotePrefix="0" xfId="0">
      <alignment vertical="center" wrapText="1"/>
    </xf>
    <xf numFmtId="0" fontId="0" fillId="16" borderId="0" applyAlignment="1" pivotButton="0" quotePrefix="0" xfId="0">
      <alignment wrapText="1"/>
    </xf>
    <xf numFmtId="0" fontId="65" fillId="18" borderId="0" applyAlignment="1" pivotButton="0" quotePrefix="0" xfId="0">
      <alignment wrapText="1"/>
    </xf>
    <xf numFmtId="0" fontId="65" fillId="0" borderId="0" applyAlignment="1" pivotButton="0" quotePrefix="0" xfId="0">
      <alignment wrapText="1"/>
    </xf>
    <xf numFmtId="0" fontId="65" fillId="22" borderId="0" applyAlignment="1" pivotButton="0" quotePrefix="0" xfId="0">
      <alignment wrapText="1"/>
    </xf>
    <xf numFmtId="0" fontId="62" fillId="0" borderId="0" applyAlignment="1" pivotButton="0" quotePrefix="0" xfId="1">
      <alignment wrapText="1"/>
    </xf>
    <xf numFmtId="0" fontId="62" fillId="0" borderId="0" applyAlignment="1" pivotButton="0" quotePrefix="0" xfId="1">
      <alignment wrapText="1"/>
    </xf>
    <xf numFmtId="0" fontId="68" fillId="0" borderId="0" applyAlignment="1" pivotButton="0" quotePrefix="0" xfId="0">
      <alignment wrapText="1"/>
    </xf>
    <xf numFmtId="0" fontId="62" fillId="14" borderId="0" applyAlignment="1" pivotButton="0" quotePrefix="0" xfId="1">
      <alignment wrapText="1"/>
    </xf>
    <xf numFmtId="0" fontId="62" fillId="19" borderId="0" applyAlignment="1" pivotButton="0" quotePrefix="0" xfId="1">
      <alignment wrapText="1"/>
    </xf>
    <xf numFmtId="0" fontId="73" fillId="0" borderId="0" applyAlignment="1" pivotButton="0" quotePrefix="0" xfId="0">
      <alignment wrapText="1"/>
    </xf>
    <xf numFmtId="0" fontId="68" fillId="19" borderId="0" applyAlignment="1" pivotButton="0" quotePrefix="0" xfId="0">
      <alignment wrapText="1"/>
    </xf>
    <xf numFmtId="0" fontId="65" fillId="19" borderId="0" applyAlignment="1" pivotButton="0" quotePrefix="0" xfId="0">
      <alignment wrapText="1"/>
    </xf>
    <xf numFmtId="0" fontId="65" fillId="22" borderId="0" applyAlignment="1" pivotButton="0" quotePrefix="0" xfId="0">
      <alignment wrapText="1"/>
    </xf>
    <xf numFmtId="0" fontId="65" fillId="0" borderId="0" applyAlignment="1" pivotButton="0" quotePrefix="0" xfId="0">
      <alignment wrapText="1"/>
    </xf>
    <xf numFmtId="0" fontId="0" fillId="14" borderId="0" applyAlignment="1" pivotButton="0" quotePrefix="0" xfId="0">
      <alignment wrapText="1"/>
    </xf>
    <xf numFmtId="0" fontId="68" fillId="14" borderId="0" applyAlignment="1" pivotButton="0" quotePrefix="0" xfId="0">
      <alignment wrapText="1"/>
    </xf>
    <xf numFmtId="0" fontId="73" fillId="22" borderId="0" applyAlignment="1" pivotButton="0" quotePrefix="0" xfId="0">
      <alignment wrapText="1"/>
    </xf>
    <xf numFmtId="0" fontId="77" fillId="0" borderId="0" applyAlignment="1" pivotButton="0" quotePrefix="0" xfId="0">
      <alignment wrapText="1"/>
    </xf>
    <xf numFmtId="0" fontId="77" fillId="14" borderId="0" applyAlignment="1" pivotButton="0" quotePrefix="0" xfId="0">
      <alignment wrapText="1"/>
    </xf>
    <xf numFmtId="0" fontId="77" fillId="19" borderId="0" applyAlignment="1" pivotButton="0" quotePrefix="0" xfId="0">
      <alignment wrapText="1"/>
    </xf>
    <xf numFmtId="0" fontId="91" fillId="0" borderId="0" applyAlignment="1" pivotButton="0" quotePrefix="0" xfId="0">
      <alignment wrapText="1"/>
    </xf>
    <xf numFmtId="0" fontId="77" fillId="22" borderId="0" applyAlignment="1" pivotButton="0" quotePrefix="0" xfId="0">
      <alignment wrapText="1"/>
    </xf>
    <xf numFmtId="0" fontId="92" fillId="0" borderId="0" applyAlignment="1" pivotButton="0" quotePrefix="0" xfId="0">
      <alignment wrapText="1"/>
    </xf>
    <xf numFmtId="0" fontId="0" fillId="0" borderId="0" pivotButton="0" quotePrefix="0" xfId="0"/>
    <xf numFmtId="0" fontId="96" fillId="24" borderId="0" applyAlignment="1" pivotButton="0" quotePrefix="0" xfId="0">
      <alignment wrapText="1"/>
    </xf>
    <xf numFmtId="0" fontId="78" fillId="0" borderId="0" applyAlignment="1" pivotButton="0" quotePrefix="0" xfId="0">
      <alignment wrapText="1"/>
    </xf>
    <xf numFmtId="0" fontId="0" fillId="17" borderId="0" applyAlignment="1" pivotButton="0" quotePrefix="0" xfId="0">
      <alignment wrapText="1"/>
    </xf>
    <xf numFmtId="16" fontId="0" fillId="0" borderId="0" applyAlignment="1" pivotButton="0" quotePrefix="0" xfId="0">
      <alignment wrapText="1"/>
    </xf>
    <xf numFmtId="0" fontId="97" fillId="0" borderId="0" applyAlignment="1" pivotButton="0" quotePrefix="0" xfId="1">
      <alignment wrapText="1"/>
    </xf>
    <xf numFmtId="14" fontId="2" fillId="0" borderId="0" pivotButton="0" quotePrefix="0" xfId="0"/>
    <xf numFmtId="0" fontId="77" fillId="22" borderId="0" pivotButton="0" quotePrefix="0" xfId="0"/>
    <xf numFmtId="0" fontId="98" fillId="0" borderId="0" pivotButton="0" quotePrefix="0" xfId="0"/>
    <xf numFmtId="0" fontId="99" fillId="17" borderId="0" applyAlignment="1" pivotButton="0" quotePrefix="0" xfId="0">
      <alignment wrapText="1"/>
    </xf>
    <xf numFmtId="16" fontId="98" fillId="17" borderId="0" pivotButton="0" quotePrefix="0" xfId="0"/>
    <xf numFmtId="0" fontId="98" fillId="17" borderId="0" pivotButton="0" quotePrefix="0" xfId="0"/>
    <xf numFmtId="0" fontId="101" fillId="17" borderId="0" pivotButton="0" quotePrefix="0" xfId="1"/>
    <xf numFmtId="0" fontId="100" fillId="17" borderId="0" applyAlignment="1" pivotButton="0" quotePrefix="0" xfId="0">
      <alignment wrapText="1"/>
    </xf>
    <xf numFmtId="0" fontId="100" fillId="17" borderId="0" pivotButton="0" quotePrefix="0" xfId="0"/>
    <xf numFmtId="0" fontId="102" fillId="0" borderId="0" pivotButton="0" quotePrefix="0" xfId="0"/>
    <xf numFmtId="0" fontId="62" fillId="17" borderId="0" applyAlignment="1" pivotButton="0" quotePrefix="0" xfId="1">
      <alignment wrapText="1"/>
    </xf>
    <xf numFmtId="0" fontId="79" fillId="17" borderId="0" pivotButton="0" quotePrefix="0" xfId="0"/>
    <xf numFmtId="0" fontId="0" fillId="17" borderId="0" pivotButton="0" quotePrefix="0" xfId="0"/>
    <xf numFmtId="0" fontId="0" fillId="25" borderId="0" pivotButton="0" quotePrefix="0" xfId="0"/>
    <xf numFmtId="0" fontId="94" fillId="25" borderId="0" pivotButton="0" quotePrefix="0" xfId="0"/>
    <xf numFmtId="0" fontId="62" fillId="25" borderId="0" pivotButton="0" quotePrefix="0" xfId="1"/>
    <xf numFmtId="0" fontId="77" fillId="25" borderId="0" applyAlignment="1" pivotButton="0" quotePrefix="0" xfId="0">
      <alignment wrapText="1"/>
    </xf>
    <xf numFmtId="16" fontId="0" fillId="25" borderId="0" pivotButton="0" quotePrefix="0" xfId="0"/>
    <xf numFmtId="0" fontId="4" fillId="14" borderId="0" applyAlignment="1" pivotButton="0" quotePrefix="0" xfId="0">
      <alignment wrapText="1"/>
    </xf>
    <xf numFmtId="0" fontId="103" fillId="22" borderId="0" pivotButton="0" quotePrefix="0" xfId="0"/>
    <xf numFmtId="0" fontId="103" fillId="17" borderId="0" pivotButton="0" quotePrefix="0" xfId="0"/>
    <xf numFmtId="0" fontId="104" fillId="0" borderId="0" pivotButton="0" quotePrefix="0" xfId="0"/>
    <xf numFmtId="0" fontId="105" fillId="0" borderId="0" pivotButton="0" quotePrefix="0" xfId="0"/>
    <xf numFmtId="0" fontId="106" fillId="17" borderId="0" pivotButton="0" quotePrefix="0" xfId="0"/>
    <xf numFmtId="0" fontId="62" fillId="16" borderId="0" pivotButton="0" quotePrefix="0" xfId="1"/>
    <xf numFmtId="0" fontId="90" fillId="22" borderId="0" pivotButton="0" quotePrefix="0" xfId="1"/>
    <xf numFmtId="0" fontId="107" fillId="22" borderId="0" applyAlignment="1" pivotButton="0" quotePrefix="0" xfId="0">
      <alignment wrapText="1"/>
    </xf>
    <xf numFmtId="0" fontId="87" fillId="22" borderId="0" pivotButton="0" quotePrefix="0" xfId="0"/>
    <xf numFmtId="0" fontId="87" fillId="17" borderId="0" pivotButton="0" quotePrefix="0" xfId="0"/>
    <xf numFmtId="0" fontId="77" fillId="17" borderId="0" applyAlignment="1" pivotButton="0" quotePrefix="0" xfId="0">
      <alignment wrapText="1"/>
    </xf>
    <xf numFmtId="0" fontId="87" fillId="14" borderId="0" pivotButton="0" quotePrefix="0" xfId="0"/>
    <xf numFmtId="0" fontId="92" fillId="14" borderId="0" pivotButton="0" quotePrefix="0" xfId="0"/>
    <xf numFmtId="0" fontId="92" fillId="14" borderId="0" applyAlignment="1" pivotButton="0" quotePrefix="0" xfId="0">
      <alignment wrapText="1"/>
    </xf>
    <xf numFmtId="0" fontId="72" fillId="14" borderId="0" pivotButton="0" quotePrefix="0" xfId="0"/>
    <xf numFmtId="0" fontId="72" fillId="14" borderId="0" applyAlignment="1" pivotButton="0" quotePrefix="0" xfId="0">
      <alignment wrapText="1"/>
    </xf>
    <xf numFmtId="0" fontId="108" fillId="0" borderId="0" pivotButton="0" quotePrefix="0" xfId="0"/>
    <xf numFmtId="0" fontId="83" fillId="17" borderId="0" pivotButton="0" quotePrefix="0" xfId="0"/>
    <xf numFmtId="0" fontId="89" fillId="17" borderId="0" pivotButton="0" quotePrefix="0" xfId="0"/>
    <xf numFmtId="0" fontId="0" fillId="26" borderId="0" pivotButton="0" quotePrefix="0" xfId="0"/>
    <xf numFmtId="0" fontId="0" fillId="26" borderId="0" pivotButton="0" quotePrefix="0" xfId="0"/>
    <xf numFmtId="0" fontId="0" fillId="27" borderId="0" pivotButton="0" quotePrefix="0" xfId="0"/>
    <xf numFmtId="0" fontId="0" fillId="17" borderId="0" pivotButton="0" quotePrefix="0" xfId="1"/>
    <xf numFmtId="16" fontId="98" fillId="17" borderId="0" applyAlignment="1" pivotButton="0" quotePrefix="0" xfId="0">
      <alignment wrapText="1"/>
    </xf>
    <xf numFmtId="0" fontId="109" fillId="0" borderId="0" pivotButton="0" quotePrefix="0" xfId="0"/>
    <xf numFmtId="0" fontId="78" fillId="17" borderId="0" pivotButton="0" quotePrefix="0" xfId="0"/>
    <xf numFmtId="0" fontId="100" fillId="26" borderId="0" pivotButton="0" quotePrefix="0" xfId="0"/>
    <xf numFmtId="0" fontId="110" fillId="17" borderId="0" pivotButton="0" quotePrefix="0" xfId="0"/>
    <xf numFmtId="0" fontId="2" fillId="28" borderId="0" pivotButton="0" quotePrefix="0" xfId="0"/>
    <xf numFmtId="0" fontId="0" fillId="29" borderId="0" pivotButton="0" quotePrefix="0" xfId="0"/>
    <xf numFmtId="0" fontId="2" fillId="27" borderId="0" pivotButton="0" quotePrefix="0" xfId="0"/>
    <xf numFmtId="0" fontId="111" fillId="27" borderId="0" pivotButton="0" quotePrefix="0" xfId="1"/>
    <xf numFmtId="0" fontId="112" fillId="27" borderId="0" pivotButton="0" quotePrefix="0" xfId="0"/>
    <xf numFmtId="0" fontId="113" fillId="27" borderId="0" pivotButton="0" quotePrefix="0" xfId="0"/>
    <xf numFmtId="0" fontId="0" fillId="28" borderId="0" pivotButton="0" quotePrefix="0" xfId="0"/>
    <xf numFmtId="0" fontId="73" fillId="14" borderId="0" applyAlignment="1" pivotButton="0" quotePrefix="0" xfId="0">
      <alignment wrapText="1"/>
    </xf>
    <xf numFmtId="0" fontId="76" fillId="14" borderId="0" pivotButton="0" quotePrefix="0" xfId="0"/>
    <xf numFmtId="0" fontId="68" fillId="29" borderId="0" pivotButton="0" quotePrefix="0" xfId="0"/>
    <xf numFmtId="0" fontId="63" fillId="29" borderId="0" applyAlignment="1" pivotButton="0" quotePrefix="0" xfId="0">
      <alignment wrapText="1"/>
    </xf>
    <xf numFmtId="0" fontId="62" fillId="29" borderId="0" applyAlignment="1" pivotButton="0" quotePrefix="0" xfId="1">
      <alignment vertical="center" wrapText="1"/>
    </xf>
    <xf numFmtId="0" fontId="62" fillId="14" borderId="0" applyAlignment="1" pivotButton="0" quotePrefix="0" xfId="1">
      <alignment wrapText="1"/>
    </xf>
    <xf numFmtId="0" fontId="0" fillId="27" borderId="0" pivotButton="0" quotePrefix="0" xfId="0"/>
    <xf numFmtId="0" fontId="62" fillId="27" borderId="0" pivotButton="0" quotePrefix="0" xfId="1"/>
    <xf numFmtId="0" fontId="88" fillId="14" borderId="0" pivotButton="0" quotePrefix="0" xfId="0"/>
    <xf numFmtId="0" fontId="91" fillId="26" borderId="0" pivotButton="0" quotePrefix="0" xfId="0"/>
    <xf numFmtId="16" fontId="0" fillId="26" borderId="0" pivotButton="0" quotePrefix="0" xfId="0"/>
    <xf numFmtId="0" fontId="79" fillId="26" borderId="0" pivotButton="0" quotePrefix="0" xfId="0"/>
    <xf numFmtId="0" fontId="0" fillId="14" borderId="0" pivotButton="0" quotePrefix="0" xfId="0"/>
    <xf numFmtId="15" fontId="0" fillId="0" borderId="0" pivotButton="0" quotePrefix="0" xfId="0"/>
    <xf numFmtId="0" fontId="114" fillId="0" borderId="0" pivotButton="0" quotePrefix="0" xfId="0"/>
    <xf numFmtId="0" fontId="115" fillId="0" borderId="0" pivotButton="0" quotePrefix="0" xfId="0"/>
    <xf numFmtId="0" fontId="116" fillId="0" borderId="0" pivotButton="0" quotePrefix="0" xfId="0"/>
    <xf numFmtId="0" fontId="118" fillId="0" borderId="0" pivotButton="0" quotePrefix="0" xfId="0"/>
    <xf numFmtId="0" fontId="120" fillId="0" borderId="0" pivotButton="0" quotePrefix="0" xfId="0"/>
    <xf numFmtId="0" fontId="121" fillId="0" borderId="0" pivotButton="0" quotePrefix="0" xfId="0"/>
    <xf numFmtId="0" fontId="122" fillId="0" borderId="0" pivotButton="0" quotePrefix="0" xfId="0"/>
    <xf numFmtId="0" fontId="90" fillId="26" borderId="0" pivotButton="0" quotePrefix="0" xfId="0"/>
    <xf numFmtId="0" fontId="90" fillId="28" borderId="0" pivotButton="0" quotePrefix="0" xfId="0"/>
    <xf numFmtId="0" fontId="90" fillId="29" borderId="0" pivotButton="0" quotePrefix="0" xfId="0"/>
    <xf numFmtId="0" fontId="90" fillId="14" borderId="0" pivotButton="0" quotePrefix="0" xfId="0"/>
    <xf numFmtId="0" fontId="90" fillId="30" borderId="0" pivotButton="0" quotePrefix="0" xfId="0"/>
    <xf numFmtId="0" fontId="90" fillId="17" borderId="0" pivotButton="0" quotePrefix="0" xfId="0"/>
    <xf numFmtId="0" fontId="125" fillId="0" borderId="0" pivotButton="0" quotePrefix="0" xfId="0"/>
    <xf numFmtId="0" fontId="107" fillId="14" borderId="0" pivotButton="0" quotePrefix="0" xfId="0"/>
    <xf numFmtId="0" fontId="78" fillId="14" borderId="0" pivotButton="0" quotePrefix="0" xfId="0"/>
    <xf numFmtId="0" fontId="127" fillId="17" borderId="0" pivotButton="0" quotePrefix="0" xfId="0"/>
    <xf numFmtId="0" fontId="128" fillId="17" borderId="0" pivotButton="0" quotePrefix="0" xfId="1"/>
    <xf numFmtId="14" fontId="86" fillId="0" borderId="0" pivotButton="0" quotePrefix="0" xfId="0"/>
    <xf numFmtId="14" fontId="127" fillId="17" borderId="0" pivotButton="0" quotePrefix="0" xfId="0"/>
    <xf numFmtId="17" fontId="0" fillId="0" borderId="0" pivotButton="0" quotePrefix="0" xfId="0"/>
    <xf numFmtId="0" fontId="129" fillId="0" borderId="8" pivotButton="0" quotePrefix="0" xfId="0"/>
    <xf numFmtId="0" fontId="129" fillId="0" borderId="9" pivotButton="0" quotePrefix="0" xfId="0"/>
    <xf numFmtId="0" fontId="94" fillId="0" borderId="0" pivotButton="0" quotePrefix="0" xfId="0"/>
    <xf numFmtId="0" fontId="94" fillId="0" borderId="0" pivotButton="0" quotePrefix="0" xfId="0"/>
    <xf numFmtId="0" fontId="94" fillId="22" borderId="0" pivotButton="0" quotePrefix="0" xfId="0"/>
    <xf numFmtId="0" fontId="94" fillId="19" borderId="0" pivotButton="0" quotePrefix="0" xfId="0"/>
    <xf numFmtId="0" fontId="94" fillId="19" borderId="0" pivotButton="0" quotePrefix="0" xfId="0"/>
    <xf numFmtId="0" fontId="94" fillId="19" borderId="0" applyAlignment="1" pivotButton="0" quotePrefix="0" xfId="0">
      <alignment wrapText="1"/>
    </xf>
    <xf numFmtId="0" fontId="129" fillId="0" borderId="0" pivotButton="0" quotePrefix="0" xfId="0"/>
    <xf numFmtId="0" fontId="94" fillId="28" borderId="0" pivotButton="0" quotePrefix="0" xfId="0"/>
    <xf numFmtId="0" fontId="94" fillId="28" borderId="0" pivotButton="0" quotePrefix="0" xfId="0"/>
    <xf numFmtId="0" fontId="62" fillId="22" borderId="0" pivotButton="0" quotePrefix="0" xfId="1"/>
    <xf numFmtId="0" fontId="130" fillId="0" borderId="0" pivotButton="0" quotePrefix="0" xfId="0"/>
    <xf numFmtId="0" fontId="131" fillId="0" borderId="0" pivotButton="0" quotePrefix="0" xfId="0"/>
    <xf numFmtId="0" fontId="127" fillId="0" borderId="0" pivotButton="0" quotePrefix="0" xfId="0"/>
    <xf numFmtId="0" fontId="128" fillId="0" borderId="0" pivotButton="0" quotePrefix="0" xfId="1"/>
    <xf numFmtId="14" fontId="127" fillId="0" borderId="0" pivotButton="0" quotePrefix="0" xfId="0"/>
    <xf numFmtId="16" fontId="127" fillId="0" borderId="0" pivotButton="0" quotePrefix="0" xfId="0"/>
    <xf numFmtId="0" fontId="133" fillId="0" borderId="0" applyAlignment="1" pivotButton="0" quotePrefix="0" xfId="0">
      <alignment wrapText="1"/>
    </xf>
    <xf numFmtId="0" fontId="83" fillId="27" borderId="0" pivotButton="0" quotePrefix="0" xfId="0"/>
    <xf numFmtId="0" fontId="89" fillId="26" borderId="0" applyAlignment="1" pivotButton="0" quotePrefix="0" xfId="0">
      <alignment wrapText="1"/>
    </xf>
    <xf numFmtId="0" fontId="2" fillId="26" borderId="0" pivotButton="0" quotePrefix="0" xfId="0"/>
    <xf numFmtId="0" fontId="62" fillId="26" borderId="0" pivotButton="0" quotePrefix="0" xfId="1"/>
    <xf numFmtId="0" fontId="112" fillId="26" borderId="0" pivotButton="0" quotePrefix="0" xfId="0"/>
    <xf numFmtId="0" fontId="113" fillId="26" borderId="0" pivotButton="0" quotePrefix="0" xfId="0"/>
    <xf numFmtId="0" fontId="89" fillId="26" borderId="0" pivotButton="0" quotePrefix="0" xfId="0"/>
    <xf numFmtId="0" fontId="73" fillId="17" borderId="0" pivotButton="0" quotePrefix="0" xfId="0"/>
    <xf numFmtId="0" fontId="121" fillId="0" borderId="0" pivotButton="0" quotePrefix="0" xfId="1"/>
    <xf numFmtId="16" fontId="83" fillId="0" borderId="0" pivotButton="0" quotePrefix="0" xfId="0"/>
    <xf numFmtId="0" fontId="134" fillId="0" borderId="0" pivotButton="0" quotePrefix="0" xfId="0"/>
    <xf numFmtId="0" fontId="135" fillId="0" borderId="0" pivotButton="0" quotePrefix="0" xfId="1"/>
    <xf numFmtId="14" fontId="79" fillId="0" borderId="0" pivotButton="0" quotePrefix="0" xfId="0"/>
    <xf numFmtId="16" fontId="79" fillId="0" borderId="0" pivotButton="0" quotePrefix="0" xfId="0"/>
    <xf numFmtId="17" fontId="79" fillId="0" borderId="0" pivotButton="0" quotePrefix="0" xfId="0"/>
    <xf numFmtId="0" fontId="136" fillId="26" borderId="0" pivotButton="0" quotePrefix="0" xfId="0"/>
    <xf numFmtId="0" fontId="90" fillId="26" borderId="0" pivotButton="0" quotePrefix="0" xfId="1"/>
    <xf numFmtId="0" fontId="0" fillId="26" borderId="1" pivotButton="0" quotePrefix="0" xfId="0"/>
    <xf numFmtId="14" fontId="0" fillId="26" borderId="0" pivotButton="0" quotePrefix="0" xfId="0"/>
    <xf numFmtId="0" fontId="100" fillId="26" borderId="0" applyAlignment="1" pivotButton="0" quotePrefix="0" xfId="0">
      <alignment wrapText="1"/>
    </xf>
    <xf numFmtId="16" fontId="98" fillId="26" borderId="1" pivotButton="0" quotePrefix="0" xfId="0"/>
    <xf numFmtId="14" fontId="98" fillId="26" borderId="0" pivotButton="0" quotePrefix="0" xfId="0"/>
    <xf numFmtId="0" fontId="98" fillId="26" borderId="0" pivotButton="0" quotePrefix="0" xfId="0"/>
    <xf numFmtId="16" fontId="98" fillId="26" borderId="0" pivotButton="0" quotePrefix="0" xfId="0"/>
    <xf numFmtId="0" fontId="78" fillId="26" borderId="0" pivotButton="0" quotePrefix="0" xfId="0"/>
    <xf numFmtId="0" fontId="62" fillId="26" borderId="0" applyAlignment="1" pivotButton="0" quotePrefix="0" xfId="1">
      <alignment wrapText="1"/>
    </xf>
    <xf numFmtId="0" fontId="119" fillId="26" borderId="0" applyAlignment="1" pivotButton="0" quotePrefix="0" xfId="0">
      <alignment wrapText="1"/>
    </xf>
    <xf numFmtId="0" fontId="106" fillId="26" borderId="0" pivotButton="0" quotePrefix="0" xfId="0"/>
    <xf numFmtId="0" fontId="0" fillId="26" borderId="0" applyAlignment="1" pivotButton="0" quotePrefix="0" xfId="0">
      <alignment wrapText="1"/>
    </xf>
    <xf numFmtId="0" fontId="117" fillId="26" borderId="0" pivotButton="0" quotePrefix="0" xfId="0"/>
    <xf numFmtId="14" fontId="0" fillId="22" borderId="0" pivotButton="0" quotePrefix="0" xfId="0"/>
    <xf numFmtId="16" fontId="0" fillId="27" borderId="0" pivotButton="0" quotePrefix="0" xfId="0"/>
    <xf numFmtId="0" fontId="90" fillId="27" borderId="0" pivotButton="0" quotePrefix="0" xfId="1"/>
    <xf numFmtId="16" fontId="0" fillId="27" borderId="0" pivotButton="0" quotePrefix="0" xfId="0"/>
    <xf numFmtId="0" fontId="121" fillId="27" borderId="0" pivotButton="0" quotePrefix="0" xfId="1"/>
    <xf numFmtId="16" fontId="83" fillId="27" borderId="0" pivotButton="0" quotePrefix="0" xfId="0"/>
    <xf numFmtId="14" fontId="0" fillId="26" borderId="0" pivotButton="0" quotePrefix="0" xfId="0"/>
    <xf numFmtId="0" fontId="137" fillId="0" borderId="0" pivotButton="0" quotePrefix="0" xfId="0"/>
    <xf numFmtId="0" fontId="138" fillId="0" borderId="0" pivotButton="0" quotePrefix="0" xfId="0"/>
    <xf numFmtId="0" fontId="139" fillId="0" borderId="0" pivotButton="0" quotePrefix="0" xfId="0"/>
    <xf numFmtId="0" fontId="115" fillId="17" borderId="0" pivotButton="0" quotePrefix="0" xfId="0"/>
    <xf numFmtId="0" fontId="90" fillId="17" borderId="0" pivotButton="0" quotePrefix="0" xfId="1"/>
    <xf numFmtId="14" fontId="0" fillId="17" borderId="0" pivotButton="0" quotePrefix="0" xfId="0"/>
    <xf numFmtId="16" fontId="0" fillId="17" borderId="0" pivotButton="0" quotePrefix="0" xfId="0"/>
    <xf numFmtId="0" fontId="140" fillId="26" borderId="0" pivotButton="0" quotePrefix="0" xfId="0"/>
    <xf numFmtId="0" fontId="141" fillId="26" borderId="0" pivotButton="0" quotePrefix="0" xfId="1"/>
    <xf numFmtId="0" fontId="140" fillId="26" borderId="0" applyAlignment="1" pivotButton="0" quotePrefix="0" xfId="0">
      <alignment wrapText="1"/>
    </xf>
    <xf numFmtId="14" fontId="140" fillId="26" borderId="0" pivotButton="0" quotePrefix="0" xfId="0"/>
    <xf numFmtId="16" fontId="140" fillId="26" borderId="0" pivotButton="0" quotePrefix="0" xfId="0"/>
    <xf numFmtId="0" fontId="138" fillId="14" borderId="0" pivotButton="0" quotePrefix="0" xfId="0"/>
    <xf numFmtId="0" fontId="142" fillId="17" borderId="0" applyAlignment="1" pivotButton="0" quotePrefix="0" xfId="0">
      <alignment wrapText="1"/>
    </xf>
    <xf numFmtId="0" fontId="143" fillId="17" borderId="0" pivotButton="0" quotePrefix="0" xfId="0"/>
    <xf numFmtId="0" fontId="79" fillId="17" borderId="0" applyAlignment="1" pivotButton="0" quotePrefix="0" xfId="0">
      <alignment wrapText="1"/>
    </xf>
    <xf numFmtId="16" fontId="144" fillId="17" borderId="1" pivotButton="0" quotePrefix="0" xfId="0"/>
    <xf numFmtId="14" fontId="144" fillId="17" borderId="0" pivotButton="0" quotePrefix="0" xfId="0"/>
    <xf numFmtId="0" fontId="144" fillId="17" borderId="0" pivotButton="0" quotePrefix="0" xfId="0"/>
    <xf numFmtId="16" fontId="144" fillId="17" borderId="0" pivotButton="0" quotePrefix="0" xfId="0"/>
    <xf numFmtId="0" fontId="144" fillId="17" borderId="0" applyAlignment="1" pivotButton="0" quotePrefix="0" xfId="0">
      <alignment wrapText="1"/>
    </xf>
    <xf numFmtId="0" fontId="145" fillId="0" borderId="0" pivotButton="0" quotePrefix="0" xfId="0"/>
    <xf numFmtId="0" fontId="146" fillId="27" borderId="0" pivotButton="0" quotePrefix="0" xfId="0"/>
    <xf numFmtId="0" fontId="147" fillId="27" borderId="0" pivotButton="0" quotePrefix="0" xfId="0"/>
    <xf numFmtId="0" fontId="148" fillId="27" borderId="0" pivotButton="0" quotePrefix="0" xfId="0"/>
    <xf numFmtId="0" fontId="149" fillId="0" borderId="0" pivotButton="0" quotePrefix="0" xfId="0"/>
    <xf numFmtId="0" fontId="0" fillId="17" borderId="0" applyAlignment="1" pivotButton="0" quotePrefix="0" xfId="0">
      <alignment wrapText="1"/>
    </xf>
    <xf numFmtId="0" fontId="108" fillId="17" borderId="0" pivotButton="0" quotePrefix="0" xfId="0"/>
    <xf numFmtId="0" fontId="150" fillId="17" borderId="0" pivotButton="0" quotePrefix="0" xfId="0"/>
    <xf numFmtId="0" fontId="150" fillId="28" borderId="0" pivotButton="0" quotePrefix="0" xfId="0"/>
    <xf numFmtId="0" fontId="151" fillId="17" borderId="0" pivotButton="0" quotePrefix="0" xfId="1"/>
    <xf numFmtId="0" fontId="150" fillId="0" borderId="0" pivotButton="0" quotePrefix="0" xfId="0"/>
    <xf numFmtId="0" fontId="152" fillId="0" borderId="0" pivotButton="0" quotePrefix="0" xfId="0"/>
    <xf numFmtId="0" fontId="150" fillId="17" borderId="0" applyAlignment="1" pivotButton="0" quotePrefix="0" xfId="0">
      <alignment horizontal="left"/>
    </xf>
    <xf numFmtId="0" fontId="153" fillId="0" borderId="0" pivotButton="0" quotePrefix="0" xfId="0"/>
    <xf numFmtId="0" fontId="0" fillId="31" borderId="0" applyAlignment="1" pivotButton="0" quotePrefix="0" xfId="0">
      <alignment horizontal="left"/>
    </xf>
    <xf numFmtId="0" fontId="0" fillId="31" borderId="0" pivotButton="0" quotePrefix="0" xfId="0"/>
    <xf numFmtId="0" fontId="62" fillId="31" borderId="0" pivotButton="0" quotePrefix="0" xfId="1"/>
    <xf numFmtId="0" fontId="0" fillId="31" borderId="0" applyAlignment="1" pivotButton="0" quotePrefix="0" xfId="0">
      <alignment wrapText="1"/>
    </xf>
    <xf numFmtId="0" fontId="39" fillId="11" borderId="5" applyAlignment="1" pivotButton="0" quotePrefix="0" xfId="0">
      <alignment horizontal="center"/>
    </xf>
    <xf numFmtId="0" fontId="41" fillId="0" borderId="5" pivotButton="0" quotePrefix="0" xfId="0"/>
    <xf numFmtId="0" fontId="41" fillId="0" borderId="3" pivotButton="0" quotePrefix="0" xfId="0"/>
    <xf numFmtId="0" fontId="40" fillId="13" borderId="7" applyAlignment="1" pivotButton="0" quotePrefix="0" xfId="0">
      <alignment horizontal="center"/>
    </xf>
    <xf numFmtId="0" fontId="41" fillId="0" borderId="7" pivotButton="0" quotePrefix="0" xfId="0"/>
    <xf numFmtId="0" fontId="41" fillId="0" borderId="4" pivotButton="0" quotePrefix="0" xfId="0"/>
    <xf numFmtId="0" fontId="39" fillId="11" borderId="2" applyAlignment="1" pivotButton="0" quotePrefix="0" xfId="0">
      <alignment horizontal="center"/>
    </xf>
    <xf numFmtId="0" fontId="154" fillId="32" borderId="0" applyAlignment="1" pivotButton="0" quotePrefix="0" xfId="0">
      <alignment horizontal="center"/>
    </xf>
    <xf numFmtId="0" fontId="0" fillId="0" borderId="13" pivotButton="0" quotePrefix="0" xfId="0"/>
    <xf numFmtId="0" fontId="155" fillId="33" borderId="13" pivotButton="0" quotePrefix="0" xfId="0"/>
    <xf numFmtId="0" fontId="156" fillId="0" borderId="13" pivotButton="0" quotePrefix="0" xfId="0"/>
    <xf numFmtId="0" fontId="155" fillId="34" borderId="13" pivotButton="0" quotePrefix="0" xfId="0"/>
    <xf numFmtId="0" fontId="0" fillId="0" borderId="13" applyAlignment="1" pivotButton="0" quotePrefix="0" xfId="0">
      <alignment wrapText="1"/>
    </xf>
    <xf numFmtId="0" fontId="157" fillId="32" borderId="0" applyAlignment="1" pivotButton="0" quotePrefix="0" xfId="0">
      <alignment horizontal="center" vertical="center" wrapText="1"/>
    </xf>
    <xf numFmtId="0" fontId="0" fillId="0" borderId="13" applyAlignment="1" pivotButton="0" quotePrefix="0" xfId="0">
      <alignment vertical="top" wrapText="1"/>
    </xf>
    <xf numFmtId="0" fontId="62" fillId="0" borderId="13" pivotButton="0" quotePrefix="0" xfId="1"/>
    <xf numFmtId="0" fontId="158" fillId="0" borderId="13" applyAlignment="1" pivotButton="0" quotePrefix="0" xfId="0">
      <alignment vertical="top" wrapText="1"/>
    </xf>
    <xf numFmtId="165" fontId="0" fillId="0" borderId="13" applyAlignment="1" pivotButton="0" quotePrefix="0" xfId="0">
      <alignment vertical="top" wrapText="1"/>
    </xf>
    <xf numFmtId="0" fontId="159" fillId="0" borderId="13" applyAlignment="1" pivotButton="0" quotePrefix="0" xfId="0">
      <alignment vertical="top" wrapText="1"/>
    </xf>
    <xf numFmtId="0" fontId="0" fillId="0" borderId="0" applyAlignment="1" pivotButton="0" quotePrefix="0" xfId="0">
      <alignment vertical="top" wrapText="1"/>
    </xf>
    <xf numFmtId="0" fontId="158" fillId="0" borderId="0" applyAlignment="1" pivotButton="0" quotePrefix="0" xfId="0">
      <alignment vertical="top" wrapText="1"/>
    </xf>
    <xf numFmtId="165" fontId="0" fillId="0" borderId="0" applyAlignment="1" pivotButton="0" quotePrefix="0" xfId="0">
      <alignment vertical="top" wrapText="1"/>
    </xf>
    <xf numFmtId="0" fontId="159" fillId="0" borderId="0" applyAlignment="1" pivotButton="0" quotePrefix="0" xfId="0">
      <alignment vertical="top" wrapText="1"/>
    </xf>
    <xf numFmtId="0" fontId="62" fillId="0" borderId="13" applyAlignment="1" pivotButton="0" quotePrefix="0" xfId="1">
      <alignment vertical="top" wrapText="1"/>
    </xf>
    <xf numFmtId="0" fontId="160" fillId="32" borderId="0" applyAlignment="1" pivotButton="0" quotePrefix="0" xfId="0">
      <alignment horizontal="center"/>
    </xf>
    <xf numFmtId="0" fontId="39" fillId="11" borderId="1" applyAlignment="1" pivotButton="0" quotePrefix="0" xfId="0">
      <alignment horizontal="center"/>
    </xf>
    <xf numFmtId="0" fontId="0" fillId="0" borderId="4" pivotButton="0" quotePrefix="0" xfId="0"/>
    <xf numFmtId="0" fontId="39" fillId="11" borderId="3" applyAlignment="1" pivotButton="0" quotePrefix="0" xfId="0">
      <alignment horizontal="center"/>
    </xf>
    <xf numFmtId="0" fontId="0" fillId="0" borderId="5" pivotButton="0" quotePrefix="0" xfId="0"/>
    <xf numFmtId="0" fontId="0" fillId="0" borderId="3" pivotButton="0" quotePrefix="0" xfId="0"/>
    <xf numFmtId="0" fontId="40" fillId="13" borderId="4" applyAlignment="1" pivotButton="0" quotePrefix="0" xfId="0">
      <alignment horizontal="center"/>
    </xf>
    <xf numFmtId="0" fontId="0" fillId="0" borderId="7" pivotButton="0" quotePrefix="0" xfId="0"/>
    <xf numFmtId="165" fontId="0" fillId="0" borderId="13" pivotButton="0" quotePrefix="0" xfId="0"/>
    <xf numFmtId="0" fontId="0" fillId="0" borderId="14" pivotButton="0" quotePrefix="0" xfId="0"/>
    <xf numFmtId="165" fontId="0" fillId="0" borderId="13" applyAlignment="1" pivotButton="0" quotePrefix="0" xfId="0">
      <alignment vertical="top" wrapText="1"/>
    </xf>
    <xf numFmtId="165" fontId="0" fillId="0" borderId="0" applyAlignment="1" pivotButton="0" quotePrefix="0" xfId="0">
      <alignment vertical="top" wrapText="1"/>
    </xf>
  </cellXfs>
  <cellStyles count="2">
    <cellStyle name="Normal" xfId="0"/>
    <cellStyle name="Hyperlink" xfId="1"/>
  </cellStyles>
  <dxfs count="6">
    <dxf>
      <font>
        <color rgb="FF9C5700"/>
      </font>
      <fill>
        <patternFill>
          <bgColor rgb="FFFFEB9C"/>
        </patternFill>
      </fill>
    </dxf>
    <dxf>
      <fill>
        <patternFill>
          <bgColor rgb="FFFFC7CE"/>
        </patternFill>
      </fill>
    </dxf>
    <dxf>
      <font>
        <color rgb="FF006100"/>
      </font>
      <fill>
        <patternFill>
          <bgColor rgb="FFC6EFCE"/>
        </patternFill>
      </fill>
    </dxf>
    <dxf>
      <fill>
        <patternFill>
          <bgColor rgb="00FCE4D6"/>
        </patternFill>
      </fill>
    </dxf>
    <dxf>
      <fill>
        <patternFill>
          <bgColor rgb="00FFF2CC"/>
        </patternFill>
      </fill>
    </dxf>
    <dxf>
      <fill>
        <patternFill>
          <bgColor rgb="00E2F0D9"/>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14"/>
  <sheetViews>
    <sheetView showGridLines="0" workbookViewId="0">
      <selection activeCell="A1" sqref="A1"/>
    </sheetView>
  </sheetViews>
  <sheetFormatPr baseColWidth="8" defaultRowHeight="15"/>
  <cols>
    <col width="22" customWidth="1" style="216" min="1" max="1"/>
    <col width="18" customWidth="1" style="216" min="2" max="2"/>
    <col width="22" customWidth="1" style="216" min="4" max="4"/>
    <col width="14" customWidth="1" style="216" min="5" max="5"/>
    <col width="14" customWidth="1" style="216" min="6" max="6"/>
    <col width="14" customWidth="1" style="216" min="7" max="7"/>
    <col width="14" customWidth="1" style="216" min="8" max="8"/>
  </cols>
  <sheetData>
    <row r="1">
      <c r="A1" s="413" t="inlineStr">
        <is>
          <t>EXOS Aerospace Fundraise CRM Dashboard</t>
        </is>
      </c>
    </row>
    <row r="2">
      <c r="A2" s="414" t="n"/>
      <c r="B2" s="414" t="n"/>
      <c r="C2" s="414" t="n"/>
      <c r="D2" s="414" t="n"/>
      <c r="E2" s="414" t="n"/>
      <c r="F2" s="414" t="n"/>
      <c r="G2" s="414" t="n"/>
      <c r="H2" s="414" t="n"/>
    </row>
    <row r="3">
      <c r="A3" s="415" t="inlineStr">
        <is>
          <t>Round Target</t>
        </is>
      </c>
      <c r="B3" s="416" t="inlineStr">
        <is>
          <t>$10.0M Series A</t>
        </is>
      </c>
      <c r="C3" s="414" t="n"/>
      <c r="D3" s="415" t="inlineStr">
        <is>
          <t>Daily Call Goal</t>
        </is>
      </c>
      <c r="E3" s="416" t="n">
        <v>2</v>
      </c>
      <c r="F3" s="415" t="inlineStr">
        <is>
          <t>Stretch Goal</t>
        </is>
      </c>
      <c r="G3" s="416" t="n">
        <v>3</v>
      </c>
      <c r="H3" s="414" t="n"/>
    </row>
    <row r="4">
      <c r="A4" s="414" t="n"/>
      <c r="B4" s="414" t="n"/>
      <c r="C4" s="414" t="n"/>
      <c r="D4" s="414" t="n"/>
      <c r="E4" s="414" t="n"/>
      <c r="F4" s="414" t="n"/>
      <c r="G4" s="414" t="n"/>
      <c r="H4" s="414" t="n"/>
    </row>
    <row r="5">
      <c r="A5" s="414" t="n"/>
      <c r="B5" s="414" t="n"/>
      <c r="C5" s="414" t="n"/>
      <c r="D5" s="414" t="n"/>
      <c r="E5" s="414" t="n"/>
      <c r="F5" s="414" t="n"/>
      <c r="G5" s="414" t="n"/>
      <c r="H5" s="414" t="n"/>
    </row>
    <row r="6">
      <c r="A6" s="415" t="inlineStr">
        <is>
          <t>As of</t>
        </is>
      </c>
      <c r="B6" s="438">
        <f>TODAY()</f>
        <v/>
      </c>
      <c r="C6" s="414" t="n"/>
      <c r="D6" s="415" t="inlineStr">
        <is>
          <t>Pipeline by Stage</t>
        </is>
      </c>
      <c r="E6" s="414" t="n"/>
      <c r="F6" s="414" t="n"/>
      <c r="G6" s="415" t="inlineStr">
        <is>
          <t>Tier Mix</t>
        </is>
      </c>
      <c r="H6" s="414" t="n"/>
    </row>
    <row r="7">
      <c r="A7" s="415" t="inlineStr">
        <is>
          <t>Total Contacts</t>
        </is>
      </c>
      <c r="B7" s="414">
        <f>COUNTA(CRM_Master!E:E)-1</f>
        <v/>
      </c>
      <c r="C7" s="414" t="n"/>
      <c r="D7" s="414" t="inlineStr">
        <is>
          <t>Research</t>
        </is>
      </c>
      <c r="E7" s="414">
        <f>COUNTIF(CRM_Master!L:L,"Research")</f>
        <v/>
      </c>
      <c r="F7" s="414" t="n"/>
      <c r="G7" s="414" t="inlineStr">
        <is>
          <t>Tier 1</t>
        </is>
      </c>
      <c r="H7" s="414">
        <f>COUNTIF(CRM_Master!N:N,"Tier 1")</f>
        <v/>
      </c>
    </row>
    <row r="8">
      <c r="A8" s="415" t="inlineStr">
        <is>
          <t>Unique Firms</t>
        </is>
      </c>
      <c r="B8" s="414">
        <f>COUNTA(Firm_Summary!A:A)-1</f>
        <v/>
      </c>
      <c r="C8" s="414" t="n"/>
      <c r="D8" s="414" t="inlineStr">
        <is>
          <t>Contacted</t>
        </is>
      </c>
      <c r="E8" s="414">
        <f>COUNTIF(CRM_Master!L:L,"Contacted")</f>
        <v/>
      </c>
      <c r="F8" s="414" t="n"/>
      <c r="G8" s="414" t="inlineStr">
        <is>
          <t>Tier 2</t>
        </is>
      </c>
      <c r="H8" s="414">
        <f>COUNTIF(CRM_Master!N:N,"Tier 2")</f>
        <v/>
      </c>
    </row>
    <row r="9">
      <c r="A9" s="415" t="inlineStr">
        <is>
          <t>Active (not passed)</t>
        </is>
      </c>
      <c r="B9" s="414">
        <f>COUNTIF(CRM_Master!AC:AC,"Active")</f>
        <v/>
      </c>
      <c r="C9" s="414" t="n"/>
      <c r="D9" s="414" t="inlineStr">
        <is>
          <t>Follow Up</t>
        </is>
      </c>
      <c r="E9" s="414">
        <f>COUNTIF(CRM_Master!L:L,"Follow Up")</f>
        <v/>
      </c>
      <c r="F9" s="414" t="n"/>
      <c r="G9" s="414" t="inlineStr">
        <is>
          <t>Tier 3</t>
        </is>
      </c>
      <c r="H9" s="414">
        <f>COUNTIF(CRM_Master!N:N,"Tier 3")</f>
        <v/>
      </c>
    </row>
    <row r="10">
      <c r="A10" s="415" t="inlineStr">
        <is>
          <t>Due Now</t>
        </is>
      </c>
      <c r="B10" s="417">
        <f>COUNTIF(CRM_Master!S:S,"DUE")</f>
        <v/>
      </c>
      <c r="C10" s="414" t="n"/>
      <c r="D10" s="414" t="inlineStr">
        <is>
          <t>Meeting Requested</t>
        </is>
      </c>
      <c r="E10" s="414">
        <f>COUNTIF(CRM_Master!L:L,"Meeting Requested")</f>
        <v/>
      </c>
      <c r="F10" s="414" t="n"/>
      <c r="G10" s="414" t="n"/>
      <c r="H10" s="414" t="n"/>
    </row>
    <row r="11">
      <c r="A11" s="415" t="inlineStr">
        <is>
          <t>Tier 1 Due Now</t>
        </is>
      </c>
      <c r="B11" s="417">
        <f>COUNTIFS(CRM_Master!S:S,"DUE",CRM_Master!N:N,"Tier 1")</f>
        <v/>
      </c>
      <c r="C11" s="414" t="n"/>
      <c r="D11" s="414" t="inlineStr">
        <is>
          <t>Meeting Held</t>
        </is>
      </c>
      <c r="E11" s="414">
        <f>COUNTIF(CRM_Master!L:L,"Meeting Held")</f>
        <v/>
      </c>
      <c r="F11" s="414" t="n"/>
      <c r="G11" s="414" t="n"/>
      <c r="H11" s="414" t="n"/>
    </row>
    <row r="12">
      <c r="A12" s="415" t="inlineStr">
        <is>
          <t>Meetings / Engaged</t>
        </is>
      </c>
      <c r="B12" s="414">
        <f>COUNTIFS(CRM_Master!L:L,"Meeting Requested")+COUNTIFS(CRM_Master!L:L,"Meeting Held")+COUNTIFS(CRM_Master!L:L,"Engaged")+COUNTIFS(CRM_Master!L:L,"Term Sheet / Proposal")</f>
        <v/>
      </c>
      <c r="C12" s="414" t="n"/>
      <c r="D12" s="415" t="inlineStr">
        <is>
          <t>How to use</t>
        </is>
      </c>
      <c r="E12" s="414">
        <f>COUNTIF(CRM_Master!L:L,"Engaged")</f>
        <v/>
      </c>
      <c r="F12" s="414" t="n"/>
      <c r="G12" s="414" t="n"/>
      <c r="H12" s="414" t="n"/>
    </row>
    <row r="13">
      <c r="A13" s="415" t="inlineStr">
        <is>
          <t>Suggested Calls Today</t>
        </is>
      </c>
      <c r="B13" s="417">
        <f>MIN($G$3,COUNTIFS(CRM_Master!S:S,"DUE",CRM_Master!AC:AC,"Active",CRM_Master!N:N,"&lt;&gt;Tier 3"))</f>
        <v/>
      </c>
      <c r="C13" s="414" t="n"/>
      <c r="D13" s="418" t="inlineStr">
        <is>
          <t>1) Work Today_Queue first. 2) Log every touch in CRM_Master. 3) Update Stage, Last Touch, and Notes after each interaction. 4) Keep 2–3 calls/day booked.</t>
        </is>
      </c>
    </row>
    <row r="14">
      <c r="A14" s="414" t="n"/>
      <c r="B14" s="414" t="n"/>
      <c r="C14" s="414" t="n"/>
      <c r="D14" s="439" t="n"/>
      <c r="E14" s="439" t="n"/>
      <c r="F14" s="439" t="n"/>
      <c r="G14" s="439" t="n"/>
      <c r="H14" s="439" t="n"/>
    </row>
  </sheetData>
  <mergeCells count="2">
    <mergeCell ref="D13:H14"/>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C1182"/>
  <sheetViews>
    <sheetView showGridLines="0" workbookViewId="0">
      <selection activeCell="A1" sqref="A1"/>
    </sheetView>
  </sheetViews>
  <sheetFormatPr baseColWidth="8" defaultRowHeight="15"/>
  <cols>
    <col width="11" customWidth="1" style="216" min="1" max="1"/>
    <col width="24" customWidth="1" style="216" min="2" max="2"/>
    <col width="20" customWidth="1" style="216" min="3" max="3"/>
    <col width="22" customWidth="1" style="216" min="4" max="4"/>
    <col width="20" customWidth="1" style="216" min="5" max="5"/>
    <col width="20" customWidth="1" style="216" min="6" max="6"/>
    <col width="26" customWidth="1" style="216" min="7" max="7"/>
    <col width="26" customWidth="1" style="216" min="8" max="8"/>
    <col width="18" customWidth="1" style="216" min="9" max="9"/>
    <col width="28" customWidth="1" style="216" min="10" max="10"/>
    <col width="12" customWidth="1" style="216" min="11" max="11"/>
    <col width="18" customWidth="1" style="216" min="12" max="12"/>
    <col width="28" customWidth="1" style="216" min="13" max="13"/>
    <col width="12" customWidth="1" style="216" min="14" max="14"/>
    <col width="12" customWidth="1" style="216" min="15" max="15"/>
    <col width="12" customWidth="1" style="216" min="16" max="16"/>
    <col width="12" customWidth="1" style="216" min="17" max="17"/>
    <col width="12" customWidth="1" style="216" min="18" max="18"/>
    <col width="12" customWidth="1" style="216" min="19" max="19"/>
    <col width="18" customWidth="1" style="216" min="20" max="20"/>
    <col width="20" customWidth="1" style="216" min="21" max="21"/>
    <col width="20" customWidth="1" style="216" min="22" max="22"/>
    <col width="44" customWidth="1" style="216" min="23" max="23"/>
    <col width="22" customWidth="1" style="216" min="24" max="24"/>
    <col width="34" customWidth="1" style="216" min="25" max="25"/>
    <col width="12" customWidth="1" style="216" min="26" max="26"/>
    <col width="12" customWidth="1" style="216" min="27" max="27"/>
    <col width="10" customWidth="1" style="216" min="28" max="28"/>
    <col width="10" customWidth="1" style="216" min="29" max="29"/>
  </cols>
  <sheetData>
    <row r="1">
      <c r="A1" s="419" t="inlineStr">
        <is>
          <t>Record ID</t>
        </is>
      </c>
      <c r="B1" s="419" t="inlineStr">
        <is>
          <t>Source Sheets</t>
        </is>
      </c>
      <c r="C1" s="419" t="inlineStr">
        <is>
          <t>Category</t>
        </is>
      </c>
      <c r="D1" s="419" t="inlineStr">
        <is>
          <t>Company</t>
        </is>
      </c>
      <c r="E1" s="419" t="inlineStr">
        <is>
          <t>Contact Name</t>
        </is>
      </c>
      <c r="F1" s="419" t="inlineStr">
        <is>
          <t>Title / Role</t>
        </is>
      </c>
      <c r="G1" s="419" t="inlineStr">
        <is>
          <t>Primary Email</t>
        </is>
      </c>
      <c r="H1" s="419" t="inlineStr">
        <is>
          <t>Additional Emails</t>
        </is>
      </c>
      <c r="I1" s="419" t="inlineStr">
        <is>
          <t>Phone</t>
        </is>
      </c>
      <c r="J1" s="419" t="inlineStr">
        <is>
          <t>LinkedIn / Bio</t>
        </is>
      </c>
      <c r="K1" s="419" t="inlineStr">
        <is>
          <t>Owner</t>
        </is>
      </c>
      <c r="L1" s="419" t="inlineStr">
        <is>
          <t>Stage</t>
        </is>
      </c>
      <c r="M1" s="419" t="inlineStr">
        <is>
          <t>Fit Thesis</t>
        </is>
      </c>
      <c r="N1" s="419" t="inlineStr">
        <is>
          <t>Priority Tier</t>
        </is>
      </c>
      <c r="O1" s="419" t="inlineStr">
        <is>
          <t>First Outreach</t>
        </is>
      </c>
      <c r="P1" s="419" t="inlineStr">
        <is>
          <t>Last Touch</t>
        </is>
      </c>
      <c r="Q1" s="419" t="inlineStr">
        <is>
          <t>Days Since Last Touch</t>
        </is>
      </c>
      <c r="R1" s="419" t="inlineStr">
        <is>
          <t>Next Touch</t>
        </is>
      </c>
      <c r="S1" s="419" t="inlineStr">
        <is>
          <t>Due?</t>
        </is>
      </c>
      <c r="T1" s="419" t="inlineStr">
        <is>
          <t>Meeting Status</t>
        </is>
      </c>
      <c r="U1" s="419" t="inlineStr">
        <is>
          <t>Warm Intro / Referral</t>
        </is>
      </c>
      <c r="V1" s="419" t="inlineStr">
        <is>
          <t>Offer / Structure</t>
        </is>
      </c>
      <c r="W1" s="419" t="inlineStr">
        <is>
          <t>Notes</t>
        </is>
      </c>
      <c r="X1" s="419" t="inlineStr">
        <is>
          <t>Source Row(s)</t>
        </is>
      </c>
      <c r="Y1" s="419" t="inlineStr">
        <is>
          <t>Next Action</t>
        </is>
      </c>
      <c r="Z1" s="419" t="inlineStr">
        <is>
          <t>Cadence (Days)</t>
        </is>
      </c>
      <c r="AA1" s="419" t="inlineStr">
        <is>
          <t>Priority Score</t>
        </is>
      </c>
      <c r="AB1" s="419" t="inlineStr">
        <is>
          <t>Book Call?</t>
        </is>
      </c>
      <c r="AC1" s="419" t="inlineStr">
        <is>
          <t>Status</t>
        </is>
      </c>
    </row>
    <row r="2">
      <c r="A2" s="420" t="inlineStr">
        <is>
          <t>EXOS-0001</t>
        </is>
      </c>
      <c r="B2" s="420" t="inlineStr">
        <is>
          <t>Derek Contacts | JQ Follow Up | Term Sheets</t>
        </is>
      </c>
      <c r="C2" s="420" t="inlineStr">
        <is>
          <t>Financial Investor</t>
        </is>
      </c>
      <c r="D2" s="420" t="inlineStr">
        <is>
          <t>AxisCades</t>
        </is>
      </c>
      <c r="E2" s="420" t="inlineStr">
        <is>
          <t>Suresh Babu Suryadevara</t>
        </is>
      </c>
      <c r="F2" s="420" t="inlineStr">
        <is>
          <t>VP Aerospace &amp; Defense</t>
        </is>
      </c>
      <c r="G2" s="421" t="inlineStr">
        <is>
          <t>suresh.s@axiscades.in</t>
        </is>
      </c>
      <c r="H2" s="420" t="inlineStr">
        <is>
          <t>arun.arumugam@axiscades.in; rithvick.naidu@axiscades.in</t>
        </is>
      </c>
      <c r="I2" s="420" t="inlineStr"/>
      <c r="J2" s="420" t="inlineStr"/>
      <c r="K2" s="422" t="inlineStr">
        <is>
          <t>John Quinn</t>
        </is>
      </c>
      <c r="L2" s="422" t="inlineStr">
        <is>
          <t>Term Sheet / Proposal</t>
        </is>
      </c>
      <c r="M2" s="420" t="inlineStr">
        <is>
          <t>Space / Defense / Aerospace / Advanced Manufacturing</t>
        </is>
      </c>
      <c r="N2" s="422" t="inlineStr">
        <is>
          <t>Tier 1</t>
        </is>
      </c>
      <c r="O2" s="420" t="n"/>
      <c r="P2" s="440" t="n">
        <v>46055</v>
      </c>
      <c r="Q2" s="420">
        <f>IF(P2="","",TODAY()-P2)</f>
        <v/>
      </c>
      <c r="R2" s="440">
        <f>IF(OR(L2="Passed",Z2=""),"",P2+Z2)</f>
        <v/>
      </c>
      <c r="S2" s="420">
        <f>IF(OR(R2="",L2="Passed"),"",IF(R2&lt;=TODAY(),"DUE",IF(R2&lt;=TODAY()+3,"Next 3 Days","Later")))</f>
        <v/>
      </c>
      <c r="T2" s="420" t="inlineStr">
        <is>
          <t>Meeting scheduled / held</t>
        </is>
      </c>
      <c r="U2" s="422" t="inlineStr"/>
      <c r="V2" s="422" t="inlineStr">
        <is>
          <t>Strategic Partnership-  Equity deal</t>
        </is>
      </c>
      <c r="W2" s="424" t="inlineStr">
        <is>
          <t>Missed call toady at 08:30 - Follow-up framework shared outlining a phased, ITAR/EAR-compliant strategic partnership. Proposal includes AxisCades acquiring 51% of SSLC for $10M (phased capital), international sales support with commission structure, and long-term India-based manufacturing under TAA/MLA approvals. Discussions ongoing to confirm alignment on structure, valuation, and next steps. | toured SSLC on 2/16 | met in person at EXOS on 12/19, follow up set for onsite visit 1/19 | request for SSLC visit on hold pending establishment of basic term sheet.</t>
        </is>
      </c>
      <c r="X2" s="420" t="inlineStr">
        <is>
          <t>Term Sheets!2 | JQ Follow Up!4 | Derek Contacts!8</t>
        </is>
      </c>
      <c r="Y2" s="422" t="inlineStr">
        <is>
          <t>Review terms and push decision process</t>
        </is>
      </c>
      <c r="Z2" s="420" t="n">
        <v>2</v>
      </c>
      <c r="AA2" s="420">
        <f>IF(AC2="Archived",0,ROUND((IF(N2="Tier 1",35,IF(N2="Tier 2",20,8))+IF(C2="Financial Investor",15,IF(C2="Intermediary / Banker",12,8))+IF(L2="Term Sheet / Proposal",25,IF(L2="Engaged",20,IF(L2="Meeting Requested",18,IF(L2="Meeting Held",14,IF(L2="Follow Up",10,5)))))+MIN(Q2,30)+IF(S2="DUE",15,IF(S2="Next 3 Days",8,0))),0))</f>
        <v/>
      </c>
      <c r="AB2" s="420">
        <f>IF(AND(AC2="Active",OR(N2="Tier 1",N2="Tier 2"),OR(S2="DUE",S2="Next 3 Days")),"YES","")</f>
        <v/>
      </c>
      <c r="AC2" s="420">
        <f>IF(L2="Passed","Archived","Active")</f>
        <v/>
      </c>
    </row>
    <row r="3">
      <c r="A3" s="420" t="inlineStr">
        <is>
          <t>EXOS-0002</t>
        </is>
      </c>
      <c r="B3" s="420" t="inlineStr">
        <is>
          <t>Term Sheets</t>
        </is>
      </c>
      <c r="C3" s="420" t="inlineStr">
        <is>
          <t>Intermediary / Banker</t>
        </is>
      </c>
      <c r="D3" s="420" t="inlineStr">
        <is>
          <t>Bancroft Capital (Bancroft4Vets)</t>
        </is>
      </c>
      <c r="E3" s="420" t="inlineStr">
        <is>
          <t>Jason Diamond</t>
        </is>
      </c>
      <c r="F3" s="420" t="inlineStr"/>
      <c r="G3" s="421" t="inlineStr">
        <is>
          <t>jdiamond@bancroft4vets.com</t>
        </is>
      </c>
      <c r="H3" s="420" t="inlineStr">
        <is>
          <t>kcariaga@bancroft4vets.com; rmalin@bancroft4vets.com; jgoodman@bancroft4vets.com</t>
        </is>
      </c>
      <c r="I3" s="420" t="inlineStr"/>
      <c r="J3" s="420" t="inlineStr"/>
      <c r="K3" s="422" t="inlineStr">
        <is>
          <t>John Quinn</t>
        </is>
      </c>
      <c r="L3" s="422" t="inlineStr">
        <is>
          <t>Term Sheet / Proposal</t>
        </is>
      </c>
      <c r="M3" s="420" t="inlineStr">
        <is>
          <t>Capital raise support / placement</t>
        </is>
      </c>
      <c r="N3" s="422" t="inlineStr">
        <is>
          <t>Tier 1</t>
        </is>
      </c>
      <c r="O3" s="420" t="n"/>
      <c r="P3" s="420" t="n"/>
      <c r="Q3" s="420">
        <f>IF(P3="","",TODAY()-P3)</f>
        <v/>
      </c>
      <c r="R3" s="440">
        <f>IF(OR(L3="Passed",Z3=""),"",P3+Z3)</f>
        <v/>
      </c>
      <c r="S3" s="420">
        <f>IF(OR(R3="",L3="Passed"),"",IF(R3&lt;=TODAY(),"DUE",IF(R3&lt;=TODAY()+3,"Next 3 Days","Later")))</f>
        <v/>
      </c>
      <c r="T3" s="420" t="inlineStr">
        <is>
          <t>Meeting scheduled / held</t>
        </is>
      </c>
      <c r="U3" s="422" t="inlineStr"/>
      <c r="V3" s="422" t="inlineStr">
        <is>
          <t>Investment Banking / Capital Raise</t>
        </is>
      </c>
      <c r="W3" s="424" t="inlineStr">
        <is>
          <t>Introduced via Kipton Cariaga. Terms/presentation shared. Defense- and veteran-focused investment bank. Logged for tracking and follow-up; no term sheet yet. Engaging BTIG 2-26-26 | 01/16/2026 | At their request, sent forward-ready cover email with high-level company overview and $10M raise summary, along with attached presentations. Materials prepared for direct circulation to IB partners and investor network (Jason forwarding internally). Awaiting feedback and/or investor introductions.</t>
        </is>
      </c>
      <c r="X3" s="420" t="inlineStr">
        <is>
          <t>Term Sheets!6</t>
        </is>
      </c>
      <c r="Y3" s="422" t="inlineStr">
        <is>
          <t>Review terms and push decision process</t>
        </is>
      </c>
      <c r="Z3" s="420" t="n">
        <v>2</v>
      </c>
      <c r="AA3" s="420">
        <f>IF(AC3="Archived",0,ROUND((IF(N3="Tier 1",35,IF(N3="Tier 2",20,8))+IF(C3="Financial Investor",15,IF(C3="Intermediary / Banker",12,8))+IF(L3="Term Sheet / Proposal",25,IF(L3="Engaged",20,IF(L3="Meeting Requested",18,IF(L3="Meeting Held",14,IF(L3="Follow Up",10,5)))))+MIN(Q3,30)+IF(S3="DUE",15,IF(S3="Next 3 Days",8,0))),0))</f>
        <v/>
      </c>
      <c r="AB3" s="420">
        <f>IF(AND(AC3="Active",OR(N3="Tier 1",N3="Tier 2"),OR(S3="DUE",S3="Next 3 Days")),"YES","")</f>
        <v/>
      </c>
      <c r="AC3" s="420">
        <f>IF(L3="Passed","Archived","Active")</f>
        <v/>
      </c>
    </row>
    <row r="4">
      <c r="A4" s="420" t="inlineStr">
        <is>
          <t>EXOS-0003</t>
        </is>
      </c>
      <c r="B4" s="420" t="inlineStr">
        <is>
          <t>John - Investor Contacts</t>
        </is>
      </c>
      <c r="C4" s="420" t="inlineStr">
        <is>
          <t>Financial Investor</t>
        </is>
      </c>
      <c r="D4" s="420" t="inlineStr">
        <is>
          <t>Cerberus Capital Management</t>
        </is>
      </c>
      <c r="E4" s="420" t="inlineStr">
        <is>
          <t>Dan Quayle</t>
        </is>
      </c>
      <c r="F4" s="420" t="inlineStr"/>
      <c r="G4" s="421" t="inlineStr">
        <is>
          <t>dquayle@cerberus.com</t>
        </is>
      </c>
      <c r="H4" s="420" t="inlineStr"/>
      <c r="I4" s="420" t="inlineStr"/>
      <c r="J4" s="420" t="inlineStr"/>
      <c r="K4" s="422" t="inlineStr">
        <is>
          <t>John Quinn</t>
        </is>
      </c>
      <c r="L4" s="422" t="inlineStr">
        <is>
          <t>Term Sheet / Proposal</t>
        </is>
      </c>
      <c r="M4" s="420" t="inlineStr">
        <is>
          <t>Space / Defense / Aerospace / Advanced Manufacturing</t>
        </is>
      </c>
      <c r="N4" s="422" t="inlineStr">
        <is>
          <t>Tier 1</t>
        </is>
      </c>
      <c r="O4" s="440" t="n">
        <v>45968</v>
      </c>
      <c r="P4" s="440" t="n">
        <v>46023</v>
      </c>
      <c r="Q4" s="420">
        <f>IF(P4="","",TODAY()-P4)</f>
        <v/>
      </c>
      <c r="R4" s="440">
        <f>IF(OR(L4="Passed",Z4=""),"",P4+Z4)</f>
        <v/>
      </c>
      <c r="S4" s="420">
        <f>IF(OR(R4="",L4="Passed"),"",IF(R4&lt;=TODAY(),"DUE",IF(R4&lt;=TODAY()+3,"Next 3 Days","Later")))</f>
        <v/>
      </c>
      <c r="T4" s="420" t="inlineStr">
        <is>
          <t>Meeting scheduled / held</t>
        </is>
      </c>
      <c r="U4" s="422" t="inlineStr"/>
      <c r="V4" s="422" t="inlineStr">
        <is>
          <t>Strategic Partner / Growth Capital</t>
        </is>
      </c>
      <c r="W4" s="424" t="inlineStr">
        <is>
          <t>01/14/2026 | Introductory conversation held; John sent story deck, finance-focused deck, and one-pager today. Framed as strategic partner aligned with Scorpius acquisition, revenue expansion, and hypersonics / Golden Dome support. Added as potential strategic partner for board consideration. Awaiting response.</t>
        </is>
      </c>
      <c r="X4" s="420" t="inlineStr">
        <is>
          <t>John - Investor Contacts!862</t>
        </is>
      </c>
      <c r="Y4" s="422" t="inlineStr">
        <is>
          <t>Review terms and push decision process</t>
        </is>
      </c>
      <c r="Z4" s="420" t="n">
        <v>2</v>
      </c>
      <c r="AA4" s="420">
        <f>IF(AC4="Archived",0,ROUND((IF(N4="Tier 1",35,IF(N4="Tier 2",20,8))+IF(C4="Financial Investor",15,IF(C4="Intermediary / Banker",12,8))+IF(L4="Term Sheet / Proposal",25,IF(L4="Engaged",20,IF(L4="Meeting Requested",18,IF(L4="Meeting Held",14,IF(L4="Follow Up",10,5)))))+MIN(Q4,30)+IF(S4="DUE",15,IF(S4="Next 3 Days",8,0))),0))</f>
        <v/>
      </c>
      <c r="AB4" s="420">
        <f>IF(AND(AC4="Active",OR(N4="Tier 1",N4="Tier 2"),OR(S4="DUE",S4="Next 3 Days")),"YES","")</f>
        <v/>
      </c>
      <c r="AC4" s="420">
        <f>IF(L4="Passed","Archived","Active")</f>
        <v/>
      </c>
    </row>
    <row r="5">
      <c r="A5" s="420" t="inlineStr">
        <is>
          <t>EXOS-0004</t>
        </is>
      </c>
      <c r="B5" s="420" t="inlineStr">
        <is>
          <t>John - Investor Contacts</t>
        </is>
      </c>
      <c r="C5" s="420" t="inlineStr">
        <is>
          <t>Financial Investor</t>
        </is>
      </c>
      <c r="D5" s="420" t="inlineStr">
        <is>
          <t>Cerberus Capital Management</t>
        </is>
      </c>
      <c r="E5" s="420" t="inlineStr">
        <is>
          <t>Frank Bruno</t>
        </is>
      </c>
      <c r="F5" s="420" t="inlineStr"/>
      <c r="G5" s="421" t="inlineStr">
        <is>
          <t>fbruno@cerberus.com</t>
        </is>
      </c>
      <c r="H5" s="420" t="inlineStr"/>
      <c r="I5" s="420" t="inlineStr"/>
      <c r="J5" s="420" t="inlineStr"/>
      <c r="K5" s="422" t="inlineStr">
        <is>
          <t>John Quinn</t>
        </is>
      </c>
      <c r="L5" s="422" t="inlineStr">
        <is>
          <t>Term Sheet / Proposal</t>
        </is>
      </c>
      <c r="M5" s="420" t="inlineStr">
        <is>
          <t>Space / Defense / Aerospace / Advanced Manufacturing</t>
        </is>
      </c>
      <c r="N5" s="422" t="inlineStr">
        <is>
          <t>Tier 1</t>
        </is>
      </c>
      <c r="O5" s="440" t="n">
        <v>45968</v>
      </c>
      <c r="P5" s="440" t="n">
        <v>46023</v>
      </c>
      <c r="Q5" s="420">
        <f>IF(P5="","",TODAY()-P5)</f>
        <v/>
      </c>
      <c r="R5" s="440">
        <f>IF(OR(L5="Passed",Z5=""),"",P5+Z5)</f>
        <v/>
      </c>
      <c r="S5" s="420">
        <f>IF(OR(R5="",L5="Passed"),"",IF(R5&lt;=TODAY(),"DUE",IF(R5&lt;=TODAY()+3,"Next 3 Days","Later")))</f>
        <v/>
      </c>
      <c r="T5" s="420" t="inlineStr">
        <is>
          <t>Meeting scheduled / held</t>
        </is>
      </c>
      <c r="U5" s="422" t="inlineStr"/>
      <c r="V5" s="422" t="inlineStr">
        <is>
          <t>Strategic Partner / Growth Capital</t>
        </is>
      </c>
      <c r="W5" s="424" t="inlineStr">
        <is>
          <t>01/14/2026 | Introductory conversation held; John sent story deck, finance-focused deck, and one-pager today. Framed as strategic partner aligned with Scorpius acquisition, revenue expansion, and hypersonics / Golden Dome support. Added as potential strategic partner for board consideration. Awaiting response.</t>
        </is>
      </c>
      <c r="X5" s="420" t="inlineStr">
        <is>
          <t>John - Investor Contacts!861</t>
        </is>
      </c>
      <c r="Y5" s="422" t="inlineStr">
        <is>
          <t>Review terms and push decision process</t>
        </is>
      </c>
      <c r="Z5" s="420" t="n">
        <v>2</v>
      </c>
      <c r="AA5" s="420">
        <f>IF(AC5="Archived",0,ROUND((IF(N5="Tier 1",35,IF(N5="Tier 2",20,8))+IF(C5="Financial Investor",15,IF(C5="Intermediary / Banker",12,8))+IF(L5="Term Sheet / Proposal",25,IF(L5="Engaged",20,IF(L5="Meeting Requested",18,IF(L5="Meeting Held",14,IF(L5="Follow Up",10,5)))))+MIN(Q5,30)+IF(S5="DUE",15,IF(S5="Next 3 Days",8,0))),0))</f>
        <v/>
      </c>
      <c r="AB5" s="420">
        <f>IF(AND(AC5="Active",OR(N5="Tier 1",N5="Tier 2"),OR(S5="DUE",S5="Next 3 Days")),"YES","")</f>
        <v/>
      </c>
      <c r="AC5" s="420">
        <f>IF(L5="Passed","Archived","Active")</f>
        <v/>
      </c>
    </row>
    <row r="6">
      <c r="A6" s="420" t="inlineStr">
        <is>
          <t>EXOS-0005</t>
        </is>
      </c>
      <c r="B6" s="420" t="inlineStr">
        <is>
          <t>JQ Follow Up | Term Sheets</t>
        </is>
      </c>
      <c r="C6" s="420" t="inlineStr">
        <is>
          <t>Financial Investor</t>
        </is>
      </c>
      <c r="D6" s="420" t="inlineStr">
        <is>
          <t>Cerberus Capital Management</t>
        </is>
      </c>
      <c r="E6" s="420" t="inlineStr">
        <is>
          <t>Kent (Cerberus Ops)</t>
        </is>
      </c>
      <c r="F6" s="420" t="inlineStr"/>
      <c r="G6" s="421" t="inlineStr">
        <is>
          <t>consult-klietzau@cerberusoperations.com</t>
        </is>
      </c>
      <c r="H6" s="420" t="inlineStr"/>
      <c r="I6" s="420" t="inlineStr"/>
      <c r="J6" s="420" t="inlineStr"/>
      <c r="K6" s="422" t="inlineStr">
        <is>
          <t>John Quinn</t>
        </is>
      </c>
      <c r="L6" s="422" t="inlineStr">
        <is>
          <t>Term Sheet / Proposal</t>
        </is>
      </c>
      <c r="M6" s="420" t="inlineStr">
        <is>
          <t>Space / Defense / Aerospace / Advanced Manufacturing</t>
        </is>
      </c>
      <c r="N6" s="422" t="inlineStr">
        <is>
          <t>Tier 1</t>
        </is>
      </c>
      <c r="O6" s="420" t="n"/>
      <c r="P6" s="440" t="n">
        <v>46023</v>
      </c>
      <c r="Q6" s="420">
        <f>IF(P6="","",TODAY()-P6)</f>
        <v/>
      </c>
      <c r="R6" s="440">
        <f>IF(OR(L6="Passed",Z6=""),"",P6+Z6)</f>
        <v/>
      </c>
      <c r="S6" s="420">
        <f>IF(OR(R6="",L6="Passed"),"",IF(R6&lt;=TODAY(),"DUE",IF(R6&lt;=TODAY()+3,"Next 3 Days","Later")))</f>
        <v/>
      </c>
      <c r="T6" s="420" t="inlineStr">
        <is>
          <t>Meeting scheduled / held</t>
        </is>
      </c>
      <c r="U6" s="422" t="inlineStr"/>
      <c r="V6" s="422" t="inlineStr">
        <is>
          <t>Strategic Partner / Growth Capital</t>
        </is>
      </c>
      <c r="W6" s="424" t="inlineStr">
        <is>
          <t>Introductory conversation held; John sent story deck, finance-focused deck, and one-pager today. Framed as strategic partner aligned with Scorpius acquisition, revenue expansion, and hypersonics / Golden Dome support. Added as potential strategic partner for board consideration. Awaiting response.</t>
        </is>
      </c>
      <c r="X6" s="420" t="inlineStr">
        <is>
          <t>Term Sheets!11 | JQ Follow Up!25</t>
        </is>
      </c>
      <c r="Y6" s="422" t="inlineStr">
        <is>
          <t>Review terms and push decision process</t>
        </is>
      </c>
      <c r="Z6" s="420" t="n">
        <v>2</v>
      </c>
      <c r="AA6" s="420">
        <f>IF(AC6="Archived",0,ROUND((IF(N6="Tier 1",35,IF(N6="Tier 2",20,8))+IF(C6="Financial Investor",15,IF(C6="Intermediary / Banker",12,8))+IF(L6="Term Sheet / Proposal",25,IF(L6="Engaged",20,IF(L6="Meeting Requested",18,IF(L6="Meeting Held",14,IF(L6="Follow Up",10,5)))))+MIN(Q6,30)+IF(S6="DUE",15,IF(S6="Next 3 Days",8,0))),0))</f>
        <v/>
      </c>
      <c r="AB6" s="420">
        <f>IF(AND(AC6="Active",OR(N6="Tier 1",N6="Tier 2"),OR(S6="DUE",S6="Next 3 Days")),"YES","")</f>
        <v/>
      </c>
      <c r="AC6" s="420">
        <f>IF(L6="Passed","Archived","Active")</f>
        <v/>
      </c>
    </row>
    <row r="7">
      <c r="A7" s="420" t="inlineStr">
        <is>
          <t>EXOS-0006</t>
        </is>
      </c>
      <c r="B7" s="420" t="inlineStr">
        <is>
          <t>Derek Contacts | JQ Follow Up | Term Sheets</t>
        </is>
      </c>
      <c r="C7" s="420" t="inlineStr">
        <is>
          <t>Financial Investor</t>
        </is>
      </c>
      <c r="D7" s="420" t="inlineStr">
        <is>
          <t>Cloris Capital Group LLC</t>
        </is>
      </c>
      <c r="E7" s="420" t="inlineStr">
        <is>
          <t>Tahmina Khan</t>
        </is>
      </c>
      <c r="F7" s="420" t="inlineStr">
        <is>
          <t>CEO</t>
        </is>
      </c>
      <c r="G7" s="421" t="inlineStr">
        <is>
          <t>tahmina.investing@gmail.com</t>
        </is>
      </c>
      <c r="H7" s="420" t="inlineStr">
        <is>
          <t>hawken@edgewatersg.com; daniel.murillo@edgewatersg.com</t>
        </is>
      </c>
      <c r="I7" s="420" t="inlineStr"/>
      <c r="J7" s="420" t="inlineStr"/>
      <c r="K7" s="422" t="inlineStr">
        <is>
          <t>John Quinn</t>
        </is>
      </c>
      <c r="L7" s="422" t="inlineStr">
        <is>
          <t>Term Sheet / Proposal</t>
        </is>
      </c>
      <c r="M7" s="420" t="inlineStr">
        <is>
          <t>Space / Defense / Aerospace / Advanced Manufacturing</t>
        </is>
      </c>
      <c r="N7" s="422" t="inlineStr">
        <is>
          <t>Tier 1</t>
        </is>
      </c>
      <c r="O7" s="420" t="n"/>
      <c r="P7" s="420" t="n"/>
      <c r="Q7" s="420">
        <f>IF(P7="","",TODAY()-P7)</f>
        <v/>
      </c>
      <c r="R7" s="440">
        <f>IF(OR(L7="Passed",Z7=""),"",P7+Z7)</f>
        <v/>
      </c>
      <c r="S7" s="420">
        <f>IF(OR(R7="",L7="Passed"),"",IF(R7&lt;=TODAY(),"DUE",IF(R7&lt;=TODAY()+3,"Next 3 Days","Later")))</f>
        <v/>
      </c>
      <c r="T7" s="420" t="inlineStr">
        <is>
          <t>Meeting scheduled / held</t>
        </is>
      </c>
      <c r="U7" s="422" t="inlineStr">
        <is>
          <t>referred by Dereck</t>
        </is>
      </c>
      <c r="V7" s="422" t="inlineStr">
        <is>
          <t>Capital Partner (Equity / Strategic) 2% of transaction</t>
        </is>
      </c>
      <c r="W7" s="424" t="inlineStr">
        <is>
          <t>Completed discussions with both ETL and IronGate. No follow-up correspondence received to date. Awaiting next steps or investor feedback. | Investor requested documentation showing revenue for the past three years and indicated interest if trailing 12-month revenue reflects ~$1M. Financial documents sent by John. Awaiting response/feedback. | 11/24 call and materials sent | email outreach has been sent to all</t>
        </is>
      </c>
      <c r="X7" s="420" t="inlineStr">
        <is>
          <t>Term Sheets!4 | JQ Follow Up!16 | Derek Contacts!12</t>
        </is>
      </c>
      <c r="Y7" s="422" t="inlineStr">
        <is>
          <t>Review terms and push decision process</t>
        </is>
      </c>
      <c r="Z7" s="420" t="n">
        <v>2</v>
      </c>
      <c r="AA7" s="420">
        <f>IF(AC7="Archived",0,ROUND((IF(N7="Tier 1",35,IF(N7="Tier 2",20,8))+IF(C7="Financial Investor",15,IF(C7="Intermediary / Banker",12,8))+IF(L7="Term Sheet / Proposal",25,IF(L7="Engaged",20,IF(L7="Meeting Requested",18,IF(L7="Meeting Held",14,IF(L7="Follow Up",10,5)))))+MIN(Q7,30)+IF(S7="DUE",15,IF(S7="Next 3 Days",8,0))),0))</f>
        <v/>
      </c>
      <c r="AB7" s="420">
        <f>IF(AND(AC7="Active",OR(N7="Tier 1",N7="Tier 2"),OR(S7="DUE",S7="Next 3 Days")),"YES","")</f>
        <v/>
      </c>
      <c r="AC7" s="420">
        <f>IF(L7="Passed","Archived","Active")</f>
        <v/>
      </c>
    </row>
    <row r="8">
      <c r="A8" s="420" t="inlineStr">
        <is>
          <t>EXOS-0007</t>
        </is>
      </c>
      <c r="B8" s="420" t="inlineStr">
        <is>
          <t>Derek Contacts | JQ Follow Up | Term Sheets</t>
        </is>
      </c>
      <c r="C8" s="420" t="inlineStr">
        <is>
          <t>Financial Investor</t>
        </is>
      </c>
      <c r="D8" s="420" t="inlineStr">
        <is>
          <t>Craft Capital</t>
        </is>
      </c>
      <c r="E8" s="420" t="inlineStr">
        <is>
          <t>Brandon Golenda</t>
        </is>
      </c>
      <c r="F8" s="420" t="inlineStr"/>
      <c r="G8" s="421" t="inlineStr">
        <is>
          <t>bgolenda@craftcm.com</t>
        </is>
      </c>
      <c r="H8" s="420" t="inlineStr">
        <is>
          <t>alexhamilton@optonline.net; ryanhamilton02@gmail.com</t>
        </is>
      </c>
      <c r="I8" s="420" t="inlineStr"/>
      <c r="J8" s="420" t="inlineStr"/>
      <c r="K8" s="422" t="inlineStr">
        <is>
          <t>John Quinn</t>
        </is>
      </c>
      <c r="L8" s="422" t="inlineStr">
        <is>
          <t>Term Sheet / Proposal</t>
        </is>
      </c>
      <c r="M8" s="420" t="inlineStr">
        <is>
          <t>Space / Defense / Aerospace / Advanced Manufacturing</t>
        </is>
      </c>
      <c r="N8" s="422" t="inlineStr">
        <is>
          <t>Tier 1</t>
        </is>
      </c>
      <c r="O8" s="420" t="n"/>
      <c r="P8" s="440" t="n">
        <v>46020</v>
      </c>
      <c r="Q8" s="420">
        <f>IF(P8="","",TODAY()-P8)</f>
        <v/>
      </c>
      <c r="R8" s="440">
        <f>IF(OR(L8="Passed",Z8=""),"",P8+Z8)</f>
        <v/>
      </c>
      <c r="S8" s="420">
        <f>IF(OR(R8="",L8="Passed"),"",IF(R8&lt;=TODAY(),"DUE",IF(R8&lt;=TODAY()+3,"Next 3 Days","Later")))</f>
        <v/>
      </c>
      <c r="T8" s="420" t="inlineStr">
        <is>
          <t>Meeting scheduled / held</t>
        </is>
      </c>
      <c r="U8" s="422" t="inlineStr">
        <is>
          <t>referred by Dereck</t>
        </is>
      </c>
      <c r="V8" s="422" t="inlineStr">
        <is>
          <t>Advisory (Paid) Cost of finance:
$30k fixed + 4–8% cash + 8% equity/warrants (if they introduce the capital)
How to exclude other funding:
The agreement already limits fees to Craft-introduced investors only, but
You should formalize exclusions in writing immediately to avoid disputes.</t>
        </is>
      </c>
      <c r="W8" s="424" t="inlineStr">
        <is>
          <t>Advisory offer contingent on $30K fee. We chose not to proceed; parked. | $30K Investment bank enagement $10k/mo for 3 months advisor only. no funds.</t>
        </is>
      </c>
      <c r="X8" s="420" t="inlineStr">
        <is>
          <t>Term Sheets!21 | JQ Follow Up!9 | Derek Contacts!13</t>
        </is>
      </c>
      <c r="Y8" s="422" t="inlineStr">
        <is>
          <t>Review terms and push decision process</t>
        </is>
      </c>
      <c r="Z8" s="420" t="n">
        <v>2</v>
      </c>
      <c r="AA8" s="420">
        <f>IF(AC8="Archived",0,ROUND((IF(N8="Tier 1",35,IF(N8="Tier 2",20,8))+IF(C8="Financial Investor",15,IF(C8="Intermediary / Banker",12,8))+IF(L8="Term Sheet / Proposal",25,IF(L8="Engaged",20,IF(L8="Meeting Requested",18,IF(L8="Meeting Held",14,IF(L8="Follow Up",10,5)))))+MIN(Q8,30)+IF(S8="DUE",15,IF(S8="Next 3 Days",8,0))),0))</f>
        <v/>
      </c>
      <c r="AB8" s="420">
        <f>IF(AND(AC8="Active",OR(N8="Tier 1",N8="Tier 2"),OR(S8="DUE",S8="Next 3 Days")),"YES","")</f>
        <v/>
      </c>
      <c r="AC8" s="420">
        <f>IF(L8="Passed","Archived","Active")</f>
        <v/>
      </c>
    </row>
    <row r="9">
      <c r="A9" s="420" t="inlineStr">
        <is>
          <t>EXOS-0008</t>
        </is>
      </c>
      <c r="B9" s="420" t="inlineStr">
        <is>
          <t>Term Sheets</t>
        </is>
      </c>
      <c r="C9" s="420" t="inlineStr">
        <is>
          <t>Financial Investor</t>
        </is>
      </c>
      <c r="D9" s="420" t="inlineStr">
        <is>
          <t>DelMorgan &amp; Co</t>
        </is>
      </c>
      <c r="E9" s="420" t="inlineStr">
        <is>
          <t>RJ Mollen</t>
        </is>
      </c>
      <c r="F9" s="420" t="inlineStr"/>
      <c r="G9" s="421" t="inlineStr">
        <is>
          <t>rjm@delmorganco.com</t>
        </is>
      </c>
      <c r="H9" s="420" t="inlineStr"/>
      <c r="I9" s="420" t="inlineStr"/>
      <c r="J9" s="420" t="inlineStr"/>
      <c r="K9" s="422" t="inlineStr">
        <is>
          <t>John Quinn</t>
        </is>
      </c>
      <c r="L9" s="422" t="inlineStr">
        <is>
          <t>Term Sheet / Proposal</t>
        </is>
      </c>
      <c r="M9" s="420" t="inlineStr">
        <is>
          <t>Space / Defense / Aerospace / Advanced Manufacturing</t>
        </is>
      </c>
      <c r="N9" s="422" t="inlineStr">
        <is>
          <t>Tier 1</t>
        </is>
      </c>
      <c r="O9" s="420" t="n"/>
      <c r="P9" s="440" t="n">
        <v>46037</v>
      </c>
      <c r="Q9" s="420">
        <f>IF(P9="","",TODAY()-P9)</f>
        <v/>
      </c>
      <c r="R9" s="440">
        <f>IF(OR(L9="Passed",Z9=""),"",P9+Z9)</f>
        <v/>
      </c>
      <c r="S9" s="420">
        <f>IF(OR(R9="",L9="Passed"),"",IF(R9&lt;=TODAY(),"DUE",IF(R9&lt;=TODAY()+3,"Next 3 Days","Later")))</f>
        <v/>
      </c>
      <c r="T9" s="420" t="inlineStr">
        <is>
          <t>Meeting scheduled / held</t>
        </is>
      </c>
      <c r="U9" s="422" t="inlineStr"/>
      <c r="V9" s="422" t="inlineStr">
        <is>
          <t>Strategic Advisory / Infrastructure &amp; Capital Access</t>
        </is>
      </c>
      <c r="W9" s="424" t="inlineStr">
        <is>
          <t>Talked and rejected offer- RJ proposed two alternative advisory paths outside the DelMorgan framework: (1) Fast Space infrastructure and asset monetization strategy, and (2) Gleam Consulting advisory + investor introductions tied to a $10M raise. Fee-based advisory with equity success bonuses. Not aligned with current priorities; documented for reference.</t>
        </is>
      </c>
      <c r="X9" s="420" t="inlineStr">
        <is>
          <t>Term Sheets!24</t>
        </is>
      </c>
      <c r="Y9" s="422" t="inlineStr">
        <is>
          <t>Review terms and push decision process</t>
        </is>
      </c>
      <c r="Z9" s="420" t="n">
        <v>2</v>
      </c>
      <c r="AA9" s="420">
        <f>IF(AC9="Archived",0,ROUND((IF(N9="Tier 1",35,IF(N9="Tier 2",20,8))+IF(C9="Financial Investor",15,IF(C9="Intermediary / Banker",12,8))+IF(L9="Term Sheet / Proposal",25,IF(L9="Engaged",20,IF(L9="Meeting Requested",18,IF(L9="Meeting Held",14,IF(L9="Follow Up",10,5)))))+MIN(Q9,30)+IF(S9="DUE",15,IF(S9="Next 3 Days",8,0))),0))</f>
        <v/>
      </c>
      <c r="AB9" s="420">
        <f>IF(AND(AC9="Active",OR(N9="Tier 1",N9="Tier 2"),OR(S9="DUE",S9="Next 3 Days")),"YES","")</f>
        <v/>
      </c>
      <c r="AC9" s="420">
        <f>IF(L9="Passed","Archived","Active")</f>
        <v/>
      </c>
    </row>
    <row r="10">
      <c r="A10" s="420" t="inlineStr">
        <is>
          <t>EXOS-0009</t>
        </is>
      </c>
      <c r="B10" s="420" t="inlineStr">
        <is>
          <t>Term Sheets</t>
        </is>
      </c>
      <c r="C10" s="420" t="inlineStr">
        <is>
          <t>Financial Investor</t>
        </is>
      </c>
      <c r="D10" s="420" t="inlineStr">
        <is>
          <t>InvestFortuna</t>
        </is>
      </c>
      <c r="E10" s="420" t="inlineStr">
        <is>
          <t>Sean Bromley</t>
        </is>
      </c>
      <c r="F10" s="420" t="inlineStr"/>
      <c r="G10" s="421" t="inlineStr">
        <is>
          <t>sbromley@investfortuna.com</t>
        </is>
      </c>
      <c r="H10" s="420" t="inlineStr">
        <is>
          <t>veghtesad@investfortuna.com</t>
        </is>
      </c>
      <c r="I10" s="420" t="inlineStr"/>
      <c r="J10" s="420" t="inlineStr"/>
      <c r="K10" s="422" t="inlineStr">
        <is>
          <t>John Quinn</t>
        </is>
      </c>
      <c r="L10" s="422" t="inlineStr">
        <is>
          <t>Term Sheet / Proposal</t>
        </is>
      </c>
      <c r="M10" s="420" t="inlineStr">
        <is>
          <t>Space / Defense / Aerospace / Advanced Manufacturing</t>
        </is>
      </c>
      <c r="N10" s="422" t="inlineStr">
        <is>
          <t>Tier 1</t>
        </is>
      </c>
      <c r="O10" s="420" t="n"/>
      <c r="P10" s="440" t="n">
        <v>46023</v>
      </c>
      <c r="Q10" s="420">
        <f>IF(P10="","",TODAY()-P10)</f>
        <v/>
      </c>
      <c r="R10" s="440">
        <f>IF(OR(L10="Passed",Z10=""),"",P10+Z10)</f>
        <v/>
      </c>
      <c r="S10" s="420">
        <f>IF(OR(R10="",L10="Passed"),"",IF(R10&lt;=TODAY(),"DUE",IF(R10&lt;=TODAY()+3,"Next 3 Days","Later")))</f>
        <v/>
      </c>
      <c r="T10" s="420" t="inlineStr">
        <is>
          <t>Meeting scheduled / held</t>
        </is>
      </c>
      <c r="U10" s="422" t="inlineStr"/>
      <c r="V10" s="422" t="inlineStr">
        <is>
          <t>Advisory + Bridge / IPO Path</t>
        </is>
      </c>
      <c r="W10" s="424" t="inlineStr">
        <is>
          <t>The .4 term sheet, as drafted, is not registrable, not exchange-compliant, and not defensible for directors.
It can be salvaged only through structural changes that align it with industry norms that they rejected. | 01/15/2026 | Fortuna proposed an IPO-led advisory structure including a warrant offering, $5M minimum bridge financing (convertible at significant discount), and a $15M IPO financing, with substantial embedded dilution and control provisions. EXOS submitted a formal counter-term sheet replacing discounted instruments and automatic vesting with performance-based earn-out equity tied to post-IPO share price and market cap milestones, preserving a clean cap table and fiduciary compliance. Negotiations ongoing; awaiting Fortuna response.</t>
        </is>
      </c>
      <c r="X10" s="420" t="inlineStr">
        <is>
          <t>Term Sheets!16</t>
        </is>
      </c>
      <c r="Y10" s="422" t="inlineStr">
        <is>
          <t>Review terms and push decision process</t>
        </is>
      </c>
      <c r="Z10" s="420" t="n">
        <v>2</v>
      </c>
      <c r="AA10" s="420">
        <f>IF(AC10="Archived",0,ROUND((IF(N10="Tier 1",35,IF(N10="Tier 2",20,8))+IF(C10="Financial Investor",15,IF(C10="Intermediary / Banker",12,8))+IF(L10="Term Sheet / Proposal",25,IF(L10="Engaged",20,IF(L10="Meeting Requested",18,IF(L10="Meeting Held",14,IF(L10="Follow Up",10,5)))))+MIN(Q10,30)+IF(S10="DUE",15,IF(S10="Next 3 Days",8,0))),0))</f>
        <v/>
      </c>
      <c r="AB10" s="420">
        <f>IF(AND(AC10="Active",OR(N10="Tier 1",N10="Tier 2"),OR(S10="DUE",S10="Next 3 Days")),"YES","")</f>
        <v/>
      </c>
      <c r="AC10" s="420">
        <f>IF(L10="Passed","Archived","Active")</f>
        <v/>
      </c>
    </row>
    <row r="11">
      <c r="A11" s="420" t="inlineStr">
        <is>
          <t>EXOS-0010</t>
        </is>
      </c>
      <c r="B11" s="420" t="inlineStr">
        <is>
          <t>Term Sheets</t>
        </is>
      </c>
      <c r="C11" s="420" t="inlineStr">
        <is>
          <t>Financial Investor</t>
        </is>
      </c>
      <c r="D11" s="420" t="inlineStr">
        <is>
          <t>Pickwick Capital</t>
        </is>
      </c>
      <c r="E11" s="420" t="inlineStr">
        <is>
          <t>Crescent Varrone</t>
        </is>
      </c>
      <c r="F11" s="420" t="inlineStr"/>
      <c r="G11" s="421" t="inlineStr">
        <is>
          <t>varronec@pickwickcapital.com</t>
        </is>
      </c>
      <c r="H11" s="420" t="inlineStr">
        <is>
          <t>alvarezd@pickwickcapital.com; sauterm@pickwickcapital.com</t>
        </is>
      </c>
      <c r="I11" s="420" t="inlineStr"/>
      <c r="J11" s="420" t="inlineStr"/>
      <c r="K11" s="422" t="inlineStr">
        <is>
          <t>John Quinn</t>
        </is>
      </c>
      <c r="L11" s="422" t="inlineStr">
        <is>
          <t>Term Sheet / Proposal</t>
        </is>
      </c>
      <c r="M11" s="420" t="inlineStr">
        <is>
          <t>Space / Defense / Aerospace / Advanced Manufacturing</t>
        </is>
      </c>
      <c r="N11" s="422" t="inlineStr">
        <is>
          <t>Tier 1</t>
        </is>
      </c>
      <c r="O11" s="420" t="n"/>
      <c r="P11" s="440" t="n">
        <v>46031</v>
      </c>
      <c r="Q11" s="420">
        <f>IF(P11="","",TODAY()-P11)</f>
        <v/>
      </c>
      <c r="R11" s="440">
        <f>IF(OR(L11="Passed",Z11=""),"",P11+Z11)</f>
        <v/>
      </c>
      <c r="S11" s="420">
        <f>IF(OR(R11="",L11="Passed"),"",IF(R11&lt;=TODAY(),"DUE",IF(R11&lt;=TODAY()+3,"Next 3 Days","Later")))</f>
        <v/>
      </c>
      <c r="T11" s="420" t="inlineStr">
        <is>
          <t>Meeting scheduled / held</t>
        </is>
      </c>
      <c r="U11" s="422" t="inlineStr"/>
      <c r="V11" s="422" t="inlineStr">
        <is>
          <t>Capital Partner (Equity / Strategic) $15k/ mon 6 Months</t>
        </is>
      </c>
      <c r="W11" s="424" t="inlineStr">
        <is>
          <t>Active discussions underway. Pickwick has expressed interest; no term sheet yet. John had producitive meeting on 1/9. | 01/15/2026</t>
        </is>
      </c>
      <c r="X11" s="420" t="inlineStr">
        <is>
          <t>Term Sheets!15</t>
        </is>
      </c>
      <c r="Y11" s="422" t="inlineStr">
        <is>
          <t>Review terms and push decision process</t>
        </is>
      </c>
      <c r="Z11" s="420" t="n">
        <v>2</v>
      </c>
      <c r="AA11" s="420">
        <f>IF(AC11="Archived",0,ROUND((IF(N11="Tier 1",35,IF(N11="Tier 2",20,8))+IF(C11="Financial Investor",15,IF(C11="Intermediary / Banker",12,8))+IF(L11="Term Sheet / Proposal",25,IF(L11="Engaged",20,IF(L11="Meeting Requested",18,IF(L11="Meeting Held",14,IF(L11="Follow Up",10,5)))))+MIN(Q11,30)+IF(S11="DUE",15,IF(S11="Next 3 Days",8,0))),0))</f>
        <v/>
      </c>
      <c r="AB11" s="420">
        <f>IF(AND(AC11="Active",OR(N11="Tier 1",N11="Tier 2"),OR(S11="DUE",S11="Next 3 Days")),"YES","")</f>
        <v/>
      </c>
      <c r="AC11" s="420">
        <f>IF(L11="Passed","Archived","Active")</f>
        <v/>
      </c>
    </row>
    <row r="12">
      <c r="A12" s="420" t="inlineStr">
        <is>
          <t>EXOS-0011</t>
        </is>
      </c>
      <c r="B12" s="420" t="inlineStr">
        <is>
          <t>JQ Follow Up</t>
        </is>
      </c>
      <c r="C12" s="420" t="inlineStr">
        <is>
          <t>Financial Investor</t>
        </is>
      </c>
      <c r="D12" s="420" t="inlineStr">
        <is>
          <t>Pickwick Capital</t>
        </is>
      </c>
      <c r="E12" s="420" t="inlineStr">
        <is>
          <t>Crescent Varrone</t>
        </is>
      </c>
      <c r="F12" s="420" t="inlineStr"/>
      <c r="G12" s="421" t="inlineStr">
        <is>
          <t>alvarezd@pickwickcapital.com</t>
        </is>
      </c>
      <c r="H12" s="420" t="inlineStr">
        <is>
          <t>sauterm@pickwickcapital.com</t>
        </is>
      </c>
      <c r="I12" s="420" t="inlineStr">
        <is>
          <t>Capital Partner (Equity / Strategic)</t>
        </is>
      </c>
      <c r="J12" s="420" t="inlineStr"/>
      <c r="K12" s="422" t="inlineStr">
        <is>
          <t>John Quinn</t>
        </is>
      </c>
      <c r="L12" s="422" t="inlineStr">
        <is>
          <t>Term Sheet / Proposal</t>
        </is>
      </c>
      <c r="M12" s="420" t="inlineStr">
        <is>
          <t>Space / Defense / Aerospace / Advanced Manufacturing</t>
        </is>
      </c>
      <c r="N12" s="422" t="inlineStr">
        <is>
          <t>Tier 1</t>
        </is>
      </c>
      <c r="O12" s="420" t="n"/>
      <c r="P12" s="440" t="n">
        <v>46031</v>
      </c>
      <c r="Q12" s="420">
        <f>IF(P12="","",TODAY()-P12)</f>
        <v/>
      </c>
      <c r="R12" s="440">
        <f>IF(OR(L12="Passed",Z12=""),"",P12+Z12)</f>
        <v/>
      </c>
      <c r="S12" s="420">
        <f>IF(OR(R12="",L12="Passed"),"",IF(R12&lt;=TODAY(),"DUE",IF(R12&lt;=TODAY()+3,"Next 3 Days","Later")))</f>
        <v/>
      </c>
      <c r="T12" s="420" t="inlineStr">
        <is>
          <t>Meeting scheduled / held</t>
        </is>
      </c>
      <c r="U12" s="422" t="inlineStr">
        <is>
          <t>varronec@pickwickcapital.com</t>
        </is>
      </c>
      <c r="V12" s="422" t="inlineStr">
        <is>
          <t>Capital Partner (Equity / Strategic) $15k/ mon 6 Months</t>
        </is>
      </c>
      <c r="W12" s="424" t="inlineStr">
        <is>
          <t>Active discussions underway. Pickwick has expressed interest; no term sheet yet. John had producitive meeting on 1/9. | 01/15/2026</t>
        </is>
      </c>
      <c r="X12" s="420" t="inlineStr">
        <is>
          <t>JQ Follow Up!29</t>
        </is>
      </c>
      <c r="Y12" s="422" t="inlineStr">
        <is>
          <t>Review terms and push decision process</t>
        </is>
      </c>
      <c r="Z12" s="420" t="n">
        <v>2</v>
      </c>
      <c r="AA12" s="420">
        <f>IF(AC12="Archived",0,ROUND((IF(N12="Tier 1",35,IF(N12="Tier 2",20,8))+IF(C12="Financial Investor",15,IF(C12="Intermediary / Banker",12,8))+IF(L12="Term Sheet / Proposal",25,IF(L12="Engaged",20,IF(L12="Meeting Requested",18,IF(L12="Meeting Held",14,IF(L12="Follow Up",10,5)))))+MIN(Q12,30)+IF(S12="DUE",15,IF(S12="Next 3 Days",8,0))),0))</f>
        <v/>
      </c>
      <c r="AB12" s="420">
        <f>IF(AND(AC12="Active",OR(N12="Tier 1",N12="Tier 2"),OR(S12="DUE",S12="Next 3 Days")),"YES","")</f>
        <v/>
      </c>
      <c r="AC12" s="420">
        <f>IF(L12="Passed","Archived","Active")</f>
        <v/>
      </c>
    </row>
    <row r="13">
      <c r="A13" s="420" t="inlineStr">
        <is>
          <t>EXOS-0012</t>
        </is>
      </c>
      <c r="B13" s="420" t="inlineStr">
        <is>
          <t>Term Sheets</t>
        </is>
      </c>
      <c r="C13" s="420" t="inlineStr">
        <is>
          <t>Intermediary / Banker</t>
        </is>
      </c>
      <c r="D13" s="420" t="inlineStr">
        <is>
          <t>Sunbelt Dallas Metro</t>
        </is>
      </c>
      <c r="E13" s="420" t="inlineStr">
        <is>
          <t>Bill Nicholson</t>
        </is>
      </c>
      <c r="F13" s="420" t="inlineStr"/>
      <c r="G13" s="421" t="inlineStr">
        <is>
          <t>bnicholson@sunbeltnetwork.com</t>
        </is>
      </c>
      <c r="H13" s="420" t="inlineStr"/>
      <c r="I13" s="420" t="inlineStr"/>
      <c r="J13" s="420" t="inlineStr"/>
      <c r="K13" s="422" t="inlineStr">
        <is>
          <t>John Quinn</t>
        </is>
      </c>
      <c r="L13" s="422" t="inlineStr">
        <is>
          <t>Term Sheet / Proposal</t>
        </is>
      </c>
      <c r="M13" s="420" t="inlineStr">
        <is>
          <t>Capital raise support / placement</t>
        </is>
      </c>
      <c r="N13" s="422" t="inlineStr">
        <is>
          <t>Tier 1</t>
        </is>
      </c>
      <c r="O13" s="420" t="n"/>
      <c r="P13" s="440" t="n">
        <v>46083</v>
      </c>
      <c r="Q13" s="420">
        <f>IF(P13="","",TODAY()-P13)</f>
        <v/>
      </c>
      <c r="R13" s="440">
        <f>IF(OR(L13="Passed",Z13=""),"",P13+Z13)</f>
        <v/>
      </c>
      <c r="S13" s="420">
        <f>IF(OR(R13="",L13="Passed"),"",IF(R13&lt;=TODAY(),"DUE",IF(R13&lt;=TODAY()+3,"Next 3 Days","Later")))</f>
        <v/>
      </c>
      <c r="T13" s="420" t="inlineStr">
        <is>
          <t>Meeting scheduled / held</t>
        </is>
      </c>
      <c r="U13" s="422" t="inlineStr"/>
      <c r="V13" s="422" t="inlineStr">
        <is>
          <t>Proposed intermediary engagement (retainer + success fee model under discussion; Board requesting performance-based structure)</t>
        </is>
      </c>
      <c r="W13" s="424" t="inlineStr">
        <is>
          <t>Sunbelt inquired about including a retainer amount in the Engagement Letter.
John responded that the EXOS Board is unlikely to approve another open-ended retainer structure due to prior experiences with retainers that did not yield measurable outcomes. The Board is prioritizing:
Clearly defined deliverables
Performance-aligned compensation
Objective execution milestones
Defined transaction targets
SEC-compliant structure (broker-dealer participation as required)
John encouraged Sunbelt to propose a performance-based framework (reduced/deferred retainer, milestone-triggered payments, or primarily success-fee based on capital secured).
Bill acknowledged and is coordinating internally to revise the proposal. He requested timing of the next Board meeting.
Status: Awaiting revised engagement structure from Sunbelt for Board review. | sent email letting him know board doesn't want to pat retainer fees</t>
        </is>
      </c>
      <c r="X13" s="420" t="inlineStr">
        <is>
          <t>Term Sheets!9</t>
        </is>
      </c>
      <c r="Y13" s="422" t="inlineStr">
        <is>
          <t>Review terms and push decision process</t>
        </is>
      </c>
      <c r="Z13" s="420" t="n">
        <v>2</v>
      </c>
      <c r="AA13" s="420">
        <f>IF(AC13="Archived",0,ROUND((IF(N13="Tier 1",35,IF(N13="Tier 2",20,8))+IF(C13="Financial Investor",15,IF(C13="Intermediary / Banker",12,8))+IF(L13="Term Sheet / Proposal",25,IF(L13="Engaged",20,IF(L13="Meeting Requested",18,IF(L13="Meeting Held",14,IF(L13="Follow Up",10,5)))))+MIN(Q13,30)+IF(S13="DUE",15,IF(S13="Next 3 Days",8,0))),0))</f>
        <v/>
      </c>
      <c r="AB13" s="420">
        <f>IF(AND(AC13="Active",OR(N13="Tier 1",N13="Tier 2"),OR(S13="DUE",S13="Next 3 Days")),"YES","")</f>
        <v/>
      </c>
      <c r="AC13" s="420">
        <f>IF(L13="Passed","Archived","Active")</f>
        <v/>
      </c>
    </row>
    <row r="14">
      <c r="A14" s="420" t="inlineStr">
        <is>
          <t>EXOS-0013</t>
        </is>
      </c>
      <c r="B14" s="420" t="inlineStr">
        <is>
          <t>JQ Follow Up | Term Sheets</t>
        </is>
      </c>
      <c r="C14" s="420" t="inlineStr">
        <is>
          <t>Financial Investor</t>
        </is>
      </c>
      <c r="D14" s="420" t="inlineStr">
        <is>
          <t>US Capital</t>
        </is>
      </c>
      <c r="E14" s="420" t="inlineStr">
        <is>
          <t>Ashley Curless</t>
        </is>
      </c>
      <c r="F14" s="420" t="inlineStr"/>
      <c r="G14" s="421" t="inlineStr">
        <is>
          <t>acurless@uscapital.com</t>
        </is>
      </c>
      <c r="H14" s="420" t="inlineStr">
        <is>
          <t>csims@uscapital.com; bchristopher@uscapital.com; mjlevas@uscapital.com; jhgonzalez@uscapital.com; mcohen@uscapital.com</t>
        </is>
      </c>
      <c r="I14" s="420" t="inlineStr"/>
      <c r="J14" s="420" t="inlineStr"/>
      <c r="K14" s="422" t="inlineStr">
        <is>
          <t>John Quinn</t>
        </is>
      </c>
      <c r="L14" s="422" t="inlineStr">
        <is>
          <t>Term Sheet / Proposal</t>
        </is>
      </c>
      <c r="M14" s="420" t="inlineStr">
        <is>
          <t>Space / Defense / Aerospace / Advanced Manufacturing</t>
        </is>
      </c>
      <c r="N14" s="422" t="inlineStr">
        <is>
          <t>Tier 1</t>
        </is>
      </c>
      <c r="O14" s="420" t="n"/>
      <c r="P14" s="440" t="n">
        <v>45986</v>
      </c>
      <c r="Q14" s="420">
        <f>IF(P14="","",TODAY()-P14)</f>
        <v/>
      </c>
      <c r="R14" s="440">
        <f>IF(OR(L14="Passed",Z14=""),"",P14+Z14)</f>
        <v/>
      </c>
      <c r="S14" s="420">
        <f>IF(OR(R14="",L14="Passed"),"",IF(R14&lt;=TODAY(),"DUE",IF(R14&lt;=TODAY()+3,"Next 3 Days","Later")))</f>
        <v/>
      </c>
      <c r="T14" s="420" t="inlineStr">
        <is>
          <t>Meeting scheduled / held</t>
        </is>
      </c>
      <c r="U14" s="422" t="inlineStr">
        <is>
          <t>referred by Dereck</t>
        </is>
      </c>
      <c r="V14" s="422" t="inlineStr">
        <is>
          <t>Capital Raise (Equity / Convertible)</t>
        </is>
      </c>
      <c r="W14" s="424" t="inlineStr">
        <is>
          <t>Terms shared; fee-heavy engagement model. $120K + 8%  $920K | 01/15/2026 | Submitted formal equity financing proposal for up to $10M. Structure includes 8% cash banking fee, 8% warrant coverage, and $120K upfront compliance/diligence/distribution fees. Process is heavily intermediary-led with broad investor marketing and placement focus. High fees and limited strategic value relative to capital efficiency; not a preferred path at this stage. | in data room ; sent terms but are they a strategic enough partner?</t>
        </is>
      </c>
      <c r="X14" s="420" t="inlineStr">
        <is>
          <t>Term Sheets!19 | JQ Follow Up!20</t>
        </is>
      </c>
      <c r="Y14" s="422" t="inlineStr">
        <is>
          <t>Review terms and push decision process</t>
        </is>
      </c>
      <c r="Z14" s="420" t="n">
        <v>2</v>
      </c>
      <c r="AA14" s="420">
        <f>IF(AC14="Archived",0,ROUND((IF(N14="Tier 1",35,IF(N14="Tier 2",20,8))+IF(C14="Financial Investor",15,IF(C14="Intermediary / Banker",12,8))+IF(L14="Term Sheet / Proposal",25,IF(L14="Engaged",20,IF(L14="Meeting Requested",18,IF(L14="Meeting Held",14,IF(L14="Follow Up",10,5)))))+MIN(Q14,30)+IF(S14="DUE",15,IF(S14="Next 3 Days",8,0))),0))</f>
        <v/>
      </c>
      <c r="AB14" s="420">
        <f>IF(AND(AC14="Active",OR(N14="Tier 1",N14="Tier 2"),OR(S14="DUE",S14="Next 3 Days")),"YES","")</f>
        <v/>
      </c>
      <c r="AC14" s="420">
        <f>IF(L14="Passed","Archived","Active")</f>
        <v/>
      </c>
    </row>
    <row r="15">
      <c r="A15" s="420" t="inlineStr">
        <is>
          <t>EXOS-0014</t>
        </is>
      </c>
      <c r="B15" s="420" t="inlineStr">
        <is>
          <t>Derek Contacts</t>
        </is>
      </c>
      <c r="C15" s="420" t="inlineStr">
        <is>
          <t>Intermediary / Banker</t>
        </is>
      </c>
      <c r="D15" s="420" t="inlineStr">
        <is>
          <t>US Capital</t>
        </is>
      </c>
      <c r="E15" s="420" t="inlineStr">
        <is>
          <t>Mitch; Steve Wilburn; Charles Sims</t>
        </is>
      </c>
      <c r="F15" s="420" t="inlineStr">
        <is>
          <t>CEO</t>
        </is>
      </c>
      <c r="G15" s="421" t="inlineStr">
        <is>
          <t>mambe@uscapital.com</t>
        </is>
      </c>
      <c r="H15" s="420" t="inlineStr">
        <is>
          <t>csims@craftcm.com</t>
        </is>
      </c>
      <c r="I15" s="420" t="inlineStr"/>
      <c r="J15" s="420" t="inlineStr"/>
      <c r="K15" s="422" t="inlineStr">
        <is>
          <t>John Quinn</t>
        </is>
      </c>
      <c r="L15" s="422" t="inlineStr">
        <is>
          <t>Term Sheet / Proposal</t>
        </is>
      </c>
      <c r="M15" s="420" t="inlineStr">
        <is>
          <t>Capital raise support / placement</t>
        </is>
      </c>
      <c r="N15" s="422" t="inlineStr">
        <is>
          <t>Tier 1</t>
        </is>
      </c>
      <c r="O15" s="420" t="n"/>
      <c r="P15" s="440" t="n">
        <v>45986</v>
      </c>
      <c r="Q15" s="420">
        <f>IF(P15="","",TODAY()-P15)</f>
        <v/>
      </c>
      <c r="R15" s="440">
        <f>IF(OR(L15="Passed",Z15=""),"",P15+Z15)</f>
        <v/>
      </c>
      <c r="S15" s="420">
        <f>IF(OR(R15="",L15="Passed"),"",IF(R15&lt;=TODAY(),"DUE",IF(R15&lt;=TODAY()+3,"Next 3 Days","Later")))</f>
        <v/>
      </c>
      <c r="T15" s="420" t="inlineStr">
        <is>
          <t>Meeting scheduled / held</t>
        </is>
      </c>
      <c r="U15" s="422" t="inlineStr"/>
      <c r="V15" s="422" t="inlineStr">
        <is>
          <t>Capital Raise (Equity / Convertible)</t>
        </is>
      </c>
      <c r="W15" s="424" t="inlineStr">
        <is>
          <t>Terms shared; fee-heavy engagement model. $120K + 8%  $920K | 01/15/2026 | Submitted formal equity financing proposal for up to $10M. Structure includes 8% cash banking fee, 8% warrant coverage, and $120K upfront compliance/diligence/distribution fees. Process is heavily intermediary-led with broad investor marketing and placement focus. High fees and limited strategic value relative to capital efficiency; not a preferred path at this stage.</t>
        </is>
      </c>
      <c r="X15" s="420" t="inlineStr">
        <is>
          <t>Derek Contacts!57</t>
        </is>
      </c>
      <c r="Y15" s="422" t="inlineStr">
        <is>
          <t>Review terms and push decision process</t>
        </is>
      </c>
      <c r="Z15" s="420" t="n">
        <v>2</v>
      </c>
      <c r="AA15" s="420">
        <f>IF(AC15="Archived",0,ROUND((IF(N15="Tier 1",35,IF(N15="Tier 2",20,8))+IF(C15="Financial Investor",15,IF(C15="Intermediary / Banker",12,8))+IF(L15="Term Sheet / Proposal",25,IF(L15="Engaged",20,IF(L15="Meeting Requested",18,IF(L15="Meeting Held",14,IF(L15="Follow Up",10,5)))))+MIN(Q15,30)+IF(S15="DUE",15,IF(S15="Next 3 Days",8,0))),0))</f>
        <v/>
      </c>
      <c r="AB15" s="420">
        <f>IF(AND(AC15="Active",OR(N15="Tier 1",N15="Tier 2"),OR(S15="DUE",S15="Next 3 Days")),"YES","")</f>
        <v/>
      </c>
      <c r="AC15" s="420">
        <f>IF(L15="Passed","Archived","Active")</f>
        <v/>
      </c>
    </row>
    <row r="16">
      <c r="A16" s="420" t="inlineStr">
        <is>
          <t>EXOS-0015</t>
        </is>
      </c>
      <c r="B16" s="420" t="inlineStr">
        <is>
          <t>Term Sheets</t>
        </is>
      </c>
      <c r="C16" s="420" t="inlineStr">
        <is>
          <t>Other / Review</t>
        </is>
      </c>
      <c r="D16" s="420" t="inlineStr">
        <is>
          <t>Black in Play</t>
        </is>
      </c>
      <c r="E16" s="420" t="inlineStr"/>
      <c r="F16" s="420" t="inlineStr"/>
      <c r="G16" s="420" t="inlineStr"/>
      <c r="H16" s="420" t="inlineStr"/>
      <c r="I16" s="420" t="inlineStr"/>
      <c r="J16" s="420" t="inlineStr"/>
      <c r="K16" s="422" t="inlineStr">
        <is>
          <t>John Quinn</t>
        </is>
      </c>
      <c r="L16" s="422" t="inlineStr">
        <is>
          <t>Engaged</t>
        </is>
      </c>
      <c r="M16" s="420" t="inlineStr">
        <is>
          <t>Needs qualification</t>
        </is>
      </c>
      <c r="N16" s="422" t="inlineStr">
        <is>
          <t>Tier 1</t>
        </is>
      </c>
      <c r="O16" s="420" t="n"/>
      <c r="P16" s="420" t="n"/>
      <c r="Q16" s="420">
        <f>IF(P16="","",TODAY()-P16)</f>
        <v/>
      </c>
      <c r="R16" s="440">
        <f>IF(OR(L16="Passed",Z16=""),"",P16+Z16)</f>
        <v/>
      </c>
      <c r="S16" s="420">
        <f>IF(OR(R16="",L16="Passed"),"",IF(R16&lt;=TODAY(),"DUE",IF(R16&lt;=TODAY()+3,"Next 3 Days","Later")))</f>
        <v/>
      </c>
      <c r="T16" s="420" t="inlineStr">
        <is>
          <t>Meeting scheduled / held</t>
        </is>
      </c>
      <c r="U16" s="422" t="inlineStr"/>
      <c r="V16" s="422" t="inlineStr"/>
      <c r="W16" s="424" t="inlineStr"/>
      <c r="X16" s="420" t="inlineStr">
        <is>
          <t>Term Sheets!28</t>
        </is>
      </c>
      <c r="Y16" s="422" t="inlineStr">
        <is>
          <t>Advance diligence / proposal discussion</t>
        </is>
      </c>
      <c r="Z16" s="420" t="n">
        <v>5</v>
      </c>
      <c r="AA16" s="420">
        <f>IF(AC16="Archived",0,ROUND((IF(N16="Tier 1",35,IF(N16="Tier 2",20,8))+IF(C16="Financial Investor",15,IF(C16="Intermediary / Banker",12,8))+IF(L16="Term Sheet / Proposal",25,IF(L16="Engaged",20,IF(L16="Meeting Requested",18,IF(L16="Meeting Held",14,IF(L16="Follow Up",10,5)))))+MIN(Q16,30)+IF(S16="DUE",15,IF(S16="Next 3 Days",8,0))),0))</f>
        <v/>
      </c>
      <c r="AB16" s="420">
        <f>IF(AND(AC16="Active",OR(N16="Tier 1",N16="Tier 2"),OR(S16="DUE",S16="Next 3 Days")),"YES","")</f>
        <v/>
      </c>
      <c r="AC16" s="420">
        <f>IF(L16="Passed","Archived","Active")</f>
        <v/>
      </c>
    </row>
    <row r="17">
      <c r="A17" s="420" t="inlineStr">
        <is>
          <t>EXOS-0016</t>
        </is>
      </c>
      <c r="B17" s="420" t="inlineStr">
        <is>
          <t>Term Sheets</t>
        </is>
      </c>
      <c r="C17" s="420" t="inlineStr">
        <is>
          <t>Other / Review</t>
        </is>
      </c>
      <c r="D17" s="420" t="inlineStr">
        <is>
          <t>Blue under contract engagement</t>
        </is>
      </c>
      <c r="E17" s="420" t="inlineStr"/>
      <c r="F17" s="420" t="inlineStr"/>
      <c r="G17" s="420" t="inlineStr"/>
      <c r="H17" s="420" t="inlineStr"/>
      <c r="I17" s="420" t="inlineStr"/>
      <c r="J17" s="420" t="inlineStr"/>
      <c r="K17" s="422" t="inlineStr">
        <is>
          <t>John Quinn</t>
        </is>
      </c>
      <c r="L17" s="422" t="inlineStr">
        <is>
          <t>Engaged</t>
        </is>
      </c>
      <c r="M17" s="420" t="inlineStr">
        <is>
          <t>Needs qualification</t>
        </is>
      </c>
      <c r="N17" s="422" t="inlineStr">
        <is>
          <t>Tier 1</t>
        </is>
      </c>
      <c r="O17" s="420" t="n"/>
      <c r="P17" s="420" t="n"/>
      <c r="Q17" s="420">
        <f>IF(P17="","",TODAY()-P17)</f>
        <v/>
      </c>
      <c r="R17" s="440">
        <f>IF(OR(L17="Passed",Z17=""),"",P17+Z17)</f>
        <v/>
      </c>
      <c r="S17" s="420">
        <f>IF(OR(R17="",L17="Passed"),"",IF(R17&lt;=TODAY(),"DUE",IF(R17&lt;=TODAY()+3,"Next 3 Days","Later")))</f>
        <v/>
      </c>
      <c r="T17" s="420" t="inlineStr">
        <is>
          <t>Meeting scheduled / held</t>
        </is>
      </c>
      <c r="U17" s="422" t="inlineStr"/>
      <c r="V17" s="422" t="inlineStr"/>
      <c r="W17" s="424" t="inlineStr"/>
      <c r="X17" s="420" t="inlineStr">
        <is>
          <t>Term Sheets!29</t>
        </is>
      </c>
      <c r="Y17" s="422" t="inlineStr">
        <is>
          <t>Advance diligence / proposal discussion</t>
        </is>
      </c>
      <c r="Z17" s="420" t="n">
        <v>5</v>
      </c>
      <c r="AA17" s="420">
        <f>IF(AC17="Archived",0,ROUND((IF(N17="Tier 1",35,IF(N17="Tier 2",20,8))+IF(C17="Financial Investor",15,IF(C17="Intermediary / Banker",12,8))+IF(L17="Term Sheet / Proposal",25,IF(L17="Engaged",20,IF(L17="Meeting Requested",18,IF(L17="Meeting Held",14,IF(L17="Follow Up",10,5)))))+MIN(Q17,30)+IF(S17="DUE",15,IF(S17="Next 3 Days",8,0))),0))</f>
        <v/>
      </c>
      <c r="AB17" s="420">
        <f>IF(AND(AC17="Active",OR(N17="Tier 1",N17="Tier 2"),OR(S17="DUE",S17="Next 3 Days")),"YES","")</f>
        <v/>
      </c>
      <c r="AC17" s="420">
        <f>IF(L17="Passed","Archived","Active")</f>
        <v/>
      </c>
    </row>
    <row r="18">
      <c r="A18" s="420" t="inlineStr">
        <is>
          <t>EXOS-0017</t>
        </is>
      </c>
      <c r="B18" s="420" t="inlineStr">
        <is>
          <t>JQ Follow Up | John - Investor Contacts | Term Sheets</t>
        </is>
      </c>
      <c r="C18" s="420" t="inlineStr">
        <is>
          <t>Financial Investor</t>
        </is>
      </c>
      <c r="D18" s="420" t="inlineStr">
        <is>
          <t>Concord Ventures</t>
        </is>
      </c>
      <c r="E18" s="420" t="inlineStr">
        <is>
          <t>Salim Dada</t>
        </is>
      </c>
      <c r="F18" s="420" t="inlineStr"/>
      <c r="G18" s="421" t="inlineStr">
        <is>
          <t>salim.d@concordventuresinc.com</t>
        </is>
      </c>
      <c r="H18" s="420" t="inlineStr">
        <is>
          <t>ted.b@concordventuresinc.com; safia.d@concordventuresinc.com</t>
        </is>
      </c>
      <c r="I18" s="420" t="inlineStr"/>
      <c r="J18" s="420" t="inlineStr"/>
      <c r="K18" s="422" t="inlineStr">
        <is>
          <t>John Quinn</t>
        </is>
      </c>
      <c r="L18" s="422" t="inlineStr">
        <is>
          <t>Engaged</t>
        </is>
      </c>
      <c r="M18" s="420" t="inlineStr">
        <is>
          <t>Space / Defense / Aerospace / Advanced Manufacturing</t>
        </is>
      </c>
      <c r="N18" s="422" t="inlineStr">
        <is>
          <t>Tier 1</t>
        </is>
      </c>
      <c r="O18" s="440" t="n">
        <v>45950</v>
      </c>
      <c r="P18" s="440" t="n">
        <v>45958</v>
      </c>
      <c r="Q18" s="420">
        <f>IF(P18="","",TODAY()-P18)</f>
        <v/>
      </c>
      <c r="R18" s="440">
        <f>IF(OR(L18="Passed",Z18=""),"",P18+Z18)</f>
        <v/>
      </c>
      <c r="S18" s="420">
        <f>IF(OR(R18="",L18="Passed"),"",IF(R18&lt;=TODAY(),"DUE",IF(R18&lt;=TODAY()+3,"Next 3 Days","Later")))</f>
        <v/>
      </c>
      <c r="T18" s="420" t="inlineStr">
        <is>
          <t>Meeting scheduled / held</t>
        </is>
      </c>
      <c r="U18" s="422" t="inlineStr"/>
      <c r="V18" s="422" t="inlineStr">
        <is>
          <t>Sell-Side / Marketing Advisory (Exclusive)</t>
        </is>
      </c>
      <c r="W18" s="424" t="inlineStr">
        <is>
          <t>Revised agreement sent; no follow-up since; inactive. | offer for $2500/month for 3 months plan | Offer for $2500/month to run program</t>
        </is>
      </c>
      <c r="X18" s="420" t="inlineStr">
        <is>
          <t>Term Sheets!23 | JQ Follow Up!11 | John - Investor Contacts!899</t>
        </is>
      </c>
      <c r="Y18" s="422" t="inlineStr">
        <is>
          <t>Advance diligence / proposal discussion</t>
        </is>
      </c>
      <c r="Z18" s="420" t="n">
        <v>5</v>
      </c>
      <c r="AA18" s="420">
        <f>IF(AC18="Archived",0,ROUND((IF(N18="Tier 1",35,IF(N18="Tier 2",20,8))+IF(C18="Financial Investor",15,IF(C18="Intermediary / Banker",12,8))+IF(L18="Term Sheet / Proposal",25,IF(L18="Engaged",20,IF(L18="Meeting Requested",18,IF(L18="Meeting Held",14,IF(L18="Follow Up",10,5)))))+MIN(Q18,30)+IF(S18="DUE",15,IF(S18="Next 3 Days",8,0))),0))</f>
        <v/>
      </c>
      <c r="AB18" s="420">
        <f>IF(AND(AC18="Active",OR(N18="Tier 1",N18="Tier 2"),OR(S18="DUE",S18="Next 3 Days")),"YES","")</f>
        <v/>
      </c>
      <c r="AC18" s="420">
        <f>IF(L18="Passed","Archived","Active")</f>
        <v/>
      </c>
    </row>
    <row r="19">
      <c r="A19" s="420" t="inlineStr">
        <is>
          <t>EXOS-0018</t>
        </is>
      </c>
      <c r="B19" s="420" t="inlineStr">
        <is>
          <t>John - Investor Contacts</t>
        </is>
      </c>
      <c r="C19" s="420" t="inlineStr">
        <is>
          <t>Financial Investor</t>
        </is>
      </c>
      <c r="D19" s="420" t="inlineStr">
        <is>
          <t>Concord Ventures</t>
        </is>
      </c>
      <c r="E19" s="420" t="inlineStr">
        <is>
          <t>Salim Dada</t>
        </is>
      </c>
      <c r="F19" s="420" t="inlineStr"/>
      <c r="G19" s="420" t="inlineStr"/>
      <c r="H19" s="420" t="inlineStr"/>
      <c r="I19" s="420" t="inlineStr"/>
      <c r="J19" s="420" t="inlineStr"/>
      <c r="K19" s="422" t="inlineStr">
        <is>
          <t>John Quinn</t>
        </is>
      </c>
      <c r="L19" s="422" t="inlineStr">
        <is>
          <t>Engaged</t>
        </is>
      </c>
      <c r="M19" s="420" t="inlineStr">
        <is>
          <t>Space / Defense / Aerospace / Advanced Manufacturing</t>
        </is>
      </c>
      <c r="N19" s="422" t="inlineStr">
        <is>
          <t>Tier 1</t>
        </is>
      </c>
      <c r="O19" s="440" t="n">
        <v>45917</v>
      </c>
      <c r="P19" s="440" t="n">
        <v>45958</v>
      </c>
      <c r="Q19" s="420">
        <f>IF(P19="","",TODAY()-P19)</f>
        <v/>
      </c>
      <c r="R19" s="440">
        <f>IF(OR(L19="Passed",Z19=""),"",P19+Z19)</f>
        <v/>
      </c>
      <c r="S19" s="420">
        <f>IF(OR(R19="",L19="Passed"),"",IF(R19&lt;=TODAY(),"DUE",IF(R19&lt;=TODAY()+3,"Next 3 Days","Later")))</f>
        <v/>
      </c>
      <c r="T19" s="420" t="inlineStr">
        <is>
          <t>Meeting scheduled / held</t>
        </is>
      </c>
      <c r="U19" s="422" t="inlineStr">
        <is>
          <t>Salim Dada, Safia Dada</t>
        </is>
      </c>
      <c r="V19" s="422" t="inlineStr">
        <is>
          <t>Sell-Side / Marketing Advisory (Exclusive)</t>
        </is>
      </c>
      <c r="W19" s="424" t="inlineStr">
        <is>
          <t>Revised agreement sent; no follow-up since; inactive.</t>
        </is>
      </c>
      <c r="X19" s="420" t="inlineStr">
        <is>
          <t>John - Investor Contacts!3</t>
        </is>
      </c>
      <c r="Y19" s="422" t="inlineStr">
        <is>
          <t>Advance diligence / proposal discussion</t>
        </is>
      </c>
      <c r="Z19" s="420" t="n">
        <v>5</v>
      </c>
      <c r="AA19" s="420">
        <f>IF(AC19="Archived",0,ROUND((IF(N19="Tier 1",35,IF(N19="Tier 2",20,8))+IF(C19="Financial Investor",15,IF(C19="Intermediary / Banker",12,8))+IF(L19="Term Sheet / Proposal",25,IF(L19="Engaged",20,IF(L19="Meeting Requested",18,IF(L19="Meeting Held",14,IF(L19="Follow Up",10,5)))))+MIN(Q19,30)+IF(S19="DUE",15,IF(S19="Next 3 Days",8,0))),0))</f>
        <v/>
      </c>
      <c r="AB19" s="420">
        <f>IF(AND(AC19="Active",OR(N19="Tier 1",N19="Tier 2"),OR(S19="DUE",S19="Next 3 Days")),"YES","")</f>
        <v/>
      </c>
      <c r="AC19" s="420">
        <f>IF(L19="Passed","Archived","Active")</f>
        <v/>
      </c>
    </row>
    <row r="20">
      <c r="A20" s="420" t="inlineStr">
        <is>
          <t>EXOS-0019</t>
        </is>
      </c>
      <c r="B20" s="420" t="inlineStr">
        <is>
          <t>JQ Follow Up | Term Sheets</t>
        </is>
      </c>
      <c r="C20" s="420" t="inlineStr">
        <is>
          <t>Other / Review</t>
        </is>
      </c>
      <c r="D20" s="420" t="inlineStr">
        <is>
          <t>CounterFlow Solutions</t>
        </is>
      </c>
      <c r="E20" s="420" t="inlineStr">
        <is>
          <t>Dan Garretson</t>
        </is>
      </c>
      <c r="F20" s="420" t="inlineStr"/>
      <c r="G20" s="421" t="inlineStr">
        <is>
          <t>dgarretson@counterflowsolutions.com</t>
        </is>
      </c>
      <c r="H20" s="420" t="inlineStr"/>
      <c r="I20" s="420" t="inlineStr"/>
      <c r="J20" s="420" t="inlineStr"/>
      <c r="K20" s="422" t="inlineStr">
        <is>
          <t>John Quinn</t>
        </is>
      </c>
      <c r="L20" s="422" t="inlineStr">
        <is>
          <t>Engaged</t>
        </is>
      </c>
      <c r="M20" s="420" t="inlineStr">
        <is>
          <t>Needs qualification</t>
        </is>
      </c>
      <c r="N20" s="422" t="inlineStr">
        <is>
          <t>Tier 1</t>
        </is>
      </c>
      <c r="O20" s="420" t="n"/>
      <c r="P20" s="440" t="n">
        <v>46024</v>
      </c>
      <c r="Q20" s="420">
        <f>IF(P20="","",TODAY()-P20)</f>
        <v/>
      </c>
      <c r="R20" s="440">
        <f>IF(OR(L20="Passed",Z20=""),"",P20+Z20)</f>
        <v/>
      </c>
      <c r="S20" s="420">
        <f>IF(OR(R20="",L20="Passed"),"",IF(R20&lt;=TODAY(),"DUE",IF(R20&lt;=TODAY()+3,"Next 3 Days","Later")))</f>
        <v/>
      </c>
      <c r="T20" s="420" t="inlineStr">
        <is>
          <t>Meeting scheduled / held</t>
        </is>
      </c>
      <c r="U20" s="422" t="inlineStr"/>
      <c r="V20" s="422" t="inlineStr">
        <is>
          <t>Strategic Advisory (Narrative / Framing)</t>
        </is>
      </c>
      <c r="W20" s="424" t="inlineStr">
        <is>
          <t>Proposed short sprint to reframe EXOS + Scorpius narrative. Decision pending. | 12/23 john sent follow up reply | Costs for wrong scope</t>
        </is>
      </c>
      <c r="X20" s="420" t="inlineStr">
        <is>
          <t>Term Sheets!20 | JQ Follow Up!19</t>
        </is>
      </c>
      <c r="Y20" s="422" t="inlineStr">
        <is>
          <t>Advance diligence / proposal discussion</t>
        </is>
      </c>
      <c r="Z20" s="420" t="n">
        <v>5</v>
      </c>
      <c r="AA20" s="420">
        <f>IF(AC20="Archived",0,ROUND((IF(N20="Tier 1",35,IF(N20="Tier 2",20,8))+IF(C20="Financial Investor",15,IF(C20="Intermediary / Banker",12,8))+IF(L20="Term Sheet / Proposal",25,IF(L20="Engaged",20,IF(L20="Meeting Requested",18,IF(L20="Meeting Held",14,IF(L20="Follow Up",10,5)))))+MIN(Q20,30)+IF(S20="DUE",15,IF(S20="Next 3 Days",8,0))),0))</f>
        <v/>
      </c>
      <c r="AB20" s="420">
        <f>IF(AND(AC20="Active",OR(N20="Tier 1",N20="Tier 2"),OR(S20="DUE",S20="Next 3 Days")),"YES","")</f>
        <v/>
      </c>
      <c r="AC20" s="420">
        <f>IF(L20="Passed","Archived","Active")</f>
        <v/>
      </c>
    </row>
    <row r="21">
      <c r="A21" s="420" t="inlineStr">
        <is>
          <t>EXOS-0020</t>
        </is>
      </c>
      <c r="B21" s="420" t="inlineStr">
        <is>
          <t>Term Sheets</t>
        </is>
      </c>
      <c r="C21" s="420" t="inlineStr">
        <is>
          <t>Financial Investor</t>
        </is>
      </c>
      <c r="D21" s="420" t="inlineStr">
        <is>
          <t>CrossRoads Capital</t>
        </is>
      </c>
      <c r="E21" s="420" t="inlineStr">
        <is>
          <t>Rchard Phillips</t>
        </is>
      </c>
      <c r="F21" s="420" t="inlineStr"/>
      <c r="G21" s="420" t="inlineStr"/>
      <c r="H21" s="420" t="inlineStr"/>
      <c r="I21" s="420" t="inlineStr"/>
      <c r="J21" s="420" t="inlineStr"/>
      <c r="K21" s="422" t="inlineStr">
        <is>
          <t>John Quinn</t>
        </is>
      </c>
      <c r="L21" s="422" t="inlineStr">
        <is>
          <t>Engaged</t>
        </is>
      </c>
      <c r="M21" s="420" t="inlineStr">
        <is>
          <t>Space / Defense / Aerospace / Advanced Manufacturing</t>
        </is>
      </c>
      <c r="N21" s="422" t="inlineStr">
        <is>
          <t>Tier 1</t>
        </is>
      </c>
      <c r="O21" s="420" t="n"/>
      <c r="P21" s="440" t="n">
        <v>46038</v>
      </c>
      <c r="Q21" s="420">
        <f>IF(P21="","",TODAY()-P21)</f>
        <v/>
      </c>
      <c r="R21" s="440">
        <f>IF(OR(L21="Passed",Z21=""),"",P21+Z21)</f>
        <v/>
      </c>
      <c r="S21" s="420">
        <f>IF(OR(R21="",L21="Passed"),"",IF(R21&lt;=TODAY(),"DUE",IF(R21&lt;=TODAY()+3,"Next 3 Days","Later")))</f>
        <v/>
      </c>
      <c r="T21" s="420" t="inlineStr">
        <is>
          <t>Meeting scheduled / held</t>
        </is>
      </c>
      <c r="U21" s="422" t="inlineStr"/>
      <c r="V21" s="422" t="inlineStr">
        <is>
          <t>CTD acquisition or JV opportunity</t>
        </is>
      </c>
      <c r="W21" s="424" t="inlineStr">
        <is>
          <t>have new 18,000 sf facility just North of Denver Co.  $3-4M to scale</t>
        </is>
      </c>
      <c r="X21" s="420" t="inlineStr">
        <is>
          <t>Term Sheets!17</t>
        </is>
      </c>
      <c r="Y21" s="422" t="inlineStr">
        <is>
          <t>Advance diligence / proposal discussion</t>
        </is>
      </c>
      <c r="Z21" s="420" t="n">
        <v>5</v>
      </c>
      <c r="AA21" s="420">
        <f>IF(AC21="Archived",0,ROUND((IF(N21="Tier 1",35,IF(N21="Tier 2",20,8))+IF(C21="Financial Investor",15,IF(C21="Intermediary / Banker",12,8))+IF(L21="Term Sheet / Proposal",25,IF(L21="Engaged",20,IF(L21="Meeting Requested",18,IF(L21="Meeting Held",14,IF(L21="Follow Up",10,5)))))+MIN(Q21,30)+IF(S21="DUE",15,IF(S21="Next 3 Days",8,0))),0))</f>
        <v/>
      </c>
      <c r="AB21" s="420">
        <f>IF(AND(AC21="Active",OR(N21="Tier 1",N21="Tier 2"),OR(S21="DUE",S21="Next 3 Days")),"YES","")</f>
        <v/>
      </c>
      <c r="AC21" s="420">
        <f>IF(L21="Passed","Archived","Active")</f>
        <v/>
      </c>
    </row>
    <row r="22">
      <c r="A22" s="420" t="inlineStr">
        <is>
          <t>EXOS-0021</t>
        </is>
      </c>
      <c r="B22" s="420" t="inlineStr">
        <is>
          <t>John - Investor Contacts</t>
        </is>
      </c>
      <c r="C22" s="420" t="inlineStr">
        <is>
          <t>Financial Investor</t>
        </is>
      </c>
      <c r="D22" s="420" t="inlineStr">
        <is>
          <t>Crossroads Capital</t>
        </is>
      </c>
      <c r="E22" s="420" t="inlineStr">
        <is>
          <t>Andrew J. Buchholtz and David Ford</t>
        </is>
      </c>
      <c r="F22" s="420" t="inlineStr"/>
      <c r="G22" s="421" t="inlineStr">
        <is>
          <t>andy@abuchholtz.com</t>
        </is>
      </c>
      <c r="H22" s="420" t="inlineStr">
        <is>
          <t>rphillips@crossroadscapitaldc.com; df@silverpeakib.com</t>
        </is>
      </c>
      <c r="I22" s="420" t="inlineStr"/>
      <c r="J22" s="420" t="inlineStr"/>
      <c r="K22" s="422" t="inlineStr">
        <is>
          <t>John Quinn</t>
        </is>
      </c>
      <c r="L22" s="422" t="inlineStr">
        <is>
          <t>Engaged</t>
        </is>
      </c>
      <c r="M22" s="420" t="inlineStr">
        <is>
          <t>Space / Defense / Aerospace / Advanced Manufacturing</t>
        </is>
      </c>
      <c r="N22" s="422" t="inlineStr">
        <is>
          <t>Tier 1</t>
        </is>
      </c>
      <c r="O22" s="440" t="n">
        <v>45846</v>
      </c>
      <c r="P22" s="440" t="n">
        <v>46038</v>
      </c>
      <c r="Q22" s="420">
        <f>IF(P22="","",TODAY()-P22)</f>
        <v/>
      </c>
      <c r="R22" s="440">
        <f>IF(OR(L22="Passed",Z22=""),"",P22+Z22)</f>
        <v/>
      </c>
      <c r="S22" s="420">
        <f>IF(OR(R22="",L22="Passed"),"",IF(R22&lt;=TODAY(),"DUE",IF(R22&lt;=TODAY()+3,"Next 3 Days","Later")))</f>
        <v/>
      </c>
      <c r="T22" s="420" t="inlineStr">
        <is>
          <t>Meeting scheduled / held</t>
        </is>
      </c>
      <c r="U22" s="422" t="inlineStr">
        <is>
          <t>Richard Phillips</t>
        </is>
      </c>
      <c r="V22" s="422" t="inlineStr">
        <is>
          <t>CTD acquisition or JV opportunity</t>
        </is>
      </c>
      <c r="W22" s="424" t="inlineStr">
        <is>
          <t>Sent you the ELA draft this morning — let me if you didn’t receive or if you have any questions. We can schedule another call if you’d like to review together. | have new 18,000 sf facility just North of Denver Co.  $3-4M to scale | had a call, sent deck</t>
        </is>
      </c>
      <c r="X22" s="420" t="inlineStr">
        <is>
          <t>John - Investor Contacts!4 | John - Investor Contacts!358</t>
        </is>
      </c>
      <c r="Y22" s="422" t="inlineStr">
        <is>
          <t>Advance diligence / proposal discussion</t>
        </is>
      </c>
      <c r="Z22" s="420" t="n">
        <v>5</v>
      </c>
      <c r="AA22" s="420">
        <f>IF(AC22="Archived",0,ROUND((IF(N22="Tier 1",35,IF(N22="Tier 2",20,8))+IF(C22="Financial Investor",15,IF(C22="Intermediary / Banker",12,8))+IF(L22="Term Sheet / Proposal",25,IF(L22="Engaged",20,IF(L22="Meeting Requested",18,IF(L22="Meeting Held",14,IF(L22="Follow Up",10,5)))))+MIN(Q22,30)+IF(S22="DUE",15,IF(S22="Next 3 Days",8,0))),0))</f>
        <v/>
      </c>
      <c r="AB22" s="420">
        <f>IF(AND(AC22="Active",OR(N22="Tier 1",N22="Tier 2"),OR(S22="DUE",S22="Next 3 Days")),"YES","")</f>
        <v/>
      </c>
      <c r="AC22" s="420">
        <f>IF(L22="Passed","Archived","Active")</f>
        <v/>
      </c>
    </row>
    <row r="23">
      <c r="A23" s="420" t="inlineStr">
        <is>
          <t>EXOS-0022</t>
        </is>
      </c>
      <c r="B23" s="420" t="inlineStr">
        <is>
          <t>Term Sheets</t>
        </is>
      </c>
      <c r="C23" s="420" t="inlineStr">
        <is>
          <t>Financial Investor</t>
        </is>
      </c>
      <c r="D23" s="420" t="inlineStr">
        <is>
          <t>DC Finance</t>
        </is>
      </c>
      <c r="E23" s="420" t="inlineStr">
        <is>
          <t>Morris</t>
        </is>
      </c>
      <c r="F23" s="420" t="inlineStr"/>
      <c r="G23" s="420" t="inlineStr"/>
      <c r="H23" s="420" t="inlineStr"/>
      <c r="I23" s="420" t="inlineStr"/>
      <c r="J23" s="420" t="inlineStr"/>
      <c r="K23" s="422" t="inlineStr">
        <is>
          <t>John Quinn</t>
        </is>
      </c>
      <c r="L23" s="422" t="inlineStr">
        <is>
          <t>Engaged</t>
        </is>
      </c>
      <c r="M23" s="420" t="inlineStr">
        <is>
          <t>Space / Defense / Aerospace / Advanced Manufacturing</t>
        </is>
      </c>
      <c r="N23" s="422" t="inlineStr">
        <is>
          <t>Tier 1</t>
        </is>
      </c>
      <c r="O23" s="420" t="n"/>
      <c r="P23" s="420" t="n"/>
      <c r="Q23" s="420">
        <f>IF(P23="","",TODAY()-P23)</f>
        <v/>
      </c>
      <c r="R23" s="440">
        <f>IF(OR(L23="Passed",Z23=""),"",P23+Z23)</f>
        <v/>
      </c>
      <c r="S23" s="420">
        <f>IF(OR(R23="",L23="Passed"),"",IF(R23&lt;=TODAY(),"DUE",IF(R23&lt;=TODAY()+3,"Next 3 Days","Later")))</f>
        <v/>
      </c>
      <c r="T23" s="420" t="inlineStr">
        <is>
          <t>Meeting scheduled / held</t>
        </is>
      </c>
      <c r="U23" s="422" t="inlineStr"/>
      <c r="V23" s="422" t="inlineStr">
        <is>
          <t>10K or 30k to put you in a room with 12 Family offices</t>
        </is>
      </c>
      <c r="W23" s="424" t="inlineStr"/>
      <c r="X23" s="420" t="inlineStr">
        <is>
          <t>Term Sheets!18</t>
        </is>
      </c>
      <c r="Y23" s="422" t="inlineStr">
        <is>
          <t>Advance diligence / proposal discussion</t>
        </is>
      </c>
      <c r="Z23" s="420" t="n">
        <v>5</v>
      </c>
      <c r="AA23" s="420">
        <f>IF(AC23="Archived",0,ROUND((IF(N23="Tier 1",35,IF(N23="Tier 2",20,8))+IF(C23="Financial Investor",15,IF(C23="Intermediary / Banker",12,8))+IF(L23="Term Sheet / Proposal",25,IF(L23="Engaged",20,IF(L23="Meeting Requested",18,IF(L23="Meeting Held",14,IF(L23="Follow Up",10,5)))))+MIN(Q23,30)+IF(S23="DUE",15,IF(S23="Next 3 Days",8,0))),0))</f>
        <v/>
      </c>
      <c r="AB23" s="420">
        <f>IF(AND(AC23="Active",OR(N23="Tier 1",N23="Tier 2"),OR(S23="DUE",S23="Next 3 Days")),"YES","")</f>
        <v/>
      </c>
      <c r="AC23" s="420">
        <f>IF(L23="Passed","Archived","Active")</f>
        <v/>
      </c>
    </row>
    <row r="24">
      <c r="A24" s="420" t="inlineStr">
        <is>
          <t>EXOS-0023</t>
        </is>
      </c>
      <c r="B24" s="420" t="inlineStr">
        <is>
          <t>Term Sheets</t>
        </is>
      </c>
      <c r="C24" s="420" t="inlineStr">
        <is>
          <t>Financial Investor</t>
        </is>
      </c>
      <c r="D24" s="420" t="inlineStr">
        <is>
          <t>Digital Asset Management</t>
        </is>
      </c>
      <c r="E24" s="420" t="inlineStr">
        <is>
          <t>Juan Lorenzana</t>
        </is>
      </c>
      <c r="F24" s="420" t="inlineStr"/>
      <c r="G24" s="420" t="inlineStr"/>
      <c r="H24" s="420" t="inlineStr"/>
      <c r="I24" s="420" t="inlineStr"/>
      <c r="J24" s="420" t="inlineStr"/>
      <c r="K24" s="422" t="inlineStr">
        <is>
          <t>John Quinn</t>
        </is>
      </c>
      <c r="L24" s="422" t="inlineStr">
        <is>
          <t>Engaged</t>
        </is>
      </c>
      <c r="M24" s="420" t="inlineStr">
        <is>
          <t>Space / Defense / Aerospace / Advanced Manufacturing</t>
        </is>
      </c>
      <c r="N24" s="422" t="inlineStr">
        <is>
          <t>Tier 1</t>
        </is>
      </c>
      <c r="O24" s="420" t="n"/>
      <c r="P24" s="440" t="n">
        <v>46059</v>
      </c>
      <c r="Q24" s="420">
        <f>IF(P24="","",TODAY()-P24)</f>
        <v/>
      </c>
      <c r="R24" s="440">
        <f>IF(OR(L24="Passed",Z24=""),"",P24+Z24)</f>
        <v/>
      </c>
      <c r="S24" s="420">
        <f>IF(OR(R24="",L24="Passed"),"",IF(R24&lt;=TODAY(),"DUE",IF(R24&lt;=TODAY()+3,"Next 3 Days","Later")))</f>
        <v/>
      </c>
      <c r="T24" s="420" t="inlineStr">
        <is>
          <t>Meeting scheduled / held</t>
        </is>
      </c>
      <c r="U24" s="422" t="inlineStr"/>
      <c r="V24" s="422" t="inlineStr">
        <is>
          <t>no feedback on SEC filing AUM record</t>
        </is>
      </c>
      <c r="W24" s="424" t="inlineStr">
        <is>
          <t>$30K refundable.  Fund  with hedge of Gold metals real estate etc.</t>
        </is>
      </c>
      <c r="X24" s="420" t="inlineStr">
        <is>
          <t>Term Sheets!5</t>
        </is>
      </c>
      <c r="Y24" s="422" t="inlineStr">
        <is>
          <t>Advance diligence / proposal discussion</t>
        </is>
      </c>
      <c r="Z24" s="420" t="n">
        <v>5</v>
      </c>
      <c r="AA24" s="420">
        <f>IF(AC24="Archived",0,ROUND((IF(N24="Tier 1",35,IF(N24="Tier 2",20,8))+IF(C24="Financial Investor",15,IF(C24="Intermediary / Banker",12,8))+IF(L24="Term Sheet / Proposal",25,IF(L24="Engaged",20,IF(L24="Meeting Requested",18,IF(L24="Meeting Held",14,IF(L24="Follow Up",10,5)))))+MIN(Q24,30)+IF(S24="DUE",15,IF(S24="Next 3 Days",8,0))),0))</f>
        <v/>
      </c>
      <c r="AB24" s="420">
        <f>IF(AND(AC24="Active",OR(N24="Tier 1",N24="Tier 2"),OR(S24="DUE",S24="Next 3 Days")),"YES","")</f>
        <v/>
      </c>
      <c r="AC24" s="420">
        <f>IF(L24="Passed","Archived","Active")</f>
        <v/>
      </c>
    </row>
    <row r="25">
      <c r="A25" s="420" t="inlineStr">
        <is>
          <t>EXOS-0024</t>
        </is>
      </c>
      <c r="B25" s="420" t="inlineStr">
        <is>
          <t>Term Sheets</t>
        </is>
      </c>
      <c r="C25" s="420" t="inlineStr">
        <is>
          <t>Other / Review</t>
        </is>
      </c>
      <c r="D25" s="420" t="inlineStr">
        <is>
          <t>Green- costs</t>
        </is>
      </c>
      <c r="E25" s="420" t="inlineStr"/>
      <c r="F25" s="420" t="inlineStr"/>
      <c r="G25" s="420" t="inlineStr"/>
      <c r="H25" s="420" t="inlineStr"/>
      <c r="I25" s="420" t="inlineStr"/>
      <c r="J25" s="420" t="inlineStr"/>
      <c r="K25" s="422" t="inlineStr">
        <is>
          <t>John Quinn</t>
        </is>
      </c>
      <c r="L25" s="422" t="inlineStr">
        <is>
          <t>Engaged</t>
        </is>
      </c>
      <c r="M25" s="420" t="inlineStr">
        <is>
          <t>Needs qualification</t>
        </is>
      </c>
      <c r="N25" s="422" t="inlineStr">
        <is>
          <t>Tier 1</t>
        </is>
      </c>
      <c r="O25" s="420" t="n"/>
      <c r="P25" s="420" t="n"/>
      <c r="Q25" s="420">
        <f>IF(P25="","",TODAY()-P25)</f>
        <v/>
      </c>
      <c r="R25" s="440">
        <f>IF(OR(L25="Passed",Z25=""),"",P25+Z25)</f>
        <v/>
      </c>
      <c r="S25" s="420">
        <f>IF(OR(R25="",L25="Passed"),"",IF(R25&lt;=TODAY(),"DUE",IF(R25&lt;=TODAY()+3,"Next 3 Days","Later")))</f>
        <v/>
      </c>
      <c r="T25" s="420" t="inlineStr">
        <is>
          <t>Meeting scheduled / held</t>
        </is>
      </c>
      <c r="U25" s="422" t="inlineStr"/>
      <c r="V25" s="422" t="inlineStr"/>
      <c r="W25" s="424" t="inlineStr"/>
      <c r="X25" s="420" t="inlineStr">
        <is>
          <t>Term Sheets!27</t>
        </is>
      </c>
      <c r="Y25" s="422" t="inlineStr">
        <is>
          <t>Advance diligence / proposal discussion</t>
        </is>
      </c>
      <c r="Z25" s="420" t="n">
        <v>5</v>
      </c>
      <c r="AA25" s="420">
        <f>IF(AC25="Archived",0,ROUND((IF(N25="Tier 1",35,IF(N25="Tier 2",20,8))+IF(C25="Financial Investor",15,IF(C25="Intermediary / Banker",12,8))+IF(L25="Term Sheet / Proposal",25,IF(L25="Engaged",20,IF(L25="Meeting Requested",18,IF(L25="Meeting Held",14,IF(L25="Follow Up",10,5)))))+MIN(Q25,30)+IF(S25="DUE",15,IF(S25="Next 3 Days",8,0))),0))</f>
        <v/>
      </c>
      <c r="AB25" s="420">
        <f>IF(AND(AC25="Active",OR(N25="Tier 1",N25="Tier 2"),OR(S25="DUE",S25="Next 3 Days")),"YES","")</f>
        <v/>
      </c>
      <c r="AC25" s="420">
        <f>IF(L25="Passed","Archived","Active")</f>
        <v/>
      </c>
    </row>
    <row r="26">
      <c r="A26" s="420" t="inlineStr">
        <is>
          <t>EXOS-0025</t>
        </is>
      </c>
      <c r="B26" s="420" t="inlineStr">
        <is>
          <t>Term Sheets</t>
        </is>
      </c>
      <c r="C26" s="420" t="inlineStr">
        <is>
          <t>Other / Review</t>
        </is>
      </c>
      <c r="D26" s="420" t="inlineStr">
        <is>
          <t>Ivy Asset Management</t>
        </is>
      </c>
      <c r="E26" s="420" t="inlineStr">
        <is>
          <t>Chris Roberts "Christopher Virginia Roberts"</t>
        </is>
      </c>
      <c r="F26" s="420" t="inlineStr"/>
      <c r="G26" s="421" t="inlineStr">
        <is>
          <t>chrisr@ivyassetmngmt.com</t>
        </is>
      </c>
      <c r="H26" s="420" t="inlineStr"/>
      <c r="I26" s="420" t="inlineStr"/>
      <c r="J26" s="420" t="inlineStr"/>
      <c r="K26" s="422" t="inlineStr">
        <is>
          <t>John Quinn</t>
        </is>
      </c>
      <c r="L26" s="422" t="inlineStr">
        <is>
          <t>Engaged</t>
        </is>
      </c>
      <c r="M26" s="420" t="inlineStr">
        <is>
          <t>Needs qualification</t>
        </is>
      </c>
      <c r="N26" s="422" t="inlineStr">
        <is>
          <t>Tier 1</t>
        </is>
      </c>
      <c r="O26" s="420" t="n"/>
      <c r="P26" s="420" t="n"/>
      <c r="Q26" s="420">
        <f>IF(P26="","",TODAY()-P26)</f>
        <v/>
      </c>
      <c r="R26" s="440">
        <f>IF(OR(L26="Passed",Z26=""),"",P26+Z26)</f>
        <v/>
      </c>
      <c r="S26" s="420">
        <f>IF(OR(R26="",L26="Passed"),"",IF(R26&lt;=TODAY(),"DUE",IF(R26&lt;=TODAY()+3,"Next 3 Days","Later")))</f>
        <v/>
      </c>
      <c r="T26" s="420" t="inlineStr">
        <is>
          <t>Meeting scheduled / held</t>
        </is>
      </c>
      <c r="U26" s="422" t="inlineStr"/>
      <c r="V26" s="422" t="inlineStr"/>
      <c r="W26" s="424" t="inlineStr"/>
      <c r="X26" s="420" t="inlineStr">
        <is>
          <t>Term Sheets!13</t>
        </is>
      </c>
      <c r="Y26" s="422" t="inlineStr">
        <is>
          <t>Advance diligence / proposal discussion</t>
        </is>
      </c>
      <c r="Z26" s="420" t="n">
        <v>5</v>
      </c>
      <c r="AA26" s="420">
        <f>IF(AC26="Archived",0,ROUND((IF(N26="Tier 1",35,IF(N26="Tier 2",20,8))+IF(C26="Financial Investor",15,IF(C26="Intermediary / Banker",12,8))+IF(L26="Term Sheet / Proposal",25,IF(L26="Engaged",20,IF(L26="Meeting Requested",18,IF(L26="Meeting Held",14,IF(L26="Follow Up",10,5)))))+MIN(Q26,30)+IF(S26="DUE",15,IF(S26="Next 3 Days",8,0))),0))</f>
        <v/>
      </c>
      <c r="AB26" s="420">
        <f>IF(AND(AC26="Active",OR(N26="Tier 1",N26="Tier 2"),OR(S26="DUE",S26="Next 3 Days")),"YES","")</f>
        <v/>
      </c>
      <c r="AC26" s="420">
        <f>IF(L26="Passed","Archived","Active")</f>
        <v/>
      </c>
    </row>
    <row r="27">
      <c r="A27" s="420" t="inlineStr">
        <is>
          <t>EXOS-0026</t>
        </is>
      </c>
      <c r="B27" s="420" t="inlineStr">
        <is>
          <t>JQ Follow Up | Term Sheets</t>
        </is>
      </c>
      <c r="C27" s="420" t="inlineStr">
        <is>
          <t>Financial Investor</t>
        </is>
      </c>
      <c r="D27" s="420" t="inlineStr">
        <is>
          <t>Odeon Capital</t>
        </is>
      </c>
      <c r="E27" s="420" t="inlineStr">
        <is>
          <t>Eric Gomberg</t>
        </is>
      </c>
      <c r="F27" s="420" t="inlineStr"/>
      <c r="G27" s="421" t="inlineStr">
        <is>
          <t>egomberg@odeoncap.com</t>
        </is>
      </c>
      <c r="H27" s="420" t="inlineStr"/>
      <c r="I27" s="420" t="inlineStr"/>
      <c r="J27" s="420" t="inlineStr"/>
      <c r="K27" s="422" t="inlineStr">
        <is>
          <t>John Quinn</t>
        </is>
      </c>
      <c r="L27" s="422" t="inlineStr">
        <is>
          <t>Engaged</t>
        </is>
      </c>
      <c r="M27" s="420" t="inlineStr">
        <is>
          <t>Space / Defense / Aerospace / Advanced Manufacturing</t>
        </is>
      </c>
      <c r="N27" s="422" t="inlineStr">
        <is>
          <t>Tier 1</t>
        </is>
      </c>
      <c r="O27" s="420" t="n"/>
      <c r="P27" s="440" t="n">
        <v>46028</v>
      </c>
      <c r="Q27" s="420">
        <f>IF(P27="","",TODAY()-P27)</f>
        <v/>
      </c>
      <c r="R27" s="440">
        <f>IF(OR(L27="Passed",Z27=""),"",P27+Z27)</f>
        <v/>
      </c>
      <c r="S27" s="420">
        <f>IF(OR(R27="",L27="Passed"),"",IF(R27&lt;=TODAY(),"DUE",IF(R27&lt;=TODAY()+3,"Next 3 Days","Later")))</f>
        <v/>
      </c>
      <c r="T27" s="420" t="inlineStr">
        <is>
          <t>Meeting scheduled / held</t>
        </is>
      </c>
      <c r="U27" s="422" t="inlineStr"/>
      <c r="V27" s="422" t="inlineStr">
        <is>
          <t>Capital Discussion</t>
        </is>
      </c>
      <c r="W27" s="424" t="inlineStr">
        <is>
          <t>MNDA + data room sent Dec 17. No response prior to year-end. Follow-up email sent today. | 01/15/2026 | 1. Reduced Retainer of $30,000 Upfront.
2. Success Fee of $400,000 at the back end.  We will credit the $30K Retainer back at the end upon a successful completion.
3. Any reasonable travel authorized by the client in advance of any travel.
Please let us know if this is okay, then we can proceed with the detailed proposal/engagement letter.
Regards, Bill
Bill Nicholson, MBA,  M&amp;AMI®, CM&amp;AA®</t>
        </is>
      </c>
      <c r="X27" s="420" t="inlineStr">
        <is>
          <t>Term Sheets!7 | JQ Follow Up!8</t>
        </is>
      </c>
      <c r="Y27" s="422" t="inlineStr">
        <is>
          <t>Advance diligence / proposal discussion</t>
        </is>
      </c>
      <c r="Z27" s="420" t="n">
        <v>5</v>
      </c>
      <c r="AA27" s="420">
        <f>IF(AC27="Archived",0,ROUND((IF(N27="Tier 1",35,IF(N27="Tier 2",20,8))+IF(C27="Financial Investor",15,IF(C27="Intermediary / Banker",12,8))+IF(L27="Term Sheet / Proposal",25,IF(L27="Engaged",20,IF(L27="Meeting Requested",18,IF(L27="Meeting Held",14,IF(L27="Follow Up",10,5)))))+MIN(Q27,30)+IF(S27="DUE",15,IF(S27="Next 3 Days",8,0))),0))</f>
        <v/>
      </c>
      <c r="AB27" s="420">
        <f>IF(AND(AC27="Active",OR(N27="Tier 1",N27="Tier 2"),OR(S27="DUE",S27="Next 3 Days")),"YES","")</f>
        <v/>
      </c>
      <c r="AC27" s="420">
        <f>IF(L27="Passed","Archived","Active")</f>
        <v/>
      </c>
    </row>
    <row r="28">
      <c r="A28" s="420" t="inlineStr">
        <is>
          <t>EXOS-0027</t>
        </is>
      </c>
      <c r="B28" s="420" t="inlineStr">
        <is>
          <t>Term Sheets</t>
        </is>
      </c>
      <c r="C28" s="420" t="inlineStr">
        <is>
          <t>Other / Review</t>
        </is>
      </c>
      <c r="D28" s="420" t="inlineStr">
        <is>
          <t>Red dropped</t>
        </is>
      </c>
      <c r="E28" s="420" t="inlineStr"/>
      <c r="F28" s="420" t="inlineStr"/>
      <c r="G28" s="420" t="inlineStr"/>
      <c r="H28" s="420" t="inlineStr"/>
      <c r="I28" s="420" t="inlineStr"/>
      <c r="J28" s="420" t="inlineStr"/>
      <c r="K28" s="422" t="inlineStr">
        <is>
          <t>John Quinn</t>
        </is>
      </c>
      <c r="L28" s="422" t="inlineStr">
        <is>
          <t>Engaged</t>
        </is>
      </c>
      <c r="M28" s="420" t="inlineStr">
        <is>
          <t>Needs qualification</t>
        </is>
      </c>
      <c r="N28" s="422" t="inlineStr">
        <is>
          <t>Tier 1</t>
        </is>
      </c>
      <c r="O28" s="420" t="n"/>
      <c r="P28" s="420" t="n"/>
      <c r="Q28" s="420">
        <f>IF(P28="","",TODAY()-P28)</f>
        <v/>
      </c>
      <c r="R28" s="440">
        <f>IF(OR(L28="Passed",Z28=""),"",P28+Z28)</f>
        <v/>
      </c>
      <c r="S28" s="420">
        <f>IF(OR(R28="",L28="Passed"),"",IF(R28&lt;=TODAY(),"DUE",IF(R28&lt;=TODAY()+3,"Next 3 Days","Later")))</f>
        <v/>
      </c>
      <c r="T28" s="420" t="inlineStr">
        <is>
          <t>Meeting scheduled / held</t>
        </is>
      </c>
      <c r="U28" s="422" t="inlineStr"/>
      <c r="V28" s="422" t="inlineStr"/>
      <c r="W28" s="424" t="inlineStr"/>
      <c r="X28" s="420" t="inlineStr">
        <is>
          <t>Term Sheets!26</t>
        </is>
      </c>
      <c r="Y28" s="422" t="inlineStr">
        <is>
          <t>Advance diligence / proposal discussion</t>
        </is>
      </c>
      <c r="Z28" s="420" t="n">
        <v>5</v>
      </c>
      <c r="AA28" s="420">
        <f>IF(AC28="Archived",0,ROUND((IF(N28="Tier 1",35,IF(N28="Tier 2",20,8))+IF(C28="Financial Investor",15,IF(C28="Intermediary / Banker",12,8))+IF(L28="Term Sheet / Proposal",25,IF(L28="Engaged",20,IF(L28="Meeting Requested",18,IF(L28="Meeting Held",14,IF(L28="Follow Up",10,5)))))+MIN(Q28,30)+IF(S28="DUE",15,IF(S28="Next 3 Days",8,0))),0))</f>
        <v/>
      </c>
      <c r="AB28" s="420">
        <f>IF(AND(AC28="Active",OR(N28="Tier 1",N28="Tier 2"),OR(S28="DUE",S28="Next 3 Days")),"YES","")</f>
        <v/>
      </c>
      <c r="AC28" s="420">
        <f>IF(L28="Passed","Archived","Active")</f>
        <v/>
      </c>
    </row>
    <row r="29">
      <c r="A29" s="420" t="inlineStr">
        <is>
          <t>EXOS-0028</t>
        </is>
      </c>
      <c r="B29" s="420" t="inlineStr">
        <is>
          <t>Term Sheets</t>
        </is>
      </c>
      <c r="C29" s="420" t="inlineStr">
        <is>
          <t>Financial Investor</t>
        </is>
      </c>
      <c r="D29" s="420" t="inlineStr">
        <is>
          <t>Ricci Global Partners</t>
        </is>
      </c>
      <c r="E29" s="420" t="inlineStr">
        <is>
          <t>Riccardo Ricci</t>
        </is>
      </c>
      <c r="F29" s="420" t="inlineStr"/>
      <c r="G29" s="421" t="inlineStr">
        <is>
          <t>riccardo@riccicapitalpartners.com</t>
        </is>
      </c>
      <c r="H29" s="420" t="inlineStr"/>
      <c r="I29" s="420" t="inlineStr"/>
      <c r="J29" s="420" t="inlineStr"/>
      <c r="K29" s="422" t="inlineStr">
        <is>
          <t>John Quinn</t>
        </is>
      </c>
      <c r="L29" s="422" t="inlineStr">
        <is>
          <t>Engaged</t>
        </is>
      </c>
      <c r="M29" s="420" t="inlineStr">
        <is>
          <t>Space / Defense / Aerospace / Advanced Manufacturing</t>
        </is>
      </c>
      <c r="N29" s="422" t="inlineStr">
        <is>
          <t>Tier 1</t>
        </is>
      </c>
      <c r="O29" s="420" t="n"/>
      <c r="P29" s="440" t="n">
        <v>46028</v>
      </c>
      <c r="Q29" s="420">
        <f>IF(P29="","",TODAY()-P29)</f>
        <v/>
      </c>
      <c r="R29" s="440">
        <f>IF(OR(L29="Passed",Z29=""),"",P29+Z29)</f>
        <v/>
      </c>
      <c r="S29" s="420">
        <f>IF(OR(R29="",L29="Passed"),"",IF(R29&lt;=TODAY(),"DUE",IF(R29&lt;=TODAY()+3,"Next 3 Days","Later")))</f>
        <v/>
      </c>
      <c r="T29" s="420" t="inlineStr">
        <is>
          <t>Meeting scheduled / held</t>
        </is>
      </c>
      <c r="U29" s="422" t="inlineStr"/>
      <c r="V29" s="422" t="inlineStr">
        <is>
          <t>Capital Partner (Equity / Strategic)</t>
        </is>
      </c>
      <c r="W29" s="424" t="inlineStr">
        <is>
          <t>MNDA executed and data room shared. Ricci requested finance working session and followed up again today to move forward | 01/15/2026 | 03/13/2026</t>
        </is>
      </c>
      <c r="X29" s="420" t="inlineStr">
        <is>
          <t>Term Sheets!10</t>
        </is>
      </c>
      <c r="Y29" s="422" t="inlineStr">
        <is>
          <t>Advance diligence / proposal discussion</t>
        </is>
      </c>
      <c r="Z29" s="420" t="n">
        <v>5</v>
      </c>
      <c r="AA29" s="420">
        <f>IF(AC29="Archived",0,ROUND((IF(N29="Tier 1",35,IF(N29="Tier 2",20,8))+IF(C29="Financial Investor",15,IF(C29="Intermediary / Banker",12,8))+IF(L29="Term Sheet / Proposal",25,IF(L29="Engaged",20,IF(L29="Meeting Requested",18,IF(L29="Meeting Held",14,IF(L29="Follow Up",10,5)))))+MIN(Q29,30)+IF(S29="DUE",15,IF(S29="Next 3 Days",8,0))),0))</f>
        <v/>
      </c>
      <c r="AB29" s="420">
        <f>IF(AND(AC29="Active",OR(N29="Tier 1",N29="Tier 2"),OR(S29="DUE",S29="Next 3 Days")),"YES","")</f>
        <v/>
      </c>
      <c r="AC29" s="420">
        <f>IF(L29="Passed","Archived","Active")</f>
        <v/>
      </c>
    </row>
    <row r="30">
      <c r="A30" s="420" t="inlineStr">
        <is>
          <t>EXOS-0029</t>
        </is>
      </c>
      <c r="B30" s="420" t="inlineStr">
        <is>
          <t>JQ Follow Up</t>
        </is>
      </c>
      <c r="C30" s="420" t="inlineStr">
        <is>
          <t>Financial Investor</t>
        </is>
      </c>
      <c r="D30" s="420" t="inlineStr">
        <is>
          <t>Ricci Global Partners</t>
        </is>
      </c>
      <c r="E30" s="420" t="inlineStr">
        <is>
          <t>Riccardo Ricci</t>
        </is>
      </c>
      <c r="F30" s="420" t="inlineStr"/>
      <c r="G30" s="421" t="inlineStr">
        <is>
          <t>riccardo-ricci@ricciglobalpartners.com</t>
        </is>
      </c>
      <c r="H30" s="420" t="inlineStr"/>
      <c r="I30" s="420" t="inlineStr"/>
      <c r="J30" s="420" t="inlineStr"/>
      <c r="K30" s="422" t="inlineStr">
        <is>
          <t>John Quinn</t>
        </is>
      </c>
      <c r="L30" s="422" t="inlineStr">
        <is>
          <t>Engaged</t>
        </is>
      </c>
      <c r="M30" s="420" t="inlineStr">
        <is>
          <t>Space / Defense / Aerospace / Advanced Manufacturing</t>
        </is>
      </c>
      <c r="N30" s="422" t="inlineStr">
        <is>
          <t>Tier 1</t>
        </is>
      </c>
      <c r="O30" s="420" t="n"/>
      <c r="P30" s="440" t="n">
        <v>46028</v>
      </c>
      <c r="Q30" s="420">
        <f>IF(P30="","",TODAY()-P30)</f>
        <v/>
      </c>
      <c r="R30" s="440">
        <f>IF(OR(L30="Passed",Z30=""),"",P30+Z30)</f>
        <v/>
      </c>
      <c r="S30" s="420">
        <f>IF(OR(R30="",L30="Passed"),"",IF(R30&lt;=TODAY(),"DUE",IF(R30&lt;=TODAY()+3,"Next 3 Days","Later")))</f>
        <v/>
      </c>
      <c r="T30" s="420" t="inlineStr">
        <is>
          <t>Meeting scheduled / held</t>
        </is>
      </c>
      <c r="U30" s="422" t="inlineStr">
        <is>
          <t>referred by Tom Wright</t>
        </is>
      </c>
      <c r="V30" s="422" t="inlineStr">
        <is>
          <t>Capital Partner (Equity / Strategic)</t>
        </is>
      </c>
      <c r="W30" s="424" t="inlineStr">
        <is>
          <t>MNDA executed and data room shared. Ricci requested finance working session and followed up again today to move forward | 01/15/2026 | 03/13/2026</t>
        </is>
      </c>
      <c r="X30" s="420" t="inlineStr">
        <is>
          <t>JQ Follow Up!10</t>
        </is>
      </c>
      <c r="Y30" s="422" t="inlineStr">
        <is>
          <t>Advance diligence / proposal discussion</t>
        </is>
      </c>
      <c r="Z30" s="420" t="n">
        <v>5</v>
      </c>
      <c r="AA30" s="420">
        <f>IF(AC30="Archived",0,ROUND((IF(N30="Tier 1",35,IF(N30="Tier 2",20,8))+IF(C30="Financial Investor",15,IF(C30="Intermediary / Banker",12,8))+IF(L30="Term Sheet / Proposal",25,IF(L30="Engaged",20,IF(L30="Meeting Requested",18,IF(L30="Meeting Held",14,IF(L30="Follow Up",10,5)))))+MIN(Q30,30)+IF(S30="DUE",15,IF(S30="Next 3 Days",8,0))),0))</f>
        <v/>
      </c>
      <c r="AB30" s="420">
        <f>IF(AND(AC30="Active",OR(N30="Tier 1",N30="Tier 2"),OR(S30="DUE",S30="Next 3 Days")),"YES","")</f>
        <v/>
      </c>
      <c r="AC30" s="420">
        <f>IF(L30="Passed","Archived","Active")</f>
        <v/>
      </c>
    </row>
    <row r="31">
      <c r="A31" s="420" t="inlineStr">
        <is>
          <t>EXOS-0030</t>
        </is>
      </c>
      <c r="B31" s="420" t="inlineStr">
        <is>
          <t>Term Sheets</t>
        </is>
      </c>
      <c r="C31" s="420" t="inlineStr">
        <is>
          <t>Other / Review</t>
        </is>
      </c>
      <c r="D31" s="420" t="inlineStr">
        <is>
          <t>Screen with Visual Conmpliance</t>
        </is>
      </c>
      <c r="E31" s="420" t="inlineStr"/>
      <c r="F31" s="420" t="inlineStr"/>
      <c r="G31" s="420" t="inlineStr"/>
      <c r="H31" s="420" t="inlineStr"/>
      <c r="I31" s="420" t="inlineStr"/>
      <c r="J31" s="420" t="inlineStr"/>
      <c r="K31" s="422" t="inlineStr">
        <is>
          <t>John Quinn</t>
        </is>
      </c>
      <c r="L31" s="422" t="inlineStr">
        <is>
          <t>Engaged</t>
        </is>
      </c>
      <c r="M31" s="420" t="inlineStr">
        <is>
          <t>Needs qualification</t>
        </is>
      </c>
      <c r="N31" s="422" t="inlineStr">
        <is>
          <t>Tier 1</t>
        </is>
      </c>
      <c r="O31" s="420" t="n"/>
      <c r="P31" s="420" t="n"/>
      <c r="Q31" s="420">
        <f>IF(P31="","",TODAY()-P31)</f>
        <v/>
      </c>
      <c r="R31" s="440">
        <f>IF(OR(L31="Passed",Z31=""),"",P31+Z31)</f>
        <v/>
      </c>
      <c r="S31" s="420">
        <f>IF(OR(R31="",L31="Passed"),"",IF(R31&lt;=TODAY(),"DUE",IF(R31&lt;=TODAY()+3,"Next 3 Days","Later")))</f>
        <v/>
      </c>
      <c r="T31" s="420" t="inlineStr">
        <is>
          <t>Meeting scheduled / held</t>
        </is>
      </c>
      <c r="U31" s="422" t="inlineStr"/>
      <c r="V31" s="422" t="inlineStr"/>
      <c r="W31" s="424" t="inlineStr"/>
      <c r="X31" s="420" t="inlineStr">
        <is>
          <t>Term Sheets!30</t>
        </is>
      </c>
      <c r="Y31" s="422" t="inlineStr">
        <is>
          <t>Advance diligence / proposal discussion</t>
        </is>
      </c>
      <c r="Z31" s="420" t="n">
        <v>5</v>
      </c>
      <c r="AA31" s="420">
        <f>IF(AC31="Archived",0,ROUND((IF(N31="Tier 1",35,IF(N31="Tier 2",20,8))+IF(C31="Financial Investor",15,IF(C31="Intermediary / Banker",12,8))+IF(L31="Term Sheet / Proposal",25,IF(L31="Engaged",20,IF(L31="Meeting Requested",18,IF(L31="Meeting Held",14,IF(L31="Follow Up",10,5)))))+MIN(Q31,30)+IF(S31="DUE",15,IF(S31="Next 3 Days",8,0))),0))</f>
        <v/>
      </c>
      <c r="AB31" s="420">
        <f>IF(AND(AC31="Active",OR(N31="Tier 1",N31="Tier 2"),OR(S31="DUE",S31="Next 3 Days")),"YES","")</f>
        <v/>
      </c>
      <c r="AC31" s="420">
        <f>IF(L31="Passed","Archived","Active")</f>
        <v/>
      </c>
    </row>
    <row r="32">
      <c r="A32" s="420" t="inlineStr">
        <is>
          <t>EXOS-0031</t>
        </is>
      </c>
      <c r="B32" s="420" t="inlineStr">
        <is>
          <t>Term Sheets</t>
        </is>
      </c>
      <c r="C32" s="420" t="inlineStr">
        <is>
          <t>Other / Review</t>
        </is>
      </c>
      <c r="D32" s="420" t="inlineStr">
        <is>
          <t>The Unity Group</t>
        </is>
      </c>
      <c r="E32" s="420" t="inlineStr">
        <is>
          <t>Alex Durie via Tahmina K</t>
        </is>
      </c>
      <c r="F32" s="420" t="inlineStr"/>
      <c r="G32" s="421" t="inlineStr">
        <is>
          <t>alex@unity-group.com</t>
        </is>
      </c>
      <c r="H32" s="420" t="inlineStr">
        <is>
          <t>shorgan05@gmail.com; harry.young@theacquisitionrudis.com; jeremy@unity-group.com; victor.tan@unity-group.com</t>
        </is>
      </c>
      <c r="I32" s="420" t="inlineStr"/>
      <c r="J32" s="420" t="inlineStr"/>
      <c r="K32" s="422" t="inlineStr">
        <is>
          <t>John Quinn</t>
        </is>
      </c>
      <c r="L32" s="422" t="inlineStr">
        <is>
          <t>Engaged</t>
        </is>
      </c>
      <c r="M32" s="420" t="inlineStr">
        <is>
          <t>Needs qualification</t>
        </is>
      </c>
      <c r="N32" s="422" t="inlineStr">
        <is>
          <t>Tier 1</t>
        </is>
      </c>
      <c r="O32" s="420" t="n"/>
      <c r="P32" s="420" t="n"/>
      <c r="Q32" s="420">
        <f>IF(P32="","",TODAY()-P32)</f>
        <v/>
      </c>
      <c r="R32" s="440">
        <f>IF(OR(L32="Passed",Z32=""),"",P32+Z32)</f>
        <v/>
      </c>
      <c r="S32" s="420">
        <f>IF(OR(R32="",L32="Passed"),"",IF(R32&lt;=TODAY(),"DUE",IF(R32&lt;=TODAY()+3,"Next 3 Days","Later")))</f>
        <v/>
      </c>
      <c r="T32" s="420" t="inlineStr">
        <is>
          <t>Meeting scheduled / held</t>
        </is>
      </c>
      <c r="U32" s="422" t="inlineStr"/>
      <c r="V32" s="422" t="inlineStr"/>
      <c r="W32" s="424" t="inlineStr"/>
      <c r="X32" s="420" t="inlineStr">
        <is>
          <t>Term Sheets!8</t>
        </is>
      </c>
      <c r="Y32" s="422" t="inlineStr">
        <is>
          <t>Advance diligence / proposal discussion</t>
        </is>
      </c>
      <c r="Z32" s="420" t="n">
        <v>5</v>
      </c>
      <c r="AA32" s="420">
        <f>IF(AC32="Archived",0,ROUND((IF(N32="Tier 1",35,IF(N32="Tier 2",20,8))+IF(C32="Financial Investor",15,IF(C32="Intermediary / Banker",12,8))+IF(L32="Term Sheet / Proposal",25,IF(L32="Engaged",20,IF(L32="Meeting Requested",18,IF(L32="Meeting Held",14,IF(L32="Follow Up",10,5)))))+MIN(Q32,30)+IF(S32="DUE",15,IF(S32="Next 3 Days",8,0))),0))</f>
        <v/>
      </c>
      <c r="AB32" s="420">
        <f>IF(AND(AC32="Active",OR(N32="Tier 1",N32="Tier 2"),OR(S32="DUE",S32="Next 3 Days")),"YES","")</f>
        <v/>
      </c>
      <c r="AC32" s="420">
        <f>IF(L32="Passed","Archived","Active")</f>
        <v/>
      </c>
    </row>
    <row r="33">
      <c r="A33" s="420" t="inlineStr">
        <is>
          <t>EXOS-0032</t>
        </is>
      </c>
      <c r="B33" s="420" t="inlineStr">
        <is>
          <t>Derek Contacts | JQ Follow Up | Term Sheets</t>
        </is>
      </c>
      <c r="C33" s="420" t="inlineStr">
        <is>
          <t>Intermediary / Banker</t>
        </is>
      </c>
      <c r="D33" s="420" t="inlineStr">
        <is>
          <t>Tristate Capital</t>
        </is>
      </c>
      <c r="E33" s="420" t="inlineStr">
        <is>
          <t>Sulaiman Sulaimani</t>
        </is>
      </c>
      <c r="F33" s="420" t="inlineStr"/>
      <c r="G33" s="421" t="inlineStr">
        <is>
          <t>sulaiman@tristatecap.com</t>
        </is>
      </c>
      <c r="H33" s="420" t="inlineStr"/>
      <c r="I33" s="420" t="inlineStr">
        <is>
          <t>11/17 meeting held and follow up sent</t>
        </is>
      </c>
      <c r="J33" s="420" t="inlineStr"/>
      <c r="K33" s="422" t="inlineStr">
        <is>
          <t>John Quinn</t>
        </is>
      </c>
      <c r="L33" s="422" t="inlineStr">
        <is>
          <t>Engaged</t>
        </is>
      </c>
      <c r="M33" s="420" t="inlineStr">
        <is>
          <t>Capital raise support / placement</t>
        </is>
      </c>
      <c r="N33" s="422" t="inlineStr">
        <is>
          <t>Tier 1</t>
        </is>
      </c>
      <c r="O33" s="420" t="n"/>
      <c r="P33" s="440" t="n">
        <v>46054</v>
      </c>
      <c r="Q33" s="420">
        <f>IF(P33="","",TODAY()-P33)</f>
        <v/>
      </c>
      <c r="R33" s="440">
        <f>IF(OR(L33="Passed",Z33=""),"",P33+Z33)</f>
        <v/>
      </c>
      <c r="S33" s="420">
        <f>IF(OR(R33="",L33="Passed"),"",IF(R33&lt;=TODAY(),"DUE",IF(R33&lt;=TODAY()+3,"Next 3 Days","Later")))</f>
        <v/>
      </c>
      <c r="T33" s="420" t="inlineStr">
        <is>
          <t>Meeting scheduled / held</t>
        </is>
      </c>
      <c r="U33" s="422" t="inlineStr">
        <is>
          <t>referred by Dereck</t>
        </is>
      </c>
      <c r="V33" s="422" t="inlineStr">
        <is>
          <t>Capital Introduction (Success Fee + Equity) 
Cost of finance under Tristate:
2.0% cash + 1.0% non-voting equity
Only on Tristate-sourced, closed capital</t>
        </is>
      </c>
      <c r="W33" s="424" t="inlineStr">
        <is>
          <t>https://www.irongatevc.com/ 
Contracted with Sulaiman Sulaimani
​John Quinn​
​Neil Milburn​
John,
I'm scheduled to speak with our strategic partner Ty McCoy tomorrow. He just emailed me a company now that appears to be a close contact of his as there is someone on their team that is former CIA. I think we found the right partner for you and your team. Please give me sometime as I work on this for you and your team. I'll be back in touch. 
Thanks for the call yesterday. I enjoyed speaking with you. I was able to connect with our strategic partner Ty McCoy with IronGate. He is available to speak with us next week at 12 pm CST on 2/10.
I was also able to circle up with our clients from ETL. Hanshin Lee emailed me that he is interested in Exos Aerospace and speaking with us next week at 8 am CST on 2/10.
If you can please send me calendar invites for both calls on 2/10 8 am CST with ETL, and 12 pm CST with IronGate. Once I receive both invites, I'll be sure to pass them along. | 01/15/2026 | 2/10 – Calls Held: | etl dean rx? match with portfolio co</t>
        </is>
      </c>
      <c r="X33" s="420" t="inlineStr">
        <is>
          <t>Term Sheets!3 | JQ Follow Up!7 | Derek Contacts!55</t>
        </is>
      </c>
      <c r="Y33" s="422" t="inlineStr">
        <is>
          <t>Advance diligence / proposal discussion</t>
        </is>
      </c>
      <c r="Z33" s="420" t="n">
        <v>5</v>
      </c>
      <c r="AA33" s="420">
        <f>IF(AC33="Archived",0,ROUND((IF(N33="Tier 1",35,IF(N33="Tier 2",20,8))+IF(C33="Financial Investor",15,IF(C33="Intermediary / Banker",12,8))+IF(L33="Term Sheet / Proposal",25,IF(L33="Engaged",20,IF(L33="Meeting Requested",18,IF(L33="Meeting Held",14,IF(L33="Follow Up",10,5)))))+MIN(Q33,30)+IF(S33="DUE",15,IF(S33="Next 3 Days",8,0))),0))</f>
        <v/>
      </c>
      <c r="AB33" s="420">
        <f>IF(AND(AC33="Active",OR(N33="Tier 1",N33="Tier 2"),OR(S33="DUE",S33="Next 3 Days")),"YES","")</f>
        <v/>
      </c>
      <c r="AC33" s="420">
        <f>IF(L33="Passed","Archived","Active")</f>
        <v/>
      </c>
    </row>
    <row r="34">
      <c r="A34" s="420" t="inlineStr">
        <is>
          <t>EXOS-0033</t>
        </is>
      </c>
      <c r="B34" s="420" t="inlineStr">
        <is>
          <t>Term Sheets</t>
        </is>
      </c>
      <c r="C34" s="420" t="inlineStr">
        <is>
          <t>Other / Review</t>
        </is>
      </c>
      <c r="D34" s="420" t="inlineStr">
        <is>
          <t>Viking Mergers &amp; Acquisitions</t>
        </is>
      </c>
      <c r="E34" s="420" t="inlineStr">
        <is>
          <t>A. Rehwinkel</t>
        </is>
      </c>
      <c r="F34" s="420" t="inlineStr"/>
      <c r="G34" s="421" t="inlineStr">
        <is>
          <t>arehwinkel@vikingmergers.com</t>
        </is>
      </c>
      <c r="H34" s="420" t="inlineStr"/>
      <c r="I34" s="420" t="inlineStr"/>
      <c r="J34" s="420" t="inlineStr"/>
      <c r="K34" s="422" t="inlineStr">
        <is>
          <t>John Quinn</t>
        </is>
      </c>
      <c r="L34" s="422" t="inlineStr">
        <is>
          <t>Engaged</t>
        </is>
      </c>
      <c r="M34" s="420" t="inlineStr">
        <is>
          <t>Needs qualification</t>
        </is>
      </c>
      <c r="N34" s="422" t="inlineStr">
        <is>
          <t>Tier 1</t>
        </is>
      </c>
      <c r="O34" s="420" t="n"/>
      <c r="P34" s="420" t="n"/>
      <c r="Q34" s="420">
        <f>IF(P34="","",TODAY()-P34)</f>
        <v/>
      </c>
      <c r="R34" s="440">
        <f>IF(OR(L34="Passed",Z34=""),"",P34+Z34)</f>
        <v/>
      </c>
      <c r="S34" s="420">
        <f>IF(OR(R34="",L34="Passed"),"",IF(R34&lt;=TODAY(),"DUE",IF(R34&lt;=TODAY()+3,"Next 3 Days","Later")))</f>
        <v/>
      </c>
      <c r="T34" s="420" t="inlineStr">
        <is>
          <t>Meeting scheduled / held</t>
        </is>
      </c>
      <c r="U34" s="422" t="inlineStr"/>
      <c r="V34" s="422" t="inlineStr"/>
      <c r="W34" s="424" t="inlineStr">
        <is>
          <t>Initial engagement underway; reviewing materials in data room.</t>
        </is>
      </c>
      <c r="X34" s="420" t="inlineStr">
        <is>
          <t>Term Sheets!12</t>
        </is>
      </c>
      <c r="Y34" s="422" t="inlineStr">
        <is>
          <t>Advance diligence / proposal discussion</t>
        </is>
      </c>
      <c r="Z34" s="420" t="n">
        <v>5</v>
      </c>
      <c r="AA34" s="420">
        <f>IF(AC34="Archived",0,ROUND((IF(N34="Tier 1",35,IF(N34="Tier 2",20,8))+IF(C34="Financial Investor",15,IF(C34="Intermediary / Banker",12,8))+IF(L34="Term Sheet / Proposal",25,IF(L34="Engaged",20,IF(L34="Meeting Requested",18,IF(L34="Meeting Held",14,IF(L34="Follow Up",10,5)))))+MIN(Q34,30)+IF(S34="DUE",15,IF(S34="Next 3 Days",8,0))),0))</f>
        <v/>
      </c>
      <c r="AB34" s="420">
        <f>IF(AND(AC34="Active",OR(N34="Tier 1",N34="Tier 2"),OR(S34="DUE",S34="Next 3 Days")),"YES","")</f>
        <v/>
      </c>
      <c r="AC34" s="420">
        <f>IF(L34="Passed","Archived","Active")</f>
        <v/>
      </c>
    </row>
    <row r="35">
      <c r="A35" s="420" t="inlineStr">
        <is>
          <t>EXOS-0034</t>
        </is>
      </c>
      <c r="B35" s="420" t="inlineStr">
        <is>
          <t>John - Investor Contacts</t>
        </is>
      </c>
      <c r="C35" s="420" t="inlineStr">
        <is>
          <t>Financial Investor</t>
        </is>
      </c>
      <c r="D35" s="420" t="inlineStr">
        <is>
          <t>Collective Equity</t>
        </is>
      </c>
      <c r="E35" s="420" t="inlineStr">
        <is>
          <t>Mike Royston</t>
        </is>
      </c>
      <c r="F35" s="420" t="inlineStr"/>
      <c r="G35" s="421" t="inlineStr">
        <is>
          <t>mike@collectiveequity.com</t>
        </is>
      </c>
      <c r="H35" s="420" t="inlineStr"/>
      <c r="I35" s="420" t="inlineStr"/>
      <c r="J35" s="420" t="inlineStr"/>
      <c r="K35" s="422" t="inlineStr">
        <is>
          <t>John Quinn</t>
        </is>
      </c>
      <c r="L35" s="422" t="inlineStr">
        <is>
          <t>Meeting Requested</t>
        </is>
      </c>
      <c r="M35" s="420" t="inlineStr">
        <is>
          <t>Space / Defense / Aerospace / Advanced Manufacturing</t>
        </is>
      </c>
      <c r="N35" s="422" t="inlineStr">
        <is>
          <t>Tier 1</t>
        </is>
      </c>
      <c r="O35" s="420" t="n"/>
      <c r="P35" s="420" t="n"/>
      <c r="Q35" s="420">
        <f>IF(P35="","",TODAY()-P35)</f>
        <v/>
      </c>
      <c r="R35" s="440">
        <f>IF(OR(L35="Passed",Z35=""),"",P35+Z35)</f>
        <v/>
      </c>
      <c r="S35" s="420">
        <f>IF(OR(R35="",L35="Passed"),"",IF(R35&lt;=TODAY(),"DUE",IF(R35&lt;=TODAY()+3,"Next 3 Days","Later")))</f>
        <v/>
      </c>
      <c r="T35" s="420" t="inlineStr">
        <is>
          <t>Meeting scheduled / held</t>
        </is>
      </c>
      <c r="U35" s="422" t="inlineStr"/>
      <c r="V35" s="422" t="inlineStr"/>
      <c r="W35" s="424" t="inlineStr">
        <is>
          <t xml:space="preserve"> |  | meeting on 6/25 / follow up meeting in the works / ziyi@collectiveequity.com</t>
        </is>
      </c>
      <c r="X35" s="420" t="inlineStr">
        <is>
          <t>John - Investor Contacts!249</t>
        </is>
      </c>
      <c r="Y35" s="422" t="inlineStr">
        <is>
          <t>Book call and send agenda/deck</t>
        </is>
      </c>
      <c r="Z35" s="420" t="n">
        <v>2</v>
      </c>
      <c r="AA35" s="420">
        <f>IF(AC35="Archived",0,ROUND((IF(N35="Tier 1",35,IF(N35="Tier 2",20,8))+IF(C35="Financial Investor",15,IF(C35="Intermediary / Banker",12,8))+IF(L35="Term Sheet / Proposal",25,IF(L35="Engaged",20,IF(L35="Meeting Requested",18,IF(L35="Meeting Held",14,IF(L35="Follow Up",10,5)))))+MIN(Q35,30)+IF(S35="DUE",15,IF(S35="Next 3 Days",8,0))),0))</f>
        <v/>
      </c>
      <c r="AB35" s="420">
        <f>IF(AND(AC35="Active",OR(N35="Tier 1",N35="Tier 2"),OR(S35="DUE",S35="Next 3 Days")),"YES","")</f>
        <v/>
      </c>
      <c r="AC35" s="420">
        <f>IF(L35="Passed","Archived","Active")</f>
        <v/>
      </c>
    </row>
    <row r="36">
      <c r="A36" s="420" t="inlineStr">
        <is>
          <t>EXOS-0035</t>
        </is>
      </c>
      <c r="B36" s="420" t="inlineStr">
        <is>
          <t>Tank Contacts</t>
        </is>
      </c>
      <c r="C36" s="420" t="inlineStr">
        <is>
          <t>Strategic / Corporate</t>
        </is>
      </c>
      <c r="D36" s="420" t="inlineStr">
        <is>
          <t>Gravitics</t>
        </is>
      </c>
      <c r="E36" s="420" t="inlineStr">
        <is>
          <t>Scott Macklin</t>
        </is>
      </c>
      <c r="F36" s="420" t="inlineStr"/>
      <c r="G36" s="421" t="inlineStr">
        <is>
          <t>smacklin@gravitics.com</t>
        </is>
      </c>
      <c r="H36" s="420" t="inlineStr">
        <is>
          <t>scottjmacklin@gmail.com</t>
        </is>
      </c>
      <c r="I36" s="420" t="inlineStr"/>
      <c r="J36" s="421" t="inlineStr">
        <is>
          <t>https://www.linkedin.com/in/scmacklin/</t>
        </is>
      </c>
      <c r="K36" s="422" t="inlineStr">
        <is>
          <t>John Quinn</t>
        </is>
      </c>
      <c r="L36" s="422" t="inlineStr">
        <is>
          <t>Meeting Requested</t>
        </is>
      </c>
      <c r="M36" s="420" t="inlineStr">
        <is>
          <t>Strategic space / aerospace alignment</t>
        </is>
      </c>
      <c r="N36" s="422" t="inlineStr">
        <is>
          <t>Tier 1</t>
        </is>
      </c>
      <c r="O36" s="440" t="n">
        <v>45744</v>
      </c>
      <c r="P36" s="440" t="n">
        <v>45744</v>
      </c>
      <c r="Q36" s="420">
        <f>IF(P36="","",TODAY()-P36)</f>
        <v/>
      </c>
      <c r="R36" s="440">
        <f>IF(OR(L36="Passed",Z36=""),"",P36+Z36)</f>
        <v/>
      </c>
      <c r="S36" s="420">
        <f>IF(OR(R36="",L36="Passed"),"",IF(R36&lt;=TODAY(),"DUE",IF(R36&lt;=TODAY()+3,"Next 3 Days","Later")))</f>
        <v/>
      </c>
      <c r="T36" s="420" t="inlineStr">
        <is>
          <t>Meeting scheduled / held</t>
        </is>
      </c>
      <c r="U36" s="422" t="inlineStr"/>
      <c r="V36" s="422" t="inlineStr"/>
      <c r="W36" s="424" t="inlineStr">
        <is>
          <t>meeting set for 4/3</t>
        </is>
      </c>
      <c r="X36" s="420" t="inlineStr">
        <is>
          <t>Tank Contacts!12</t>
        </is>
      </c>
      <c r="Y36" s="422" t="inlineStr">
        <is>
          <t>Book call and send agenda/deck</t>
        </is>
      </c>
      <c r="Z36" s="420" t="n">
        <v>2</v>
      </c>
      <c r="AA36" s="420">
        <f>IF(AC36="Archived",0,ROUND((IF(N36="Tier 1",35,IF(N36="Tier 2",20,8))+IF(C36="Financial Investor",15,IF(C36="Intermediary / Banker",12,8))+IF(L36="Term Sheet / Proposal",25,IF(L36="Engaged",20,IF(L36="Meeting Requested",18,IF(L36="Meeting Held",14,IF(L36="Follow Up",10,5)))))+MIN(Q36,30)+IF(S36="DUE",15,IF(S36="Next 3 Days",8,0))),0))</f>
        <v/>
      </c>
      <c r="AB36" s="420">
        <f>IF(AND(AC36="Active",OR(N36="Tier 1",N36="Tier 2"),OR(S36="DUE",S36="Next 3 Days")),"YES","")</f>
        <v/>
      </c>
      <c r="AC36" s="420">
        <f>IF(L36="Passed","Archived","Active")</f>
        <v/>
      </c>
    </row>
    <row r="37">
      <c r="A37" s="420" t="inlineStr">
        <is>
          <t>EXOS-0036</t>
        </is>
      </c>
      <c r="B37" s="420" t="inlineStr">
        <is>
          <t>JQ Follow Up | John - Investor Contacts</t>
        </is>
      </c>
      <c r="C37" s="420" t="inlineStr">
        <is>
          <t>Financial Investor</t>
        </is>
      </c>
      <c r="D37" s="420" t="inlineStr">
        <is>
          <t>Investor Ready Capital</t>
        </is>
      </c>
      <c r="E37" s="420" t="inlineStr">
        <is>
          <t>Samuel Levitz</t>
        </is>
      </c>
      <c r="F37" s="420" t="inlineStr"/>
      <c r="G37" s="421" t="inlineStr">
        <is>
          <t>samuel@investorreadycapital.com</t>
        </is>
      </c>
      <c r="H37" s="420" t="inlineStr"/>
      <c r="I37" s="420" t="inlineStr">
        <is>
          <t>last email exchange I see is 11/23 and it looked promising - notes on what happened here? Looks like we need to follow up?</t>
        </is>
      </c>
      <c r="J37" s="420" t="inlineStr"/>
      <c r="K37" s="422" t="inlineStr">
        <is>
          <t>John Quinn</t>
        </is>
      </c>
      <c r="L37" s="422" t="inlineStr">
        <is>
          <t>Meeting Requested</t>
        </is>
      </c>
      <c r="M37" s="420" t="inlineStr">
        <is>
          <t>Space / Defense / Aerospace / Advanced Manufacturing</t>
        </is>
      </c>
      <c r="N37" s="422" t="inlineStr">
        <is>
          <t>Tier 1</t>
        </is>
      </c>
      <c r="O37" s="420" t="n"/>
      <c r="P37" s="420" t="n"/>
      <c r="Q37" s="420">
        <f>IF(P37="","",TODAY()-P37)</f>
        <v/>
      </c>
      <c r="R37" s="440">
        <f>IF(OR(L37="Passed",Z37=""),"",P37+Z37)</f>
        <v/>
      </c>
      <c r="S37" s="420">
        <f>IF(OR(R37="",L37="Passed"),"",IF(R37&lt;=TODAY(),"DUE",IF(R37&lt;=TODAY()+3,"Next 3 Days","Later")))</f>
        <v/>
      </c>
      <c r="T37" s="420" t="inlineStr">
        <is>
          <t>Meeting scheduled / held</t>
        </is>
      </c>
      <c r="U37" s="422" t="inlineStr"/>
      <c r="V37" s="422" t="inlineStr"/>
      <c r="W37" s="424" t="inlineStr">
        <is>
          <t>meeting held on 6/24 / follow up meeting on 6/27- Question replied to and followed up on 7-11</t>
        </is>
      </c>
      <c r="X37" s="420" t="inlineStr">
        <is>
          <t>JQ Follow Up!23 | John - Investor Contacts!250</t>
        </is>
      </c>
      <c r="Y37" s="422" t="inlineStr">
        <is>
          <t>Book call and send agenda/deck</t>
        </is>
      </c>
      <c r="Z37" s="420" t="n">
        <v>2</v>
      </c>
      <c r="AA37" s="420">
        <f>IF(AC37="Archived",0,ROUND((IF(N37="Tier 1",35,IF(N37="Tier 2",20,8))+IF(C37="Financial Investor",15,IF(C37="Intermediary / Banker",12,8))+IF(L37="Term Sheet / Proposal",25,IF(L37="Engaged",20,IF(L37="Meeting Requested",18,IF(L37="Meeting Held",14,IF(L37="Follow Up",10,5)))))+MIN(Q37,30)+IF(S37="DUE",15,IF(S37="Next 3 Days",8,0))),0))</f>
        <v/>
      </c>
      <c r="AB37" s="420">
        <f>IF(AND(AC37="Active",OR(N37="Tier 1",N37="Tier 2"),OR(S37="DUE",S37="Next 3 Days")),"YES","")</f>
        <v/>
      </c>
      <c r="AC37" s="420">
        <f>IF(L37="Passed","Archived","Active")</f>
        <v/>
      </c>
    </row>
    <row r="38">
      <c r="A38" s="420" t="inlineStr">
        <is>
          <t>EXOS-0037</t>
        </is>
      </c>
      <c r="B38" s="420" t="inlineStr">
        <is>
          <t>JQ Follow Up | John - Investor Contacts | OSC</t>
        </is>
      </c>
      <c r="C38" s="420" t="inlineStr">
        <is>
          <t>Financial Investor</t>
        </is>
      </c>
      <c r="D38" s="420" t="inlineStr">
        <is>
          <t>One Bow River</t>
        </is>
      </c>
      <c r="E38" s="420" t="inlineStr">
        <is>
          <t>Stowe Faircloth</t>
        </is>
      </c>
      <c r="F38" s="420" t="inlineStr"/>
      <c r="G38" s="421" t="inlineStr">
        <is>
          <t>shane.sherman@onebowriver.com</t>
        </is>
      </c>
      <c r="H38" s="420" t="inlineStr">
        <is>
          <t>stowe.faircloth@onebowriver.com</t>
        </is>
      </c>
      <c r="I38" s="420" t="inlineStr">
        <is>
          <t>720.910.9483</t>
        </is>
      </c>
      <c r="J38" s="421" t="inlineStr">
        <is>
          <t>https://www.linkedin.com/in/shane-sherman/</t>
        </is>
      </c>
      <c r="K38" s="422" t="inlineStr">
        <is>
          <t>John Quinn</t>
        </is>
      </c>
      <c r="L38" s="422" t="inlineStr">
        <is>
          <t>Meeting Requested</t>
        </is>
      </c>
      <c r="M38" s="420" t="inlineStr">
        <is>
          <t>Space / Defense / Aerospace / Advanced Manufacturing</t>
        </is>
      </c>
      <c r="N38" s="422" t="inlineStr">
        <is>
          <t>Tier 1</t>
        </is>
      </c>
      <c r="O38" s="440" t="n">
        <v>45814</v>
      </c>
      <c r="P38" s="440" t="n">
        <v>45922</v>
      </c>
      <c r="Q38" s="420">
        <f>IF(P38="","",TODAY()-P38)</f>
        <v/>
      </c>
      <c r="R38" s="440">
        <f>IF(OR(L38="Passed",Z38=""),"",P38+Z38)</f>
        <v/>
      </c>
      <c r="S38" s="420">
        <f>IF(OR(R38="",L38="Passed"),"",IF(R38&lt;=TODAY(),"DUE",IF(R38&lt;=TODAY()+3,"Next 3 Days","Later")))</f>
        <v/>
      </c>
      <c r="T38" s="420" t="inlineStr">
        <is>
          <t>Meeting scheduled / held</t>
        </is>
      </c>
      <c r="U38" s="422" t="inlineStr">
        <is>
          <t>https://www.linkedin.com/in/shane-sherman/</t>
        </is>
      </c>
      <c r="V38" s="422" t="inlineStr"/>
      <c r="W38" s="424" t="inlineStr">
        <is>
          <t>08/12/2025 | Stowe Faircloth &lt;Stowe.faircloth@onebowriver.com&gt;replied requesting a meeting on 9/22</t>
        </is>
      </c>
      <c r="X38" s="420" t="inlineStr">
        <is>
          <t>JQ Follow Up!14 | John - Investor Contacts!144 | OSC!11</t>
        </is>
      </c>
      <c r="Y38" s="422" t="inlineStr">
        <is>
          <t>Book call and send agenda/deck</t>
        </is>
      </c>
      <c r="Z38" s="420" t="n">
        <v>2</v>
      </c>
      <c r="AA38" s="420">
        <f>IF(AC38="Archived",0,ROUND((IF(N38="Tier 1",35,IF(N38="Tier 2",20,8))+IF(C38="Financial Investor",15,IF(C38="Intermediary / Banker",12,8))+IF(L38="Term Sheet / Proposal",25,IF(L38="Engaged",20,IF(L38="Meeting Requested",18,IF(L38="Meeting Held",14,IF(L38="Follow Up",10,5)))))+MIN(Q38,30)+IF(S38="DUE",15,IF(S38="Next 3 Days",8,0))),0))</f>
        <v/>
      </c>
      <c r="AB38" s="420">
        <f>IF(AND(AC38="Active",OR(N38="Tier 1",N38="Tier 2"),OR(S38="DUE",S38="Next 3 Days")),"YES","")</f>
        <v/>
      </c>
      <c r="AC38" s="420">
        <f>IF(L38="Passed","Archived","Active")</f>
        <v/>
      </c>
    </row>
    <row r="39">
      <c r="A39" s="420" t="inlineStr">
        <is>
          <t>EXOS-0038</t>
        </is>
      </c>
      <c r="B39" s="420" t="inlineStr">
        <is>
          <t>JQ Follow Up | John - Investor Contacts</t>
        </is>
      </c>
      <c r="C39" s="420" t="inlineStr">
        <is>
          <t>Financial Investor</t>
        </is>
      </c>
      <c r="D39" s="420" t="inlineStr">
        <is>
          <t>TEL Venture Capital</t>
        </is>
      </c>
      <c r="E39" s="420" t="inlineStr">
        <is>
          <t>Sergey Fedotov</t>
        </is>
      </c>
      <c r="F39" s="420" t="inlineStr"/>
      <c r="G39" s="421" t="inlineStr">
        <is>
          <t>sergey.fedotov@tel.com</t>
        </is>
      </c>
      <c r="H39" s="420" t="inlineStr"/>
      <c r="I39" s="420" t="inlineStr">
        <is>
          <t>650.360.8669</t>
        </is>
      </c>
      <c r="J39" s="421" t="inlineStr">
        <is>
          <t>https://www.linkedin.com/in/sergey-a-fedotov/</t>
        </is>
      </c>
      <c r="K39" s="422" t="inlineStr">
        <is>
          <t>John Quinn</t>
        </is>
      </c>
      <c r="L39" s="422" t="inlineStr">
        <is>
          <t>Meeting Requested</t>
        </is>
      </c>
      <c r="M39" s="420" t="inlineStr">
        <is>
          <t>Space / Defense / Aerospace / Advanced Manufacturing</t>
        </is>
      </c>
      <c r="N39" s="422" t="inlineStr">
        <is>
          <t>Tier 1</t>
        </is>
      </c>
      <c r="O39" s="440" t="n">
        <v>45912</v>
      </c>
      <c r="P39" s="440" t="n">
        <v>45912</v>
      </c>
      <c r="Q39" s="420">
        <f>IF(P39="","",TODAY()-P39)</f>
        <v/>
      </c>
      <c r="R39" s="440">
        <f>IF(OR(L39="Passed",Z39=""),"",P39+Z39)</f>
        <v/>
      </c>
      <c r="S39" s="420">
        <f>IF(OR(R39="",L39="Passed"),"",IF(R39&lt;=TODAY(),"DUE",IF(R39&lt;=TODAY()+3,"Next 3 Days","Later")))</f>
        <v/>
      </c>
      <c r="T39" s="420" t="inlineStr">
        <is>
          <t>Meeting scheduled / held</t>
        </is>
      </c>
      <c r="U39" s="422" t="inlineStr">
        <is>
          <t>https://www.linkedin.com/in/sergey-a-fedotov/</t>
        </is>
      </c>
      <c r="V39" s="422" t="inlineStr"/>
      <c r="W39" s="424" t="inlineStr">
        <is>
          <t>9/24 - meeting set for 10/2</t>
        </is>
      </c>
      <c r="X39" s="420" t="inlineStr">
        <is>
          <t>JQ Follow Up!13 | John - Investor Contacts!681</t>
        </is>
      </c>
      <c r="Y39" s="422" t="inlineStr">
        <is>
          <t>Book call and send agenda/deck</t>
        </is>
      </c>
      <c r="Z39" s="420" t="n">
        <v>2</v>
      </c>
      <c r="AA39" s="420">
        <f>IF(AC39="Archived",0,ROUND((IF(N39="Tier 1",35,IF(N39="Tier 2",20,8))+IF(C39="Financial Investor",15,IF(C39="Intermediary / Banker",12,8))+IF(L39="Term Sheet / Proposal",25,IF(L39="Engaged",20,IF(L39="Meeting Requested",18,IF(L39="Meeting Held",14,IF(L39="Follow Up",10,5)))))+MIN(Q39,30)+IF(S39="DUE",15,IF(S39="Next 3 Days",8,0))),0))</f>
        <v/>
      </c>
      <c r="AB39" s="420">
        <f>IF(AND(AC39="Active",OR(N39="Tier 1",N39="Tier 2"),OR(S39="DUE",S39="Next 3 Days")),"YES","")</f>
        <v/>
      </c>
      <c r="AC39" s="420">
        <f>IF(L39="Passed","Archived","Active")</f>
        <v/>
      </c>
    </row>
    <row r="40">
      <c r="A40" s="420" t="inlineStr">
        <is>
          <t>EXOS-0039</t>
        </is>
      </c>
      <c r="B40" s="420" t="inlineStr">
        <is>
          <t>John - Investor Contacts</t>
        </is>
      </c>
      <c r="C40" s="420" t="inlineStr">
        <is>
          <t>Financial Investor</t>
        </is>
      </c>
      <c r="D40" s="420" t="inlineStr">
        <is>
          <t>referred by andy@abucholtz.com</t>
        </is>
      </c>
      <c r="E40" s="420" t="inlineStr">
        <is>
          <t>Richard Phillips</t>
        </is>
      </c>
      <c r="F40" s="420" t="inlineStr"/>
      <c r="G40" s="420" t="inlineStr"/>
      <c r="H40" s="420" t="inlineStr"/>
      <c r="I40" s="420" t="inlineStr"/>
      <c r="J40" s="420" t="inlineStr"/>
      <c r="K40" s="422" t="inlineStr">
        <is>
          <t>John Quinn</t>
        </is>
      </c>
      <c r="L40" s="422" t="inlineStr">
        <is>
          <t>Meeting Requested</t>
        </is>
      </c>
      <c r="M40" s="420" t="inlineStr">
        <is>
          <t>Space / Defense / Aerospace / Advanced Manufacturing</t>
        </is>
      </c>
      <c r="N40" s="422" t="inlineStr">
        <is>
          <t>Tier 1</t>
        </is>
      </c>
      <c r="O40" s="440" t="n">
        <v>45903</v>
      </c>
      <c r="P40" s="440" t="n">
        <v>45903</v>
      </c>
      <c r="Q40" s="420">
        <f>IF(P40="","",TODAY()-P40)</f>
        <v/>
      </c>
      <c r="R40" s="440">
        <f>IF(OR(L40="Passed",Z40=""),"",P40+Z40)</f>
        <v/>
      </c>
      <c r="S40" s="420">
        <f>IF(OR(R40="",L40="Passed"),"",IF(R40&lt;=TODAY(),"DUE",IF(R40&lt;=TODAY()+3,"Next 3 Days","Later")))</f>
        <v/>
      </c>
      <c r="T40" s="420" t="inlineStr">
        <is>
          <t>Meeting scheduled / held</t>
        </is>
      </c>
      <c r="U40" s="422" t="inlineStr">
        <is>
          <t>phillips@crossroadscapitaldc.com</t>
        </is>
      </c>
      <c r="V40" s="422" t="inlineStr"/>
      <c r="W40" s="424" t="inlineStr">
        <is>
          <t xml:space="preserve"> | meeting set 9/8/ NDA 9/12 | </t>
        </is>
      </c>
      <c r="X40" s="420" t="inlineStr">
        <is>
          <t>John - Investor Contacts!610</t>
        </is>
      </c>
      <c r="Y40" s="422" t="inlineStr">
        <is>
          <t>Book call and send agenda/deck</t>
        </is>
      </c>
      <c r="Z40" s="420" t="n">
        <v>2</v>
      </c>
      <c r="AA40" s="420">
        <f>IF(AC40="Archived",0,ROUND((IF(N40="Tier 1",35,IF(N40="Tier 2",20,8))+IF(C40="Financial Investor",15,IF(C40="Intermediary / Banker",12,8))+IF(L40="Term Sheet / Proposal",25,IF(L40="Engaged",20,IF(L40="Meeting Requested",18,IF(L40="Meeting Held",14,IF(L40="Follow Up",10,5)))))+MIN(Q40,30)+IF(S40="DUE",15,IF(S40="Next 3 Days",8,0))),0))</f>
        <v/>
      </c>
      <c r="AB40" s="420">
        <f>IF(AND(AC40="Active",OR(N40="Tier 1",N40="Tier 2"),OR(S40="DUE",S40="Next 3 Days")),"YES","")</f>
        <v/>
      </c>
      <c r="AC40" s="420">
        <f>IF(L40="Passed","Archived","Active")</f>
        <v/>
      </c>
    </row>
    <row r="41">
      <c r="A41" s="420" t="inlineStr">
        <is>
          <t>EXOS-0040</t>
        </is>
      </c>
      <c r="B41" s="420" t="inlineStr">
        <is>
          <t>JQ Follow Up | Term Sheets</t>
        </is>
      </c>
      <c r="C41" s="420" t="inlineStr">
        <is>
          <t>Financial Investor</t>
        </is>
      </c>
      <c r="D41" s="420" t="inlineStr">
        <is>
          <t>Cerebro Capital</t>
        </is>
      </c>
      <c r="E41" s="420" t="inlineStr">
        <is>
          <t>Steven Agathoklis</t>
        </is>
      </c>
      <c r="F41" s="420" t="inlineStr"/>
      <c r="G41" s="421" t="inlineStr">
        <is>
          <t>sagathoklis@cerebrocapital.com</t>
        </is>
      </c>
      <c r="H41" s="420" t="inlineStr"/>
      <c r="I41" s="420" t="inlineStr"/>
      <c r="J41" s="420" t="inlineStr"/>
      <c r="K41" s="422" t="inlineStr">
        <is>
          <t>John Quinn</t>
        </is>
      </c>
      <c r="L41" s="422" t="inlineStr">
        <is>
          <t>Meeting Held</t>
        </is>
      </c>
      <c r="M41" s="420" t="inlineStr">
        <is>
          <t>Space / Defense / Aerospace / Advanced Manufacturing</t>
        </is>
      </c>
      <c r="N41" s="422" t="inlineStr">
        <is>
          <t>Tier 1</t>
        </is>
      </c>
      <c r="O41" s="420" t="n"/>
      <c r="P41" s="440" t="n">
        <v>45951</v>
      </c>
      <c r="Q41" s="420">
        <f>IF(P41="","",TODAY()-P41)</f>
        <v/>
      </c>
      <c r="R41" s="440">
        <f>IF(OR(L41="Passed",Z41=""),"",P41+Z41)</f>
        <v/>
      </c>
      <c r="S41" s="420">
        <f>IF(OR(R41="",L41="Passed"),"",IF(R41&lt;=TODAY(),"DUE",IF(R41&lt;=TODAY()+3,"Next 3 Days","Later")))</f>
        <v/>
      </c>
      <c r="T41" s="420" t="inlineStr">
        <is>
          <t>Meeting scheduled / held</t>
        </is>
      </c>
      <c r="U41" s="422" t="inlineStr"/>
      <c r="V41" s="422" t="inlineStr">
        <is>
          <t>Bridge Loan</t>
        </is>
      </c>
      <c r="W41" s="424" t="inlineStr">
        <is>
          <t>NDA signed; full financials provided. No response since; inactive. | meeting held on 10/16</t>
        </is>
      </c>
      <c r="X41" s="420" t="inlineStr">
        <is>
          <t>Term Sheets!22 | JQ Follow Up!15</t>
        </is>
      </c>
      <c r="Y41" s="422" t="inlineStr">
        <is>
          <t>Send recap, materials, and next-step ask</t>
        </is>
      </c>
      <c r="Z41" s="420" t="n">
        <v>5</v>
      </c>
      <c r="AA41" s="420">
        <f>IF(AC41="Archived",0,ROUND((IF(N41="Tier 1",35,IF(N41="Tier 2",20,8))+IF(C41="Financial Investor",15,IF(C41="Intermediary / Banker",12,8))+IF(L41="Term Sheet / Proposal",25,IF(L41="Engaged",20,IF(L41="Meeting Requested",18,IF(L41="Meeting Held",14,IF(L41="Follow Up",10,5)))))+MIN(Q41,30)+IF(S41="DUE",15,IF(S41="Next 3 Days",8,0))),0))</f>
        <v/>
      </c>
      <c r="AB41" s="420">
        <f>IF(AND(AC41="Active",OR(N41="Tier 1",N41="Tier 2"),OR(S41="DUE",S41="Next 3 Days")),"YES","")</f>
        <v/>
      </c>
      <c r="AC41" s="420">
        <f>IF(L41="Passed","Archived","Active")</f>
        <v/>
      </c>
    </row>
    <row r="42">
      <c r="A42" s="420" t="inlineStr">
        <is>
          <t>EXOS-0041</t>
        </is>
      </c>
      <c r="B42" s="420" t="inlineStr">
        <is>
          <t>John - Investor Contacts</t>
        </is>
      </c>
      <c r="C42" s="420" t="inlineStr">
        <is>
          <t>Financial Investor</t>
        </is>
      </c>
      <c r="D42" s="420" t="inlineStr">
        <is>
          <t>IPO Club</t>
        </is>
      </c>
      <c r="E42" s="420" t="inlineStr">
        <is>
          <t>Edoardo Zarghetta</t>
        </is>
      </c>
      <c r="F42" s="420" t="inlineStr"/>
      <c r="G42" s="421" t="inlineStr">
        <is>
          <t>edozar@gmail.com</t>
        </is>
      </c>
      <c r="H42" s="420" t="inlineStr"/>
      <c r="I42" s="420" t="inlineStr"/>
      <c r="J42" s="420" t="inlineStr"/>
      <c r="K42" s="422" t="inlineStr">
        <is>
          <t>John Quinn</t>
        </is>
      </c>
      <c r="L42" s="422" t="inlineStr">
        <is>
          <t>Meeting Held</t>
        </is>
      </c>
      <c r="M42" s="420" t="inlineStr">
        <is>
          <t>Space / Defense / Aerospace / Advanced Manufacturing</t>
        </is>
      </c>
      <c r="N42" s="422" t="inlineStr">
        <is>
          <t>Tier 1</t>
        </is>
      </c>
      <c r="O42" s="440" t="n">
        <v>46030</v>
      </c>
      <c r="P42" s="440" t="n">
        <v>46030</v>
      </c>
      <c r="Q42" s="420">
        <f>IF(P42="","",TODAY()-P42)</f>
        <v/>
      </c>
      <c r="R42" s="440">
        <f>IF(OR(L42="Passed",Z42=""),"",P42+Z42)</f>
        <v/>
      </c>
      <c r="S42" s="420">
        <f>IF(OR(R42="",L42="Passed"),"",IF(R42&lt;=TODAY(),"DUE",IF(R42&lt;=TODAY()+3,"Next 3 Days","Later")))</f>
        <v/>
      </c>
      <c r="T42" s="420" t="inlineStr">
        <is>
          <t>Meeting scheduled / held</t>
        </is>
      </c>
      <c r="U42" s="422" t="inlineStr">
        <is>
          <t>linkedin.com/in/edozar</t>
        </is>
      </c>
      <c r="V42" s="422" t="inlineStr"/>
      <c r="W42" s="424" t="inlineStr">
        <is>
          <t xml:space="preserve"> | meeting held on 1/13 - pitch deck sent for brother | </t>
        </is>
      </c>
      <c r="X42" s="420" t="inlineStr">
        <is>
          <t>John - Investor Contacts!908</t>
        </is>
      </c>
      <c r="Y42" s="422" t="inlineStr">
        <is>
          <t>Send recap, materials, and next-step ask</t>
        </is>
      </c>
      <c r="Z42" s="420" t="n">
        <v>5</v>
      </c>
      <c r="AA42" s="420">
        <f>IF(AC42="Archived",0,ROUND((IF(N42="Tier 1",35,IF(N42="Tier 2",20,8))+IF(C42="Financial Investor",15,IF(C42="Intermediary / Banker",12,8))+IF(L42="Term Sheet / Proposal",25,IF(L42="Engaged",20,IF(L42="Meeting Requested",18,IF(L42="Meeting Held",14,IF(L42="Follow Up",10,5)))))+MIN(Q42,30)+IF(S42="DUE",15,IF(S42="Next 3 Days",8,0))),0))</f>
        <v/>
      </c>
      <c r="AB42" s="420">
        <f>IF(AND(AC42="Active",OR(N42="Tier 1",N42="Tier 2"),OR(S42="DUE",S42="Next 3 Days")),"YES","")</f>
        <v/>
      </c>
      <c r="AC42" s="420">
        <f>IF(L42="Passed","Archived","Active")</f>
        <v/>
      </c>
    </row>
    <row r="43">
      <c r="A43" s="420" t="inlineStr">
        <is>
          <t>EXOS-0042</t>
        </is>
      </c>
      <c r="B43" s="420" t="inlineStr">
        <is>
          <t>JQ Follow Up | John - Investor Contacts</t>
        </is>
      </c>
      <c r="C43" s="420" t="inlineStr">
        <is>
          <t>Financial Investor</t>
        </is>
      </c>
      <c r="D43" s="420" t="inlineStr">
        <is>
          <t>Noblis Ventures</t>
        </is>
      </c>
      <c r="E43" s="420" t="inlineStr">
        <is>
          <t>Bill Collier</t>
        </is>
      </c>
      <c r="F43" s="420" t="inlineStr"/>
      <c r="G43" s="421" t="inlineStr">
        <is>
          <t>bill.collier@noblis.org</t>
        </is>
      </c>
      <c r="H43" s="420" t="inlineStr"/>
      <c r="I43" s="420" t="inlineStr">
        <is>
          <t>09/03/2025</t>
        </is>
      </c>
      <c r="J43" s="421" t="inlineStr">
        <is>
          <t>https://www.linkedin.com/in/williammarcuscollier/</t>
        </is>
      </c>
      <c r="K43" s="422" t="inlineStr">
        <is>
          <t>John Quinn</t>
        </is>
      </c>
      <c r="L43" s="422" t="inlineStr">
        <is>
          <t>Meeting Held</t>
        </is>
      </c>
      <c r="M43" s="420" t="inlineStr">
        <is>
          <t>Space / Defense / Aerospace / Advanced Manufacturing</t>
        </is>
      </c>
      <c r="N43" s="422" t="inlineStr">
        <is>
          <t>Tier 1</t>
        </is>
      </c>
      <c r="O43" s="440" t="n">
        <v>45903</v>
      </c>
      <c r="P43" s="440" t="n">
        <v>45972</v>
      </c>
      <c r="Q43" s="420">
        <f>IF(P43="","",TODAY()-P43)</f>
        <v/>
      </c>
      <c r="R43" s="440">
        <f>IF(OR(L43="Passed",Z43=""),"",P43+Z43)</f>
        <v/>
      </c>
      <c r="S43" s="420">
        <f>IF(OR(R43="",L43="Passed"),"",IF(R43&lt;=TODAY(),"DUE",IF(R43&lt;=TODAY()+3,"Next 3 Days","Later")))</f>
        <v/>
      </c>
      <c r="T43" s="420" t="inlineStr">
        <is>
          <t>Meeting scheduled / held</t>
        </is>
      </c>
      <c r="U43" s="422" t="inlineStr">
        <is>
          <t>https://www.linkedin.com/in/williammarcuscollier/</t>
        </is>
      </c>
      <c r="V43" s="422" t="inlineStr"/>
      <c r="W43" s="424" t="inlineStr">
        <is>
          <t>12/5 follow up sent | meeting held and follow up emails sent. most recent follow up 12/5</t>
        </is>
      </c>
      <c r="X43" s="420" t="inlineStr">
        <is>
          <t>JQ Follow Up!17 | John - Investor Contacts!615</t>
        </is>
      </c>
      <c r="Y43" s="422" t="inlineStr">
        <is>
          <t>Send recap, materials, and next-step ask</t>
        </is>
      </c>
      <c r="Z43" s="420" t="n">
        <v>5</v>
      </c>
      <c r="AA43" s="420">
        <f>IF(AC43="Archived",0,ROUND((IF(N43="Tier 1",35,IF(N43="Tier 2",20,8))+IF(C43="Financial Investor",15,IF(C43="Intermediary / Banker",12,8))+IF(L43="Term Sheet / Proposal",25,IF(L43="Engaged",20,IF(L43="Meeting Requested",18,IF(L43="Meeting Held",14,IF(L43="Follow Up",10,5)))))+MIN(Q43,30)+IF(S43="DUE",15,IF(S43="Next 3 Days",8,0))),0))</f>
        <v/>
      </c>
      <c r="AB43" s="420">
        <f>IF(AND(AC43="Active",OR(N43="Tier 1",N43="Tier 2"),OR(S43="DUE",S43="Next 3 Days")),"YES","")</f>
        <v/>
      </c>
      <c r="AC43" s="420">
        <f>IF(L43="Passed","Archived","Active")</f>
        <v/>
      </c>
    </row>
    <row r="44">
      <c r="A44" s="420" t="inlineStr">
        <is>
          <t>EXOS-0043</t>
        </is>
      </c>
      <c r="B44" s="420" t="inlineStr">
        <is>
          <t>John - Investor Contacts</t>
        </is>
      </c>
      <c r="C44" s="420" t="inlineStr">
        <is>
          <t>Financial Investor</t>
        </is>
      </c>
      <c r="D44" s="420" t="inlineStr">
        <is>
          <t>Palm Drive Capital</t>
        </is>
      </c>
      <c r="E44" s="420" t="inlineStr">
        <is>
          <t>Carter Dessommes</t>
        </is>
      </c>
      <c r="F44" s="420" t="inlineStr"/>
      <c r="G44" s="421" t="inlineStr">
        <is>
          <t>carter@palmdrive.vc</t>
        </is>
      </c>
      <c r="H44" s="420" t="inlineStr"/>
      <c r="I44" s="420" t="inlineStr"/>
      <c r="J44" s="420" t="inlineStr"/>
      <c r="K44" s="422" t="inlineStr">
        <is>
          <t>John Quinn</t>
        </is>
      </c>
      <c r="L44" s="422" t="inlineStr">
        <is>
          <t>Meeting Held</t>
        </is>
      </c>
      <c r="M44" s="420" t="inlineStr">
        <is>
          <t>Space / Defense / Aerospace / Advanced Manufacturing</t>
        </is>
      </c>
      <c r="N44" s="422" t="inlineStr">
        <is>
          <t>Tier 1</t>
        </is>
      </c>
      <c r="O44" s="440" t="n">
        <v>45859</v>
      </c>
      <c r="P44" s="440" t="n">
        <v>45859</v>
      </c>
      <c r="Q44" s="420">
        <f>IF(P44="","",TODAY()-P44)</f>
        <v/>
      </c>
      <c r="R44" s="440">
        <f>IF(OR(L44="Passed",Z44=""),"",P44+Z44)</f>
        <v/>
      </c>
      <c r="S44" s="420">
        <f>IF(OR(R44="",L44="Passed"),"",IF(R44&lt;=TODAY(),"DUE",IF(R44&lt;=TODAY()+3,"Next 3 Days","Later")))</f>
        <v/>
      </c>
      <c r="T44" s="420" t="inlineStr">
        <is>
          <t>Meeting scheduled / held</t>
        </is>
      </c>
      <c r="U44" s="422" t="inlineStr"/>
      <c r="V44" s="422" t="inlineStr"/>
      <c r="W44" s="424" t="inlineStr">
        <is>
          <t xml:space="preserve"> | meeting held | </t>
        </is>
      </c>
      <c r="X44" s="420" t="inlineStr">
        <is>
          <t>John - Investor Contacts!413</t>
        </is>
      </c>
      <c r="Y44" s="422" t="inlineStr">
        <is>
          <t>Send recap, materials, and next-step ask</t>
        </is>
      </c>
      <c r="Z44" s="420" t="n">
        <v>5</v>
      </c>
      <c r="AA44" s="420">
        <f>IF(AC44="Archived",0,ROUND((IF(N44="Tier 1",35,IF(N44="Tier 2",20,8))+IF(C44="Financial Investor",15,IF(C44="Intermediary / Banker",12,8))+IF(L44="Term Sheet / Proposal",25,IF(L44="Engaged",20,IF(L44="Meeting Requested",18,IF(L44="Meeting Held",14,IF(L44="Follow Up",10,5)))))+MIN(Q44,30)+IF(S44="DUE",15,IF(S44="Next 3 Days",8,0))),0))</f>
        <v/>
      </c>
      <c r="AB44" s="420">
        <f>IF(AND(AC44="Active",OR(N44="Tier 1",N44="Tier 2"),OR(S44="DUE",S44="Next 3 Days")),"YES","")</f>
        <v/>
      </c>
      <c r="AC44" s="420">
        <f>IF(L44="Passed","Archived","Active")</f>
        <v/>
      </c>
    </row>
    <row r="45">
      <c r="A45" s="420" t="inlineStr">
        <is>
          <t>EXOS-0044</t>
        </is>
      </c>
      <c r="B45" s="420" t="inlineStr">
        <is>
          <t>JQ Follow Up</t>
        </is>
      </c>
      <c r="C45" s="420" t="inlineStr">
        <is>
          <t>Financial Investor</t>
        </is>
      </c>
      <c r="D45" s="420" t="inlineStr">
        <is>
          <t>Prospect Capital</t>
        </is>
      </c>
      <c r="E45" s="420" t="inlineStr">
        <is>
          <t>Sulaiman Sulaimani</t>
        </is>
      </c>
      <c r="F45" s="420" t="inlineStr"/>
      <c r="G45" s="420" t="inlineStr"/>
      <c r="H45" s="420" t="inlineStr"/>
      <c r="I45" s="420" t="inlineStr">
        <is>
          <t>Capital Partner (Debt / Structured Capital)</t>
        </is>
      </c>
      <c r="J45" s="420" t="inlineStr"/>
      <c r="K45" s="422" t="inlineStr">
        <is>
          <t>John Quinn</t>
        </is>
      </c>
      <c r="L45" s="422" t="inlineStr">
        <is>
          <t>Meeting Held</t>
        </is>
      </c>
      <c r="M45" s="420" t="inlineStr">
        <is>
          <t>Space / Defense / Aerospace / Advanced Manufacturing</t>
        </is>
      </c>
      <c r="N45" s="422" t="inlineStr">
        <is>
          <t>Tier 1</t>
        </is>
      </c>
      <c r="O45" s="420" t="n"/>
      <c r="P45" s="440" t="n">
        <v>46030</v>
      </c>
      <c r="Q45" s="420">
        <f>IF(P45="","",TODAY()-P45)</f>
        <v/>
      </c>
      <c r="R45" s="440">
        <f>IF(OR(L45="Passed",Z45=""),"",P45+Z45)</f>
        <v/>
      </c>
      <c r="S45" s="420">
        <f>IF(OR(R45="",L45="Passed"),"",IF(R45&lt;=TODAY(),"DUE",IF(R45&lt;=TODAY()+3,"Next 3 Days","Later")))</f>
        <v/>
      </c>
      <c r="T45" s="420" t="inlineStr">
        <is>
          <t>Meeting scheduled / held</t>
        </is>
      </c>
      <c r="U45" s="422" t="inlineStr">
        <is>
          <t>sulaiman@prospectcapital.com</t>
        </is>
      </c>
      <c r="V45" s="422" t="inlineStr"/>
      <c r="W45" s="424" t="inlineStr">
        <is>
          <t xml:space="preserve">Introductory meeting held Jan 8. Prospect Capital operates through two distinct divisions; conversations are exploratory at this stage. Two divisions: core BDC credit and structured/special situations. EXOS aligns better with structured, event-driven capital vs traditional cash-flow lending. | </t>
        </is>
      </c>
      <c r="X45" s="420" t="inlineStr">
        <is>
          <t>JQ Follow Up!28</t>
        </is>
      </c>
      <c r="Y45" s="422" t="inlineStr">
        <is>
          <t>Send recap, materials, and next-step ask</t>
        </is>
      </c>
      <c r="Z45" s="420" t="n">
        <v>5</v>
      </c>
      <c r="AA45" s="420">
        <f>IF(AC45="Archived",0,ROUND((IF(N45="Tier 1",35,IF(N45="Tier 2",20,8))+IF(C45="Financial Investor",15,IF(C45="Intermediary / Banker",12,8))+IF(L45="Term Sheet / Proposal",25,IF(L45="Engaged",20,IF(L45="Meeting Requested",18,IF(L45="Meeting Held",14,IF(L45="Follow Up",10,5)))))+MIN(Q45,30)+IF(S45="DUE",15,IF(S45="Next 3 Days",8,0))),0))</f>
        <v/>
      </c>
      <c r="AB45" s="420">
        <f>IF(AND(AC45="Active",OR(N45="Tier 1",N45="Tier 2"),OR(S45="DUE",S45="Next 3 Days")),"YES","")</f>
        <v/>
      </c>
      <c r="AC45" s="420">
        <f>IF(L45="Passed","Archived","Active")</f>
        <v/>
      </c>
    </row>
    <row r="46">
      <c r="A46" s="420" t="inlineStr">
        <is>
          <t>EXOS-0045</t>
        </is>
      </c>
      <c r="B46" s="420" t="inlineStr">
        <is>
          <t>John - Investor Contacts</t>
        </is>
      </c>
      <c r="C46" s="420" t="inlineStr">
        <is>
          <t>Financial Investor</t>
        </is>
      </c>
      <c r="D46" s="420" t="inlineStr">
        <is>
          <t>REI</t>
        </is>
      </c>
      <c r="E46" s="420" t="inlineStr"/>
      <c r="F46" s="420" t="inlineStr"/>
      <c r="G46" s="420" t="inlineStr"/>
      <c r="H46" s="420" t="inlineStr"/>
      <c r="I46" s="420" t="inlineStr"/>
      <c r="J46" s="420" t="inlineStr"/>
      <c r="K46" s="422" t="inlineStr">
        <is>
          <t>John Quinn</t>
        </is>
      </c>
      <c r="L46" s="422" t="inlineStr">
        <is>
          <t>Meeting Held</t>
        </is>
      </c>
      <c r="M46" s="420" t="inlineStr">
        <is>
          <t>Space / Defense / Aerospace / Advanced Manufacturing</t>
        </is>
      </c>
      <c r="N46" s="422" t="inlineStr">
        <is>
          <t>Tier 1</t>
        </is>
      </c>
      <c r="O46" s="440" t="n">
        <v>45917</v>
      </c>
      <c r="P46" s="440" t="n">
        <v>45917</v>
      </c>
      <c r="Q46" s="420">
        <f>IF(P46="","",TODAY()-P46)</f>
        <v/>
      </c>
      <c r="R46" s="440">
        <f>IF(OR(L46="Passed",Z46=""),"",P46+Z46)</f>
        <v/>
      </c>
      <c r="S46" s="420">
        <f>IF(OR(R46="",L46="Passed"),"",IF(R46&lt;=TODAY(),"DUE",IF(R46&lt;=TODAY()+3,"Next 3 Days","Later")))</f>
        <v/>
      </c>
      <c r="T46" s="420" t="inlineStr">
        <is>
          <t>Meeting scheduled / held</t>
        </is>
      </c>
      <c r="U46" s="422" t="inlineStr">
        <is>
          <t>Nick Book</t>
        </is>
      </c>
      <c r="V46" s="422" t="inlineStr"/>
      <c r="W46" s="424" t="inlineStr">
        <is>
          <t xml:space="preserve">Choctaw nation investor group interested in Space investments. Requesting site tour on 9-26 If you could send me a new link for a warehouse visit over the next week or so I’d really like to continue to dig into this and see where or who we can fit in. 
Also, please send me the deck and anything else you would like me to consider. |  | </t>
        </is>
      </c>
      <c r="X46" s="420" t="inlineStr">
        <is>
          <t>John - Investor Contacts!2</t>
        </is>
      </c>
      <c r="Y46" s="422" t="inlineStr">
        <is>
          <t>Send recap, materials, and next-step ask</t>
        </is>
      </c>
      <c r="Z46" s="420" t="n">
        <v>5</v>
      </c>
      <c r="AA46" s="420">
        <f>IF(AC46="Archived",0,ROUND((IF(N46="Tier 1",35,IF(N46="Tier 2",20,8))+IF(C46="Financial Investor",15,IF(C46="Intermediary / Banker",12,8))+IF(L46="Term Sheet / Proposal",25,IF(L46="Engaged",20,IF(L46="Meeting Requested",18,IF(L46="Meeting Held",14,IF(L46="Follow Up",10,5)))))+MIN(Q46,30)+IF(S46="DUE",15,IF(S46="Next 3 Days",8,0))),0))</f>
        <v/>
      </c>
      <c r="AB46" s="420">
        <f>IF(AND(AC46="Active",OR(N46="Tier 1",N46="Tier 2"),OR(S46="DUE",S46="Next 3 Days")),"YES","")</f>
        <v/>
      </c>
      <c r="AC46" s="420">
        <f>IF(L46="Passed","Archived","Active")</f>
        <v/>
      </c>
    </row>
    <row r="47">
      <c r="A47" s="420" t="inlineStr">
        <is>
          <t>EXOS-0046</t>
        </is>
      </c>
      <c r="B47" s="420" t="inlineStr">
        <is>
          <t>John - Investor Contacts</t>
        </is>
      </c>
      <c r="C47" s="420" t="inlineStr">
        <is>
          <t>Financial Investor</t>
        </is>
      </c>
      <c r="D47" s="420" t="inlineStr">
        <is>
          <t>Rockfleet Financial</t>
        </is>
      </c>
      <c r="E47" s="420" t="inlineStr">
        <is>
          <t>John Swift</t>
        </is>
      </c>
      <c r="F47" s="420" t="inlineStr"/>
      <c r="G47" s="421" t="inlineStr">
        <is>
          <t>john.swift@rockfleetfinancial.com</t>
        </is>
      </c>
      <c r="H47" s="420" t="inlineStr"/>
      <c r="I47" s="420" t="inlineStr"/>
      <c r="J47" s="420" t="inlineStr"/>
      <c r="K47" s="422" t="inlineStr">
        <is>
          <t>John Quinn</t>
        </is>
      </c>
      <c r="L47" s="422" t="inlineStr">
        <is>
          <t>Meeting Held</t>
        </is>
      </c>
      <c r="M47" s="420" t="inlineStr">
        <is>
          <t>Space / Defense / Aerospace / Advanced Manufacturing</t>
        </is>
      </c>
      <c r="N47" s="422" t="inlineStr">
        <is>
          <t>Tier 1</t>
        </is>
      </c>
      <c r="O47" s="440" t="n">
        <v>45831</v>
      </c>
      <c r="P47" s="440" t="n">
        <v>45831</v>
      </c>
      <c r="Q47" s="420">
        <f>IF(P47="","",TODAY()-P47)</f>
        <v/>
      </c>
      <c r="R47" s="440">
        <f>IF(OR(L47="Passed",Z47=""),"",P47+Z47)</f>
        <v/>
      </c>
      <c r="S47" s="420">
        <f>IF(OR(R47="",L47="Passed"),"",IF(R47&lt;=TODAY(),"DUE",IF(R47&lt;=TODAY()+3,"Next 3 Days","Later")))</f>
        <v/>
      </c>
      <c r="T47" s="420" t="inlineStr">
        <is>
          <t>Meeting scheduled / held</t>
        </is>
      </c>
      <c r="U47" s="422" t="inlineStr">
        <is>
          <t>linkedin.com/in/jr-swift</t>
        </is>
      </c>
      <c r="V47" s="422" t="inlineStr"/>
      <c r="W47" s="424" t="inlineStr">
        <is>
          <t xml:space="preserve"> | meeting held on 7/2 &amp; NDA in process- Followed up 7-11 | </t>
        </is>
      </c>
      <c r="X47" s="420" t="inlineStr">
        <is>
          <t>John - Investor Contacts!238</t>
        </is>
      </c>
      <c r="Y47" s="422" t="inlineStr">
        <is>
          <t>Send recap, materials, and next-step ask</t>
        </is>
      </c>
      <c r="Z47" s="420" t="n">
        <v>5</v>
      </c>
      <c r="AA47" s="420">
        <f>IF(AC47="Archived",0,ROUND((IF(N47="Tier 1",35,IF(N47="Tier 2",20,8))+IF(C47="Financial Investor",15,IF(C47="Intermediary / Banker",12,8))+IF(L47="Term Sheet / Proposal",25,IF(L47="Engaged",20,IF(L47="Meeting Requested",18,IF(L47="Meeting Held",14,IF(L47="Follow Up",10,5)))))+MIN(Q47,30)+IF(S47="DUE",15,IF(S47="Next 3 Days",8,0))),0))</f>
        <v/>
      </c>
      <c r="AB47" s="420">
        <f>IF(AND(AC47="Active",OR(N47="Tier 1",N47="Tier 2"),OR(S47="DUE",S47="Next 3 Days")),"YES","")</f>
        <v/>
      </c>
      <c r="AC47" s="420">
        <f>IF(L47="Passed","Archived","Active")</f>
        <v/>
      </c>
    </row>
    <row r="48">
      <c r="A48" s="420" t="inlineStr">
        <is>
          <t>EXOS-0047</t>
        </is>
      </c>
      <c r="B48" s="420" t="inlineStr">
        <is>
          <t>John - Investor Contacts</t>
        </is>
      </c>
      <c r="C48" s="420" t="inlineStr">
        <is>
          <t>Financial Investor</t>
        </is>
      </c>
      <c r="D48" s="420" t="inlineStr"/>
      <c r="E48" s="420" t="inlineStr">
        <is>
          <t>Clay</t>
        </is>
      </c>
      <c r="F48" s="420" t="inlineStr"/>
      <c r="G48" s="421" t="inlineStr">
        <is>
          <t>claysba1@gmail.com</t>
        </is>
      </c>
      <c r="H48" s="420" t="inlineStr"/>
      <c r="I48" s="420" t="inlineStr"/>
      <c r="J48" s="420" t="inlineStr"/>
      <c r="K48" s="422" t="inlineStr">
        <is>
          <t>John Quinn</t>
        </is>
      </c>
      <c r="L48" s="422" t="inlineStr">
        <is>
          <t>Follow Up</t>
        </is>
      </c>
      <c r="M48" s="420" t="inlineStr">
        <is>
          <t>Space / Defense / Aerospace / Advanced Manufacturing</t>
        </is>
      </c>
      <c r="N48" s="422" t="inlineStr">
        <is>
          <t>Tier 2</t>
        </is>
      </c>
      <c r="O48" s="440" t="n">
        <v>45810</v>
      </c>
      <c r="P48" s="440" t="n">
        <v>45841</v>
      </c>
      <c r="Q48" s="420">
        <f>IF(P48="","",TODAY()-P48)</f>
        <v/>
      </c>
      <c r="R48" s="440">
        <f>IF(OR(L48="Passed",Z48=""),"",P48+Z48)</f>
        <v/>
      </c>
      <c r="S48" s="420">
        <f>IF(OR(R48="",L48="Passed"),"",IF(R48&lt;=TODAY(),"DUE",IF(R48&lt;=TODAY()+3,"Next 3 Days","Later")))</f>
        <v/>
      </c>
      <c r="T48" s="420" t="inlineStr"/>
      <c r="U48" s="422" t="inlineStr">
        <is>
          <t>Tom referral</t>
        </is>
      </c>
      <c r="V48" s="422" t="inlineStr"/>
      <c r="W48" s="424" t="inlineStr">
        <is>
          <t xml:space="preserve"> |  | </t>
        </is>
      </c>
      <c r="X48" s="420" t="inlineStr">
        <is>
          <t>John - Investor Contacts!110</t>
        </is>
      </c>
      <c r="Y48" s="422" t="inlineStr">
        <is>
          <t>Send next follow-up with traction + CTA</t>
        </is>
      </c>
      <c r="Z48" s="420" t="n">
        <v>7</v>
      </c>
      <c r="AA48" s="420">
        <f>IF(AC48="Archived",0,ROUND((IF(N48="Tier 1",35,IF(N48="Tier 2",20,8))+IF(C48="Financial Investor",15,IF(C48="Intermediary / Banker",12,8))+IF(L48="Term Sheet / Proposal",25,IF(L48="Engaged",20,IF(L48="Meeting Requested",18,IF(L48="Meeting Held",14,IF(L48="Follow Up",10,5)))))+MIN(Q48,30)+IF(S48="DUE",15,IF(S48="Next 3 Days",8,0))),0))</f>
        <v/>
      </c>
      <c r="AB48" s="420">
        <f>IF(AND(AC48="Active",OR(N48="Tier 1",N48="Tier 2"),OR(S48="DUE",S48="Next 3 Days")),"YES","")</f>
        <v/>
      </c>
      <c r="AC48" s="420">
        <f>IF(L48="Passed","Archived","Active")</f>
        <v/>
      </c>
    </row>
    <row r="49">
      <c r="A49" s="420" t="inlineStr">
        <is>
          <t>EXOS-0048</t>
        </is>
      </c>
      <c r="B49" s="420" t="inlineStr">
        <is>
          <t>John - Investor Contacts</t>
        </is>
      </c>
      <c r="C49" s="420" t="inlineStr">
        <is>
          <t>Financial Investor</t>
        </is>
      </c>
      <c r="D49" s="420" t="inlineStr"/>
      <c r="E49" s="420" t="inlineStr">
        <is>
          <t>Drew Tulchin</t>
        </is>
      </c>
      <c r="F49" s="420" t="inlineStr"/>
      <c r="G49" s="421" t="inlineStr">
        <is>
          <t>drew@nmangels.com</t>
        </is>
      </c>
      <c r="H49" s="420" t="inlineStr"/>
      <c r="I49" s="420" t="inlineStr"/>
      <c r="J49" s="420" t="inlineStr"/>
      <c r="K49" s="422" t="inlineStr">
        <is>
          <t>John Quinn</t>
        </is>
      </c>
      <c r="L49" s="422" t="inlineStr">
        <is>
          <t>Follow Up</t>
        </is>
      </c>
      <c r="M49" s="420" t="inlineStr">
        <is>
          <t>Space / Defense / Aerospace / Advanced Manufacturing</t>
        </is>
      </c>
      <c r="N49" s="422" t="inlineStr">
        <is>
          <t>Tier 2</t>
        </is>
      </c>
      <c r="O49" s="440" t="n">
        <v>45957</v>
      </c>
      <c r="P49" s="440" t="n">
        <v>45985</v>
      </c>
      <c r="Q49" s="420">
        <f>IF(P49="","",TODAY()-P49)</f>
        <v/>
      </c>
      <c r="R49" s="440">
        <f>IF(OR(L49="Passed",Z49=""),"",P49+Z49)</f>
        <v/>
      </c>
      <c r="S49" s="420">
        <f>IF(OR(R49="",L49="Passed"),"",IF(R49&lt;=TODAY(),"DUE",IF(R49&lt;=TODAY()+3,"Next 3 Days","Later")))</f>
        <v/>
      </c>
      <c r="T49" s="420" t="inlineStr"/>
      <c r="U49" s="422" t="inlineStr"/>
      <c r="V49" s="422" t="inlineStr"/>
      <c r="W49" s="424" t="inlineStr">
        <is>
          <t xml:space="preserve"> | not sure what to do with this one?? | </t>
        </is>
      </c>
      <c r="X49" s="420" t="inlineStr">
        <is>
          <t>John - Investor Contacts!810</t>
        </is>
      </c>
      <c r="Y49" s="422" t="inlineStr">
        <is>
          <t>Send next follow-up with traction + CTA</t>
        </is>
      </c>
      <c r="Z49" s="420" t="n">
        <v>7</v>
      </c>
      <c r="AA49" s="420">
        <f>IF(AC49="Archived",0,ROUND((IF(N49="Tier 1",35,IF(N49="Tier 2",20,8))+IF(C49="Financial Investor",15,IF(C49="Intermediary / Banker",12,8))+IF(L49="Term Sheet / Proposal",25,IF(L49="Engaged",20,IF(L49="Meeting Requested",18,IF(L49="Meeting Held",14,IF(L49="Follow Up",10,5)))))+MIN(Q49,30)+IF(S49="DUE",15,IF(S49="Next 3 Days",8,0))),0))</f>
        <v/>
      </c>
      <c r="AB49" s="420">
        <f>IF(AND(AC49="Active",OR(N49="Tier 1",N49="Tier 2"),OR(S49="DUE",S49="Next 3 Days")),"YES","")</f>
        <v/>
      </c>
      <c r="AC49" s="420">
        <f>IF(L49="Passed","Archived","Active")</f>
        <v/>
      </c>
    </row>
    <row r="50">
      <c r="A50" s="420" t="inlineStr">
        <is>
          <t>EXOS-0049</t>
        </is>
      </c>
      <c r="B50" s="420" t="inlineStr">
        <is>
          <t>John - Investor Contacts</t>
        </is>
      </c>
      <c r="C50" s="420" t="inlineStr">
        <is>
          <t>Financial Investor</t>
        </is>
      </c>
      <c r="D50" s="420" t="inlineStr"/>
      <c r="E50" s="420" t="inlineStr">
        <is>
          <t>EXOS + Plug &amp; Play: Introductions</t>
        </is>
      </c>
      <c r="F50" s="420" t="inlineStr"/>
      <c r="G50" s="421" t="inlineStr">
        <is>
          <t>jacob.reedy@trinet.com</t>
        </is>
      </c>
      <c r="H50" s="420" t="inlineStr">
        <is>
          <t>matt.darton@trinet.com; a.irizarry@pnptc.com</t>
        </is>
      </c>
      <c r="I50" s="420" t="inlineStr"/>
      <c r="J50" s="420" t="inlineStr"/>
      <c r="K50" s="422" t="inlineStr">
        <is>
          <t>John Quinn</t>
        </is>
      </c>
      <c r="L50" s="422" t="inlineStr">
        <is>
          <t>Follow Up</t>
        </is>
      </c>
      <c r="M50" s="420" t="inlineStr">
        <is>
          <t>Space / Defense / Aerospace / Advanced Manufacturing</t>
        </is>
      </c>
      <c r="N50" s="422" t="inlineStr">
        <is>
          <t>Tier 2</t>
        </is>
      </c>
      <c r="O50" s="440" t="n">
        <v>45891</v>
      </c>
      <c r="P50" s="440" t="n">
        <v>45994</v>
      </c>
      <c r="Q50" s="420">
        <f>IF(P50="","",TODAY()-P50)</f>
        <v/>
      </c>
      <c r="R50" s="440">
        <f>IF(OR(L50="Passed",Z50=""),"",P50+Z50)</f>
        <v/>
      </c>
      <c r="S50" s="420">
        <f>IF(OR(R50="",L50="Passed"),"",IF(R50&lt;=TODAY(),"DUE",IF(R50&lt;=TODAY()+3,"Next 3 Days","Later")))</f>
        <v/>
      </c>
      <c r="T50" s="420" t="inlineStr"/>
      <c r="U50" s="422" t="inlineStr"/>
      <c r="V50" s="422" t="inlineStr"/>
      <c r="W50" s="424" t="inlineStr">
        <is>
          <t xml:space="preserve"> |  | </t>
        </is>
      </c>
      <c r="X50" s="420" t="inlineStr">
        <is>
          <t>John - Investor Contacts!503</t>
        </is>
      </c>
      <c r="Y50" s="422" t="inlineStr">
        <is>
          <t>Send next follow-up with traction + CTA</t>
        </is>
      </c>
      <c r="Z50" s="420" t="n">
        <v>7</v>
      </c>
      <c r="AA50" s="420">
        <f>IF(AC50="Archived",0,ROUND((IF(N50="Tier 1",35,IF(N50="Tier 2",20,8))+IF(C50="Financial Investor",15,IF(C50="Intermediary / Banker",12,8))+IF(L50="Term Sheet / Proposal",25,IF(L50="Engaged",20,IF(L50="Meeting Requested",18,IF(L50="Meeting Held",14,IF(L50="Follow Up",10,5)))))+MIN(Q50,30)+IF(S50="DUE",15,IF(S50="Next 3 Days",8,0))),0))</f>
        <v/>
      </c>
      <c r="AB50" s="420">
        <f>IF(AND(AC50="Active",OR(N50="Tier 1",N50="Tier 2"),OR(S50="DUE",S50="Next 3 Days")),"YES","")</f>
        <v/>
      </c>
      <c r="AC50" s="420">
        <f>IF(L50="Passed","Archived","Active")</f>
        <v/>
      </c>
    </row>
    <row r="51">
      <c r="A51" s="420" t="inlineStr">
        <is>
          <t>EXOS-0050</t>
        </is>
      </c>
      <c r="B51" s="420" t="inlineStr">
        <is>
          <t>John - Investor Contacts</t>
        </is>
      </c>
      <c r="C51" s="420" t="inlineStr">
        <is>
          <t>Financial Investor</t>
        </is>
      </c>
      <c r="D51" s="420" t="inlineStr"/>
      <c r="E51" s="420" t="inlineStr">
        <is>
          <t>James Cameron</t>
        </is>
      </c>
      <c r="F51" s="420" t="inlineStr"/>
      <c r="G51" s="421" t="inlineStr">
        <is>
          <t>james@visionaryleadership.co.nz</t>
        </is>
      </c>
      <c r="H51" s="420" t="inlineStr"/>
      <c r="I51" s="420" t="inlineStr"/>
      <c r="J51" s="420" t="inlineStr"/>
      <c r="K51" s="422" t="inlineStr">
        <is>
          <t>John Quinn</t>
        </is>
      </c>
      <c r="L51" s="422" t="inlineStr">
        <is>
          <t>Follow Up</t>
        </is>
      </c>
      <c r="M51" s="420" t="inlineStr">
        <is>
          <t>Space / Defense / Aerospace / Advanced Manufacturing</t>
        </is>
      </c>
      <c r="N51" s="422" t="inlineStr">
        <is>
          <t>Tier 2</t>
        </is>
      </c>
      <c r="O51" s="420" t="n"/>
      <c r="P51" s="440" t="n">
        <v>45821</v>
      </c>
      <c r="Q51" s="420">
        <f>IF(P51="","",TODAY()-P51)</f>
        <v/>
      </c>
      <c r="R51" s="440">
        <f>IF(OR(L51="Passed",Z51=""),"",P51+Z51)</f>
        <v/>
      </c>
      <c r="S51" s="420">
        <f>IF(OR(R51="",L51="Passed"),"",IF(R51&lt;=TODAY(),"DUE",IF(R51&lt;=TODAY()+3,"Next 3 Days","Later")))</f>
        <v/>
      </c>
      <c r="T51" s="420" t="inlineStr"/>
      <c r="U51" s="422" t="inlineStr"/>
      <c r="V51" s="422" t="inlineStr"/>
      <c r="W51" s="424" t="inlineStr">
        <is>
          <t xml:space="preserve"> | dns fail | </t>
        </is>
      </c>
      <c r="X51" s="420" t="inlineStr">
        <is>
          <t>John - Investor Contacts!77</t>
        </is>
      </c>
      <c r="Y51" s="422" t="inlineStr">
        <is>
          <t>Send next follow-up with traction + CTA</t>
        </is>
      </c>
      <c r="Z51" s="420" t="n">
        <v>7</v>
      </c>
      <c r="AA51" s="420">
        <f>IF(AC51="Archived",0,ROUND((IF(N51="Tier 1",35,IF(N51="Tier 2",20,8))+IF(C51="Financial Investor",15,IF(C51="Intermediary / Banker",12,8))+IF(L51="Term Sheet / Proposal",25,IF(L51="Engaged",20,IF(L51="Meeting Requested",18,IF(L51="Meeting Held",14,IF(L51="Follow Up",10,5)))))+MIN(Q51,30)+IF(S51="DUE",15,IF(S51="Next 3 Days",8,0))),0))</f>
        <v/>
      </c>
      <c r="AB51" s="420">
        <f>IF(AND(AC51="Active",OR(N51="Tier 1",N51="Tier 2"),OR(S51="DUE",S51="Next 3 Days")),"YES","")</f>
        <v/>
      </c>
      <c r="AC51" s="420">
        <f>IF(L51="Passed","Archived","Active")</f>
        <v/>
      </c>
    </row>
    <row r="52">
      <c r="A52" s="420" t="inlineStr">
        <is>
          <t>EXOS-0051</t>
        </is>
      </c>
      <c r="B52" s="420" t="inlineStr">
        <is>
          <t>John - Investor Contacts</t>
        </is>
      </c>
      <c r="C52" s="420" t="inlineStr">
        <is>
          <t>Financial Investor</t>
        </is>
      </c>
      <c r="D52" s="420" t="inlineStr"/>
      <c r="E52" s="420" t="inlineStr">
        <is>
          <t>Jason Schwartz / Paul Gloyer GTL</t>
        </is>
      </c>
      <c r="F52" s="420" t="inlineStr"/>
      <c r="G52" s="421" t="inlineStr">
        <is>
          <t>jason@leagueadvisors.com</t>
        </is>
      </c>
      <c r="H52" s="420" t="inlineStr">
        <is>
          <t>paul.gloyer@gtlcompany.com</t>
        </is>
      </c>
      <c r="I52" s="420" t="inlineStr"/>
      <c r="J52" s="420" t="inlineStr"/>
      <c r="K52" s="422" t="inlineStr">
        <is>
          <t>John Quinn</t>
        </is>
      </c>
      <c r="L52" s="422" t="inlineStr">
        <is>
          <t>Follow Up</t>
        </is>
      </c>
      <c r="M52" s="420" t="inlineStr">
        <is>
          <t>Space / Defense / Aerospace / Advanced Manufacturing</t>
        </is>
      </c>
      <c r="N52" s="422" t="inlineStr">
        <is>
          <t>Tier 2</t>
        </is>
      </c>
      <c r="O52" s="440" t="n">
        <v>45799</v>
      </c>
      <c r="P52" s="440" t="n">
        <v>45821</v>
      </c>
      <c r="Q52" s="420">
        <f>IF(P52="","",TODAY()-P52)</f>
        <v/>
      </c>
      <c r="R52" s="440">
        <f>IF(OR(L52="Passed",Z52=""),"",P52+Z52)</f>
        <v/>
      </c>
      <c r="S52" s="420">
        <f>IF(OR(R52="",L52="Passed"),"",IF(R52&lt;=TODAY(),"DUE",IF(R52&lt;=TODAY()+3,"Next 3 Days","Later")))</f>
        <v/>
      </c>
      <c r="T52" s="420" t="inlineStr"/>
      <c r="U52" s="422" t="inlineStr"/>
      <c r="V52" s="422" t="inlineStr"/>
      <c r="W52" s="424" t="inlineStr">
        <is>
          <t xml:space="preserve"> |  | </t>
        </is>
      </c>
      <c r="X52" s="420" t="inlineStr">
        <is>
          <t>John - Investor Contacts!78</t>
        </is>
      </c>
      <c r="Y52" s="422" t="inlineStr">
        <is>
          <t>Send next follow-up with traction + CTA</t>
        </is>
      </c>
      <c r="Z52" s="420" t="n">
        <v>7</v>
      </c>
      <c r="AA52" s="420">
        <f>IF(AC52="Archived",0,ROUND((IF(N52="Tier 1",35,IF(N52="Tier 2",20,8))+IF(C52="Financial Investor",15,IF(C52="Intermediary / Banker",12,8))+IF(L52="Term Sheet / Proposal",25,IF(L52="Engaged",20,IF(L52="Meeting Requested",18,IF(L52="Meeting Held",14,IF(L52="Follow Up",10,5)))))+MIN(Q52,30)+IF(S52="DUE",15,IF(S52="Next 3 Days",8,0))),0))</f>
        <v/>
      </c>
      <c r="AB52" s="420">
        <f>IF(AND(AC52="Active",OR(N52="Tier 1",N52="Tier 2"),OR(S52="DUE",S52="Next 3 Days")),"YES","")</f>
        <v/>
      </c>
      <c r="AC52" s="420">
        <f>IF(L52="Passed","Archived","Active")</f>
        <v/>
      </c>
    </row>
    <row r="53">
      <c r="A53" s="420" t="inlineStr">
        <is>
          <t>EXOS-0052</t>
        </is>
      </c>
      <c r="B53" s="420" t="inlineStr">
        <is>
          <t>John - Investor Contacts</t>
        </is>
      </c>
      <c r="C53" s="420" t="inlineStr">
        <is>
          <t>Financial Investor</t>
        </is>
      </c>
      <c r="D53" s="420" t="inlineStr"/>
      <c r="E53" s="420" t="inlineStr">
        <is>
          <t>SAFRAN</t>
        </is>
      </c>
      <c r="F53" s="420" t="inlineStr"/>
      <c r="G53" s="421" t="inlineStr">
        <is>
          <t>explore.newspace@alcimed.com</t>
        </is>
      </c>
      <c r="H53" s="420" t="inlineStr"/>
      <c r="I53" s="420" t="inlineStr"/>
      <c r="J53" s="420" t="inlineStr"/>
      <c r="K53" s="422" t="inlineStr">
        <is>
          <t>John Quinn</t>
        </is>
      </c>
      <c r="L53" s="422" t="inlineStr">
        <is>
          <t>Follow Up</t>
        </is>
      </c>
      <c r="M53" s="420" t="inlineStr">
        <is>
          <t>Space / Defense / Aerospace / Advanced Manufacturing</t>
        </is>
      </c>
      <c r="N53" s="422" t="inlineStr">
        <is>
          <t>Tier 2</t>
        </is>
      </c>
      <c r="O53" s="440" t="n">
        <v>45902</v>
      </c>
      <c r="P53" s="440" t="n">
        <v>45972</v>
      </c>
      <c r="Q53" s="420">
        <f>IF(P53="","",TODAY()-P53)</f>
        <v/>
      </c>
      <c r="R53" s="440">
        <f>IF(OR(L53="Passed",Z53=""),"",P53+Z53)</f>
        <v/>
      </c>
      <c r="S53" s="420">
        <f>IF(OR(R53="",L53="Passed"),"",IF(R53&lt;=TODAY(),"DUE",IF(R53&lt;=TODAY()+3,"Next 3 Days","Later")))</f>
        <v/>
      </c>
      <c r="T53" s="420" t="inlineStr"/>
      <c r="U53" s="422" t="inlineStr"/>
      <c r="V53" s="422" t="inlineStr"/>
      <c r="W53" s="424" t="inlineStr">
        <is>
          <t xml:space="preserve"> | 12/05/2025 | </t>
        </is>
      </c>
      <c r="X53" s="420" t="inlineStr">
        <is>
          <t>John - Investor Contacts!609</t>
        </is>
      </c>
      <c r="Y53" s="422" t="inlineStr">
        <is>
          <t>Send next follow-up with traction + CTA</t>
        </is>
      </c>
      <c r="Z53" s="420" t="n">
        <v>7</v>
      </c>
      <c r="AA53" s="420">
        <f>IF(AC53="Archived",0,ROUND((IF(N53="Tier 1",35,IF(N53="Tier 2",20,8))+IF(C53="Financial Investor",15,IF(C53="Intermediary / Banker",12,8))+IF(L53="Term Sheet / Proposal",25,IF(L53="Engaged",20,IF(L53="Meeting Requested",18,IF(L53="Meeting Held",14,IF(L53="Follow Up",10,5)))))+MIN(Q53,30)+IF(S53="DUE",15,IF(S53="Next 3 Days",8,0))),0))</f>
        <v/>
      </c>
      <c r="AB53" s="420">
        <f>IF(AND(AC53="Active",OR(N53="Tier 1",N53="Tier 2"),OR(S53="DUE",S53="Next 3 Days")),"YES","")</f>
        <v/>
      </c>
      <c r="AC53" s="420">
        <f>IF(L53="Passed","Archived","Active")</f>
        <v/>
      </c>
    </row>
    <row r="54">
      <c r="A54" s="420" t="inlineStr">
        <is>
          <t>EXOS-0053</t>
        </is>
      </c>
      <c r="B54" s="420" t="inlineStr">
        <is>
          <t>John - Investor Contacts</t>
        </is>
      </c>
      <c r="C54" s="420" t="inlineStr">
        <is>
          <t>Financial Investor</t>
        </is>
      </c>
      <c r="D54" s="420" t="inlineStr">
        <is>
          <t>.406 Ventures</t>
        </is>
      </c>
      <c r="E54" s="420" t="inlineStr">
        <is>
          <t>Graham Brooks</t>
        </is>
      </c>
      <c r="F54" s="420" t="inlineStr"/>
      <c r="G54" s="421" t="inlineStr">
        <is>
          <t>gbrooks@406ventures.com</t>
        </is>
      </c>
      <c r="H54" s="420" t="inlineStr"/>
      <c r="I54" s="420" t="inlineStr"/>
      <c r="J54" s="421" t="inlineStr">
        <is>
          <t>https://www.linkedin.com/in/grahambrooks/</t>
        </is>
      </c>
      <c r="K54" s="422" t="inlineStr">
        <is>
          <t>John Quinn</t>
        </is>
      </c>
      <c r="L54" s="422" t="inlineStr">
        <is>
          <t>Follow Up</t>
        </is>
      </c>
      <c r="M54" s="420" t="inlineStr">
        <is>
          <t>Space / Defense / Aerospace / Advanced Manufacturing</t>
        </is>
      </c>
      <c r="N54" s="422" t="inlineStr">
        <is>
          <t>Tier 2</t>
        </is>
      </c>
      <c r="O54" s="440" t="n">
        <v>45792</v>
      </c>
      <c r="P54" s="440" t="n">
        <v>45841</v>
      </c>
      <c r="Q54" s="420">
        <f>IF(P54="","",TODAY()-P54)</f>
        <v/>
      </c>
      <c r="R54" s="440">
        <f>IF(OR(L54="Passed",Z54=""),"",P54+Z54)</f>
        <v/>
      </c>
      <c r="S54" s="420">
        <f>IF(OR(R54="",L54="Passed"),"",IF(R54&lt;=TODAY(),"DUE",IF(R54&lt;=TODAY()+3,"Next 3 Days","Later")))</f>
        <v/>
      </c>
      <c r="T54" s="420" t="inlineStr"/>
      <c r="U54" s="422" t="inlineStr">
        <is>
          <t>https://www.linkedin.com/in/grahambrooks/</t>
        </is>
      </c>
      <c r="V54" s="422" t="inlineStr"/>
      <c r="W54" s="424" t="inlineStr">
        <is>
          <t xml:space="preserve"> |  | </t>
        </is>
      </c>
      <c r="X54" s="420" t="inlineStr">
        <is>
          <t>John - Investor Contacts!44</t>
        </is>
      </c>
      <c r="Y54" s="422" t="inlineStr">
        <is>
          <t>Send next follow-up with traction + CTA</t>
        </is>
      </c>
      <c r="Z54" s="420" t="n">
        <v>7</v>
      </c>
      <c r="AA54" s="420">
        <f>IF(AC54="Archived",0,ROUND((IF(N54="Tier 1",35,IF(N54="Tier 2",20,8))+IF(C54="Financial Investor",15,IF(C54="Intermediary / Banker",12,8))+IF(L54="Term Sheet / Proposal",25,IF(L54="Engaged",20,IF(L54="Meeting Requested",18,IF(L54="Meeting Held",14,IF(L54="Follow Up",10,5)))))+MIN(Q54,30)+IF(S54="DUE",15,IF(S54="Next 3 Days",8,0))),0))</f>
        <v/>
      </c>
      <c r="AB54" s="420">
        <f>IF(AND(AC54="Active",OR(N54="Tier 1",N54="Tier 2"),OR(S54="DUE",S54="Next 3 Days")),"YES","")</f>
        <v/>
      </c>
      <c r="AC54" s="420">
        <f>IF(L54="Passed","Archived","Active")</f>
        <v/>
      </c>
    </row>
    <row r="55">
      <c r="A55" s="420" t="inlineStr">
        <is>
          <t>EXOS-0054</t>
        </is>
      </c>
      <c r="B55" s="420" t="inlineStr">
        <is>
          <t>John - Investor Contacts</t>
        </is>
      </c>
      <c r="C55" s="420" t="inlineStr">
        <is>
          <t>Financial Investor</t>
        </is>
      </c>
      <c r="D55" s="420" t="inlineStr">
        <is>
          <t>.406 Ventures</t>
        </is>
      </c>
      <c r="E55" s="420" t="inlineStr">
        <is>
          <t>Greg Dracon</t>
        </is>
      </c>
      <c r="F55" s="420" t="inlineStr"/>
      <c r="G55" s="421" t="inlineStr">
        <is>
          <t>gdracon@406ventures.com</t>
        </is>
      </c>
      <c r="H55" s="420" t="inlineStr"/>
      <c r="I55" s="420" t="inlineStr"/>
      <c r="J55" s="421" t="inlineStr">
        <is>
          <t>https://www.linkedin.com/in/gdracon/</t>
        </is>
      </c>
      <c r="K55" s="422" t="inlineStr">
        <is>
          <t>John Quinn</t>
        </is>
      </c>
      <c r="L55" s="422" t="inlineStr">
        <is>
          <t>Follow Up</t>
        </is>
      </c>
      <c r="M55" s="420" t="inlineStr">
        <is>
          <t>Space / Defense / Aerospace / Advanced Manufacturing</t>
        </is>
      </c>
      <c r="N55" s="422" t="inlineStr">
        <is>
          <t>Tier 2</t>
        </is>
      </c>
      <c r="O55" s="440" t="n">
        <v>45792</v>
      </c>
      <c r="P55" s="440" t="n">
        <v>45841</v>
      </c>
      <c r="Q55" s="420">
        <f>IF(P55="","",TODAY()-P55)</f>
        <v/>
      </c>
      <c r="R55" s="440">
        <f>IF(OR(L55="Passed",Z55=""),"",P55+Z55)</f>
        <v/>
      </c>
      <c r="S55" s="420">
        <f>IF(OR(R55="",L55="Passed"),"",IF(R55&lt;=TODAY(),"DUE",IF(R55&lt;=TODAY()+3,"Next 3 Days","Later")))</f>
        <v/>
      </c>
      <c r="T55" s="420" t="inlineStr"/>
      <c r="U55" s="422" t="inlineStr">
        <is>
          <t>https://www.linkedin.com/in/gdracon/</t>
        </is>
      </c>
      <c r="V55" s="422" t="inlineStr"/>
      <c r="W55" s="424" t="inlineStr">
        <is>
          <t xml:space="preserve"> |  | </t>
        </is>
      </c>
      <c r="X55" s="420" t="inlineStr">
        <is>
          <t>John - Investor Contacts!43</t>
        </is>
      </c>
      <c r="Y55" s="422" t="inlineStr">
        <is>
          <t>Send next follow-up with traction + CTA</t>
        </is>
      </c>
      <c r="Z55" s="420" t="n">
        <v>7</v>
      </c>
      <c r="AA55" s="420">
        <f>IF(AC55="Archived",0,ROUND((IF(N55="Tier 1",35,IF(N55="Tier 2",20,8))+IF(C55="Financial Investor",15,IF(C55="Intermediary / Banker",12,8))+IF(L55="Term Sheet / Proposal",25,IF(L55="Engaged",20,IF(L55="Meeting Requested",18,IF(L55="Meeting Held",14,IF(L55="Follow Up",10,5)))))+MIN(Q55,30)+IF(S55="DUE",15,IF(S55="Next 3 Days",8,0))),0))</f>
        <v/>
      </c>
      <c r="AB55" s="420">
        <f>IF(AND(AC55="Active",OR(N55="Tier 1",N55="Tier 2"),OR(S55="DUE",S55="Next 3 Days")),"YES","")</f>
        <v/>
      </c>
      <c r="AC55" s="420">
        <f>IF(L55="Passed","Archived","Active")</f>
        <v/>
      </c>
    </row>
    <row r="56">
      <c r="A56" s="420" t="inlineStr">
        <is>
          <t>EXOS-0055</t>
        </is>
      </c>
      <c r="B56" s="420" t="inlineStr">
        <is>
          <t>John - Investor Contacts</t>
        </is>
      </c>
      <c r="C56" s="420" t="inlineStr">
        <is>
          <t>Financial Investor</t>
        </is>
      </c>
      <c r="D56" s="420" t="inlineStr">
        <is>
          <t>.406 Ventures</t>
        </is>
      </c>
      <c r="E56" s="420" t="inlineStr">
        <is>
          <t>Liam Donohue</t>
        </is>
      </c>
      <c r="F56" s="420" t="inlineStr"/>
      <c r="G56" s="421" t="inlineStr">
        <is>
          <t>ldonohue@406ventures.com</t>
        </is>
      </c>
      <c r="H56" s="420" t="inlineStr"/>
      <c r="I56" s="420" t="inlineStr"/>
      <c r="J56" s="421" t="inlineStr">
        <is>
          <t>https://www.linkedin.com/in/ldonohue/</t>
        </is>
      </c>
      <c r="K56" s="422" t="inlineStr">
        <is>
          <t>John Quinn</t>
        </is>
      </c>
      <c r="L56" s="422" t="inlineStr">
        <is>
          <t>Follow Up</t>
        </is>
      </c>
      <c r="M56" s="420" t="inlineStr">
        <is>
          <t>Space / Defense / Aerospace / Advanced Manufacturing</t>
        </is>
      </c>
      <c r="N56" s="422" t="inlineStr">
        <is>
          <t>Tier 2</t>
        </is>
      </c>
      <c r="O56" s="440" t="n">
        <v>45792</v>
      </c>
      <c r="P56" s="440" t="n">
        <v>45841</v>
      </c>
      <c r="Q56" s="420">
        <f>IF(P56="","",TODAY()-P56)</f>
        <v/>
      </c>
      <c r="R56" s="440">
        <f>IF(OR(L56="Passed",Z56=""),"",P56+Z56)</f>
        <v/>
      </c>
      <c r="S56" s="420">
        <f>IF(OR(R56="",L56="Passed"),"",IF(R56&lt;=TODAY(),"DUE",IF(R56&lt;=TODAY()+3,"Next 3 Days","Later")))</f>
        <v/>
      </c>
      <c r="T56" s="420" t="inlineStr"/>
      <c r="U56" s="422" t="inlineStr">
        <is>
          <t>https://www.linkedin.com/in/ldonohue/</t>
        </is>
      </c>
      <c r="V56" s="422" t="inlineStr"/>
      <c r="W56" s="424" t="inlineStr">
        <is>
          <t xml:space="preserve"> |  | </t>
        </is>
      </c>
      <c r="X56" s="420" t="inlineStr">
        <is>
          <t>John - Investor Contacts!45</t>
        </is>
      </c>
      <c r="Y56" s="422" t="inlineStr">
        <is>
          <t>Send next follow-up with traction + CTA</t>
        </is>
      </c>
      <c r="Z56" s="420" t="n">
        <v>7</v>
      </c>
      <c r="AA56" s="420">
        <f>IF(AC56="Archived",0,ROUND((IF(N56="Tier 1",35,IF(N56="Tier 2",20,8))+IF(C56="Financial Investor",15,IF(C56="Intermediary / Banker",12,8))+IF(L56="Term Sheet / Proposal",25,IF(L56="Engaged",20,IF(L56="Meeting Requested",18,IF(L56="Meeting Held",14,IF(L56="Follow Up",10,5)))))+MIN(Q56,30)+IF(S56="DUE",15,IF(S56="Next 3 Days",8,0))),0))</f>
        <v/>
      </c>
      <c r="AB56" s="420">
        <f>IF(AND(AC56="Active",OR(N56="Tier 1",N56="Tier 2"),OR(S56="DUE",S56="Next 3 Days")),"YES","")</f>
        <v/>
      </c>
      <c r="AC56" s="420">
        <f>IF(L56="Passed","Archived","Active")</f>
        <v/>
      </c>
    </row>
    <row r="57">
      <c r="A57" s="420" t="inlineStr">
        <is>
          <t>EXOS-0056</t>
        </is>
      </c>
      <c r="B57" s="420" t="inlineStr">
        <is>
          <t>John - Investor Contacts</t>
        </is>
      </c>
      <c r="C57" s="420" t="inlineStr">
        <is>
          <t>Financial Investor</t>
        </is>
      </c>
      <c r="D57" s="420" t="inlineStr">
        <is>
          <t>.406 Ventures</t>
        </is>
      </c>
      <c r="E57" s="420" t="inlineStr">
        <is>
          <t>Payal Agrawal Divakaran</t>
        </is>
      </c>
      <c r="F57" s="420" t="inlineStr"/>
      <c r="G57" s="421" t="inlineStr">
        <is>
          <t>payal@406ventures.com</t>
        </is>
      </c>
      <c r="H57" s="420" t="inlineStr"/>
      <c r="I57" s="420" t="inlineStr"/>
      <c r="J57" s="421" t="inlineStr">
        <is>
          <t>https://www.linkedin.com/in/payaldivakaran/</t>
        </is>
      </c>
      <c r="K57" s="422" t="inlineStr">
        <is>
          <t>John Quinn</t>
        </is>
      </c>
      <c r="L57" s="422" t="inlineStr">
        <is>
          <t>Follow Up</t>
        </is>
      </c>
      <c r="M57" s="420" t="inlineStr">
        <is>
          <t>Space / Defense / Aerospace / Advanced Manufacturing</t>
        </is>
      </c>
      <c r="N57" s="422" t="inlineStr">
        <is>
          <t>Tier 2</t>
        </is>
      </c>
      <c r="O57" s="440" t="n">
        <v>45792</v>
      </c>
      <c r="P57" s="440" t="n">
        <v>45841</v>
      </c>
      <c r="Q57" s="420">
        <f>IF(P57="","",TODAY()-P57)</f>
        <v/>
      </c>
      <c r="R57" s="440">
        <f>IF(OR(L57="Passed",Z57=""),"",P57+Z57)</f>
        <v/>
      </c>
      <c r="S57" s="420">
        <f>IF(OR(R57="",L57="Passed"),"",IF(R57&lt;=TODAY(),"DUE",IF(R57&lt;=TODAY()+3,"Next 3 Days","Later")))</f>
        <v/>
      </c>
      <c r="T57" s="420" t="inlineStr"/>
      <c r="U57" s="422" t="inlineStr">
        <is>
          <t>https://www.linkedin.com/in/payaldivakaran/</t>
        </is>
      </c>
      <c r="V57" s="422" t="inlineStr"/>
      <c r="W57" s="424" t="inlineStr">
        <is>
          <t xml:space="preserve"> |  | </t>
        </is>
      </c>
      <c r="X57" s="420" t="inlineStr">
        <is>
          <t>John - Investor Contacts!42</t>
        </is>
      </c>
      <c r="Y57" s="422" t="inlineStr">
        <is>
          <t>Send next follow-up with traction + CTA</t>
        </is>
      </c>
      <c r="Z57" s="420" t="n">
        <v>7</v>
      </c>
      <c r="AA57" s="420">
        <f>IF(AC57="Archived",0,ROUND((IF(N57="Tier 1",35,IF(N57="Tier 2",20,8))+IF(C57="Financial Investor",15,IF(C57="Intermediary / Banker",12,8))+IF(L57="Term Sheet / Proposal",25,IF(L57="Engaged",20,IF(L57="Meeting Requested",18,IF(L57="Meeting Held",14,IF(L57="Follow Up",10,5)))))+MIN(Q57,30)+IF(S57="DUE",15,IF(S57="Next 3 Days",8,0))),0))</f>
        <v/>
      </c>
      <c r="AB57" s="420">
        <f>IF(AND(AC57="Active",OR(N57="Tier 1",N57="Tier 2"),OR(S57="DUE",S57="Next 3 Days")),"YES","")</f>
        <v/>
      </c>
      <c r="AC57" s="420">
        <f>IF(L57="Passed","Archived","Active")</f>
        <v/>
      </c>
    </row>
    <row r="58">
      <c r="A58" s="420" t="inlineStr">
        <is>
          <t>EXOS-0057</t>
        </is>
      </c>
      <c r="B58" s="420" t="inlineStr">
        <is>
          <t>John - Investor Contacts</t>
        </is>
      </c>
      <c r="C58" s="420" t="inlineStr">
        <is>
          <t>Financial Investor</t>
        </is>
      </c>
      <c r="D58" s="420" t="inlineStr">
        <is>
          <t>137 Ventures</t>
        </is>
      </c>
      <c r="E58" s="420" t="inlineStr">
        <is>
          <t>Alexander Jacobson</t>
        </is>
      </c>
      <c r="F58" s="420" t="inlineStr"/>
      <c r="G58" s="421" t="inlineStr">
        <is>
          <t>alex@137ventures.com</t>
        </is>
      </c>
      <c r="H58" s="420" t="inlineStr"/>
      <c r="I58" s="420" t="inlineStr"/>
      <c r="J58" s="421" t="inlineStr">
        <is>
          <t>https://www.linkedin.com/in/jacobsonalex/</t>
        </is>
      </c>
      <c r="K58" s="422" t="inlineStr">
        <is>
          <t>John Quinn</t>
        </is>
      </c>
      <c r="L58" s="422" t="inlineStr">
        <is>
          <t>Follow Up</t>
        </is>
      </c>
      <c r="M58" s="420" t="inlineStr">
        <is>
          <t>Space / Defense / Aerospace / Advanced Manufacturing</t>
        </is>
      </c>
      <c r="N58" s="422" t="inlineStr">
        <is>
          <t>Tier 2</t>
        </is>
      </c>
      <c r="O58" s="440" t="n">
        <v>45946</v>
      </c>
      <c r="P58" s="440" t="n">
        <v>45973</v>
      </c>
      <c r="Q58" s="420">
        <f>IF(P58="","",TODAY()-P58)</f>
        <v/>
      </c>
      <c r="R58" s="440">
        <f>IF(OR(L58="Passed",Z58=""),"",P58+Z58)</f>
        <v/>
      </c>
      <c r="S58" s="420">
        <f>IF(OR(R58="",L58="Passed"),"",IF(R58&lt;=TODAY(),"DUE",IF(R58&lt;=TODAY()+3,"Next 3 Days","Later")))</f>
        <v/>
      </c>
      <c r="T58" s="420" t="inlineStr"/>
      <c r="U58" s="422" t="inlineStr">
        <is>
          <t>https://www.linkedin.com/in/jacobsonalex/</t>
        </is>
      </c>
      <c r="V58" s="422" t="inlineStr"/>
      <c r="W58" s="424" t="inlineStr">
        <is>
          <t xml:space="preserve"> | 12/30/2025 | </t>
        </is>
      </c>
      <c r="X58" s="420" t="inlineStr">
        <is>
          <t>John - Investor Contacts!764</t>
        </is>
      </c>
      <c r="Y58" s="422" t="inlineStr">
        <is>
          <t>Send next follow-up with traction + CTA</t>
        </is>
      </c>
      <c r="Z58" s="420" t="n">
        <v>7</v>
      </c>
      <c r="AA58" s="420">
        <f>IF(AC58="Archived",0,ROUND((IF(N58="Tier 1",35,IF(N58="Tier 2",20,8))+IF(C58="Financial Investor",15,IF(C58="Intermediary / Banker",12,8))+IF(L58="Term Sheet / Proposal",25,IF(L58="Engaged",20,IF(L58="Meeting Requested",18,IF(L58="Meeting Held",14,IF(L58="Follow Up",10,5)))))+MIN(Q58,30)+IF(S58="DUE",15,IF(S58="Next 3 Days",8,0))),0))</f>
        <v/>
      </c>
      <c r="AB58" s="420">
        <f>IF(AND(AC58="Active",OR(N58="Tier 1",N58="Tier 2"),OR(S58="DUE",S58="Next 3 Days")),"YES","")</f>
        <v/>
      </c>
      <c r="AC58" s="420">
        <f>IF(L58="Passed","Archived","Active")</f>
        <v/>
      </c>
    </row>
    <row r="59">
      <c r="A59" s="420" t="inlineStr">
        <is>
          <t>EXOS-0058</t>
        </is>
      </c>
      <c r="B59" s="420" t="inlineStr">
        <is>
          <t>John - Investor Contacts</t>
        </is>
      </c>
      <c r="C59" s="420" t="inlineStr">
        <is>
          <t>Financial Investor</t>
        </is>
      </c>
      <c r="D59" s="420" t="inlineStr">
        <is>
          <t>137 Ventures</t>
        </is>
      </c>
      <c r="E59" s="420" t="inlineStr">
        <is>
          <t>Andrew Hansen</t>
        </is>
      </c>
      <c r="F59" s="420" t="inlineStr"/>
      <c r="G59" s="421" t="inlineStr">
        <is>
          <t>andrew@137ventures.com</t>
        </is>
      </c>
      <c r="H59" s="420" t="inlineStr"/>
      <c r="I59" s="420" t="inlineStr"/>
      <c r="J59" s="421" t="inlineStr">
        <is>
          <t>https://www.linkedin.com/in/andrewhansen1/</t>
        </is>
      </c>
      <c r="K59" s="422" t="inlineStr">
        <is>
          <t>John Quinn</t>
        </is>
      </c>
      <c r="L59" s="422" t="inlineStr">
        <is>
          <t>Follow Up</t>
        </is>
      </c>
      <c r="M59" s="420" t="inlineStr">
        <is>
          <t>Space / Defense / Aerospace / Advanced Manufacturing</t>
        </is>
      </c>
      <c r="N59" s="422" t="inlineStr">
        <is>
          <t>Tier 2</t>
        </is>
      </c>
      <c r="O59" s="440" t="n">
        <v>45946</v>
      </c>
      <c r="P59" s="440" t="n">
        <v>45973</v>
      </c>
      <c r="Q59" s="420">
        <f>IF(P59="","",TODAY()-P59)</f>
        <v/>
      </c>
      <c r="R59" s="440">
        <f>IF(OR(L59="Passed",Z59=""),"",P59+Z59)</f>
        <v/>
      </c>
      <c r="S59" s="420">
        <f>IF(OR(R59="",L59="Passed"),"",IF(R59&lt;=TODAY(),"DUE",IF(R59&lt;=TODAY()+3,"Next 3 Days","Later")))</f>
        <v/>
      </c>
      <c r="T59" s="420" t="inlineStr"/>
      <c r="U59" s="422" t="inlineStr">
        <is>
          <t>https://www.linkedin.com/in/andrewhansen1/</t>
        </is>
      </c>
      <c r="V59" s="422" t="inlineStr"/>
      <c r="W59" s="424" t="inlineStr">
        <is>
          <t xml:space="preserve"> | 12/30/2025 | </t>
        </is>
      </c>
      <c r="X59" s="420" t="inlineStr">
        <is>
          <t>John - Investor Contacts!766</t>
        </is>
      </c>
      <c r="Y59" s="422" t="inlineStr">
        <is>
          <t>Send next follow-up with traction + CTA</t>
        </is>
      </c>
      <c r="Z59" s="420" t="n">
        <v>7</v>
      </c>
      <c r="AA59" s="420">
        <f>IF(AC59="Archived",0,ROUND((IF(N59="Tier 1",35,IF(N59="Tier 2",20,8))+IF(C59="Financial Investor",15,IF(C59="Intermediary / Banker",12,8))+IF(L59="Term Sheet / Proposal",25,IF(L59="Engaged",20,IF(L59="Meeting Requested",18,IF(L59="Meeting Held",14,IF(L59="Follow Up",10,5)))))+MIN(Q59,30)+IF(S59="DUE",15,IF(S59="Next 3 Days",8,0))),0))</f>
        <v/>
      </c>
      <c r="AB59" s="420">
        <f>IF(AND(AC59="Active",OR(N59="Tier 1",N59="Tier 2"),OR(S59="DUE",S59="Next 3 Days")),"YES","")</f>
        <v/>
      </c>
      <c r="AC59" s="420">
        <f>IF(L59="Passed","Archived","Active")</f>
        <v/>
      </c>
    </row>
    <row r="60">
      <c r="A60" s="420" t="inlineStr">
        <is>
          <t>EXOS-0059</t>
        </is>
      </c>
      <c r="B60" s="420" t="inlineStr">
        <is>
          <t>John - Investor Contacts</t>
        </is>
      </c>
      <c r="C60" s="420" t="inlineStr">
        <is>
          <t>Financial Investor</t>
        </is>
      </c>
      <c r="D60" s="420" t="inlineStr">
        <is>
          <t>137 Ventures</t>
        </is>
      </c>
      <c r="E60" s="420" t="inlineStr">
        <is>
          <t>Christian Garrett</t>
        </is>
      </c>
      <c r="F60" s="420" t="inlineStr"/>
      <c r="G60" s="421" t="inlineStr">
        <is>
          <t>christian@137ventures.com</t>
        </is>
      </c>
      <c r="H60" s="420" t="inlineStr"/>
      <c r="I60" s="420" t="inlineStr"/>
      <c r="J60" s="421" t="inlineStr">
        <is>
          <t>https://www.linkedin.com/in/christiangarrett15/</t>
        </is>
      </c>
      <c r="K60" s="422" t="inlineStr">
        <is>
          <t>John Quinn</t>
        </is>
      </c>
      <c r="L60" s="422" t="inlineStr">
        <is>
          <t>Follow Up</t>
        </is>
      </c>
      <c r="M60" s="420" t="inlineStr">
        <is>
          <t>Space / Defense / Aerospace / Advanced Manufacturing</t>
        </is>
      </c>
      <c r="N60" s="422" t="inlineStr">
        <is>
          <t>Tier 2</t>
        </is>
      </c>
      <c r="O60" s="440" t="n">
        <v>45946</v>
      </c>
      <c r="P60" s="440" t="n">
        <v>45973</v>
      </c>
      <c r="Q60" s="420">
        <f>IF(P60="","",TODAY()-P60)</f>
        <v/>
      </c>
      <c r="R60" s="440">
        <f>IF(OR(L60="Passed",Z60=""),"",P60+Z60)</f>
        <v/>
      </c>
      <c r="S60" s="420">
        <f>IF(OR(R60="",L60="Passed"),"",IF(R60&lt;=TODAY(),"DUE",IF(R60&lt;=TODAY()+3,"Next 3 Days","Later")))</f>
        <v/>
      </c>
      <c r="T60" s="420" t="inlineStr"/>
      <c r="U60" s="422" t="inlineStr">
        <is>
          <t>https://www.linkedin.com/in/christiangarrett15/</t>
        </is>
      </c>
      <c r="V60" s="422" t="inlineStr"/>
      <c r="W60" s="424" t="inlineStr">
        <is>
          <t xml:space="preserve"> | 12/30/2025 | </t>
        </is>
      </c>
      <c r="X60" s="420" t="inlineStr">
        <is>
          <t>John - Investor Contacts!765</t>
        </is>
      </c>
      <c r="Y60" s="422" t="inlineStr">
        <is>
          <t>Send next follow-up with traction + CTA</t>
        </is>
      </c>
      <c r="Z60" s="420" t="n">
        <v>7</v>
      </c>
      <c r="AA60" s="420">
        <f>IF(AC60="Archived",0,ROUND((IF(N60="Tier 1",35,IF(N60="Tier 2",20,8))+IF(C60="Financial Investor",15,IF(C60="Intermediary / Banker",12,8))+IF(L60="Term Sheet / Proposal",25,IF(L60="Engaged",20,IF(L60="Meeting Requested",18,IF(L60="Meeting Held",14,IF(L60="Follow Up",10,5)))))+MIN(Q60,30)+IF(S60="DUE",15,IF(S60="Next 3 Days",8,0))),0))</f>
        <v/>
      </c>
      <c r="AB60" s="420">
        <f>IF(AND(AC60="Active",OR(N60="Tier 1",N60="Tier 2"),OR(S60="DUE",S60="Next 3 Days")),"YES","")</f>
        <v/>
      </c>
      <c r="AC60" s="420">
        <f>IF(L60="Passed","Archived","Active")</f>
        <v/>
      </c>
    </row>
    <row r="61">
      <c r="A61" s="420" t="inlineStr">
        <is>
          <t>EXOS-0060</t>
        </is>
      </c>
      <c r="B61" s="420" t="inlineStr">
        <is>
          <t>John - Investor Contacts</t>
        </is>
      </c>
      <c r="C61" s="420" t="inlineStr">
        <is>
          <t>Financial Investor</t>
        </is>
      </c>
      <c r="D61" s="420" t="inlineStr">
        <is>
          <t>137 Ventures</t>
        </is>
      </c>
      <c r="E61" s="420" t="inlineStr">
        <is>
          <t>James Pardee</t>
        </is>
      </c>
      <c r="F61" s="420" t="inlineStr"/>
      <c r="G61" s="421" t="inlineStr">
        <is>
          <t>james@137ventures.com</t>
        </is>
      </c>
      <c r="H61" s="420" t="inlineStr"/>
      <c r="I61" s="420" t="inlineStr"/>
      <c r="J61" s="421" t="inlineStr">
        <is>
          <t>https://www.linkedin.com/in/jameslpardee/</t>
        </is>
      </c>
      <c r="K61" s="422" t="inlineStr">
        <is>
          <t>John Quinn</t>
        </is>
      </c>
      <c r="L61" s="422" t="inlineStr">
        <is>
          <t>Follow Up</t>
        </is>
      </c>
      <c r="M61" s="420" t="inlineStr">
        <is>
          <t>Space / Defense / Aerospace / Advanced Manufacturing</t>
        </is>
      </c>
      <c r="N61" s="422" t="inlineStr">
        <is>
          <t>Tier 2</t>
        </is>
      </c>
      <c r="O61" s="440" t="n">
        <v>45946</v>
      </c>
      <c r="P61" s="440" t="n">
        <v>45973</v>
      </c>
      <c r="Q61" s="420">
        <f>IF(P61="","",TODAY()-P61)</f>
        <v/>
      </c>
      <c r="R61" s="440">
        <f>IF(OR(L61="Passed",Z61=""),"",P61+Z61)</f>
        <v/>
      </c>
      <c r="S61" s="420">
        <f>IF(OR(R61="",L61="Passed"),"",IF(R61&lt;=TODAY(),"DUE",IF(R61&lt;=TODAY()+3,"Next 3 Days","Later")))</f>
        <v/>
      </c>
      <c r="T61" s="420" t="inlineStr"/>
      <c r="U61" s="422" t="inlineStr">
        <is>
          <t>https://www.linkedin.com/in/jameslpardee/</t>
        </is>
      </c>
      <c r="V61" s="422" t="inlineStr"/>
      <c r="W61" s="424" t="inlineStr">
        <is>
          <t xml:space="preserve"> | 12/30/2025 | </t>
        </is>
      </c>
      <c r="X61" s="420" t="inlineStr">
        <is>
          <t>John - Investor Contacts!767</t>
        </is>
      </c>
      <c r="Y61" s="422" t="inlineStr">
        <is>
          <t>Send next follow-up with traction + CTA</t>
        </is>
      </c>
      <c r="Z61" s="420" t="n">
        <v>7</v>
      </c>
      <c r="AA61" s="420">
        <f>IF(AC61="Archived",0,ROUND((IF(N61="Tier 1",35,IF(N61="Tier 2",20,8))+IF(C61="Financial Investor",15,IF(C61="Intermediary / Banker",12,8))+IF(L61="Term Sheet / Proposal",25,IF(L61="Engaged",20,IF(L61="Meeting Requested",18,IF(L61="Meeting Held",14,IF(L61="Follow Up",10,5)))))+MIN(Q61,30)+IF(S61="DUE",15,IF(S61="Next 3 Days",8,0))),0))</f>
        <v/>
      </c>
      <c r="AB61" s="420">
        <f>IF(AND(AC61="Active",OR(N61="Tier 1",N61="Tier 2"),OR(S61="DUE",S61="Next 3 Days")),"YES","")</f>
        <v/>
      </c>
      <c r="AC61" s="420">
        <f>IF(L61="Passed","Archived","Active")</f>
        <v/>
      </c>
    </row>
    <row r="62">
      <c r="A62" s="420" t="inlineStr">
        <is>
          <t>EXOS-0061</t>
        </is>
      </c>
      <c r="B62" s="420" t="inlineStr">
        <is>
          <t>John - Investor Contacts</t>
        </is>
      </c>
      <c r="C62" s="420" t="inlineStr">
        <is>
          <t>Financial Investor</t>
        </is>
      </c>
      <c r="D62" s="420" t="inlineStr">
        <is>
          <t>137 Ventures</t>
        </is>
      </c>
      <c r="E62" s="420" t="inlineStr">
        <is>
          <t>Justin Fishner-Wolfson</t>
        </is>
      </c>
      <c r="F62" s="420" t="inlineStr"/>
      <c r="G62" s="421" t="inlineStr">
        <is>
          <t>justin@137ventures.com</t>
        </is>
      </c>
      <c r="H62" s="420" t="inlineStr"/>
      <c r="I62" s="420" t="inlineStr"/>
      <c r="J62" s="420" t="inlineStr"/>
      <c r="K62" s="422" t="inlineStr">
        <is>
          <t>John Quinn</t>
        </is>
      </c>
      <c r="L62" s="422" t="inlineStr">
        <is>
          <t>Follow Up</t>
        </is>
      </c>
      <c r="M62" s="420" t="inlineStr">
        <is>
          <t>Space / Defense / Aerospace / Advanced Manufacturing</t>
        </is>
      </c>
      <c r="N62" s="422" t="inlineStr">
        <is>
          <t>Tier 2</t>
        </is>
      </c>
      <c r="O62" s="440" t="n">
        <v>45946</v>
      </c>
      <c r="P62" s="440" t="n">
        <v>45973</v>
      </c>
      <c r="Q62" s="420">
        <f>IF(P62="","",TODAY()-P62)</f>
        <v/>
      </c>
      <c r="R62" s="440">
        <f>IF(OR(L62="Passed",Z62=""),"",P62+Z62)</f>
        <v/>
      </c>
      <c r="S62" s="420">
        <f>IF(OR(R62="",L62="Passed"),"",IF(R62&lt;=TODAY(),"DUE",IF(R62&lt;=TODAY()+3,"Next 3 Days","Later")))</f>
        <v/>
      </c>
      <c r="T62" s="420" t="inlineStr"/>
      <c r="U62" s="422" t="inlineStr">
        <is>
          <t>linkedin.com/in/justinfw</t>
        </is>
      </c>
      <c r="V62" s="422" t="inlineStr"/>
      <c r="W62" s="424" t="inlineStr">
        <is>
          <t xml:space="preserve"> | 12/30/2025 | </t>
        </is>
      </c>
      <c r="X62" s="420" t="inlineStr">
        <is>
          <t>John - Investor Contacts!768</t>
        </is>
      </c>
      <c r="Y62" s="422" t="inlineStr">
        <is>
          <t>Send next follow-up with traction + CTA</t>
        </is>
      </c>
      <c r="Z62" s="420" t="n">
        <v>7</v>
      </c>
      <c r="AA62" s="420">
        <f>IF(AC62="Archived",0,ROUND((IF(N62="Tier 1",35,IF(N62="Tier 2",20,8))+IF(C62="Financial Investor",15,IF(C62="Intermediary / Banker",12,8))+IF(L62="Term Sheet / Proposal",25,IF(L62="Engaged",20,IF(L62="Meeting Requested",18,IF(L62="Meeting Held",14,IF(L62="Follow Up",10,5)))))+MIN(Q62,30)+IF(S62="DUE",15,IF(S62="Next 3 Days",8,0))),0))</f>
        <v/>
      </c>
      <c r="AB62" s="420">
        <f>IF(AND(AC62="Active",OR(N62="Tier 1",N62="Tier 2"),OR(S62="DUE",S62="Next 3 Days")),"YES","")</f>
        <v/>
      </c>
      <c r="AC62" s="420">
        <f>IF(L62="Passed","Archived","Active")</f>
        <v/>
      </c>
    </row>
    <row r="63">
      <c r="A63" s="420" t="inlineStr">
        <is>
          <t>EXOS-0062</t>
        </is>
      </c>
      <c r="B63" s="420" t="inlineStr">
        <is>
          <t>John - Investor Contacts</t>
        </is>
      </c>
      <c r="C63" s="420" t="inlineStr">
        <is>
          <t>Financial Investor</t>
        </is>
      </c>
      <c r="D63" s="420" t="inlineStr">
        <is>
          <t>1Up Ventures</t>
        </is>
      </c>
      <c r="E63" s="420" t="inlineStr">
        <is>
          <t>Ed Fries</t>
        </is>
      </c>
      <c r="F63" s="420" t="inlineStr"/>
      <c r="G63" s="421" t="inlineStr">
        <is>
          <t>ed@1upfund.com</t>
        </is>
      </c>
      <c r="H63" s="420" t="inlineStr"/>
      <c r="I63" s="420" t="inlineStr"/>
      <c r="J63" s="421" t="inlineStr">
        <is>
          <t>https://www.linkedin.com/in/edfries/</t>
        </is>
      </c>
      <c r="K63" s="422" t="inlineStr">
        <is>
          <t>John Quinn</t>
        </is>
      </c>
      <c r="L63" s="422" t="inlineStr">
        <is>
          <t>Follow Up</t>
        </is>
      </c>
      <c r="M63" s="420" t="inlineStr">
        <is>
          <t>Space / Defense / Aerospace / Advanced Manufacturing</t>
        </is>
      </c>
      <c r="N63" s="422" t="inlineStr">
        <is>
          <t>Tier 2</t>
        </is>
      </c>
      <c r="O63" s="440" t="n">
        <v>45912</v>
      </c>
      <c r="P63" s="440" t="n">
        <v>45973</v>
      </c>
      <c r="Q63" s="420">
        <f>IF(P63="","",TODAY()-P63)</f>
        <v/>
      </c>
      <c r="R63" s="440">
        <f>IF(OR(L63="Passed",Z63=""),"",P63+Z63)</f>
        <v/>
      </c>
      <c r="S63" s="420">
        <f>IF(OR(R63="",L63="Passed"),"",IF(R63&lt;=TODAY(),"DUE",IF(R63&lt;=TODAY()+3,"Next 3 Days","Later")))</f>
        <v/>
      </c>
      <c r="T63" s="420" t="inlineStr"/>
      <c r="U63" s="422" t="inlineStr">
        <is>
          <t>https://www.linkedin.com/in/edfries/</t>
        </is>
      </c>
      <c r="V63" s="422" t="inlineStr"/>
      <c r="W63" s="424" t="inlineStr">
        <is>
          <t xml:space="preserve"> | 12/19/2025 | </t>
        </is>
      </c>
      <c r="X63" s="420" t="inlineStr">
        <is>
          <t>John - Investor Contacts!682</t>
        </is>
      </c>
      <c r="Y63" s="422" t="inlineStr">
        <is>
          <t>Send next follow-up with traction + CTA</t>
        </is>
      </c>
      <c r="Z63" s="420" t="n">
        <v>7</v>
      </c>
      <c r="AA63" s="420">
        <f>IF(AC63="Archived",0,ROUND((IF(N63="Tier 1",35,IF(N63="Tier 2",20,8))+IF(C63="Financial Investor",15,IF(C63="Intermediary / Banker",12,8))+IF(L63="Term Sheet / Proposal",25,IF(L63="Engaged",20,IF(L63="Meeting Requested",18,IF(L63="Meeting Held",14,IF(L63="Follow Up",10,5)))))+MIN(Q63,30)+IF(S63="DUE",15,IF(S63="Next 3 Days",8,0))),0))</f>
        <v/>
      </c>
      <c r="AB63" s="420">
        <f>IF(AND(AC63="Active",OR(N63="Tier 1",N63="Tier 2"),OR(S63="DUE",S63="Next 3 Days")),"YES","")</f>
        <v/>
      </c>
      <c r="AC63" s="420">
        <f>IF(L63="Passed","Archived","Active")</f>
        <v/>
      </c>
    </row>
    <row r="64">
      <c r="A64" s="420" t="inlineStr">
        <is>
          <t>EXOS-0063</t>
        </is>
      </c>
      <c r="B64" s="420" t="inlineStr">
        <is>
          <t>John - Investor Contacts</t>
        </is>
      </c>
      <c r="C64" s="420" t="inlineStr">
        <is>
          <t>Financial Investor</t>
        </is>
      </c>
      <c r="D64" s="420" t="inlineStr">
        <is>
          <t>3 Lines VC</t>
        </is>
      </c>
      <c r="E64" s="420" t="inlineStr">
        <is>
          <t>Hemant Elhence</t>
        </is>
      </c>
      <c r="F64" s="420" t="inlineStr"/>
      <c r="G64" s="421" t="inlineStr">
        <is>
          <t>hemant@3lines.vc</t>
        </is>
      </c>
      <c r="H64" s="420" t="inlineStr"/>
      <c r="I64" s="420" t="inlineStr"/>
      <c r="J64" s="421" t="inlineStr">
        <is>
          <t>https://www.linkedin.com/in/hemantelhence/</t>
        </is>
      </c>
      <c r="K64" s="422" t="inlineStr">
        <is>
          <t>John Quinn</t>
        </is>
      </c>
      <c r="L64" s="422" t="inlineStr">
        <is>
          <t>Follow Up</t>
        </is>
      </c>
      <c r="M64" s="420" t="inlineStr">
        <is>
          <t>Space / Defense / Aerospace / Advanced Manufacturing</t>
        </is>
      </c>
      <c r="N64" s="422" t="inlineStr">
        <is>
          <t>Tier 2</t>
        </is>
      </c>
      <c r="O64" s="440" t="n">
        <v>45840</v>
      </c>
      <c r="P64" s="440" t="n">
        <v>45861</v>
      </c>
      <c r="Q64" s="420">
        <f>IF(P64="","",TODAY()-P64)</f>
        <v/>
      </c>
      <c r="R64" s="440">
        <f>IF(OR(L64="Passed",Z64=""),"",P64+Z64)</f>
        <v/>
      </c>
      <c r="S64" s="420">
        <f>IF(OR(R64="",L64="Passed"),"",IF(R64&lt;=TODAY(),"DUE",IF(R64&lt;=TODAY()+3,"Next 3 Days","Later")))</f>
        <v/>
      </c>
      <c r="T64" s="420" t="inlineStr"/>
      <c r="U64" s="422" t="inlineStr">
        <is>
          <t>https://www.linkedin.com/in/hemantelhence/</t>
        </is>
      </c>
      <c r="V64" s="422" t="inlineStr"/>
      <c r="W64" s="424" t="inlineStr">
        <is>
          <t xml:space="preserve"> | 12/26/2025 | online application: https://3lines.vc/appl</t>
        </is>
      </c>
      <c r="X64" s="420" t="inlineStr">
        <is>
          <t>John - Investor Contacts!316</t>
        </is>
      </c>
      <c r="Y64" s="422" t="inlineStr">
        <is>
          <t>Send next follow-up with traction + CTA</t>
        </is>
      </c>
      <c r="Z64" s="420" t="n">
        <v>7</v>
      </c>
      <c r="AA64" s="420">
        <f>IF(AC64="Archived",0,ROUND((IF(N64="Tier 1",35,IF(N64="Tier 2",20,8))+IF(C64="Financial Investor",15,IF(C64="Intermediary / Banker",12,8))+IF(L64="Term Sheet / Proposal",25,IF(L64="Engaged",20,IF(L64="Meeting Requested",18,IF(L64="Meeting Held",14,IF(L64="Follow Up",10,5)))))+MIN(Q64,30)+IF(S64="DUE",15,IF(S64="Next 3 Days",8,0))),0))</f>
        <v/>
      </c>
      <c r="AB64" s="420">
        <f>IF(AND(AC64="Active",OR(N64="Tier 1",N64="Tier 2"),OR(S64="DUE",S64="Next 3 Days")),"YES","")</f>
        <v/>
      </c>
      <c r="AC64" s="420">
        <f>IF(L64="Passed","Archived","Active")</f>
        <v/>
      </c>
    </row>
    <row r="65">
      <c r="A65" s="420" t="inlineStr">
        <is>
          <t>EXOS-0064</t>
        </is>
      </c>
      <c r="B65" s="420" t="inlineStr">
        <is>
          <t>John - Investor Contacts</t>
        </is>
      </c>
      <c r="C65" s="420" t="inlineStr">
        <is>
          <t>Financial Investor</t>
        </is>
      </c>
      <c r="D65" s="420" t="inlineStr">
        <is>
          <t>3 Lines VC</t>
        </is>
      </c>
      <c r="E65" s="420" t="inlineStr">
        <is>
          <t>Kamalesh Dwivedi</t>
        </is>
      </c>
      <c r="F65" s="420" t="inlineStr"/>
      <c r="G65" s="421" t="inlineStr">
        <is>
          <t>kamalesh.dwivedi@3lines.vc</t>
        </is>
      </c>
      <c r="H65" s="420" t="inlineStr"/>
      <c r="I65" s="420" t="inlineStr"/>
      <c r="J65" s="420" t="inlineStr"/>
      <c r="K65" s="422" t="inlineStr">
        <is>
          <t>John Quinn</t>
        </is>
      </c>
      <c r="L65" s="422" t="inlineStr">
        <is>
          <t>Follow Up</t>
        </is>
      </c>
      <c r="M65" s="420" t="inlineStr">
        <is>
          <t>Space / Defense / Aerospace / Advanced Manufacturing</t>
        </is>
      </c>
      <c r="N65" s="422" t="inlineStr">
        <is>
          <t>Tier 2</t>
        </is>
      </c>
      <c r="O65" s="440" t="n">
        <v>45840</v>
      </c>
      <c r="P65" s="440" t="n">
        <v>45861</v>
      </c>
      <c r="Q65" s="420">
        <f>IF(P65="","",TODAY()-P65)</f>
        <v/>
      </c>
      <c r="R65" s="440">
        <f>IF(OR(L65="Passed",Z65=""),"",P65+Z65)</f>
        <v/>
      </c>
      <c r="S65" s="420">
        <f>IF(OR(R65="",L65="Passed"),"",IF(R65&lt;=TODAY(),"DUE",IF(R65&lt;=TODAY()+3,"Next 3 Days","Later")))</f>
        <v/>
      </c>
      <c r="T65" s="420" t="inlineStr"/>
      <c r="U65" s="422" t="inlineStr"/>
      <c r="V65" s="422" t="inlineStr"/>
      <c r="W65" s="424" t="inlineStr">
        <is>
          <t xml:space="preserve"> | 12/26/2025 | </t>
        </is>
      </c>
      <c r="X65" s="420" t="inlineStr">
        <is>
          <t>John - Investor Contacts!319</t>
        </is>
      </c>
      <c r="Y65" s="422" t="inlineStr">
        <is>
          <t>Send next follow-up with traction + CTA</t>
        </is>
      </c>
      <c r="Z65" s="420" t="n">
        <v>7</v>
      </c>
      <c r="AA65" s="420">
        <f>IF(AC65="Archived",0,ROUND((IF(N65="Tier 1",35,IF(N65="Tier 2",20,8))+IF(C65="Financial Investor",15,IF(C65="Intermediary / Banker",12,8))+IF(L65="Term Sheet / Proposal",25,IF(L65="Engaged",20,IF(L65="Meeting Requested",18,IF(L65="Meeting Held",14,IF(L65="Follow Up",10,5)))))+MIN(Q65,30)+IF(S65="DUE",15,IF(S65="Next 3 Days",8,0))),0))</f>
        <v/>
      </c>
      <c r="AB65" s="420">
        <f>IF(AND(AC65="Active",OR(N65="Tier 1",N65="Tier 2"),OR(S65="DUE",S65="Next 3 Days")),"YES","")</f>
        <v/>
      </c>
      <c r="AC65" s="420">
        <f>IF(L65="Passed","Archived","Active")</f>
        <v/>
      </c>
    </row>
    <row r="66">
      <c r="A66" s="420" t="inlineStr">
        <is>
          <t>EXOS-0065</t>
        </is>
      </c>
      <c r="B66" s="420" t="inlineStr">
        <is>
          <t>John - Investor Contacts</t>
        </is>
      </c>
      <c r="C66" s="420" t="inlineStr">
        <is>
          <t>Financial Investor</t>
        </is>
      </c>
      <c r="D66" s="420" t="inlineStr">
        <is>
          <t>3 Lines VC</t>
        </is>
      </c>
      <c r="E66" s="420" t="inlineStr">
        <is>
          <t>Krishna Kunapuli</t>
        </is>
      </c>
      <c r="F66" s="420" t="inlineStr"/>
      <c r="G66" s="421" t="inlineStr">
        <is>
          <t>krishna.kunapuli@3lines.vc</t>
        </is>
      </c>
      <c r="H66" s="420" t="inlineStr"/>
      <c r="I66" s="420" t="inlineStr"/>
      <c r="J66" s="421" t="inlineStr">
        <is>
          <t>https://www.linkedin.com/in/krishna-kunapuli-3lines/</t>
        </is>
      </c>
      <c r="K66" s="422" t="inlineStr">
        <is>
          <t>John Quinn</t>
        </is>
      </c>
      <c r="L66" s="422" t="inlineStr">
        <is>
          <t>Follow Up</t>
        </is>
      </c>
      <c r="M66" s="420" t="inlineStr">
        <is>
          <t>Space / Defense / Aerospace / Advanced Manufacturing</t>
        </is>
      </c>
      <c r="N66" s="422" t="inlineStr">
        <is>
          <t>Tier 2</t>
        </is>
      </c>
      <c r="O66" s="440" t="n">
        <v>45840</v>
      </c>
      <c r="P66" s="440" t="n">
        <v>45861</v>
      </c>
      <c r="Q66" s="420">
        <f>IF(P66="","",TODAY()-P66)</f>
        <v/>
      </c>
      <c r="R66" s="440">
        <f>IF(OR(L66="Passed",Z66=""),"",P66+Z66)</f>
        <v/>
      </c>
      <c r="S66" s="420">
        <f>IF(OR(R66="",L66="Passed"),"",IF(R66&lt;=TODAY(),"DUE",IF(R66&lt;=TODAY()+3,"Next 3 Days","Later")))</f>
        <v/>
      </c>
      <c r="T66" s="420" t="inlineStr"/>
      <c r="U66" s="422" t="inlineStr">
        <is>
          <t>https://www.linkedin.com/in/krishna-kunapuli-3lines/</t>
        </is>
      </c>
      <c r="V66" s="422" t="inlineStr"/>
      <c r="W66" s="424" t="inlineStr">
        <is>
          <t xml:space="preserve"> | 12/26/2025 | </t>
        </is>
      </c>
      <c r="X66" s="420" t="inlineStr">
        <is>
          <t>John - Investor Contacts!320</t>
        </is>
      </c>
      <c r="Y66" s="422" t="inlineStr">
        <is>
          <t>Send next follow-up with traction + CTA</t>
        </is>
      </c>
      <c r="Z66" s="420" t="n">
        <v>7</v>
      </c>
      <c r="AA66" s="420">
        <f>IF(AC66="Archived",0,ROUND((IF(N66="Tier 1",35,IF(N66="Tier 2",20,8))+IF(C66="Financial Investor",15,IF(C66="Intermediary / Banker",12,8))+IF(L66="Term Sheet / Proposal",25,IF(L66="Engaged",20,IF(L66="Meeting Requested",18,IF(L66="Meeting Held",14,IF(L66="Follow Up",10,5)))))+MIN(Q66,30)+IF(S66="DUE",15,IF(S66="Next 3 Days",8,0))),0))</f>
        <v/>
      </c>
      <c r="AB66" s="420">
        <f>IF(AND(AC66="Active",OR(N66="Tier 1",N66="Tier 2"),OR(S66="DUE",S66="Next 3 Days")),"YES","")</f>
        <v/>
      </c>
      <c r="AC66" s="420">
        <f>IF(L66="Passed","Archived","Active")</f>
        <v/>
      </c>
    </row>
    <row r="67">
      <c r="A67" s="420" t="inlineStr">
        <is>
          <t>EXOS-0066</t>
        </is>
      </c>
      <c r="B67" s="420" t="inlineStr">
        <is>
          <t>John - Investor Contacts</t>
        </is>
      </c>
      <c r="C67" s="420" t="inlineStr">
        <is>
          <t>Financial Investor</t>
        </is>
      </c>
      <c r="D67" s="420" t="inlineStr">
        <is>
          <t>3 Lines VC</t>
        </is>
      </c>
      <c r="E67" s="420" t="inlineStr">
        <is>
          <t>Pallab K. Chatterjee</t>
        </is>
      </c>
      <c r="F67" s="420" t="inlineStr"/>
      <c r="G67" s="421" t="inlineStr">
        <is>
          <t>pallab.chatterjee@3lines.vc</t>
        </is>
      </c>
      <c r="H67" s="420" t="inlineStr"/>
      <c r="I67" s="420" t="inlineStr"/>
      <c r="J67" s="421" t="inlineStr">
        <is>
          <t>https://www.linkedin.com/in/dr-pallab-chatterjee-854921/</t>
        </is>
      </c>
      <c r="K67" s="422" t="inlineStr">
        <is>
          <t>John Quinn</t>
        </is>
      </c>
      <c r="L67" s="422" t="inlineStr">
        <is>
          <t>Follow Up</t>
        </is>
      </c>
      <c r="M67" s="420" t="inlineStr">
        <is>
          <t>Space / Defense / Aerospace / Advanced Manufacturing</t>
        </is>
      </c>
      <c r="N67" s="422" t="inlineStr">
        <is>
          <t>Tier 2</t>
        </is>
      </c>
      <c r="O67" s="440" t="n">
        <v>45840</v>
      </c>
      <c r="P67" s="440" t="n">
        <v>45861</v>
      </c>
      <c r="Q67" s="420">
        <f>IF(P67="","",TODAY()-P67)</f>
        <v/>
      </c>
      <c r="R67" s="440">
        <f>IF(OR(L67="Passed",Z67=""),"",P67+Z67)</f>
        <v/>
      </c>
      <c r="S67" s="420">
        <f>IF(OR(R67="",L67="Passed"),"",IF(R67&lt;=TODAY(),"DUE",IF(R67&lt;=TODAY()+3,"Next 3 Days","Later")))</f>
        <v/>
      </c>
      <c r="T67" s="420" t="inlineStr"/>
      <c r="U67" s="422" t="inlineStr">
        <is>
          <t>https://www.linkedin.com/in/dr-pallab-chatterjee-854921/</t>
        </is>
      </c>
      <c r="V67" s="422" t="inlineStr"/>
      <c r="W67" s="424" t="inlineStr">
        <is>
          <t xml:space="preserve"> | 12/26/2025 | </t>
        </is>
      </c>
      <c r="X67" s="420" t="inlineStr">
        <is>
          <t>John - Investor Contacts!321</t>
        </is>
      </c>
      <c r="Y67" s="422" t="inlineStr">
        <is>
          <t>Send next follow-up with traction + CTA</t>
        </is>
      </c>
      <c r="Z67" s="420" t="n">
        <v>7</v>
      </c>
      <c r="AA67" s="420">
        <f>IF(AC67="Archived",0,ROUND((IF(N67="Tier 1",35,IF(N67="Tier 2",20,8))+IF(C67="Financial Investor",15,IF(C67="Intermediary / Banker",12,8))+IF(L67="Term Sheet / Proposal",25,IF(L67="Engaged",20,IF(L67="Meeting Requested",18,IF(L67="Meeting Held",14,IF(L67="Follow Up",10,5)))))+MIN(Q67,30)+IF(S67="DUE",15,IF(S67="Next 3 Days",8,0))),0))</f>
        <v/>
      </c>
      <c r="AB67" s="420">
        <f>IF(AND(AC67="Active",OR(N67="Tier 1",N67="Tier 2"),OR(S67="DUE",S67="Next 3 Days")),"YES","")</f>
        <v/>
      </c>
      <c r="AC67" s="420">
        <f>IF(L67="Passed","Archived","Active")</f>
        <v/>
      </c>
    </row>
    <row r="68">
      <c r="A68" s="420" t="inlineStr">
        <is>
          <t>EXOS-0067</t>
        </is>
      </c>
      <c r="B68" s="420" t="inlineStr">
        <is>
          <t>John - Investor Contacts</t>
        </is>
      </c>
      <c r="C68" s="420" t="inlineStr">
        <is>
          <t>Financial Investor</t>
        </is>
      </c>
      <c r="D68" s="420" t="inlineStr">
        <is>
          <t>3 Lines VC</t>
        </is>
      </c>
      <c r="E68" s="420" t="inlineStr">
        <is>
          <t>Rajiv Roy</t>
        </is>
      </c>
      <c r="F68" s="420" t="inlineStr"/>
      <c r="G68" s="421" t="inlineStr">
        <is>
          <t>rajiv.roy@3lines.vc</t>
        </is>
      </c>
      <c r="H68" s="420" t="inlineStr"/>
      <c r="I68" s="420" t="inlineStr"/>
      <c r="J68" s="421" t="inlineStr">
        <is>
          <t>https://www.linkedin.com/in/rajivroy/</t>
        </is>
      </c>
      <c r="K68" s="422" t="inlineStr">
        <is>
          <t>John Quinn</t>
        </is>
      </c>
      <c r="L68" s="422" t="inlineStr">
        <is>
          <t>Follow Up</t>
        </is>
      </c>
      <c r="M68" s="420" t="inlineStr">
        <is>
          <t>Space / Defense / Aerospace / Advanced Manufacturing</t>
        </is>
      </c>
      <c r="N68" s="422" t="inlineStr">
        <is>
          <t>Tier 2</t>
        </is>
      </c>
      <c r="O68" s="440" t="n">
        <v>45840</v>
      </c>
      <c r="P68" s="440" t="n">
        <v>45861</v>
      </c>
      <c r="Q68" s="420">
        <f>IF(P68="","",TODAY()-P68)</f>
        <v/>
      </c>
      <c r="R68" s="440">
        <f>IF(OR(L68="Passed",Z68=""),"",P68+Z68)</f>
        <v/>
      </c>
      <c r="S68" s="420">
        <f>IF(OR(R68="",L68="Passed"),"",IF(R68&lt;=TODAY(),"DUE",IF(R68&lt;=TODAY()+3,"Next 3 Days","Later")))</f>
        <v/>
      </c>
      <c r="T68" s="420" t="inlineStr"/>
      <c r="U68" s="422" t="inlineStr">
        <is>
          <t>https://www.linkedin.com/in/rajivroy/</t>
        </is>
      </c>
      <c r="V68" s="422" t="inlineStr"/>
      <c r="W68" s="424" t="inlineStr">
        <is>
          <t xml:space="preserve"> | 12/26/2025 | </t>
        </is>
      </c>
      <c r="X68" s="420" t="inlineStr">
        <is>
          <t>John - Investor Contacts!318</t>
        </is>
      </c>
      <c r="Y68" s="422" t="inlineStr">
        <is>
          <t>Send next follow-up with traction + CTA</t>
        </is>
      </c>
      <c r="Z68" s="420" t="n">
        <v>7</v>
      </c>
      <c r="AA68" s="420">
        <f>IF(AC68="Archived",0,ROUND((IF(N68="Tier 1",35,IF(N68="Tier 2",20,8))+IF(C68="Financial Investor",15,IF(C68="Intermediary / Banker",12,8))+IF(L68="Term Sheet / Proposal",25,IF(L68="Engaged",20,IF(L68="Meeting Requested",18,IF(L68="Meeting Held",14,IF(L68="Follow Up",10,5)))))+MIN(Q68,30)+IF(S68="DUE",15,IF(S68="Next 3 Days",8,0))),0))</f>
        <v/>
      </c>
      <c r="AB68" s="420">
        <f>IF(AND(AC68="Active",OR(N68="Tier 1",N68="Tier 2"),OR(S68="DUE",S68="Next 3 Days")),"YES","")</f>
        <v/>
      </c>
      <c r="AC68" s="420">
        <f>IF(L68="Passed","Archived","Active")</f>
        <v/>
      </c>
    </row>
    <row r="69">
      <c r="A69" s="420" t="inlineStr">
        <is>
          <t>EXOS-0068</t>
        </is>
      </c>
      <c r="B69" s="420" t="inlineStr">
        <is>
          <t>John - Investor Contacts</t>
        </is>
      </c>
      <c r="C69" s="420" t="inlineStr">
        <is>
          <t>Financial Investor</t>
        </is>
      </c>
      <c r="D69" s="420" t="inlineStr">
        <is>
          <t>3 Lines VC</t>
        </is>
      </c>
      <c r="E69" s="420" t="inlineStr">
        <is>
          <t>Sumanth Channabasappa</t>
        </is>
      </c>
      <c r="F69" s="420" t="inlineStr"/>
      <c r="G69" s="421" t="inlineStr">
        <is>
          <t>sumanth@3lines.vc</t>
        </is>
      </c>
      <c r="H69" s="420" t="inlineStr"/>
      <c r="I69" s="420" t="inlineStr"/>
      <c r="J69" s="420" t="inlineStr"/>
      <c r="K69" s="422" t="inlineStr">
        <is>
          <t>John Quinn</t>
        </is>
      </c>
      <c r="L69" s="422" t="inlineStr">
        <is>
          <t>Follow Up</t>
        </is>
      </c>
      <c r="M69" s="420" t="inlineStr">
        <is>
          <t>Space / Defense / Aerospace / Advanced Manufacturing</t>
        </is>
      </c>
      <c r="N69" s="422" t="inlineStr">
        <is>
          <t>Tier 2</t>
        </is>
      </c>
      <c r="O69" s="440" t="n">
        <v>45840</v>
      </c>
      <c r="P69" s="440" t="n">
        <v>45861</v>
      </c>
      <c r="Q69" s="420">
        <f>IF(P69="","",TODAY()-P69)</f>
        <v/>
      </c>
      <c r="R69" s="440">
        <f>IF(OR(L69="Passed",Z69=""),"",P69+Z69)</f>
        <v/>
      </c>
      <c r="S69" s="420">
        <f>IF(OR(R69="",L69="Passed"),"",IF(R69&lt;=TODAY(),"DUE",IF(R69&lt;=TODAY()+3,"Next 3 Days","Later")))</f>
        <v/>
      </c>
      <c r="T69" s="420" t="inlineStr"/>
      <c r="U69" s="422" t="inlineStr">
        <is>
          <t>linkedin.com/in/sumanthc</t>
        </is>
      </c>
      <c r="V69" s="422" t="inlineStr"/>
      <c r="W69" s="424" t="inlineStr">
        <is>
          <t xml:space="preserve"> | 12/26/2025 | </t>
        </is>
      </c>
      <c r="X69" s="420" t="inlineStr">
        <is>
          <t>John - Investor Contacts!317</t>
        </is>
      </c>
      <c r="Y69" s="422" t="inlineStr">
        <is>
          <t>Send next follow-up with traction + CTA</t>
        </is>
      </c>
      <c r="Z69" s="420" t="n">
        <v>7</v>
      </c>
      <c r="AA69" s="420">
        <f>IF(AC69="Archived",0,ROUND((IF(N69="Tier 1",35,IF(N69="Tier 2",20,8))+IF(C69="Financial Investor",15,IF(C69="Intermediary / Banker",12,8))+IF(L69="Term Sheet / Proposal",25,IF(L69="Engaged",20,IF(L69="Meeting Requested",18,IF(L69="Meeting Held",14,IF(L69="Follow Up",10,5)))))+MIN(Q69,30)+IF(S69="DUE",15,IF(S69="Next 3 Days",8,0))),0))</f>
        <v/>
      </c>
      <c r="AB69" s="420">
        <f>IF(AND(AC69="Active",OR(N69="Tier 1",N69="Tier 2"),OR(S69="DUE",S69="Next 3 Days")),"YES","")</f>
        <v/>
      </c>
      <c r="AC69" s="420">
        <f>IF(L69="Passed","Archived","Active")</f>
        <v/>
      </c>
    </row>
    <row r="70">
      <c r="A70" s="420" t="inlineStr">
        <is>
          <t>EXOS-0069</t>
        </is>
      </c>
      <c r="B70" s="420" t="inlineStr">
        <is>
          <t>John - Investor Contacts</t>
        </is>
      </c>
      <c r="C70" s="420" t="inlineStr">
        <is>
          <t>Financial Investor</t>
        </is>
      </c>
      <c r="D70" s="420" t="inlineStr">
        <is>
          <t>3LB Seed Capital</t>
        </is>
      </c>
      <c r="E70" s="420" t="inlineStr">
        <is>
          <t>Alberto Emprin</t>
        </is>
      </c>
      <c r="F70" s="420" t="inlineStr"/>
      <c r="G70" s="421" t="inlineStr">
        <is>
          <t>a.emprin@3lbseed.com</t>
        </is>
      </c>
      <c r="H70" s="420" t="inlineStr"/>
      <c r="I70" s="420" t="inlineStr"/>
      <c r="J70" s="421" t="inlineStr">
        <is>
          <t>https://www.linkedin.com/in/albertoemprin/</t>
        </is>
      </c>
      <c r="K70" s="422" t="inlineStr">
        <is>
          <t>John Quinn</t>
        </is>
      </c>
      <c r="L70" s="422" t="inlineStr">
        <is>
          <t>Follow Up</t>
        </is>
      </c>
      <c r="M70" s="420" t="inlineStr">
        <is>
          <t>Space / Defense / Aerospace / Advanced Manufacturing</t>
        </is>
      </c>
      <c r="N70" s="422" t="inlineStr">
        <is>
          <t>Tier 2</t>
        </is>
      </c>
      <c r="O70" s="440" t="n">
        <v>45989</v>
      </c>
      <c r="P70" s="440" t="n">
        <v>46036</v>
      </c>
      <c r="Q70" s="420">
        <f>IF(P70="","",TODAY()-P70)</f>
        <v/>
      </c>
      <c r="R70" s="440">
        <f>IF(OR(L70="Passed",Z70=""),"",P70+Z70)</f>
        <v/>
      </c>
      <c r="S70" s="420">
        <f>IF(OR(R70="",L70="Passed"),"",IF(R70&lt;=TODAY(),"DUE",IF(R70&lt;=TODAY()+3,"Next 3 Days","Later")))</f>
        <v/>
      </c>
      <c r="T70" s="420" t="inlineStr"/>
      <c r="U70" s="422" t="inlineStr">
        <is>
          <t>https://www.linkedin.com/in/albertoemprin/</t>
        </is>
      </c>
      <c r="V70" s="422" t="inlineStr"/>
      <c r="W70" s="424" t="inlineStr">
        <is>
          <t xml:space="preserve"> | 02/26/2026 | </t>
        </is>
      </c>
      <c r="X70" s="420" t="inlineStr">
        <is>
          <t>John - Investor Contacts!897</t>
        </is>
      </c>
      <c r="Y70" s="422" t="inlineStr">
        <is>
          <t>Send next follow-up with traction + CTA</t>
        </is>
      </c>
      <c r="Z70" s="420" t="n">
        <v>7</v>
      </c>
      <c r="AA70" s="420">
        <f>IF(AC70="Archived",0,ROUND((IF(N70="Tier 1",35,IF(N70="Tier 2",20,8))+IF(C70="Financial Investor",15,IF(C70="Intermediary / Banker",12,8))+IF(L70="Term Sheet / Proposal",25,IF(L70="Engaged",20,IF(L70="Meeting Requested",18,IF(L70="Meeting Held",14,IF(L70="Follow Up",10,5)))))+MIN(Q70,30)+IF(S70="DUE",15,IF(S70="Next 3 Days",8,0))),0))</f>
        <v/>
      </c>
      <c r="AB70" s="420">
        <f>IF(AND(AC70="Active",OR(N70="Tier 1",N70="Tier 2"),OR(S70="DUE",S70="Next 3 Days")),"YES","")</f>
        <v/>
      </c>
      <c r="AC70" s="420">
        <f>IF(L70="Passed","Archived","Active")</f>
        <v/>
      </c>
    </row>
    <row r="71">
      <c r="A71" s="420" t="inlineStr">
        <is>
          <t>EXOS-0070</t>
        </is>
      </c>
      <c r="B71" s="420" t="inlineStr">
        <is>
          <t>John - Investor Contacts</t>
        </is>
      </c>
      <c r="C71" s="420" t="inlineStr">
        <is>
          <t>Financial Investor</t>
        </is>
      </c>
      <c r="D71" s="420" t="inlineStr">
        <is>
          <t>4490 Ventures</t>
        </is>
      </c>
      <c r="E71" s="420" t="inlineStr">
        <is>
          <t>Dan Malven</t>
        </is>
      </c>
      <c r="F71" s="420" t="inlineStr"/>
      <c r="G71" s="421" t="inlineStr">
        <is>
          <t>dm@4490ventures.com</t>
        </is>
      </c>
      <c r="H71" s="420" t="inlineStr"/>
      <c r="I71" s="420" t="inlineStr"/>
      <c r="J71" s="421" t="inlineStr">
        <is>
          <t>https://www.linkedin.com/in/danmalven</t>
        </is>
      </c>
      <c r="K71" s="422" t="inlineStr">
        <is>
          <t>John Quinn</t>
        </is>
      </c>
      <c r="L71" s="422" t="inlineStr">
        <is>
          <t>Follow Up</t>
        </is>
      </c>
      <c r="M71" s="420" t="inlineStr">
        <is>
          <t>Space / Defense / Aerospace / Advanced Manufacturing</t>
        </is>
      </c>
      <c r="N71" s="422" t="inlineStr">
        <is>
          <t>Tier 2</t>
        </is>
      </c>
      <c r="O71" s="440" t="n">
        <v>45897</v>
      </c>
      <c r="P71" s="440" t="n">
        <v>45929</v>
      </c>
      <c r="Q71" s="420">
        <f>IF(P71="","",TODAY()-P71)</f>
        <v/>
      </c>
      <c r="R71" s="440">
        <f>IF(OR(L71="Passed",Z71=""),"",P71+Z71)</f>
        <v/>
      </c>
      <c r="S71" s="420">
        <f>IF(OR(R71="",L71="Passed"),"",IF(R71&lt;=TODAY(),"DUE",IF(R71&lt;=TODAY()+3,"Next 3 Days","Later")))</f>
        <v/>
      </c>
      <c r="T71" s="420" t="inlineStr"/>
      <c r="U71" s="422" t="inlineStr">
        <is>
          <t>https://www.linkedin.com/in/danmalven</t>
        </is>
      </c>
      <c r="V71" s="422" t="inlineStr"/>
      <c r="W71" s="424" t="inlineStr">
        <is>
          <t xml:space="preserve"> | 12/05/2025 | </t>
        </is>
      </c>
      <c r="X71" s="420" t="inlineStr">
        <is>
          <t>John - Investor Contacts!568</t>
        </is>
      </c>
      <c r="Y71" s="422" t="inlineStr">
        <is>
          <t>Send next follow-up with traction + CTA</t>
        </is>
      </c>
      <c r="Z71" s="420" t="n">
        <v>7</v>
      </c>
      <c r="AA71" s="420">
        <f>IF(AC71="Archived",0,ROUND((IF(N71="Tier 1",35,IF(N71="Tier 2",20,8))+IF(C71="Financial Investor",15,IF(C71="Intermediary / Banker",12,8))+IF(L71="Term Sheet / Proposal",25,IF(L71="Engaged",20,IF(L71="Meeting Requested",18,IF(L71="Meeting Held",14,IF(L71="Follow Up",10,5)))))+MIN(Q71,30)+IF(S71="DUE",15,IF(S71="Next 3 Days",8,0))),0))</f>
        <v/>
      </c>
      <c r="AB71" s="420">
        <f>IF(AND(AC71="Active",OR(N71="Tier 1",N71="Tier 2"),OR(S71="DUE",S71="Next 3 Days")),"YES","")</f>
        <v/>
      </c>
      <c r="AC71" s="420">
        <f>IF(L71="Passed","Archived","Active")</f>
        <v/>
      </c>
    </row>
    <row r="72">
      <c r="A72" s="420" t="inlineStr">
        <is>
          <t>EXOS-0071</t>
        </is>
      </c>
      <c r="B72" s="420" t="inlineStr">
        <is>
          <t>John - Investor Contacts</t>
        </is>
      </c>
      <c r="C72" s="420" t="inlineStr">
        <is>
          <t>Financial Investor</t>
        </is>
      </c>
      <c r="D72" s="420" t="inlineStr">
        <is>
          <t>776 Fund</t>
        </is>
      </c>
      <c r="E72" s="420" t="inlineStr">
        <is>
          <t>Alexis Ohanian</t>
        </is>
      </c>
      <c r="F72" s="420" t="inlineStr"/>
      <c r="G72" s="421" t="inlineStr">
        <is>
          <t>alexis.ohanian@sevensevensix.com</t>
        </is>
      </c>
      <c r="H72" s="420" t="inlineStr"/>
      <c r="I72" s="420" t="inlineStr"/>
      <c r="J72" s="421" t="inlineStr">
        <is>
          <t>https://www.linkedin.com/in/alexisohanian/</t>
        </is>
      </c>
      <c r="K72" s="422" t="inlineStr">
        <is>
          <t>John Quinn</t>
        </is>
      </c>
      <c r="L72" s="422" t="inlineStr">
        <is>
          <t>Follow Up</t>
        </is>
      </c>
      <c r="M72" s="420" t="inlineStr">
        <is>
          <t>Space / Defense / Aerospace / Advanced Manufacturing</t>
        </is>
      </c>
      <c r="N72" s="422" t="inlineStr">
        <is>
          <t>Tier 2</t>
        </is>
      </c>
      <c r="O72" s="440" t="n">
        <v>45897</v>
      </c>
      <c r="P72" s="440" t="n">
        <v>45929</v>
      </c>
      <c r="Q72" s="420">
        <f>IF(P72="","",TODAY()-P72)</f>
        <v/>
      </c>
      <c r="R72" s="440">
        <f>IF(OR(L72="Passed",Z72=""),"",P72+Z72)</f>
        <v/>
      </c>
      <c r="S72" s="420">
        <f>IF(OR(R72="",L72="Passed"),"",IF(R72&lt;=TODAY(),"DUE",IF(R72&lt;=TODAY()+3,"Next 3 Days","Later")))</f>
        <v/>
      </c>
      <c r="T72" s="420" t="inlineStr"/>
      <c r="U72" s="422" t="inlineStr">
        <is>
          <t>https://www.linkedin.com/in/alexisohanian/</t>
        </is>
      </c>
      <c r="V72" s="422" t="inlineStr"/>
      <c r="W72" s="424" t="inlineStr">
        <is>
          <t xml:space="preserve"> | 12/05/2025 | </t>
        </is>
      </c>
      <c r="X72" s="420" t="inlineStr">
        <is>
          <t>John - Investor Contacts!569</t>
        </is>
      </c>
      <c r="Y72" s="422" t="inlineStr">
        <is>
          <t>Send next follow-up with traction + CTA</t>
        </is>
      </c>
      <c r="Z72" s="420" t="n">
        <v>7</v>
      </c>
      <c r="AA72" s="420">
        <f>IF(AC72="Archived",0,ROUND((IF(N72="Tier 1",35,IF(N72="Tier 2",20,8))+IF(C72="Financial Investor",15,IF(C72="Intermediary / Banker",12,8))+IF(L72="Term Sheet / Proposal",25,IF(L72="Engaged",20,IF(L72="Meeting Requested",18,IF(L72="Meeting Held",14,IF(L72="Follow Up",10,5)))))+MIN(Q72,30)+IF(S72="DUE",15,IF(S72="Next 3 Days",8,0))),0))</f>
        <v/>
      </c>
      <c r="AB72" s="420">
        <f>IF(AND(AC72="Active",OR(N72="Tier 1",N72="Tier 2"),OR(S72="DUE",S72="Next 3 Days")),"YES","")</f>
        <v/>
      </c>
      <c r="AC72" s="420">
        <f>IF(L72="Passed","Archived","Active")</f>
        <v/>
      </c>
    </row>
    <row r="73">
      <c r="A73" s="420" t="inlineStr">
        <is>
          <t>EXOS-0072</t>
        </is>
      </c>
      <c r="B73" s="420" t="inlineStr">
        <is>
          <t>John - Investor Contacts</t>
        </is>
      </c>
      <c r="C73" s="420" t="inlineStr">
        <is>
          <t>Financial Investor</t>
        </is>
      </c>
      <c r="D73" s="420" t="inlineStr">
        <is>
          <t>8VC</t>
        </is>
      </c>
      <c r="E73" s="420" t="inlineStr">
        <is>
          <t>Alex Kolicich</t>
        </is>
      </c>
      <c r="F73" s="420" t="inlineStr"/>
      <c r="G73" s="421" t="inlineStr">
        <is>
          <t>alex@8vc.com</t>
        </is>
      </c>
      <c r="H73" s="420" t="inlineStr"/>
      <c r="I73" s="420" t="inlineStr"/>
      <c r="J73" s="420" t="inlineStr"/>
      <c r="K73" s="422" t="inlineStr">
        <is>
          <t>John Quinn</t>
        </is>
      </c>
      <c r="L73" s="422" t="inlineStr">
        <is>
          <t>Follow Up</t>
        </is>
      </c>
      <c r="M73" s="420" t="inlineStr">
        <is>
          <t>Space / Defense / Aerospace / Advanced Manufacturing</t>
        </is>
      </c>
      <c r="N73" s="422" t="inlineStr">
        <is>
          <t>Tier 2</t>
        </is>
      </c>
      <c r="O73" s="440" t="n">
        <v>45966</v>
      </c>
      <c r="P73" s="440" t="n">
        <v>45985</v>
      </c>
      <c r="Q73" s="420">
        <f>IF(P73="","",TODAY()-P73)</f>
        <v/>
      </c>
      <c r="R73" s="440">
        <f>IF(OR(L73="Passed",Z73=""),"",P73+Z73)</f>
        <v/>
      </c>
      <c r="S73" s="420">
        <f>IF(OR(R73="",L73="Passed"),"",IF(R73&lt;=TODAY(),"DUE",IF(R73&lt;=TODAY()+3,"Next 3 Days","Later")))</f>
        <v/>
      </c>
      <c r="T73" s="420" t="inlineStr"/>
      <c r="U73" s="422" t="inlineStr">
        <is>
          <t>linkedin.com/in/alex-kolicich-b71732a</t>
        </is>
      </c>
      <c r="V73" s="422" t="inlineStr"/>
      <c r="W73" s="424" t="inlineStr">
        <is>
          <t xml:space="preserve"> | 01/14/2026 | </t>
        </is>
      </c>
      <c r="X73" s="420" t="inlineStr">
        <is>
          <t>John - Investor Contacts!827</t>
        </is>
      </c>
      <c r="Y73" s="422" t="inlineStr">
        <is>
          <t>Send next follow-up with traction + CTA</t>
        </is>
      </c>
      <c r="Z73" s="420" t="n">
        <v>7</v>
      </c>
      <c r="AA73" s="420">
        <f>IF(AC73="Archived",0,ROUND((IF(N73="Tier 1",35,IF(N73="Tier 2",20,8))+IF(C73="Financial Investor",15,IF(C73="Intermediary / Banker",12,8))+IF(L73="Term Sheet / Proposal",25,IF(L73="Engaged",20,IF(L73="Meeting Requested",18,IF(L73="Meeting Held",14,IF(L73="Follow Up",10,5)))))+MIN(Q73,30)+IF(S73="DUE",15,IF(S73="Next 3 Days",8,0))),0))</f>
        <v/>
      </c>
      <c r="AB73" s="420">
        <f>IF(AND(AC73="Active",OR(N73="Tier 1",N73="Tier 2"),OR(S73="DUE",S73="Next 3 Days")),"YES","")</f>
        <v/>
      </c>
      <c r="AC73" s="420">
        <f>IF(L73="Passed","Archived","Active")</f>
        <v/>
      </c>
    </row>
    <row r="74">
      <c r="A74" s="420" t="inlineStr">
        <is>
          <t>EXOS-0073</t>
        </is>
      </c>
      <c r="B74" s="420" t="inlineStr">
        <is>
          <t>John - Investor Contacts</t>
        </is>
      </c>
      <c r="C74" s="420" t="inlineStr">
        <is>
          <t>Financial Investor</t>
        </is>
      </c>
      <c r="D74" s="420" t="inlineStr">
        <is>
          <t>8VC</t>
        </is>
      </c>
      <c r="E74" s="420" t="inlineStr">
        <is>
          <t>Drew Oetting</t>
        </is>
      </c>
      <c r="F74" s="420" t="inlineStr"/>
      <c r="G74" s="421" t="inlineStr">
        <is>
          <t>drew@8vc.com</t>
        </is>
      </c>
      <c r="H74" s="420" t="inlineStr"/>
      <c r="I74" s="420" t="inlineStr"/>
      <c r="J74" s="420" t="inlineStr"/>
      <c r="K74" s="422" t="inlineStr">
        <is>
          <t>John Quinn</t>
        </is>
      </c>
      <c r="L74" s="422" t="inlineStr">
        <is>
          <t>Follow Up</t>
        </is>
      </c>
      <c r="M74" s="420" t="inlineStr">
        <is>
          <t>Space / Defense / Aerospace / Advanced Manufacturing</t>
        </is>
      </c>
      <c r="N74" s="422" t="inlineStr">
        <is>
          <t>Tier 2</t>
        </is>
      </c>
      <c r="O74" s="440" t="n">
        <v>45966</v>
      </c>
      <c r="P74" s="440" t="n">
        <v>45985</v>
      </c>
      <c r="Q74" s="420">
        <f>IF(P74="","",TODAY()-P74)</f>
        <v/>
      </c>
      <c r="R74" s="440">
        <f>IF(OR(L74="Passed",Z74=""),"",P74+Z74)</f>
        <v/>
      </c>
      <c r="S74" s="420">
        <f>IF(OR(R74="",L74="Passed"),"",IF(R74&lt;=TODAY(),"DUE",IF(R74&lt;=TODAY()+3,"Next 3 Days","Later")))</f>
        <v/>
      </c>
      <c r="T74" s="420" t="inlineStr"/>
      <c r="U74" s="422" t="inlineStr">
        <is>
          <t>linkedin.com/in/drew-oetting-52463337</t>
        </is>
      </c>
      <c r="V74" s="422" t="inlineStr"/>
      <c r="W74" s="424" t="inlineStr">
        <is>
          <t xml:space="preserve"> | 01/14/2026 | </t>
        </is>
      </c>
      <c r="X74" s="420" t="inlineStr">
        <is>
          <t>John - Investor Contacts!824</t>
        </is>
      </c>
      <c r="Y74" s="422" t="inlineStr">
        <is>
          <t>Send next follow-up with traction + CTA</t>
        </is>
      </c>
      <c r="Z74" s="420" t="n">
        <v>7</v>
      </c>
      <c r="AA74" s="420">
        <f>IF(AC74="Archived",0,ROUND((IF(N74="Tier 1",35,IF(N74="Tier 2",20,8))+IF(C74="Financial Investor",15,IF(C74="Intermediary / Banker",12,8))+IF(L74="Term Sheet / Proposal",25,IF(L74="Engaged",20,IF(L74="Meeting Requested",18,IF(L74="Meeting Held",14,IF(L74="Follow Up",10,5)))))+MIN(Q74,30)+IF(S74="DUE",15,IF(S74="Next 3 Days",8,0))),0))</f>
        <v/>
      </c>
      <c r="AB74" s="420">
        <f>IF(AND(AC74="Active",OR(N74="Tier 1",N74="Tier 2"),OR(S74="DUE",S74="Next 3 Days")),"YES","")</f>
        <v/>
      </c>
      <c r="AC74" s="420">
        <f>IF(L74="Passed","Archived","Active")</f>
        <v/>
      </c>
    </row>
    <row r="75">
      <c r="A75" s="420" t="inlineStr">
        <is>
          <t>EXOS-0074</t>
        </is>
      </c>
      <c r="B75" s="420" t="inlineStr">
        <is>
          <t>John - Investor Contacts</t>
        </is>
      </c>
      <c r="C75" s="420" t="inlineStr">
        <is>
          <t>Financial Investor</t>
        </is>
      </c>
      <c r="D75" s="420" t="inlineStr">
        <is>
          <t>8VC</t>
        </is>
      </c>
      <c r="E75" s="420" t="inlineStr">
        <is>
          <t>Joe Lonsdale</t>
        </is>
      </c>
      <c r="F75" s="420" t="inlineStr"/>
      <c r="G75" s="421" t="inlineStr">
        <is>
          <t>joe@8vc.com</t>
        </is>
      </c>
      <c r="H75" s="420" t="inlineStr"/>
      <c r="I75" s="420" t="inlineStr"/>
      <c r="J75" s="421" t="inlineStr">
        <is>
          <t>https://www.linkedin.com/in/jtlonsdale</t>
        </is>
      </c>
      <c r="K75" s="422" t="inlineStr">
        <is>
          <t>John Quinn</t>
        </is>
      </c>
      <c r="L75" s="422" t="inlineStr">
        <is>
          <t>Follow Up</t>
        </is>
      </c>
      <c r="M75" s="420" t="inlineStr">
        <is>
          <t>Space / Defense / Aerospace / Advanced Manufacturing</t>
        </is>
      </c>
      <c r="N75" s="422" t="inlineStr">
        <is>
          <t>Tier 2</t>
        </is>
      </c>
      <c r="O75" s="440" t="n">
        <v>45966</v>
      </c>
      <c r="P75" s="440" t="n">
        <v>45985</v>
      </c>
      <c r="Q75" s="420">
        <f>IF(P75="","",TODAY()-P75)</f>
        <v/>
      </c>
      <c r="R75" s="440">
        <f>IF(OR(L75="Passed",Z75=""),"",P75+Z75)</f>
        <v/>
      </c>
      <c r="S75" s="420">
        <f>IF(OR(R75="",L75="Passed"),"",IF(R75&lt;=TODAY(),"DUE",IF(R75&lt;=TODAY()+3,"Next 3 Days","Later")))</f>
        <v/>
      </c>
      <c r="T75" s="420" t="inlineStr"/>
      <c r="U75" s="422" t="inlineStr">
        <is>
          <t>https://www.linkedin.com/in/jtlonsdale</t>
        </is>
      </c>
      <c r="V75" s="422" t="inlineStr"/>
      <c r="W75" s="424" t="inlineStr">
        <is>
          <t xml:space="preserve"> | 01/14/2026 | </t>
        </is>
      </c>
      <c r="X75" s="420" t="inlineStr">
        <is>
          <t>John - Investor Contacts!825</t>
        </is>
      </c>
      <c r="Y75" s="422" t="inlineStr">
        <is>
          <t>Send next follow-up with traction + CTA</t>
        </is>
      </c>
      <c r="Z75" s="420" t="n">
        <v>7</v>
      </c>
      <c r="AA75" s="420">
        <f>IF(AC75="Archived",0,ROUND((IF(N75="Tier 1",35,IF(N75="Tier 2",20,8))+IF(C75="Financial Investor",15,IF(C75="Intermediary / Banker",12,8))+IF(L75="Term Sheet / Proposal",25,IF(L75="Engaged",20,IF(L75="Meeting Requested",18,IF(L75="Meeting Held",14,IF(L75="Follow Up",10,5)))))+MIN(Q75,30)+IF(S75="DUE",15,IF(S75="Next 3 Days",8,0))),0))</f>
        <v/>
      </c>
      <c r="AB75" s="420">
        <f>IF(AND(AC75="Active",OR(N75="Tier 1",N75="Tier 2"),OR(S75="DUE",S75="Next 3 Days")),"YES","")</f>
        <v/>
      </c>
      <c r="AC75" s="420">
        <f>IF(L75="Passed","Archived","Active")</f>
        <v/>
      </c>
    </row>
    <row r="76">
      <c r="A76" s="420" t="inlineStr">
        <is>
          <t>EXOS-0075</t>
        </is>
      </c>
      <c r="B76" s="420" t="inlineStr">
        <is>
          <t>John - Investor Contacts</t>
        </is>
      </c>
      <c r="C76" s="420" t="inlineStr">
        <is>
          <t>Financial Investor</t>
        </is>
      </c>
      <c r="D76" s="420" t="inlineStr">
        <is>
          <t>8VC</t>
        </is>
      </c>
      <c r="E76" s="420" t="inlineStr">
        <is>
          <t>Kimmy Scotti</t>
        </is>
      </c>
      <c r="F76" s="420" t="inlineStr"/>
      <c r="G76" s="421" t="inlineStr">
        <is>
          <t>kimmy@8vc.com</t>
        </is>
      </c>
      <c r="H76" s="420" t="inlineStr"/>
      <c r="I76" s="420" t="inlineStr"/>
      <c r="J76" s="420" t="inlineStr"/>
      <c r="K76" s="422" t="inlineStr">
        <is>
          <t>John Quinn</t>
        </is>
      </c>
      <c r="L76" s="422" t="inlineStr">
        <is>
          <t>Follow Up</t>
        </is>
      </c>
      <c r="M76" s="420" t="inlineStr">
        <is>
          <t>Space / Defense / Aerospace / Advanced Manufacturing</t>
        </is>
      </c>
      <c r="N76" s="422" t="inlineStr">
        <is>
          <t>Tier 2</t>
        </is>
      </c>
      <c r="O76" s="440" t="n">
        <v>45966</v>
      </c>
      <c r="P76" s="440" t="n">
        <v>45985</v>
      </c>
      <c r="Q76" s="420">
        <f>IF(P76="","",TODAY()-P76)</f>
        <v/>
      </c>
      <c r="R76" s="440">
        <f>IF(OR(L76="Passed",Z76=""),"",P76+Z76)</f>
        <v/>
      </c>
      <c r="S76" s="420">
        <f>IF(OR(R76="",L76="Passed"),"",IF(R76&lt;=TODAY(),"DUE",IF(R76&lt;=TODAY()+3,"Next 3 Days","Later")))</f>
        <v/>
      </c>
      <c r="T76" s="420" t="inlineStr"/>
      <c r="U76" s="422" t="inlineStr">
        <is>
          <t>linkedin.com/in/kimmyscotti</t>
        </is>
      </c>
      <c r="V76" s="422" t="inlineStr"/>
      <c r="W76" s="424" t="inlineStr">
        <is>
          <t xml:space="preserve"> | 01/14/2026 | </t>
        </is>
      </c>
      <c r="X76" s="420" t="inlineStr">
        <is>
          <t>John - Investor Contacts!826</t>
        </is>
      </c>
      <c r="Y76" s="422" t="inlineStr">
        <is>
          <t>Send next follow-up with traction + CTA</t>
        </is>
      </c>
      <c r="Z76" s="420" t="n">
        <v>7</v>
      </c>
      <c r="AA76" s="420">
        <f>IF(AC76="Archived",0,ROUND((IF(N76="Tier 1",35,IF(N76="Tier 2",20,8))+IF(C76="Financial Investor",15,IF(C76="Intermediary / Banker",12,8))+IF(L76="Term Sheet / Proposal",25,IF(L76="Engaged",20,IF(L76="Meeting Requested",18,IF(L76="Meeting Held",14,IF(L76="Follow Up",10,5)))))+MIN(Q76,30)+IF(S76="DUE",15,IF(S76="Next 3 Days",8,0))),0))</f>
        <v/>
      </c>
      <c r="AB76" s="420">
        <f>IF(AND(AC76="Active",OR(N76="Tier 1",N76="Tier 2"),OR(S76="DUE",S76="Next 3 Days")),"YES","")</f>
        <v/>
      </c>
      <c r="AC76" s="420">
        <f>IF(L76="Passed","Archived","Active")</f>
        <v/>
      </c>
    </row>
    <row r="77">
      <c r="A77" s="420" t="inlineStr">
        <is>
          <t>EXOS-0076</t>
        </is>
      </c>
      <c r="B77" s="420" t="inlineStr">
        <is>
          <t>John - Investor Contacts</t>
        </is>
      </c>
      <c r="C77" s="420" t="inlineStr">
        <is>
          <t>Financial Investor</t>
        </is>
      </c>
      <c r="D77" s="420" t="inlineStr">
        <is>
          <t>97212 VC</t>
        </is>
      </c>
      <c r="E77" s="420" t="inlineStr">
        <is>
          <t>Eyal Bino</t>
        </is>
      </c>
      <c r="F77" s="420" t="inlineStr"/>
      <c r="G77" s="421" t="inlineStr">
        <is>
          <t>eyalbino@gmail.com</t>
        </is>
      </c>
      <c r="H77" s="420" t="inlineStr"/>
      <c r="I77" s="420" t="inlineStr"/>
      <c r="J77" s="421" t="inlineStr">
        <is>
          <t>https://www.linkedin.com/in/eyal-bino/</t>
        </is>
      </c>
      <c r="K77" s="422" t="inlineStr">
        <is>
          <t>John Quinn</t>
        </is>
      </c>
      <c r="L77" s="422" t="inlineStr">
        <is>
          <t>Follow Up</t>
        </is>
      </c>
      <c r="M77" s="420" t="inlineStr">
        <is>
          <t>Space / Defense / Aerospace / Advanced Manufacturing</t>
        </is>
      </c>
      <c r="N77" s="422" t="inlineStr">
        <is>
          <t>Tier 2</t>
        </is>
      </c>
      <c r="O77" s="440" t="n">
        <v>45872</v>
      </c>
      <c r="P77" s="440" t="n">
        <v>45890</v>
      </c>
      <c r="Q77" s="420">
        <f>IF(P77="","",TODAY()-P77)</f>
        <v/>
      </c>
      <c r="R77" s="440">
        <f>IF(OR(L77="Passed",Z77=""),"",P77+Z77)</f>
        <v/>
      </c>
      <c r="S77" s="420">
        <f>IF(OR(R77="",L77="Passed"),"",IF(R77&lt;=TODAY(),"DUE",IF(R77&lt;=TODAY()+3,"Next 3 Days","Later")))</f>
        <v/>
      </c>
      <c r="T77" s="420" t="inlineStr"/>
      <c r="U77" s="422" t="inlineStr">
        <is>
          <t>https://www.linkedin.com/in/eyal-bino/</t>
        </is>
      </c>
      <c r="V77" s="422" t="inlineStr"/>
      <c r="W77" s="424" t="inlineStr">
        <is>
          <t xml:space="preserve"> | 12/29/2025 | </t>
        </is>
      </c>
      <c r="X77" s="420" t="inlineStr">
        <is>
          <t>John - Investor Contacts!434</t>
        </is>
      </c>
      <c r="Y77" s="422" t="inlineStr">
        <is>
          <t>Send next follow-up with traction + CTA</t>
        </is>
      </c>
      <c r="Z77" s="420" t="n">
        <v>7</v>
      </c>
      <c r="AA77" s="420">
        <f>IF(AC77="Archived",0,ROUND((IF(N77="Tier 1",35,IF(N77="Tier 2",20,8))+IF(C77="Financial Investor",15,IF(C77="Intermediary / Banker",12,8))+IF(L77="Term Sheet / Proposal",25,IF(L77="Engaged",20,IF(L77="Meeting Requested",18,IF(L77="Meeting Held",14,IF(L77="Follow Up",10,5)))))+MIN(Q77,30)+IF(S77="DUE",15,IF(S77="Next 3 Days",8,0))),0))</f>
        <v/>
      </c>
      <c r="AB77" s="420">
        <f>IF(AND(AC77="Active",OR(N77="Tier 1",N77="Tier 2"),OR(S77="DUE",S77="Next 3 Days")),"YES","")</f>
        <v/>
      </c>
      <c r="AC77" s="420">
        <f>IF(L77="Passed","Archived","Active")</f>
        <v/>
      </c>
    </row>
    <row r="78">
      <c r="A78" s="420" t="inlineStr">
        <is>
          <t>EXOS-0077</t>
        </is>
      </c>
      <c r="B78" s="420" t="inlineStr">
        <is>
          <t>John - Investor Contacts</t>
        </is>
      </c>
      <c r="C78" s="420" t="inlineStr">
        <is>
          <t>Financial Investor</t>
        </is>
      </c>
      <c r="D78" s="420" t="inlineStr">
        <is>
          <t>97212 VC</t>
        </is>
      </c>
      <c r="E78" s="420" t="inlineStr">
        <is>
          <t>Ronie Lavi</t>
        </is>
      </c>
      <c r="F78" s="420" t="inlineStr"/>
      <c r="G78" s="421" t="inlineStr">
        <is>
          <t>ronnie@97212.vc</t>
        </is>
      </c>
      <c r="H78" s="420" t="inlineStr"/>
      <c r="I78" s="420" t="inlineStr"/>
      <c r="J78" s="421" t="inlineStr">
        <is>
          <t>https://www.linkedin.com/in/ronnielavi/</t>
        </is>
      </c>
      <c r="K78" s="422" t="inlineStr">
        <is>
          <t>John Quinn</t>
        </is>
      </c>
      <c r="L78" s="422" t="inlineStr">
        <is>
          <t>Follow Up</t>
        </is>
      </c>
      <c r="M78" s="420" t="inlineStr">
        <is>
          <t>Space / Defense / Aerospace / Advanced Manufacturing</t>
        </is>
      </c>
      <c r="N78" s="422" t="inlineStr">
        <is>
          <t>Tier 2</t>
        </is>
      </c>
      <c r="O78" s="440" t="n">
        <v>45872</v>
      </c>
      <c r="P78" s="440" t="n">
        <v>45890</v>
      </c>
      <c r="Q78" s="420">
        <f>IF(P78="","",TODAY()-P78)</f>
        <v/>
      </c>
      <c r="R78" s="440">
        <f>IF(OR(L78="Passed",Z78=""),"",P78+Z78)</f>
        <v/>
      </c>
      <c r="S78" s="420">
        <f>IF(OR(R78="",L78="Passed"),"",IF(R78&lt;=TODAY(),"DUE",IF(R78&lt;=TODAY()+3,"Next 3 Days","Later")))</f>
        <v/>
      </c>
      <c r="T78" s="420" t="inlineStr"/>
      <c r="U78" s="422" t="inlineStr">
        <is>
          <t>https://www.linkedin.com/in/ronnielavi/</t>
        </is>
      </c>
      <c r="V78" s="422" t="inlineStr"/>
      <c r="W78" s="424" t="inlineStr">
        <is>
          <t xml:space="preserve"> | 12/29/2025 | </t>
        </is>
      </c>
      <c r="X78" s="420" t="inlineStr">
        <is>
          <t>John - Investor Contacts!433</t>
        </is>
      </c>
      <c r="Y78" s="422" t="inlineStr">
        <is>
          <t>Send next follow-up with traction + CTA</t>
        </is>
      </c>
      <c r="Z78" s="420" t="n">
        <v>7</v>
      </c>
      <c r="AA78" s="420">
        <f>IF(AC78="Archived",0,ROUND((IF(N78="Tier 1",35,IF(N78="Tier 2",20,8))+IF(C78="Financial Investor",15,IF(C78="Intermediary / Banker",12,8))+IF(L78="Term Sheet / Proposal",25,IF(L78="Engaged",20,IF(L78="Meeting Requested",18,IF(L78="Meeting Held",14,IF(L78="Follow Up",10,5)))))+MIN(Q78,30)+IF(S78="DUE",15,IF(S78="Next 3 Days",8,0))),0))</f>
        <v/>
      </c>
      <c r="AB78" s="420">
        <f>IF(AND(AC78="Active",OR(N78="Tier 1",N78="Tier 2"),OR(S78="DUE",S78="Next 3 Days")),"YES","")</f>
        <v/>
      </c>
      <c r="AC78" s="420">
        <f>IF(L78="Passed","Archived","Active")</f>
        <v/>
      </c>
    </row>
    <row r="79">
      <c r="A79" s="420" t="inlineStr">
        <is>
          <t>EXOS-0078</t>
        </is>
      </c>
      <c r="B79" s="420" t="inlineStr">
        <is>
          <t>John - Investor Contacts</t>
        </is>
      </c>
      <c r="C79" s="420" t="inlineStr">
        <is>
          <t>Financial Investor</t>
        </is>
      </c>
      <c r="D79" s="420" t="inlineStr">
        <is>
          <t>ACMI Group</t>
        </is>
      </c>
      <c r="E79" s="420" t="inlineStr">
        <is>
          <t>Kishen Raghunath</t>
        </is>
      </c>
      <c r="F79" s="420" t="inlineStr"/>
      <c r="G79" s="421" t="inlineStr">
        <is>
          <t>kraghunath@acmigroup.com</t>
        </is>
      </c>
      <c r="H79" s="420" t="inlineStr"/>
      <c r="I79" s="420" t="inlineStr"/>
      <c r="J79" s="420" t="inlineStr"/>
      <c r="K79" s="422" t="inlineStr">
        <is>
          <t>John Quinn</t>
        </is>
      </c>
      <c r="L79" s="422" t="inlineStr">
        <is>
          <t>Follow Up</t>
        </is>
      </c>
      <c r="M79" s="420" t="inlineStr">
        <is>
          <t>Space / Defense / Aerospace / Advanced Manufacturing</t>
        </is>
      </c>
      <c r="N79" s="422" t="inlineStr">
        <is>
          <t>Tier 2</t>
        </is>
      </c>
      <c r="O79" s="420" t="n"/>
      <c r="P79" s="420" t="n"/>
      <c r="Q79" s="420">
        <f>IF(P79="","",TODAY()-P79)</f>
        <v/>
      </c>
      <c r="R79" s="440">
        <f>IF(OR(L79="Passed",Z79=""),"",P79+Z79)</f>
        <v/>
      </c>
      <c r="S79" s="420">
        <f>IF(OR(R79="",L79="Passed"),"",IF(R79&lt;=TODAY(),"DUE",IF(R79&lt;=TODAY()+3,"Next 3 Days","Later")))</f>
        <v/>
      </c>
      <c r="T79" s="420" t="inlineStr"/>
      <c r="U79" s="422" t="inlineStr"/>
      <c r="V79" s="422" t="inlineStr"/>
      <c r="W79" s="424" t="inlineStr">
        <is>
          <t xml:space="preserve">follow up email sent 5/27 // put you in contact with vboelscher@acmigroup.com // also talking to jbowling@acmigroup.com |  | </t>
        </is>
      </c>
      <c r="X79" s="420" t="inlineStr">
        <is>
          <t>John - Investor Contacts!79</t>
        </is>
      </c>
      <c r="Y79" s="422" t="inlineStr">
        <is>
          <t>Send next follow-up with traction + CTA</t>
        </is>
      </c>
      <c r="Z79" s="420" t="n">
        <v>7</v>
      </c>
      <c r="AA79" s="420">
        <f>IF(AC79="Archived",0,ROUND((IF(N79="Tier 1",35,IF(N79="Tier 2",20,8))+IF(C79="Financial Investor",15,IF(C79="Intermediary / Banker",12,8))+IF(L79="Term Sheet / Proposal",25,IF(L79="Engaged",20,IF(L79="Meeting Requested",18,IF(L79="Meeting Held",14,IF(L79="Follow Up",10,5)))))+MIN(Q79,30)+IF(S79="DUE",15,IF(S79="Next 3 Days",8,0))),0))</f>
        <v/>
      </c>
      <c r="AB79" s="420">
        <f>IF(AND(AC79="Active",OR(N79="Tier 1",N79="Tier 2"),OR(S79="DUE",S79="Next 3 Days")),"YES","")</f>
        <v/>
      </c>
      <c r="AC79" s="420">
        <f>IF(L79="Passed","Archived","Active")</f>
        <v/>
      </c>
    </row>
    <row r="80">
      <c r="A80" s="420" t="inlineStr">
        <is>
          <t>EXOS-0079</t>
        </is>
      </c>
      <c r="B80" s="420" t="inlineStr">
        <is>
          <t>John - Investor Contacts</t>
        </is>
      </c>
      <c r="C80" s="420" t="inlineStr">
        <is>
          <t>Financial Investor</t>
        </is>
      </c>
      <c r="D80" s="420" t="inlineStr">
        <is>
          <t>AIN Ventures</t>
        </is>
      </c>
      <c r="E80" s="420" t="inlineStr">
        <is>
          <t>Emily McMahan</t>
        </is>
      </c>
      <c r="F80" s="420" t="inlineStr"/>
      <c r="G80" s="421" t="inlineStr">
        <is>
          <t>emily@academyinvestor.com</t>
        </is>
      </c>
      <c r="H80" s="420" t="inlineStr"/>
      <c r="I80" s="420" t="inlineStr"/>
      <c r="J80" s="420" t="inlineStr"/>
      <c r="K80" s="422" t="inlineStr">
        <is>
          <t>John Quinn</t>
        </is>
      </c>
      <c r="L80" s="422" t="inlineStr">
        <is>
          <t>Follow Up</t>
        </is>
      </c>
      <c r="M80" s="420" t="inlineStr">
        <is>
          <t>Space / Defense / Aerospace / Advanced Manufacturing</t>
        </is>
      </c>
      <c r="N80" s="422" t="inlineStr">
        <is>
          <t>Tier 2</t>
        </is>
      </c>
      <c r="O80" s="440" t="n">
        <v>45912</v>
      </c>
      <c r="P80" s="440" t="n">
        <v>45973</v>
      </c>
      <c r="Q80" s="420">
        <f>IF(P80="","",TODAY()-P80)</f>
        <v/>
      </c>
      <c r="R80" s="440">
        <f>IF(OR(L80="Passed",Z80=""),"",P80+Z80)</f>
        <v/>
      </c>
      <c r="S80" s="420">
        <f>IF(OR(R80="",L80="Passed"),"",IF(R80&lt;=TODAY(),"DUE",IF(R80&lt;=TODAY()+3,"Next 3 Days","Later")))</f>
        <v/>
      </c>
      <c r="T80" s="420" t="inlineStr"/>
      <c r="U80" s="422" t="inlineStr">
        <is>
          <t>linkedin.com/in/emilymcmahan</t>
        </is>
      </c>
      <c r="V80" s="422" t="inlineStr"/>
      <c r="W80" s="424" t="inlineStr">
        <is>
          <t xml:space="preserve"> | 12/19/2025 | </t>
        </is>
      </c>
      <c r="X80" s="420" t="inlineStr">
        <is>
          <t>John - Investor Contacts!669</t>
        </is>
      </c>
      <c r="Y80" s="422" t="inlineStr">
        <is>
          <t>Send next follow-up with traction + CTA</t>
        </is>
      </c>
      <c r="Z80" s="420" t="n">
        <v>7</v>
      </c>
      <c r="AA80" s="420">
        <f>IF(AC80="Archived",0,ROUND((IF(N80="Tier 1",35,IF(N80="Tier 2",20,8))+IF(C80="Financial Investor",15,IF(C80="Intermediary / Banker",12,8))+IF(L80="Term Sheet / Proposal",25,IF(L80="Engaged",20,IF(L80="Meeting Requested",18,IF(L80="Meeting Held",14,IF(L80="Follow Up",10,5)))))+MIN(Q80,30)+IF(S80="DUE",15,IF(S80="Next 3 Days",8,0))),0))</f>
        <v/>
      </c>
      <c r="AB80" s="420">
        <f>IF(AND(AC80="Active",OR(N80="Tier 1",N80="Tier 2"),OR(S80="DUE",S80="Next 3 Days")),"YES","")</f>
        <v/>
      </c>
      <c r="AC80" s="420">
        <f>IF(L80="Passed","Archived","Active")</f>
        <v/>
      </c>
    </row>
    <row r="81">
      <c r="A81" s="420" t="inlineStr">
        <is>
          <t>EXOS-0080</t>
        </is>
      </c>
      <c r="B81" s="420" t="inlineStr">
        <is>
          <t>John - Investor Contacts</t>
        </is>
      </c>
      <c r="C81" s="420" t="inlineStr">
        <is>
          <t>Financial Investor</t>
        </is>
      </c>
      <c r="D81" s="420" t="inlineStr">
        <is>
          <t>AIN Ventures</t>
        </is>
      </c>
      <c r="E81" s="420" t="inlineStr">
        <is>
          <t>Forrest Underwood</t>
        </is>
      </c>
      <c r="F81" s="420" t="inlineStr"/>
      <c r="G81" s="421" t="inlineStr">
        <is>
          <t>forrest@academyinvestor.com</t>
        </is>
      </c>
      <c r="H81" s="420" t="inlineStr"/>
      <c r="I81" s="420" t="inlineStr"/>
      <c r="J81" s="421" t="inlineStr">
        <is>
          <t>https://www.linkedin.com/in/forrestunderwood</t>
        </is>
      </c>
      <c r="K81" s="422" t="inlineStr">
        <is>
          <t>John Quinn</t>
        </is>
      </c>
      <c r="L81" s="422" t="inlineStr">
        <is>
          <t>Follow Up</t>
        </is>
      </c>
      <c r="M81" s="420" t="inlineStr">
        <is>
          <t>Space / Defense / Aerospace / Advanced Manufacturing</t>
        </is>
      </c>
      <c r="N81" s="422" t="inlineStr">
        <is>
          <t>Tier 2</t>
        </is>
      </c>
      <c r="O81" s="440" t="n">
        <v>45912</v>
      </c>
      <c r="P81" s="440" t="n">
        <v>45973</v>
      </c>
      <c r="Q81" s="420">
        <f>IF(P81="","",TODAY()-P81)</f>
        <v/>
      </c>
      <c r="R81" s="440">
        <f>IF(OR(L81="Passed",Z81=""),"",P81+Z81)</f>
        <v/>
      </c>
      <c r="S81" s="420">
        <f>IF(OR(R81="",L81="Passed"),"",IF(R81&lt;=TODAY(),"DUE",IF(R81&lt;=TODAY()+3,"Next 3 Days","Later")))</f>
        <v/>
      </c>
      <c r="T81" s="420" t="inlineStr"/>
      <c r="U81" s="422" t="inlineStr">
        <is>
          <t>https://www.linkedin.com/in/forrestunderwood</t>
        </is>
      </c>
      <c r="V81" s="422" t="inlineStr"/>
      <c r="W81" s="424" t="inlineStr">
        <is>
          <t xml:space="preserve"> | 12/19/2025 | </t>
        </is>
      </c>
      <c r="X81" s="420" t="inlineStr">
        <is>
          <t>John - Investor Contacts!668</t>
        </is>
      </c>
      <c r="Y81" s="422" t="inlineStr">
        <is>
          <t>Send next follow-up with traction + CTA</t>
        </is>
      </c>
      <c r="Z81" s="420" t="n">
        <v>7</v>
      </c>
      <c r="AA81" s="420">
        <f>IF(AC81="Archived",0,ROUND((IF(N81="Tier 1",35,IF(N81="Tier 2",20,8))+IF(C81="Financial Investor",15,IF(C81="Intermediary / Banker",12,8))+IF(L81="Term Sheet / Proposal",25,IF(L81="Engaged",20,IF(L81="Meeting Requested",18,IF(L81="Meeting Held",14,IF(L81="Follow Up",10,5)))))+MIN(Q81,30)+IF(S81="DUE",15,IF(S81="Next 3 Days",8,0))),0))</f>
        <v/>
      </c>
      <c r="AB81" s="420">
        <f>IF(AND(AC81="Active",OR(N81="Tier 1",N81="Tier 2"),OR(S81="DUE",S81="Next 3 Days")),"YES","")</f>
        <v/>
      </c>
      <c r="AC81" s="420">
        <f>IF(L81="Passed","Archived","Active")</f>
        <v/>
      </c>
    </row>
    <row r="82">
      <c r="A82" s="420" t="inlineStr">
        <is>
          <t>EXOS-0081</t>
        </is>
      </c>
      <c r="B82" s="420" t="inlineStr">
        <is>
          <t>John - Investor Contacts</t>
        </is>
      </c>
      <c r="C82" s="420" t="inlineStr">
        <is>
          <t>Financial Investor</t>
        </is>
      </c>
      <c r="D82" s="420" t="inlineStr">
        <is>
          <t>AIN Ventures</t>
        </is>
      </c>
      <c r="E82" s="420" t="inlineStr">
        <is>
          <t>Sherman Williams</t>
        </is>
      </c>
      <c r="F82" s="420" t="inlineStr"/>
      <c r="G82" s="421" t="inlineStr">
        <is>
          <t>sherman@academyinvestor.com</t>
        </is>
      </c>
      <c r="H82" s="420" t="inlineStr"/>
      <c r="I82" s="420" t="inlineStr"/>
      <c r="J82" s="421" t="inlineStr">
        <is>
          <t>https://www.linkedin.com/in/sherman-williams/</t>
        </is>
      </c>
      <c r="K82" s="422" t="inlineStr">
        <is>
          <t>John Quinn</t>
        </is>
      </c>
      <c r="L82" s="422" t="inlineStr">
        <is>
          <t>Follow Up</t>
        </is>
      </c>
      <c r="M82" s="420" t="inlineStr">
        <is>
          <t>Space / Defense / Aerospace / Advanced Manufacturing</t>
        </is>
      </c>
      <c r="N82" s="422" t="inlineStr">
        <is>
          <t>Tier 2</t>
        </is>
      </c>
      <c r="O82" s="440" t="n">
        <v>45912</v>
      </c>
      <c r="P82" s="440" t="n">
        <v>45973</v>
      </c>
      <c r="Q82" s="420">
        <f>IF(P82="","",TODAY()-P82)</f>
        <v/>
      </c>
      <c r="R82" s="440">
        <f>IF(OR(L82="Passed",Z82=""),"",P82+Z82)</f>
        <v/>
      </c>
      <c r="S82" s="420">
        <f>IF(OR(R82="",L82="Passed"),"",IF(R82&lt;=TODAY(),"DUE",IF(R82&lt;=TODAY()+3,"Next 3 Days","Later")))</f>
        <v/>
      </c>
      <c r="T82" s="420" t="inlineStr"/>
      <c r="U82" s="422" t="inlineStr">
        <is>
          <t>https://www.linkedin.com/in/sherman-williams/</t>
        </is>
      </c>
      <c r="V82" s="422" t="inlineStr"/>
      <c r="W82" s="424" t="inlineStr">
        <is>
          <t xml:space="preserve"> | 12/19/2025 | </t>
        </is>
      </c>
      <c r="X82" s="420" t="inlineStr">
        <is>
          <t>John - Investor Contacts!670</t>
        </is>
      </c>
      <c r="Y82" s="422" t="inlineStr">
        <is>
          <t>Send next follow-up with traction + CTA</t>
        </is>
      </c>
      <c r="Z82" s="420" t="n">
        <v>7</v>
      </c>
      <c r="AA82" s="420">
        <f>IF(AC82="Archived",0,ROUND((IF(N82="Tier 1",35,IF(N82="Tier 2",20,8))+IF(C82="Financial Investor",15,IF(C82="Intermediary / Banker",12,8))+IF(L82="Term Sheet / Proposal",25,IF(L82="Engaged",20,IF(L82="Meeting Requested",18,IF(L82="Meeting Held",14,IF(L82="Follow Up",10,5)))))+MIN(Q82,30)+IF(S82="DUE",15,IF(S82="Next 3 Days",8,0))),0))</f>
        <v/>
      </c>
      <c r="AB82" s="420">
        <f>IF(AND(AC82="Active",OR(N82="Tier 1",N82="Tier 2"),OR(S82="DUE",S82="Next 3 Days")),"YES","")</f>
        <v/>
      </c>
      <c r="AC82" s="420">
        <f>IF(L82="Passed","Archived","Active")</f>
        <v/>
      </c>
    </row>
    <row r="83">
      <c r="A83" s="420" t="inlineStr">
        <is>
          <t>EXOS-0082</t>
        </is>
      </c>
      <c r="B83" s="420" t="inlineStr">
        <is>
          <t>John - Investor Contacts</t>
        </is>
      </c>
      <c r="C83" s="420" t="inlineStr">
        <is>
          <t>Financial Investor</t>
        </is>
      </c>
      <c r="D83" s="420" t="inlineStr">
        <is>
          <t>APA Venture Partners</t>
        </is>
      </c>
      <c r="E83" s="420" t="inlineStr">
        <is>
          <t>Alex Kaufman</t>
        </is>
      </c>
      <c r="F83" s="420" t="inlineStr"/>
      <c r="G83" s="421" t="inlineStr">
        <is>
          <t>alex@apavp.com</t>
        </is>
      </c>
      <c r="H83" s="420" t="inlineStr"/>
      <c r="I83" s="420" t="inlineStr"/>
      <c r="J83" s="421" t="inlineStr">
        <is>
          <t>https://www.linkedin.com/in/calexkaufman/</t>
        </is>
      </c>
      <c r="K83" s="422" t="inlineStr">
        <is>
          <t>John Quinn</t>
        </is>
      </c>
      <c r="L83" s="422" t="inlineStr">
        <is>
          <t>Follow Up</t>
        </is>
      </c>
      <c r="M83" s="420" t="inlineStr">
        <is>
          <t>Space / Defense / Aerospace / Advanced Manufacturing</t>
        </is>
      </c>
      <c r="N83" s="422" t="inlineStr">
        <is>
          <t>Tier 2</t>
        </is>
      </c>
      <c r="O83" s="440" t="n">
        <v>45929</v>
      </c>
      <c r="P83" s="440" t="n">
        <v>45973</v>
      </c>
      <c r="Q83" s="420">
        <f>IF(P83="","",TODAY()-P83)</f>
        <v/>
      </c>
      <c r="R83" s="440">
        <f>IF(OR(L83="Passed",Z83=""),"",P83+Z83)</f>
        <v/>
      </c>
      <c r="S83" s="420">
        <f>IF(OR(R83="",L83="Passed"),"",IF(R83&lt;=TODAY(),"DUE",IF(R83&lt;=TODAY()+3,"Next 3 Days","Later")))</f>
        <v/>
      </c>
      <c r="T83" s="420" t="inlineStr"/>
      <c r="U83" s="422" t="inlineStr">
        <is>
          <t>https://www.linkedin.com/in/calexkaufman/</t>
        </is>
      </c>
      <c r="V83" s="422" t="inlineStr"/>
      <c r="W83" s="424" t="inlineStr">
        <is>
          <t xml:space="preserve"> | 12/19/2025 | </t>
        </is>
      </c>
      <c r="X83" s="420" t="inlineStr">
        <is>
          <t>John - Investor Contacts!688</t>
        </is>
      </c>
      <c r="Y83" s="422" t="inlineStr">
        <is>
          <t>Send next follow-up with traction + CTA</t>
        </is>
      </c>
      <c r="Z83" s="420" t="n">
        <v>7</v>
      </c>
      <c r="AA83" s="420">
        <f>IF(AC83="Archived",0,ROUND((IF(N83="Tier 1",35,IF(N83="Tier 2",20,8))+IF(C83="Financial Investor",15,IF(C83="Intermediary / Banker",12,8))+IF(L83="Term Sheet / Proposal",25,IF(L83="Engaged",20,IF(L83="Meeting Requested",18,IF(L83="Meeting Held",14,IF(L83="Follow Up",10,5)))))+MIN(Q83,30)+IF(S83="DUE",15,IF(S83="Next 3 Days",8,0))),0))</f>
        <v/>
      </c>
      <c r="AB83" s="420">
        <f>IF(AND(AC83="Active",OR(N83="Tier 1",N83="Tier 2"),OR(S83="DUE",S83="Next 3 Days")),"YES","")</f>
        <v/>
      </c>
      <c r="AC83" s="420">
        <f>IF(L83="Passed","Archived","Active")</f>
        <v/>
      </c>
    </row>
    <row r="84">
      <c r="A84" s="420" t="inlineStr">
        <is>
          <t>EXOS-0083</t>
        </is>
      </c>
      <c r="B84" s="420" t="inlineStr">
        <is>
          <t>John - Investor Contacts</t>
        </is>
      </c>
      <c r="C84" s="420" t="inlineStr">
        <is>
          <t>Financial Investor</t>
        </is>
      </c>
      <c r="D84" s="420" t="inlineStr">
        <is>
          <t>ATEM Capital</t>
        </is>
      </c>
      <c r="E84" s="420" t="inlineStr">
        <is>
          <t>Allan Gobbs</t>
        </is>
      </c>
      <c r="F84" s="420" t="inlineStr"/>
      <c r="G84" s="421" t="inlineStr">
        <is>
          <t>ag@atemcap.com</t>
        </is>
      </c>
      <c r="H84" s="420" t="inlineStr"/>
      <c r="I84" s="420" t="inlineStr"/>
      <c r="J84" s="421" t="inlineStr">
        <is>
          <t>https://www.linkedin.com/in/gobbs/</t>
        </is>
      </c>
      <c r="K84" s="422" t="inlineStr">
        <is>
          <t>John Quinn</t>
        </is>
      </c>
      <c r="L84" s="422" t="inlineStr">
        <is>
          <t>Follow Up</t>
        </is>
      </c>
      <c r="M84" s="420" t="inlineStr">
        <is>
          <t>Space / Defense / Aerospace / Advanced Manufacturing</t>
        </is>
      </c>
      <c r="N84" s="422" t="inlineStr">
        <is>
          <t>Tier 2</t>
        </is>
      </c>
      <c r="O84" s="440" t="n">
        <v>45841</v>
      </c>
      <c r="P84" s="440" t="n">
        <v>45861</v>
      </c>
      <c r="Q84" s="420">
        <f>IF(P84="","",TODAY()-P84)</f>
        <v/>
      </c>
      <c r="R84" s="440">
        <f>IF(OR(L84="Passed",Z84=""),"",P84+Z84)</f>
        <v/>
      </c>
      <c r="S84" s="420">
        <f>IF(OR(R84="",L84="Passed"),"",IF(R84&lt;=TODAY(),"DUE",IF(R84&lt;=TODAY()+3,"Next 3 Days","Later")))</f>
        <v/>
      </c>
      <c r="T84" s="420" t="inlineStr"/>
      <c r="U84" s="422" t="inlineStr">
        <is>
          <t>https://www.linkedin.com/in/gobbs/</t>
        </is>
      </c>
      <c r="V84" s="422" t="inlineStr"/>
      <c r="W84" s="424" t="inlineStr">
        <is>
          <t xml:space="preserve"> | 12/26/2025 | </t>
        </is>
      </c>
      <c r="X84" s="420" t="inlineStr">
        <is>
          <t>John - Investor Contacts!343</t>
        </is>
      </c>
      <c r="Y84" s="422" t="inlineStr">
        <is>
          <t>Send next follow-up with traction + CTA</t>
        </is>
      </c>
      <c r="Z84" s="420" t="n">
        <v>7</v>
      </c>
      <c r="AA84" s="420">
        <f>IF(AC84="Archived",0,ROUND((IF(N84="Tier 1",35,IF(N84="Tier 2",20,8))+IF(C84="Financial Investor",15,IF(C84="Intermediary / Banker",12,8))+IF(L84="Term Sheet / Proposal",25,IF(L84="Engaged",20,IF(L84="Meeting Requested",18,IF(L84="Meeting Held",14,IF(L84="Follow Up",10,5)))))+MIN(Q84,30)+IF(S84="DUE",15,IF(S84="Next 3 Days",8,0))),0))</f>
        <v/>
      </c>
      <c r="AB84" s="420">
        <f>IF(AND(AC84="Active",OR(N84="Tier 1",N84="Tier 2"),OR(S84="DUE",S84="Next 3 Days")),"YES","")</f>
        <v/>
      </c>
      <c r="AC84" s="420">
        <f>IF(L84="Passed","Archived","Active")</f>
        <v/>
      </c>
    </row>
    <row r="85">
      <c r="A85" s="420" t="inlineStr">
        <is>
          <t>EXOS-0084</t>
        </is>
      </c>
      <c r="B85" s="420" t="inlineStr">
        <is>
          <t>John - Investor Contacts</t>
        </is>
      </c>
      <c r="C85" s="420" t="inlineStr">
        <is>
          <t>Financial Investor</t>
        </is>
      </c>
      <c r="D85" s="420" t="inlineStr">
        <is>
          <t>ATEM Capital</t>
        </is>
      </c>
      <c r="E85" s="420" t="inlineStr">
        <is>
          <t>Elena Maley</t>
        </is>
      </c>
      <c r="F85" s="420" t="inlineStr"/>
      <c r="G85" s="421" t="inlineStr">
        <is>
          <t>em@atemcap.com</t>
        </is>
      </c>
      <c r="H85" s="420" t="inlineStr"/>
      <c r="I85" s="420" t="inlineStr"/>
      <c r="J85" s="421" t="inlineStr">
        <is>
          <t>https://www.linkedin.com/in/elena-maley-96627914/</t>
        </is>
      </c>
      <c r="K85" s="422" t="inlineStr">
        <is>
          <t>John Quinn</t>
        </is>
      </c>
      <c r="L85" s="422" t="inlineStr">
        <is>
          <t>Follow Up</t>
        </is>
      </c>
      <c r="M85" s="420" t="inlineStr">
        <is>
          <t>Space / Defense / Aerospace / Advanced Manufacturing</t>
        </is>
      </c>
      <c r="N85" s="422" t="inlineStr">
        <is>
          <t>Tier 2</t>
        </is>
      </c>
      <c r="O85" s="440" t="n">
        <v>45841</v>
      </c>
      <c r="P85" s="440" t="n">
        <v>45861</v>
      </c>
      <c r="Q85" s="420">
        <f>IF(P85="","",TODAY()-P85)</f>
        <v/>
      </c>
      <c r="R85" s="440">
        <f>IF(OR(L85="Passed",Z85=""),"",P85+Z85)</f>
        <v/>
      </c>
      <c r="S85" s="420">
        <f>IF(OR(R85="",L85="Passed"),"",IF(R85&lt;=TODAY(),"DUE",IF(R85&lt;=TODAY()+3,"Next 3 Days","Later")))</f>
        <v/>
      </c>
      <c r="T85" s="420" t="inlineStr"/>
      <c r="U85" s="422" t="inlineStr">
        <is>
          <t>https://www.linkedin.com/in/elena-maley-96627914/</t>
        </is>
      </c>
      <c r="V85" s="422" t="inlineStr"/>
      <c r="W85" s="424" t="inlineStr">
        <is>
          <t xml:space="preserve"> | 12/26/2025 | </t>
        </is>
      </c>
      <c r="X85" s="420" t="inlineStr">
        <is>
          <t>John - Investor Contacts!344</t>
        </is>
      </c>
      <c r="Y85" s="422" t="inlineStr">
        <is>
          <t>Send next follow-up with traction + CTA</t>
        </is>
      </c>
      <c r="Z85" s="420" t="n">
        <v>7</v>
      </c>
      <c r="AA85" s="420">
        <f>IF(AC85="Archived",0,ROUND((IF(N85="Tier 1",35,IF(N85="Tier 2",20,8))+IF(C85="Financial Investor",15,IF(C85="Intermediary / Banker",12,8))+IF(L85="Term Sheet / Proposal",25,IF(L85="Engaged",20,IF(L85="Meeting Requested",18,IF(L85="Meeting Held",14,IF(L85="Follow Up",10,5)))))+MIN(Q85,30)+IF(S85="DUE",15,IF(S85="Next 3 Days",8,0))),0))</f>
        <v/>
      </c>
      <c r="AB85" s="420">
        <f>IF(AND(AC85="Active",OR(N85="Tier 1",N85="Tier 2"),OR(S85="DUE",S85="Next 3 Days")),"YES","")</f>
        <v/>
      </c>
      <c r="AC85" s="420">
        <f>IF(L85="Passed","Archived","Active")</f>
        <v/>
      </c>
    </row>
    <row r="86">
      <c r="A86" s="420" t="inlineStr">
        <is>
          <t>EXOS-0085</t>
        </is>
      </c>
      <c r="B86" s="420" t="inlineStr">
        <is>
          <t>John - Investor Contacts</t>
        </is>
      </c>
      <c r="C86" s="420" t="inlineStr">
        <is>
          <t>Financial Investor</t>
        </is>
      </c>
      <c r="D86" s="420" t="inlineStr">
        <is>
          <t>AV8 Ventures</t>
        </is>
      </c>
      <c r="E86" s="420" t="inlineStr">
        <is>
          <t>Brett Battles</t>
        </is>
      </c>
      <c r="F86" s="420" t="inlineStr"/>
      <c r="G86" s="421" t="inlineStr">
        <is>
          <t>brett@av8.vc</t>
        </is>
      </c>
      <c r="H86" s="420" t="inlineStr"/>
      <c r="I86" s="420" t="inlineStr"/>
      <c r="J86" s="421" t="inlineStr">
        <is>
          <t>https://www.linkedin.com/in/bbattles/</t>
        </is>
      </c>
      <c r="K86" s="422" t="inlineStr">
        <is>
          <t>John Quinn</t>
        </is>
      </c>
      <c r="L86" s="422" t="inlineStr">
        <is>
          <t>Follow Up</t>
        </is>
      </c>
      <c r="M86" s="420" t="inlineStr">
        <is>
          <t>Space / Defense / Aerospace / Advanced Manufacturing</t>
        </is>
      </c>
      <c r="N86" s="422" t="inlineStr">
        <is>
          <t>Tier 2</t>
        </is>
      </c>
      <c r="O86" s="440" t="n">
        <v>45839</v>
      </c>
      <c r="P86" s="440" t="n">
        <v>45861</v>
      </c>
      <c r="Q86" s="420">
        <f>IF(P86="","",TODAY()-P86)</f>
        <v/>
      </c>
      <c r="R86" s="440">
        <f>IF(OR(L86="Passed",Z86=""),"",P86+Z86)</f>
        <v/>
      </c>
      <c r="S86" s="420">
        <f>IF(OR(R86="",L86="Passed"),"",IF(R86&lt;=TODAY(),"DUE",IF(R86&lt;=TODAY()+3,"Next 3 Days","Later")))</f>
        <v/>
      </c>
      <c r="T86" s="420" t="inlineStr"/>
      <c r="U86" s="422" t="inlineStr">
        <is>
          <t>https://www.linkedin.com/in/bbattles/</t>
        </is>
      </c>
      <c r="V86" s="422" t="inlineStr"/>
      <c r="W86" s="424" t="inlineStr">
        <is>
          <t xml:space="preserve"> | 12/26/2025 | </t>
        </is>
      </c>
      <c r="X86" s="420" t="inlineStr">
        <is>
          <t>John - Investor Contacts!300</t>
        </is>
      </c>
      <c r="Y86" s="422" t="inlineStr">
        <is>
          <t>Send next follow-up with traction + CTA</t>
        </is>
      </c>
      <c r="Z86" s="420" t="n">
        <v>7</v>
      </c>
      <c r="AA86" s="420">
        <f>IF(AC86="Archived",0,ROUND((IF(N86="Tier 1",35,IF(N86="Tier 2",20,8))+IF(C86="Financial Investor",15,IF(C86="Intermediary / Banker",12,8))+IF(L86="Term Sheet / Proposal",25,IF(L86="Engaged",20,IF(L86="Meeting Requested",18,IF(L86="Meeting Held",14,IF(L86="Follow Up",10,5)))))+MIN(Q86,30)+IF(S86="DUE",15,IF(S86="Next 3 Days",8,0))),0))</f>
        <v/>
      </c>
      <c r="AB86" s="420">
        <f>IF(AND(AC86="Active",OR(N86="Tier 1",N86="Tier 2"),OR(S86="DUE",S86="Next 3 Days")),"YES","")</f>
        <v/>
      </c>
      <c r="AC86" s="420">
        <f>IF(L86="Passed","Archived","Active")</f>
        <v/>
      </c>
    </row>
    <row r="87">
      <c r="A87" s="420" t="inlineStr">
        <is>
          <t>EXOS-0086</t>
        </is>
      </c>
      <c r="B87" s="420" t="inlineStr">
        <is>
          <t>John - Investor Contacts</t>
        </is>
      </c>
      <c r="C87" s="420" t="inlineStr">
        <is>
          <t>Financial Investor</t>
        </is>
      </c>
      <c r="D87" s="420" t="inlineStr">
        <is>
          <t>AV8 Ventures</t>
        </is>
      </c>
      <c r="E87" s="420" t="inlineStr">
        <is>
          <t>George Ugras</t>
        </is>
      </c>
      <c r="F87" s="420" t="inlineStr"/>
      <c r="G87" s="421" t="inlineStr">
        <is>
          <t>george@av8.vc</t>
        </is>
      </c>
      <c r="H87" s="420" t="inlineStr"/>
      <c r="I87" s="420" t="inlineStr"/>
      <c r="J87" s="421" t="inlineStr">
        <is>
          <t>https://www.linkedin.com/in/ugras/</t>
        </is>
      </c>
      <c r="K87" s="422" t="inlineStr">
        <is>
          <t>John Quinn</t>
        </is>
      </c>
      <c r="L87" s="422" t="inlineStr">
        <is>
          <t>Follow Up</t>
        </is>
      </c>
      <c r="M87" s="420" t="inlineStr">
        <is>
          <t>Space / Defense / Aerospace / Advanced Manufacturing</t>
        </is>
      </c>
      <c r="N87" s="422" t="inlineStr">
        <is>
          <t>Tier 2</t>
        </is>
      </c>
      <c r="O87" s="440" t="n">
        <v>45839</v>
      </c>
      <c r="P87" s="440" t="n">
        <v>45861</v>
      </c>
      <c r="Q87" s="420">
        <f>IF(P87="","",TODAY()-P87)</f>
        <v/>
      </c>
      <c r="R87" s="440">
        <f>IF(OR(L87="Passed",Z87=""),"",P87+Z87)</f>
        <v/>
      </c>
      <c r="S87" s="420">
        <f>IF(OR(R87="",L87="Passed"),"",IF(R87&lt;=TODAY(),"DUE",IF(R87&lt;=TODAY()+3,"Next 3 Days","Later")))</f>
        <v/>
      </c>
      <c r="T87" s="420" t="inlineStr"/>
      <c r="U87" s="422" t="inlineStr">
        <is>
          <t>https://www.linkedin.com/in/ugras/</t>
        </is>
      </c>
      <c r="V87" s="422" t="inlineStr"/>
      <c r="W87" s="424" t="inlineStr">
        <is>
          <t xml:space="preserve"> | 12/26/2025 | </t>
        </is>
      </c>
      <c r="X87" s="420" t="inlineStr">
        <is>
          <t>John - Investor Contacts!299</t>
        </is>
      </c>
      <c r="Y87" s="422" t="inlineStr">
        <is>
          <t>Send next follow-up with traction + CTA</t>
        </is>
      </c>
      <c r="Z87" s="420" t="n">
        <v>7</v>
      </c>
      <c r="AA87" s="420">
        <f>IF(AC87="Archived",0,ROUND((IF(N87="Tier 1",35,IF(N87="Tier 2",20,8))+IF(C87="Financial Investor",15,IF(C87="Intermediary / Banker",12,8))+IF(L87="Term Sheet / Proposal",25,IF(L87="Engaged",20,IF(L87="Meeting Requested",18,IF(L87="Meeting Held",14,IF(L87="Follow Up",10,5)))))+MIN(Q87,30)+IF(S87="DUE",15,IF(S87="Next 3 Days",8,0))),0))</f>
        <v/>
      </c>
      <c r="AB87" s="420">
        <f>IF(AND(AC87="Active",OR(N87="Tier 1",N87="Tier 2"),OR(S87="DUE",S87="Next 3 Days")),"YES","")</f>
        <v/>
      </c>
      <c r="AC87" s="420">
        <f>IF(L87="Passed","Archived","Active")</f>
        <v/>
      </c>
    </row>
    <row r="88">
      <c r="A88" s="420" t="inlineStr">
        <is>
          <t>EXOS-0087</t>
        </is>
      </c>
      <c r="B88" s="420" t="inlineStr">
        <is>
          <t>John - Investor Contacts</t>
        </is>
      </c>
      <c r="C88" s="420" t="inlineStr">
        <is>
          <t>Financial Investor</t>
        </is>
      </c>
      <c r="D88" s="420" t="inlineStr">
        <is>
          <t>AV8 Ventures</t>
        </is>
      </c>
      <c r="E88" s="420" t="inlineStr">
        <is>
          <t>Ruchita Sinha</t>
        </is>
      </c>
      <c r="F88" s="420" t="inlineStr"/>
      <c r="G88" s="421" t="inlineStr">
        <is>
          <t>ruchita@av8.vc</t>
        </is>
      </c>
      <c r="H88" s="420" t="inlineStr"/>
      <c r="I88" s="420" t="inlineStr"/>
      <c r="J88" s="421" t="inlineStr">
        <is>
          <t>https://www.linkedin.com/in/ruchita-sinha/</t>
        </is>
      </c>
      <c r="K88" s="422" t="inlineStr">
        <is>
          <t>John Quinn</t>
        </is>
      </c>
      <c r="L88" s="422" t="inlineStr">
        <is>
          <t>Follow Up</t>
        </is>
      </c>
      <c r="M88" s="420" t="inlineStr">
        <is>
          <t>Space / Defense / Aerospace / Advanced Manufacturing</t>
        </is>
      </c>
      <c r="N88" s="422" t="inlineStr">
        <is>
          <t>Tier 2</t>
        </is>
      </c>
      <c r="O88" s="440" t="n">
        <v>45839</v>
      </c>
      <c r="P88" s="440" t="n">
        <v>45861</v>
      </c>
      <c r="Q88" s="420">
        <f>IF(P88="","",TODAY()-P88)</f>
        <v/>
      </c>
      <c r="R88" s="440">
        <f>IF(OR(L88="Passed",Z88=""),"",P88+Z88)</f>
        <v/>
      </c>
      <c r="S88" s="420">
        <f>IF(OR(R88="",L88="Passed"),"",IF(R88&lt;=TODAY(),"DUE",IF(R88&lt;=TODAY()+3,"Next 3 Days","Later")))</f>
        <v/>
      </c>
      <c r="T88" s="420" t="inlineStr"/>
      <c r="U88" s="422" t="inlineStr">
        <is>
          <t>https://www.linkedin.com/in/ruchita-sinha/</t>
        </is>
      </c>
      <c r="V88" s="422" t="inlineStr"/>
      <c r="W88" s="424" t="inlineStr">
        <is>
          <t xml:space="preserve"> | 12/26/2025 | </t>
        </is>
      </c>
      <c r="X88" s="420" t="inlineStr">
        <is>
          <t>John - Investor Contacts!302</t>
        </is>
      </c>
      <c r="Y88" s="422" t="inlineStr">
        <is>
          <t>Send next follow-up with traction + CTA</t>
        </is>
      </c>
      <c r="Z88" s="420" t="n">
        <v>7</v>
      </c>
      <c r="AA88" s="420">
        <f>IF(AC88="Archived",0,ROUND((IF(N88="Tier 1",35,IF(N88="Tier 2",20,8))+IF(C88="Financial Investor",15,IF(C88="Intermediary / Banker",12,8))+IF(L88="Term Sheet / Proposal",25,IF(L88="Engaged",20,IF(L88="Meeting Requested",18,IF(L88="Meeting Held",14,IF(L88="Follow Up",10,5)))))+MIN(Q88,30)+IF(S88="DUE",15,IF(S88="Next 3 Days",8,0))),0))</f>
        <v/>
      </c>
      <c r="AB88" s="420">
        <f>IF(AND(AC88="Active",OR(N88="Tier 1",N88="Tier 2"),OR(S88="DUE",S88="Next 3 Days")),"YES","")</f>
        <v/>
      </c>
      <c r="AC88" s="420">
        <f>IF(L88="Passed","Archived","Active")</f>
        <v/>
      </c>
    </row>
    <row r="89">
      <c r="A89" s="420" t="inlineStr">
        <is>
          <t>EXOS-0088</t>
        </is>
      </c>
      <c r="B89" s="420" t="inlineStr">
        <is>
          <t>John - Investor Contacts</t>
        </is>
      </c>
      <c r="C89" s="420" t="inlineStr">
        <is>
          <t>Financial Investor</t>
        </is>
      </c>
      <c r="D89" s="420" t="inlineStr">
        <is>
          <t>AV8 Ventures</t>
        </is>
      </c>
      <c r="E89" s="420" t="inlineStr">
        <is>
          <t>Shawn Kung</t>
        </is>
      </c>
      <c r="F89" s="420" t="inlineStr"/>
      <c r="G89" s="421" t="inlineStr">
        <is>
          <t>shawn@av8.vc</t>
        </is>
      </c>
      <c r="H89" s="420" t="inlineStr"/>
      <c r="I89" s="420" t="inlineStr"/>
      <c r="J89" s="421" t="inlineStr">
        <is>
          <t>https://www.linkedin.com/in/shawnkung/</t>
        </is>
      </c>
      <c r="K89" s="422" t="inlineStr">
        <is>
          <t>John Quinn</t>
        </is>
      </c>
      <c r="L89" s="422" t="inlineStr">
        <is>
          <t>Follow Up</t>
        </is>
      </c>
      <c r="M89" s="420" t="inlineStr">
        <is>
          <t>Space / Defense / Aerospace / Advanced Manufacturing</t>
        </is>
      </c>
      <c r="N89" s="422" t="inlineStr">
        <is>
          <t>Tier 2</t>
        </is>
      </c>
      <c r="O89" s="440" t="n">
        <v>45839</v>
      </c>
      <c r="P89" s="440" t="n">
        <v>45861</v>
      </c>
      <c r="Q89" s="420">
        <f>IF(P89="","",TODAY()-P89)</f>
        <v/>
      </c>
      <c r="R89" s="440">
        <f>IF(OR(L89="Passed",Z89=""),"",P89+Z89)</f>
        <v/>
      </c>
      <c r="S89" s="420">
        <f>IF(OR(R89="",L89="Passed"),"",IF(R89&lt;=TODAY(),"DUE",IF(R89&lt;=TODAY()+3,"Next 3 Days","Later")))</f>
        <v/>
      </c>
      <c r="T89" s="420" t="inlineStr"/>
      <c r="U89" s="422" t="inlineStr">
        <is>
          <t>https://www.linkedin.com/in/shawnkung/</t>
        </is>
      </c>
      <c r="V89" s="422" t="inlineStr"/>
      <c r="W89" s="424" t="inlineStr">
        <is>
          <t xml:space="preserve"> | 12/26/2025 | </t>
        </is>
      </c>
      <c r="X89" s="420" t="inlineStr">
        <is>
          <t>John - Investor Contacts!301</t>
        </is>
      </c>
      <c r="Y89" s="422" t="inlineStr">
        <is>
          <t>Send next follow-up with traction + CTA</t>
        </is>
      </c>
      <c r="Z89" s="420" t="n">
        <v>7</v>
      </c>
      <c r="AA89" s="420">
        <f>IF(AC89="Archived",0,ROUND((IF(N89="Tier 1",35,IF(N89="Tier 2",20,8))+IF(C89="Financial Investor",15,IF(C89="Intermediary / Banker",12,8))+IF(L89="Term Sheet / Proposal",25,IF(L89="Engaged",20,IF(L89="Meeting Requested",18,IF(L89="Meeting Held",14,IF(L89="Follow Up",10,5)))))+MIN(Q89,30)+IF(S89="DUE",15,IF(S89="Next 3 Days",8,0))),0))</f>
        <v/>
      </c>
      <c r="AB89" s="420">
        <f>IF(AND(AC89="Active",OR(N89="Tier 1",N89="Tier 2"),OR(S89="DUE",S89="Next 3 Days")),"YES","")</f>
        <v/>
      </c>
      <c r="AC89" s="420">
        <f>IF(L89="Passed","Archived","Active")</f>
        <v/>
      </c>
    </row>
    <row r="90">
      <c r="A90" s="420" t="inlineStr">
        <is>
          <t>EXOS-0089</t>
        </is>
      </c>
      <c r="B90" s="420" t="inlineStr">
        <is>
          <t>John - Investor Contacts</t>
        </is>
      </c>
      <c r="C90" s="420" t="inlineStr">
        <is>
          <t>Financial Investor</t>
        </is>
      </c>
      <c r="D90" s="420" t="inlineStr">
        <is>
          <t>AVP (formerly AXA Venture Partners)</t>
        </is>
      </c>
      <c r="E90" s="420" t="inlineStr">
        <is>
          <t>Amy Rudersdorf</t>
        </is>
      </c>
      <c r="F90" s="420" t="inlineStr"/>
      <c r="G90" s="421" t="inlineStr">
        <is>
          <t>amy@weareavp.com</t>
        </is>
      </c>
      <c r="H90" s="420" t="inlineStr"/>
      <c r="I90" s="420" t="inlineStr"/>
      <c r="J90" s="420" t="inlineStr"/>
      <c r="K90" s="422" t="inlineStr">
        <is>
          <t>John Quinn</t>
        </is>
      </c>
      <c r="L90" s="422" t="inlineStr">
        <is>
          <t>Follow Up</t>
        </is>
      </c>
      <c r="M90" s="420" t="inlineStr">
        <is>
          <t>Space / Defense / Aerospace / Advanced Manufacturing</t>
        </is>
      </c>
      <c r="N90" s="422" t="inlineStr">
        <is>
          <t>Tier 2</t>
        </is>
      </c>
      <c r="O90" s="440" t="n">
        <v>45847</v>
      </c>
      <c r="P90" s="440" t="n">
        <v>45861</v>
      </c>
      <c r="Q90" s="420">
        <f>IF(P90="","",TODAY()-P90)</f>
        <v/>
      </c>
      <c r="R90" s="440">
        <f>IF(OR(L90="Passed",Z90=""),"",P90+Z90)</f>
        <v/>
      </c>
      <c r="S90" s="420">
        <f>IF(OR(R90="",L90="Passed"),"",IF(R90&lt;=TODAY(),"DUE",IF(R90&lt;=TODAY()+3,"Next 3 Days","Later")))</f>
        <v/>
      </c>
      <c r="T90" s="420" t="inlineStr"/>
      <c r="U90" s="422" t="inlineStr">
        <is>
          <t>linkedin.com/in/amyrudersdorf</t>
        </is>
      </c>
      <c r="V90" s="422" t="inlineStr"/>
      <c r="W90" s="424" t="inlineStr">
        <is>
          <t xml:space="preserve"> | 12/26/2025 | </t>
        </is>
      </c>
      <c r="X90" s="420" t="inlineStr">
        <is>
          <t>John - Investor Contacts!368</t>
        </is>
      </c>
      <c r="Y90" s="422" t="inlineStr">
        <is>
          <t>Send next follow-up with traction + CTA</t>
        </is>
      </c>
      <c r="Z90" s="420" t="n">
        <v>7</v>
      </c>
      <c r="AA90" s="420">
        <f>IF(AC90="Archived",0,ROUND((IF(N90="Tier 1",35,IF(N90="Tier 2",20,8))+IF(C90="Financial Investor",15,IF(C90="Intermediary / Banker",12,8))+IF(L90="Term Sheet / Proposal",25,IF(L90="Engaged",20,IF(L90="Meeting Requested",18,IF(L90="Meeting Held",14,IF(L90="Follow Up",10,5)))))+MIN(Q90,30)+IF(S90="DUE",15,IF(S90="Next 3 Days",8,0))),0))</f>
        <v/>
      </c>
      <c r="AB90" s="420">
        <f>IF(AND(AC90="Active",OR(N90="Tier 1",N90="Tier 2"),OR(S90="DUE",S90="Next 3 Days")),"YES","")</f>
        <v/>
      </c>
      <c r="AC90" s="420">
        <f>IF(L90="Passed","Archived","Active")</f>
        <v/>
      </c>
    </row>
    <row r="91">
      <c r="A91" s="420" t="inlineStr">
        <is>
          <t>EXOS-0090</t>
        </is>
      </c>
      <c r="B91" s="420" t="inlineStr">
        <is>
          <t>John - Investor Contacts</t>
        </is>
      </c>
      <c r="C91" s="420" t="inlineStr">
        <is>
          <t>Financial Investor</t>
        </is>
      </c>
      <c r="D91" s="420" t="inlineStr">
        <is>
          <t>AVP (formerly AXA Venture Partners)</t>
        </is>
      </c>
      <c r="E91" s="420" t="inlineStr">
        <is>
          <t>Ethan Volk</t>
        </is>
      </c>
      <c r="F91" s="420" t="inlineStr"/>
      <c r="G91" s="421" t="inlineStr">
        <is>
          <t>ethan.volk@axavp.com</t>
        </is>
      </c>
      <c r="H91" s="420" t="inlineStr"/>
      <c r="I91" s="420" t="inlineStr"/>
      <c r="J91" s="420" t="inlineStr"/>
      <c r="K91" s="422" t="inlineStr">
        <is>
          <t>John Quinn</t>
        </is>
      </c>
      <c r="L91" s="422" t="inlineStr">
        <is>
          <t>Follow Up</t>
        </is>
      </c>
      <c r="M91" s="420" t="inlineStr">
        <is>
          <t>Space / Defense / Aerospace / Advanced Manufacturing</t>
        </is>
      </c>
      <c r="N91" s="422" t="inlineStr">
        <is>
          <t>Tier 2</t>
        </is>
      </c>
      <c r="O91" s="440" t="n">
        <v>45847</v>
      </c>
      <c r="P91" s="440" t="n">
        <v>45861</v>
      </c>
      <c r="Q91" s="420">
        <f>IF(P91="","",TODAY()-P91)</f>
        <v/>
      </c>
      <c r="R91" s="440">
        <f>IF(OR(L91="Passed",Z91=""),"",P91+Z91)</f>
        <v/>
      </c>
      <c r="S91" s="420">
        <f>IF(OR(R91="",L91="Passed"),"",IF(R91&lt;=TODAY(),"DUE",IF(R91&lt;=TODAY()+3,"Next 3 Days","Later")))</f>
        <v/>
      </c>
      <c r="T91" s="420" t="inlineStr"/>
      <c r="U91" s="422" t="inlineStr">
        <is>
          <t>linkedin.com/in/ethanvolk</t>
        </is>
      </c>
      <c r="V91" s="422" t="inlineStr"/>
      <c r="W91" s="424" t="inlineStr">
        <is>
          <t xml:space="preserve"> | 12/26/2025 | </t>
        </is>
      </c>
      <c r="X91" s="420" t="inlineStr">
        <is>
          <t>John - Investor Contacts!369</t>
        </is>
      </c>
      <c r="Y91" s="422" t="inlineStr">
        <is>
          <t>Send next follow-up with traction + CTA</t>
        </is>
      </c>
      <c r="Z91" s="420" t="n">
        <v>7</v>
      </c>
      <c r="AA91" s="420">
        <f>IF(AC91="Archived",0,ROUND((IF(N91="Tier 1",35,IF(N91="Tier 2",20,8))+IF(C91="Financial Investor",15,IF(C91="Intermediary / Banker",12,8))+IF(L91="Term Sheet / Proposal",25,IF(L91="Engaged",20,IF(L91="Meeting Requested",18,IF(L91="Meeting Held",14,IF(L91="Follow Up",10,5)))))+MIN(Q91,30)+IF(S91="DUE",15,IF(S91="Next 3 Days",8,0))),0))</f>
        <v/>
      </c>
      <c r="AB91" s="420">
        <f>IF(AND(AC91="Active",OR(N91="Tier 1",N91="Tier 2"),OR(S91="DUE",S91="Next 3 Days")),"YES","")</f>
        <v/>
      </c>
      <c r="AC91" s="420">
        <f>IF(L91="Passed","Archived","Active")</f>
        <v/>
      </c>
    </row>
    <row r="92">
      <c r="A92" s="420" t="inlineStr">
        <is>
          <t>EXOS-0091</t>
        </is>
      </c>
      <c r="B92" s="420" t="inlineStr">
        <is>
          <t>John - Investor Contacts</t>
        </is>
      </c>
      <c r="C92" s="420" t="inlineStr">
        <is>
          <t>Financial Investor</t>
        </is>
      </c>
      <c r="D92" s="420" t="inlineStr">
        <is>
          <t>AVP (formerly AXA Venture Partners)</t>
        </is>
      </c>
      <c r="E92" s="420" t="inlineStr">
        <is>
          <t>Gregory Krisberg</t>
        </is>
      </c>
      <c r="F92" s="420" t="inlineStr"/>
      <c r="G92" s="421" t="inlineStr">
        <is>
          <t>gregory.krisberg@axavp.com</t>
        </is>
      </c>
      <c r="H92" s="420" t="inlineStr"/>
      <c r="I92" s="420" t="inlineStr"/>
      <c r="J92" s="420" t="inlineStr"/>
      <c r="K92" s="422" t="inlineStr">
        <is>
          <t>John Quinn</t>
        </is>
      </c>
      <c r="L92" s="422" t="inlineStr">
        <is>
          <t>Follow Up</t>
        </is>
      </c>
      <c r="M92" s="420" t="inlineStr">
        <is>
          <t>Space / Defense / Aerospace / Advanced Manufacturing</t>
        </is>
      </c>
      <c r="N92" s="422" t="inlineStr">
        <is>
          <t>Tier 2</t>
        </is>
      </c>
      <c r="O92" s="440" t="n">
        <v>45847</v>
      </c>
      <c r="P92" s="440" t="n">
        <v>45861</v>
      </c>
      <c r="Q92" s="420">
        <f>IF(P92="","",TODAY()-P92)</f>
        <v/>
      </c>
      <c r="R92" s="440">
        <f>IF(OR(L92="Passed",Z92=""),"",P92+Z92)</f>
        <v/>
      </c>
      <c r="S92" s="420">
        <f>IF(OR(R92="",L92="Passed"),"",IF(R92&lt;=TODAY(),"DUE",IF(R92&lt;=TODAY()+3,"Next 3 Days","Later")))</f>
        <v/>
      </c>
      <c r="T92" s="420" t="inlineStr"/>
      <c r="U92" s="422" t="inlineStr">
        <is>
          <t>linkedin.com/in/gregory-krisberg-90834b143</t>
        </is>
      </c>
      <c r="V92" s="422" t="inlineStr"/>
      <c r="W92" s="424" t="inlineStr">
        <is>
          <t xml:space="preserve"> | 12/26/2025 | </t>
        </is>
      </c>
      <c r="X92" s="420" t="inlineStr">
        <is>
          <t>John - Investor Contacts!370</t>
        </is>
      </c>
      <c r="Y92" s="422" t="inlineStr">
        <is>
          <t>Send next follow-up with traction + CTA</t>
        </is>
      </c>
      <c r="Z92" s="420" t="n">
        <v>7</v>
      </c>
      <c r="AA92" s="420">
        <f>IF(AC92="Archived",0,ROUND((IF(N92="Tier 1",35,IF(N92="Tier 2",20,8))+IF(C92="Financial Investor",15,IF(C92="Intermediary / Banker",12,8))+IF(L92="Term Sheet / Proposal",25,IF(L92="Engaged",20,IF(L92="Meeting Requested",18,IF(L92="Meeting Held",14,IF(L92="Follow Up",10,5)))))+MIN(Q92,30)+IF(S92="DUE",15,IF(S92="Next 3 Days",8,0))),0))</f>
        <v/>
      </c>
      <c r="AB92" s="420">
        <f>IF(AND(AC92="Active",OR(N92="Tier 1",N92="Tier 2"),OR(S92="DUE",S92="Next 3 Days")),"YES","")</f>
        <v/>
      </c>
      <c r="AC92" s="420">
        <f>IF(L92="Passed","Archived","Active")</f>
        <v/>
      </c>
    </row>
    <row r="93">
      <c r="A93" s="420" t="inlineStr">
        <is>
          <t>EXOS-0092</t>
        </is>
      </c>
      <c r="B93" s="420" t="inlineStr">
        <is>
          <t>John - Investor Contacts</t>
        </is>
      </c>
      <c r="C93" s="420" t="inlineStr">
        <is>
          <t>Financial Investor</t>
        </is>
      </c>
      <c r="D93" s="420" t="inlineStr">
        <is>
          <t>Accel</t>
        </is>
      </c>
      <c r="E93" s="420" t="inlineStr">
        <is>
          <t>Ben Fletcher</t>
        </is>
      </c>
      <c r="F93" s="420" t="inlineStr"/>
      <c r="G93" s="421" t="inlineStr">
        <is>
          <t>bfletcher@accel.com</t>
        </is>
      </c>
      <c r="H93" s="420" t="inlineStr"/>
      <c r="I93" s="420" t="inlineStr"/>
      <c r="J93" s="421" t="inlineStr">
        <is>
          <t>https://www.linkedin.com/in/bfletch11/</t>
        </is>
      </c>
      <c r="K93" s="422" t="inlineStr">
        <is>
          <t>John Quinn</t>
        </is>
      </c>
      <c r="L93" s="422" t="inlineStr">
        <is>
          <t>Follow Up</t>
        </is>
      </c>
      <c r="M93" s="420" t="inlineStr">
        <is>
          <t>Space / Defense / Aerospace / Advanced Manufacturing</t>
        </is>
      </c>
      <c r="N93" s="422" t="inlineStr">
        <is>
          <t>Tier 2</t>
        </is>
      </c>
      <c r="O93" s="440" t="n">
        <v>45790</v>
      </c>
      <c r="P93" s="440" t="n">
        <v>45841</v>
      </c>
      <c r="Q93" s="420">
        <f>IF(P93="","",TODAY()-P93)</f>
        <v/>
      </c>
      <c r="R93" s="440">
        <f>IF(OR(L93="Passed",Z93=""),"",P93+Z93)</f>
        <v/>
      </c>
      <c r="S93" s="420">
        <f>IF(OR(R93="",L93="Passed"),"",IF(R93&lt;=TODAY(),"DUE",IF(R93&lt;=TODAY()+3,"Next 3 Days","Later")))</f>
        <v/>
      </c>
      <c r="T93" s="420" t="inlineStr"/>
      <c r="U93" s="422" t="inlineStr">
        <is>
          <t>https://www.linkedin.com/in/bfletch11/</t>
        </is>
      </c>
      <c r="V93" s="422" t="inlineStr"/>
      <c r="W93" s="424" t="inlineStr">
        <is>
          <t xml:space="preserve"> |  | </t>
        </is>
      </c>
      <c r="X93" s="420" t="inlineStr">
        <is>
          <t>John - Investor Contacts!8</t>
        </is>
      </c>
      <c r="Y93" s="422" t="inlineStr">
        <is>
          <t>Send next follow-up with traction + CTA</t>
        </is>
      </c>
      <c r="Z93" s="420" t="n">
        <v>7</v>
      </c>
      <c r="AA93" s="420">
        <f>IF(AC93="Archived",0,ROUND((IF(N93="Tier 1",35,IF(N93="Tier 2",20,8))+IF(C93="Financial Investor",15,IF(C93="Intermediary / Banker",12,8))+IF(L93="Term Sheet / Proposal",25,IF(L93="Engaged",20,IF(L93="Meeting Requested",18,IF(L93="Meeting Held",14,IF(L93="Follow Up",10,5)))))+MIN(Q93,30)+IF(S93="DUE",15,IF(S93="Next 3 Days",8,0))),0))</f>
        <v/>
      </c>
      <c r="AB93" s="420">
        <f>IF(AND(AC93="Active",OR(N93="Tier 1",N93="Tier 2"),OR(S93="DUE",S93="Next 3 Days")),"YES","")</f>
        <v/>
      </c>
      <c r="AC93" s="420">
        <f>IF(L93="Passed","Archived","Active")</f>
        <v/>
      </c>
    </row>
    <row r="94">
      <c r="A94" s="420" t="inlineStr">
        <is>
          <t>EXOS-0093</t>
        </is>
      </c>
      <c r="B94" s="420" t="inlineStr">
        <is>
          <t>John - Investor Contacts</t>
        </is>
      </c>
      <c r="C94" s="420" t="inlineStr">
        <is>
          <t>Financial Investor</t>
        </is>
      </c>
      <c r="D94" s="420" t="inlineStr">
        <is>
          <t>Accel</t>
        </is>
      </c>
      <c r="E94" s="420" t="inlineStr">
        <is>
          <t>Harry Nelis</t>
        </is>
      </c>
      <c r="F94" s="420" t="inlineStr"/>
      <c r="G94" s="421" t="inlineStr">
        <is>
          <t>hnelis@accel.com</t>
        </is>
      </c>
      <c r="H94" s="420" t="inlineStr"/>
      <c r="I94" s="420" t="inlineStr"/>
      <c r="J94" s="421" t="inlineStr">
        <is>
          <t>https://www.linkedin.com/in/harry-nelis-429801/</t>
        </is>
      </c>
      <c r="K94" s="422" t="inlineStr">
        <is>
          <t>John Quinn</t>
        </is>
      </c>
      <c r="L94" s="422" t="inlineStr">
        <is>
          <t>Follow Up</t>
        </is>
      </c>
      <c r="M94" s="420" t="inlineStr">
        <is>
          <t>Space / Defense / Aerospace / Advanced Manufacturing</t>
        </is>
      </c>
      <c r="N94" s="422" t="inlineStr">
        <is>
          <t>Tier 2</t>
        </is>
      </c>
      <c r="O94" s="440" t="n">
        <v>45790</v>
      </c>
      <c r="P94" s="440" t="n">
        <v>45841</v>
      </c>
      <c r="Q94" s="420">
        <f>IF(P94="","",TODAY()-P94)</f>
        <v/>
      </c>
      <c r="R94" s="440">
        <f>IF(OR(L94="Passed",Z94=""),"",P94+Z94)</f>
        <v/>
      </c>
      <c r="S94" s="420">
        <f>IF(OR(R94="",L94="Passed"),"",IF(R94&lt;=TODAY(),"DUE",IF(R94&lt;=TODAY()+3,"Next 3 Days","Later")))</f>
        <v/>
      </c>
      <c r="T94" s="420" t="inlineStr"/>
      <c r="U94" s="422" t="inlineStr">
        <is>
          <t>https://www.linkedin.com/in/harry-nelis-429801/</t>
        </is>
      </c>
      <c r="V94" s="422" t="inlineStr"/>
      <c r="W94" s="424" t="inlineStr">
        <is>
          <t xml:space="preserve"> |  | </t>
        </is>
      </c>
      <c r="X94" s="420" t="inlineStr">
        <is>
          <t>John - Investor Contacts!6</t>
        </is>
      </c>
      <c r="Y94" s="422" t="inlineStr">
        <is>
          <t>Send next follow-up with traction + CTA</t>
        </is>
      </c>
      <c r="Z94" s="420" t="n">
        <v>7</v>
      </c>
      <c r="AA94" s="420">
        <f>IF(AC94="Archived",0,ROUND((IF(N94="Tier 1",35,IF(N94="Tier 2",20,8))+IF(C94="Financial Investor",15,IF(C94="Intermediary / Banker",12,8))+IF(L94="Term Sheet / Proposal",25,IF(L94="Engaged",20,IF(L94="Meeting Requested",18,IF(L94="Meeting Held",14,IF(L94="Follow Up",10,5)))))+MIN(Q94,30)+IF(S94="DUE",15,IF(S94="Next 3 Days",8,0))),0))</f>
        <v/>
      </c>
      <c r="AB94" s="420">
        <f>IF(AND(AC94="Active",OR(N94="Tier 1",N94="Tier 2"),OR(S94="DUE",S94="Next 3 Days")),"YES","")</f>
        <v/>
      </c>
      <c r="AC94" s="420">
        <f>IF(L94="Passed","Archived","Active")</f>
        <v/>
      </c>
    </row>
    <row r="95">
      <c r="A95" s="420" t="inlineStr">
        <is>
          <t>EXOS-0094</t>
        </is>
      </c>
      <c r="B95" s="420" t="inlineStr">
        <is>
          <t>John - Investor Contacts</t>
        </is>
      </c>
      <c r="C95" s="420" t="inlineStr">
        <is>
          <t>Financial Investor</t>
        </is>
      </c>
      <c r="D95" s="420" t="inlineStr">
        <is>
          <t>Accel</t>
        </is>
      </c>
      <c r="E95" s="420" t="inlineStr">
        <is>
          <t>Prashanth Prakash</t>
        </is>
      </c>
      <c r="F95" s="420" t="inlineStr"/>
      <c r="G95" s="421" t="inlineStr">
        <is>
          <t>pprakash@accel.com</t>
        </is>
      </c>
      <c r="H95" s="420" t="inlineStr"/>
      <c r="I95" s="420" t="inlineStr"/>
      <c r="J95" s="421" t="inlineStr">
        <is>
          <t>https://www.linkedin.com/in/prakashprashanth/</t>
        </is>
      </c>
      <c r="K95" s="422" t="inlineStr">
        <is>
          <t>John Quinn</t>
        </is>
      </c>
      <c r="L95" s="422" t="inlineStr">
        <is>
          <t>Follow Up</t>
        </is>
      </c>
      <c r="M95" s="420" t="inlineStr">
        <is>
          <t>Space / Defense / Aerospace / Advanced Manufacturing</t>
        </is>
      </c>
      <c r="N95" s="422" t="inlineStr">
        <is>
          <t>Tier 2</t>
        </is>
      </c>
      <c r="O95" s="440" t="n">
        <v>45790</v>
      </c>
      <c r="P95" s="440" t="n">
        <v>45841</v>
      </c>
      <c r="Q95" s="420">
        <f>IF(P95="","",TODAY()-P95)</f>
        <v/>
      </c>
      <c r="R95" s="440">
        <f>IF(OR(L95="Passed",Z95=""),"",P95+Z95)</f>
        <v/>
      </c>
      <c r="S95" s="420">
        <f>IF(OR(R95="",L95="Passed"),"",IF(R95&lt;=TODAY(),"DUE",IF(R95&lt;=TODAY()+3,"Next 3 Days","Later")))</f>
        <v/>
      </c>
      <c r="T95" s="420" t="inlineStr"/>
      <c r="U95" s="422" t="inlineStr">
        <is>
          <t>https://www.linkedin.com/in/prakashprashanth/</t>
        </is>
      </c>
      <c r="V95" s="422" t="inlineStr"/>
      <c r="W95" s="424" t="inlineStr">
        <is>
          <t xml:space="preserve"> |  | </t>
        </is>
      </c>
      <c r="X95" s="420" t="inlineStr">
        <is>
          <t>John - Investor Contacts!7</t>
        </is>
      </c>
      <c r="Y95" s="422" t="inlineStr">
        <is>
          <t>Send next follow-up with traction + CTA</t>
        </is>
      </c>
      <c r="Z95" s="420" t="n">
        <v>7</v>
      </c>
      <c r="AA95" s="420">
        <f>IF(AC95="Archived",0,ROUND((IF(N95="Tier 1",35,IF(N95="Tier 2",20,8))+IF(C95="Financial Investor",15,IF(C95="Intermediary / Banker",12,8))+IF(L95="Term Sheet / Proposal",25,IF(L95="Engaged",20,IF(L95="Meeting Requested",18,IF(L95="Meeting Held",14,IF(L95="Follow Up",10,5)))))+MIN(Q95,30)+IF(S95="DUE",15,IF(S95="Next 3 Days",8,0))),0))</f>
        <v/>
      </c>
      <c r="AB95" s="420">
        <f>IF(AND(AC95="Active",OR(N95="Tier 1",N95="Tier 2"),OR(S95="DUE",S95="Next 3 Days")),"YES","")</f>
        <v/>
      </c>
      <c r="AC95" s="420">
        <f>IF(L95="Passed","Archived","Active")</f>
        <v/>
      </c>
    </row>
    <row r="96">
      <c r="A96" s="420" t="inlineStr">
        <is>
          <t>EXOS-0095</t>
        </is>
      </c>
      <c r="B96" s="420" t="inlineStr">
        <is>
          <t>John - Investor Contacts | OSC</t>
        </is>
      </c>
      <c r="C96" s="420" t="inlineStr">
        <is>
          <t>Financial Investor</t>
        </is>
      </c>
      <c r="D96" s="420" t="inlineStr">
        <is>
          <t>Acequia Capital</t>
        </is>
      </c>
      <c r="E96" s="420" t="inlineStr">
        <is>
          <t>Gregory Bernstein</t>
        </is>
      </c>
      <c r="F96" s="420" t="inlineStr"/>
      <c r="G96" s="421" t="inlineStr">
        <is>
          <t>gregory@acecap.com</t>
        </is>
      </c>
      <c r="H96" s="420" t="inlineStr"/>
      <c r="I96" s="420" t="inlineStr">
        <is>
          <t>917.748.4052</t>
        </is>
      </c>
      <c r="J96" s="421" t="inlineStr">
        <is>
          <t>https://www.linkedin.com/in/gregory-m-bernstein-34a2b4127/</t>
        </is>
      </c>
      <c r="K96" s="422" t="inlineStr">
        <is>
          <t>John Quinn</t>
        </is>
      </c>
      <c r="L96" s="422" t="inlineStr">
        <is>
          <t>Follow Up</t>
        </is>
      </c>
      <c r="M96" s="420" t="inlineStr">
        <is>
          <t>Space / Defense / Aerospace / Advanced Manufacturing</t>
        </is>
      </c>
      <c r="N96" s="422" t="inlineStr">
        <is>
          <t>Tier 2</t>
        </is>
      </c>
      <c r="O96" s="440" t="n">
        <v>45853</v>
      </c>
      <c r="P96" s="440" t="n">
        <v>45994</v>
      </c>
      <c r="Q96" s="420">
        <f>IF(P96="","",TODAY()-P96)</f>
        <v/>
      </c>
      <c r="R96" s="440">
        <f>IF(OR(L96="Passed",Z96=""),"",P96+Z96)</f>
        <v/>
      </c>
      <c r="S96" s="420">
        <f>IF(OR(R96="",L96="Passed"),"",IF(R96&lt;=TODAY(),"DUE",IF(R96&lt;=TODAY()+3,"Next 3 Days","Later")))</f>
        <v/>
      </c>
      <c r="T96" s="420" t="inlineStr"/>
      <c r="U96" s="422" t="inlineStr">
        <is>
          <t>https://www.linkedin.com/in/gregory-m-bernstein-34a2b4127/</t>
        </is>
      </c>
      <c r="V96" s="422" t="inlineStr"/>
      <c r="W96" s="424" t="inlineStr">
        <is>
          <t>12/30/2025</t>
        </is>
      </c>
      <c r="X96" s="420" t="inlineStr">
        <is>
          <t>John - Investor Contacts!484 | OSC!12</t>
        </is>
      </c>
      <c r="Y96" s="422" t="inlineStr">
        <is>
          <t>Send next follow-up with traction + CTA</t>
        </is>
      </c>
      <c r="Z96" s="420" t="n">
        <v>7</v>
      </c>
      <c r="AA96" s="420">
        <f>IF(AC96="Archived",0,ROUND((IF(N96="Tier 1",35,IF(N96="Tier 2",20,8))+IF(C96="Financial Investor",15,IF(C96="Intermediary / Banker",12,8))+IF(L96="Term Sheet / Proposal",25,IF(L96="Engaged",20,IF(L96="Meeting Requested",18,IF(L96="Meeting Held",14,IF(L96="Follow Up",10,5)))))+MIN(Q96,30)+IF(S96="DUE",15,IF(S96="Next 3 Days",8,0))),0))</f>
        <v/>
      </c>
      <c r="AB96" s="420">
        <f>IF(AND(AC96="Active",OR(N96="Tier 1",N96="Tier 2"),OR(S96="DUE",S96="Next 3 Days")),"YES","")</f>
        <v/>
      </c>
      <c r="AC96" s="420">
        <f>IF(L96="Passed","Archived","Active")</f>
        <v/>
      </c>
    </row>
    <row r="97">
      <c r="A97" s="420" t="inlineStr">
        <is>
          <t>EXOS-0096</t>
        </is>
      </c>
      <c r="B97" s="420" t="inlineStr">
        <is>
          <t>John - Investor Contacts | OSC</t>
        </is>
      </c>
      <c r="C97" s="420" t="inlineStr">
        <is>
          <t>Financial Investor</t>
        </is>
      </c>
      <c r="D97" s="420" t="inlineStr">
        <is>
          <t>Acequia Capital</t>
        </is>
      </c>
      <c r="E97" s="420" t="inlineStr">
        <is>
          <t>Hank Vigil</t>
        </is>
      </c>
      <c r="F97" s="420" t="inlineStr"/>
      <c r="G97" s="421" t="inlineStr">
        <is>
          <t>hank@acecap.com</t>
        </is>
      </c>
      <c r="H97" s="420" t="inlineStr"/>
      <c r="I97" s="420" t="inlineStr">
        <is>
          <t>425.363.3954</t>
        </is>
      </c>
      <c r="J97" s="421" t="inlineStr">
        <is>
          <t>https://www.linkedin.com/in/hank-vigil-447280160/</t>
        </is>
      </c>
      <c r="K97" s="422" t="inlineStr">
        <is>
          <t>John Quinn</t>
        </is>
      </c>
      <c r="L97" s="422" t="inlineStr">
        <is>
          <t>Follow Up</t>
        </is>
      </c>
      <c r="M97" s="420" t="inlineStr">
        <is>
          <t>Space / Defense / Aerospace / Advanced Manufacturing</t>
        </is>
      </c>
      <c r="N97" s="422" t="inlineStr">
        <is>
          <t>Tier 2</t>
        </is>
      </c>
      <c r="O97" s="440" t="n">
        <v>45853</v>
      </c>
      <c r="P97" s="440" t="n">
        <v>45994</v>
      </c>
      <c r="Q97" s="420">
        <f>IF(P97="","",TODAY()-P97)</f>
        <v/>
      </c>
      <c r="R97" s="440">
        <f>IF(OR(L97="Passed",Z97=""),"",P97+Z97)</f>
        <v/>
      </c>
      <c r="S97" s="420">
        <f>IF(OR(R97="",L97="Passed"),"",IF(R97&lt;=TODAY(),"DUE",IF(R97&lt;=TODAY()+3,"Next 3 Days","Later")))</f>
        <v/>
      </c>
      <c r="T97" s="420" t="inlineStr"/>
      <c r="U97" s="422" t="inlineStr">
        <is>
          <t>https://www.linkedin.com/in/hank-vigil-447280160/</t>
        </is>
      </c>
      <c r="V97" s="422" t="inlineStr"/>
      <c r="W97" s="424" t="inlineStr">
        <is>
          <t>12/30/2025</t>
        </is>
      </c>
      <c r="X97" s="420" t="inlineStr">
        <is>
          <t>John - Investor Contacts!488 | OSC!16</t>
        </is>
      </c>
      <c r="Y97" s="422" t="inlineStr">
        <is>
          <t>Send next follow-up with traction + CTA</t>
        </is>
      </c>
      <c r="Z97" s="420" t="n">
        <v>7</v>
      </c>
      <c r="AA97" s="420">
        <f>IF(AC97="Archived",0,ROUND((IF(N97="Tier 1",35,IF(N97="Tier 2",20,8))+IF(C97="Financial Investor",15,IF(C97="Intermediary / Banker",12,8))+IF(L97="Term Sheet / Proposal",25,IF(L97="Engaged",20,IF(L97="Meeting Requested",18,IF(L97="Meeting Held",14,IF(L97="Follow Up",10,5)))))+MIN(Q97,30)+IF(S97="DUE",15,IF(S97="Next 3 Days",8,0))),0))</f>
        <v/>
      </c>
      <c r="AB97" s="420">
        <f>IF(AND(AC97="Active",OR(N97="Tier 1",N97="Tier 2"),OR(S97="DUE",S97="Next 3 Days")),"YES","")</f>
        <v/>
      </c>
      <c r="AC97" s="420">
        <f>IF(L97="Passed","Archived","Active")</f>
        <v/>
      </c>
    </row>
    <row r="98">
      <c r="A98" s="420" t="inlineStr">
        <is>
          <t>EXOS-0097</t>
        </is>
      </c>
      <c r="B98" s="420" t="inlineStr">
        <is>
          <t>John - Investor Contacts | OSC</t>
        </is>
      </c>
      <c r="C98" s="420" t="inlineStr">
        <is>
          <t>Financial Investor</t>
        </is>
      </c>
      <c r="D98" s="420" t="inlineStr">
        <is>
          <t>Acequia Capital</t>
        </is>
      </c>
      <c r="E98" s="420" t="inlineStr">
        <is>
          <t>Investor Relations</t>
        </is>
      </c>
      <c r="F98" s="420" t="inlineStr"/>
      <c r="G98" s="421" t="inlineStr">
        <is>
          <t>investor.relations@acecap.com</t>
        </is>
      </c>
      <c r="H98" s="420" t="inlineStr"/>
      <c r="I98" s="420" t="inlineStr">
        <is>
          <t>206.726.7886</t>
        </is>
      </c>
      <c r="J98" s="420" t="inlineStr"/>
      <c r="K98" s="422" t="inlineStr">
        <is>
          <t>John Quinn</t>
        </is>
      </c>
      <c r="L98" s="422" t="inlineStr">
        <is>
          <t>Follow Up</t>
        </is>
      </c>
      <c r="M98" s="420" t="inlineStr">
        <is>
          <t>Space / Defense / Aerospace / Advanced Manufacturing</t>
        </is>
      </c>
      <c r="N98" s="422" t="inlineStr">
        <is>
          <t>Tier 2</t>
        </is>
      </c>
      <c r="O98" s="440" t="n">
        <v>45814</v>
      </c>
      <c r="P98" s="440" t="n">
        <v>45922</v>
      </c>
      <c r="Q98" s="420">
        <f>IF(P98="","",TODAY()-P98)</f>
        <v/>
      </c>
      <c r="R98" s="440">
        <f>IF(OR(L98="Passed",Z98=""),"",P98+Z98)</f>
        <v/>
      </c>
      <c r="S98" s="420">
        <f>IF(OR(R98="",L98="Passed"),"",IF(R98&lt;=TODAY(),"DUE",IF(R98&lt;=TODAY()+3,"Next 3 Days","Later")))</f>
        <v/>
      </c>
      <c r="T98" s="420" t="inlineStr"/>
      <c r="U98" s="422" t="inlineStr"/>
      <c r="V98" s="422" t="inlineStr"/>
      <c r="W98" s="424" t="inlineStr"/>
      <c r="X98" s="420" t="inlineStr">
        <is>
          <t>John - Investor Contacts!133 | OSC!2</t>
        </is>
      </c>
      <c r="Y98" s="422" t="inlineStr">
        <is>
          <t>Send next follow-up with traction + CTA</t>
        </is>
      </c>
      <c r="Z98" s="420" t="n">
        <v>7</v>
      </c>
      <c r="AA98" s="420">
        <f>IF(AC98="Archived",0,ROUND((IF(N98="Tier 1",35,IF(N98="Tier 2",20,8))+IF(C98="Financial Investor",15,IF(C98="Intermediary / Banker",12,8))+IF(L98="Term Sheet / Proposal",25,IF(L98="Engaged",20,IF(L98="Meeting Requested",18,IF(L98="Meeting Held",14,IF(L98="Follow Up",10,5)))))+MIN(Q98,30)+IF(S98="DUE",15,IF(S98="Next 3 Days",8,0))),0))</f>
        <v/>
      </c>
      <c r="AB98" s="420">
        <f>IF(AND(AC98="Active",OR(N98="Tier 1",N98="Tier 2"),OR(S98="DUE",S98="Next 3 Days")),"YES","")</f>
        <v/>
      </c>
      <c r="AC98" s="420">
        <f>IF(L98="Passed","Archived","Active")</f>
        <v/>
      </c>
    </row>
    <row r="99">
      <c r="A99" s="420" t="inlineStr">
        <is>
          <t>EXOS-0098</t>
        </is>
      </c>
      <c r="B99" s="420" t="inlineStr">
        <is>
          <t>John - Investor Contacts | OSC</t>
        </is>
      </c>
      <c r="C99" s="420" t="inlineStr">
        <is>
          <t>Financial Investor</t>
        </is>
      </c>
      <c r="D99" s="420" t="inlineStr">
        <is>
          <t>Acequia Capital</t>
        </is>
      </c>
      <c r="E99" s="420" t="inlineStr">
        <is>
          <t>Leif Danielsen</t>
        </is>
      </c>
      <c r="F99" s="420" t="inlineStr"/>
      <c r="G99" s="421" t="inlineStr">
        <is>
          <t>danielsen@acecap.com</t>
        </is>
      </c>
      <c r="H99" s="420" t="inlineStr"/>
      <c r="I99" s="420" t="inlineStr"/>
      <c r="J99" s="421" t="inlineStr">
        <is>
          <t>https://www.linkedin.com/in/leif-danielsen-35a56550/</t>
        </is>
      </c>
      <c r="K99" s="422" t="inlineStr">
        <is>
          <t>John Quinn</t>
        </is>
      </c>
      <c r="L99" s="422" t="inlineStr">
        <is>
          <t>Follow Up</t>
        </is>
      </c>
      <c r="M99" s="420" t="inlineStr">
        <is>
          <t>Space / Defense / Aerospace / Advanced Manufacturing</t>
        </is>
      </c>
      <c r="N99" s="422" t="inlineStr">
        <is>
          <t>Tier 2</t>
        </is>
      </c>
      <c r="O99" s="440" t="n">
        <v>45853</v>
      </c>
      <c r="P99" s="440" t="n">
        <v>45994</v>
      </c>
      <c r="Q99" s="420">
        <f>IF(P99="","",TODAY()-P99)</f>
        <v/>
      </c>
      <c r="R99" s="440">
        <f>IF(OR(L99="Passed",Z99=""),"",P99+Z99)</f>
        <v/>
      </c>
      <c r="S99" s="420">
        <f>IF(OR(R99="",L99="Passed"),"",IF(R99&lt;=TODAY(),"DUE",IF(R99&lt;=TODAY()+3,"Next 3 Days","Later")))</f>
        <v/>
      </c>
      <c r="T99" s="420" t="inlineStr"/>
      <c r="U99" s="422" t="inlineStr">
        <is>
          <t>https://www.linkedin.com/in/leif-danielsen-35a56550/</t>
        </is>
      </c>
      <c r="V99" s="422" t="inlineStr"/>
      <c r="W99" s="424" t="inlineStr">
        <is>
          <t>12/30/2025</t>
        </is>
      </c>
      <c r="X99" s="420" t="inlineStr">
        <is>
          <t>John - Investor Contacts!487 | OSC!15</t>
        </is>
      </c>
      <c r="Y99" s="422" t="inlineStr">
        <is>
          <t>Send next follow-up with traction + CTA</t>
        </is>
      </c>
      <c r="Z99" s="420" t="n">
        <v>7</v>
      </c>
      <c r="AA99" s="420">
        <f>IF(AC99="Archived",0,ROUND((IF(N99="Tier 1",35,IF(N99="Tier 2",20,8))+IF(C99="Financial Investor",15,IF(C99="Intermediary / Banker",12,8))+IF(L99="Term Sheet / Proposal",25,IF(L99="Engaged",20,IF(L99="Meeting Requested",18,IF(L99="Meeting Held",14,IF(L99="Follow Up",10,5)))))+MIN(Q99,30)+IF(S99="DUE",15,IF(S99="Next 3 Days",8,0))),0))</f>
        <v/>
      </c>
      <c r="AB99" s="420">
        <f>IF(AND(AC99="Active",OR(N99="Tier 1",N99="Tier 2"),OR(S99="DUE",S99="Next 3 Days")),"YES","")</f>
        <v/>
      </c>
      <c r="AC99" s="420">
        <f>IF(L99="Passed","Archived","Active")</f>
        <v/>
      </c>
    </row>
    <row r="100">
      <c r="A100" s="420" t="inlineStr">
        <is>
          <t>EXOS-0099</t>
        </is>
      </c>
      <c r="B100" s="420" t="inlineStr">
        <is>
          <t>John - Investor Contacts | OSC</t>
        </is>
      </c>
      <c r="C100" s="420" t="inlineStr">
        <is>
          <t>Financial Investor</t>
        </is>
      </c>
      <c r="D100" s="420" t="inlineStr">
        <is>
          <t>Acequia Capital</t>
        </is>
      </c>
      <c r="E100" s="420" t="inlineStr">
        <is>
          <t>Marc Jalabert</t>
        </is>
      </c>
      <c r="F100" s="420" t="inlineStr"/>
      <c r="G100" s="421" t="inlineStr">
        <is>
          <t>marc@acecap.com</t>
        </is>
      </c>
      <c r="H100" s="420" t="inlineStr"/>
      <c r="I100" s="420" t="inlineStr"/>
      <c r="J100" s="421" t="inlineStr">
        <is>
          <t>https://www.linkedin.com/in/marcjalabert/</t>
        </is>
      </c>
      <c r="K100" s="422" t="inlineStr">
        <is>
          <t>John Quinn</t>
        </is>
      </c>
      <c r="L100" s="422" t="inlineStr">
        <is>
          <t>Follow Up</t>
        </is>
      </c>
      <c r="M100" s="420" t="inlineStr">
        <is>
          <t>Space / Defense / Aerospace / Advanced Manufacturing</t>
        </is>
      </c>
      <c r="N100" s="422" t="inlineStr">
        <is>
          <t>Tier 2</t>
        </is>
      </c>
      <c r="O100" s="440" t="n">
        <v>45853</v>
      </c>
      <c r="P100" s="440" t="n">
        <v>45994</v>
      </c>
      <c r="Q100" s="420">
        <f>IF(P100="","",TODAY()-P100)</f>
        <v/>
      </c>
      <c r="R100" s="440">
        <f>IF(OR(L100="Passed",Z100=""),"",P100+Z100)</f>
        <v/>
      </c>
      <c r="S100" s="420">
        <f>IF(OR(R100="",L100="Passed"),"",IF(R100&lt;=TODAY(),"DUE",IF(R100&lt;=TODAY()+3,"Next 3 Days","Later")))</f>
        <v/>
      </c>
      <c r="T100" s="420" t="inlineStr"/>
      <c r="U100" s="422" t="inlineStr">
        <is>
          <t>https://www.linkedin.com/in/marcjalabert/</t>
        </is>
      </c>
      <c r="V100" s="422" t="inlineStr"/>
      <c r="W100" s="424" t="inlineStr">
        <is>
          <t>12/30/2025</t>
        </is>
      </c>
      <c r="X100" s="420" t="inlineStr">
        <is>
          <t>John - Investor Contacts!486 | OSC!14</t>
        </is>
      </c>
      <c r="Y100" s="422" t="inlineStr">
        <is>
          <t>Send next follow-up with traction + CTA</t>
        </is>
      </c>
      <c r="Z100" s="420" t="n">
        <v>7</v>
      </c>
      <c r="AA100" s="420">
        <f>IF(AC100="Archived",0,ROUND((IF(N100="Tier 1",35,IF(N100="Tier 2",20,8))+IF(C100="Financial Investor",15,IF(C100="Intermediary / Banker",12,8))+IF(L100="Term Sheet / Proposal",25,IF(L100="Engaged",20,IF(L100="Meeting Requested",18,IF(L100="Meeting Held",14,IF(L100="Follow Up",10,5)))))+MIN(Q100,30)+IF(S100="DUE",15,IF(S100="Next 3 Days",8,0))),0))</f>
        <v/>
      </c>
      <c r="AB100" s="420">
        <f>IF(AND(AC100="Active",OR(N100="Tier 1",N100="Tier 2"),OR(S100="DUE",S100="Next 3 Days")),"YES","")</f>
        <v/>
      </c>
      <c r="AC100" s="420">
        <f>IF(L100="Passed","Archived","Active")</f>
        <v/>
      </c>
    </row>
    <row r="101">
      <c r="A101" s="420" t="inlineStr">
        <is>
          <t>EXOS-0100</t>
        </is>
      </c>
      <c r="B101" s="420" t="inlineStr">
        <is>
          <t>John - Investor Contacts | OSC</t>
        </is>
      </c>
      <c r="C101" s="420" t="inlineStr">
        <is>
          <t>Financial Investor</t>
        </is>
      </c>
      <c r="D101" s="420" t="inlineStr">
        <is>
          <t>Acequia Capital</t>
        </is>
      </c>
      <c r="E101" s="420" t="inlineStr">
        <is>
          <t>Michael Whitticom</t>
        </is>
      </c>
      <c r="F101" s="420" t="inlineStr"/>
      <c r="G101" s="421" t="inlineStr">
        <is>
          <t>mike@acecap.com</t>
        </is>
      </c>
      <c r="H101" s="420" t="inlineStr"/>
      <c r="I101" s="420" t="inlineStr">
        <is>
          <t>970.275.6598</t>
        </is>
      </c>
      <c r="J101" s="421" t="inlineStr">
        <is>
          <t>https://www.linkedin.com/in/michael-whitticom-26596713/</t>
        </is>
      </c>
      <c r="K101" s="422" t="inlineStr">
        <is>
          <t>John Quinn</t>
        </is>
      </c>
      <c r="L101" s="422" t="inlineStr">
        <is>
          <t>Follow Up</t>
        </is>
      </c>
      <c r="M101" s="420" t="inlineStr">
        <is>
          <t>Space / Defense / Aerospace / Advanced Manufacturing</t>
        </is>
      </c>
      <c r="N101" s="422" t="inlineStr">
        <is>
          <t>Tier 2</t>
        </is>
      </c>
      <c r="O101" s="440" t="n">
        <v>45853</v>
      </c>
      <c r="P101" s="440" t="n">
        <v>45994</v>
      </c>
      <c r="Q101" s="420">
        <f>IF(P101="","",TODAY()-P101)</f>
        <v/>
      </c>
      <c r="R101" s="440">
        <f>IF(OR(L101="Passed",Z101=""),"",P101+Z101)</f>
        <v/>
      </c>
      <c r="S101" s="420">
        <f>IF(OR(R101="",L101="Passed"),"",IF(R101&lt;=TODAY(),"DUE",IF(R101&lt;=TODAY()+3,"Next 3 Days","Later")))</f>
        <v/>
      </c>
      <c r="T101" s="420" t="inlineStr"/>
      <c r="U101" s="422" t="inlineStr">
        <is>
          <t>https://www.linkedin.com/in/michael-whitticom-26596713/</t>
        </is>
      </c>
      <c r="V101" s="422" t="inlineStr"/>
      <c r="W101" s="424" t="inlineStr">
        <is>
          <t>12/30/2025</t>
        </is>
      </c>
      <c r="X101" s="420" t="inlineStr">
        <is>
          <t>John - Investor Contacts!485 | OSC!13</t>
        </is>
      </c>
      <c r="Y101" s="422" t="inlineStr">
        <is>
          <t>Send next follow-up with traction + CTA</t>
        </is>
      </c>
      <c r="Z101" s="420" t="n">
        <v>7</v>
      </c>
      <c r="AA101" s="420">
        <f>IF(AC101="Archived",0,ROUND((IF(N101="Tier 1",35,IF(N101="Tier 2",20,8))+IF(C101="Financial Investor",15,IF(C101="Intermediary / Banker",12,8))+IF(L101="Term Sheet / Proposal",25,IF(L101="Engaged",20,IF(L101="Meeting Requested",18,IF(L101="Meeting Held",14,IF(L101="Follow Up",10,5)))))+MIN(Q101,30)+IF(S101="DUE",15,IF(S101="Next 3 Days",8,0))),0))</f>
        <v/>
      </c>
      <c r="AB101" s="420">
        <f>IF(AND(AC101="Active",OR(N101="Tier 1",N101="Tier 2"),OR(S101="DUE",S101="Next 3 Days")),"YES","")</f>
        <v/>
      </c>
      <c r="AC101" s="420">
        <f>IF(L101="Passed","Archived","Active")</f>
        <v/>
      </c>
    </row>
    <row r="102">
      <c r="A102" s="420" t="inlineStr">
        <is>
          <t>EXOS-0101</t>
        </is>
      </c>
      <c r="B102" s="420" t="inlineStr">
        <is>
          <t>John - Investor Contacts</t>
        </is>
      </c>
      <c r="C102" s="420" t="inlineStr">
        <is>
          <t>Financial Investor</t>
        </is>
      </c>
      <c r="D102" s="420" t="inlineStr">
        <is>
          <t>Acorn Pacific Ventures</t>
        </is>
      </c>
      <c r="E102" s="420" t="inlineStr">
        <is>
          <t>Benny Liao</t>
        </is>
      </c>
      <c r="F102" s="420" t="inlineStr"/>
      <c r="G102" s="421" t="inlineStr">
        <is>
          <t>benny@acornpacific.ventures</t>
        </is>
      </c>
      <c r="H102" s="420" t="inlineStr"/>
      <c r="I102" s="420" t="inlineStr"/>
      <c r="J102" s="421" t="inlineStr">
        <is>
          <t>https://www.linkedin.com/in/bliao999/</t>
        </is>
      </c>
      <c r="K102" s="422" t="inlineStr">
        <is>
          <t>John Quinn</t>
        </is>
      </c>
      <c r="L102" s="422" t="inlineStr">
        <is>
          <t>Follow Up</t>
        </is>
      </c>
      <c r="M102" s="420" t="inlineStr">
        <is>
          <t>Space / Defense / Aerospace / Advanced Manufacturing</t>
        </is>
      </c>
      <c r="N102" s="422" t="inlineStr">
        <is>
          <t>Tier 2</t>
        </is>
      </c>
      <c r="O102" s="440" t="n">
        <v>45872</v>
      </c>
      <c r="P102" s="440" t="n">
        <v>45890</v>
      </c>
      <c r="Q102" s="420">
        <f>IF(P102="","",TODAY()-P102)</f>
        <v/>
      </c>
      <c r="R102" s="440">
        <f>IF(OR(L102="Passed",Z102=""),"",P102+Z102)</f>
        <v/>
      </c>
      <c r="S102" s="420">
        <f>IF(OR(R102="",L102="Passed"),"",IF(R102&lt;=TODAY(),"DUE",IF(R102&lt;=TODAY()+3,"Next 3 Days","Later")))</f>
        <v/>
      </c>
      <c r="T102" s="420" t="inlineStr"/>
      <c r="U102" s="422" t="inlineStr">
        <is>
          <t>https://www.linkedin.com/in/bliao999/</t>
        </is>
      </c>
      <c r="V102" s="422" t="inlineStr"/>
      <c r="W102" s="424" t="inlineStr">
        <is>
          <t xml:space="preserve"> |  | </t>
        </is>
      </c>
      <c r="X102" s="420" t="inlineStr">
        <is>
          <t>John - Investor Contacts!456</t>
        </is>
      </c>
      <c r="Y102" s="422" t="inlineStr">
        <is>
          <t>Send next follow-up with traction + CTA</t>
        </is>
      </c>
      <c r="Z102" s="420" t="n">
        <v>7</v>
      </c>
      <c r="AA102" s="420">
        <f>IF(AC102="Archived",0,ROUND((IF(N102="Tier 1",35,IF(N102="Tier 2",20,8))+IF(C102="Financial Investor",15,IF(C102="Intermediary / Banker",12,8))+IF(L102="Term Sheet / Proposal",25,IF(L102="Engaged",20,IF(L102="Meeting Requested",18,IF(L102="Meeting Held",14,IF(L102="Follow Up",10,5)))))+MIN(Q102,30)+IF(S102="DUE",15,IF(S102="Next 3 Days",8,0))),0))</f>
        <v/>
      </c>
      <c r="AB102" s="420">
        <f>IF(AND(AC102="Active",OR(N102="Tier 1",N102="Tier 2"),OR(S102="DUE",S102="Next 3 Days")),"YES","")</f>
        <v/>
      </c>
      <c r="AC102" s="420">
        <f>IF(L102="Passed","Archived","Active")</f>
        <v/>
      </c>
    </row>
    <row r="103">
      <c r="A103" s="420" t="inlineStr">
        <is>
          <t>EXOS-0102</t>
        </is>
      </c>
      <c r="B103" s="420" t="inlineStr">
        <is>
          <t>John - Investor Contacts</t>
        </is>
      </c>
      <c r="C103" s="420" t="inlineStr">
        <is>
          <t>Financial Investor</t>
        </is>
      </c>
      <c r="D103" s="420" t="inlineStr">
        <is>
          <t>Acorn Pacific Ventures</t>
        </is>
      </c>
      <c r="E103" s="420" t="inlineStr">
        <is>
          <t>David Wu</t>
        </is>
      </c>
      <c r="F103" s="420" t="inlineStr"/>
      <c r="G103" s="421" t="inlineStr">
        <is>
          <t>david@acornpacific.ventures</t>
        </is>
      </c>
      <c r="H103" s="420" t="inlineStr"/>
      <c r="I103" s="420" t="inlineStr"/>
      <c r="J103" s="421" t="inlineStr">
        <is>
          <t>https://www.linkedin.com/in/davidwutw-0b038855/</t>
        </is>
      </c>
      <c r="K103" s="422" t="inlineStr">
        <is>
          <t>John Quinn</t>
        </is>
      </c>
      <c r="L103" s="422" t="inlineStr">
        <is>
          <t>Follow Up</t>
        </is>
      </c>
      <c r="M103" s="420" t="inlineStr">
        <is>
          <t>Space / Defense / Aerospace / Advanced Manufacturing</t>
        </is>
      </c>
      <c r="N103" s="422" t="inlineStr">
        <is>
          <t>Tier 2</t>
        </is>
      </c>
      <c r="O103" s="440" t="n">
        <v>45872</v>
      </c>
      <c r="P103" s="440" t="n">
        <v>45890</v>
      </c>
      <c r="Q103" s="420">
        <f>IF(P103="","",TODAY()-P103)</f>
        <v/>
      </c>
      <c r="R103" s="440">
        <f>IF(OR(L103="Passed",Z103=""),"",P103+Z103)</f>
        <v/>
      </c>
      <c r="S103" s="420">
        <f>IF(OR(R103="",L103="Passed"),"",IF(R103&lt;=TODAY(),"DUE",IF(R103&lt;=TODAY()+3,"Next 3 Days","Later")))</f>
        <v/>
      </c>
      <c r="T103" s="420" t="inlineStr"/>
      <c r="U103" s="422" t="inlineStr">
        <is>
          <t>https://www.linkedin.com/in/davidwutw-0b038855/</t>
        </is>
      </c>
      <c r="V103" s="422" t="inlineStr"/>
      <c r="W103" s="424" t="inlineStr">
        <is>
          <t xml:space="preserve"> |  | </t>
        </is>
      </c>
      <c r="X103" s="420" t="inlineStr">
        <is>
          <t>John - Investor Contacts!457</t>
        </is>
      </c>
      <c r="Y103" s="422" t="inlineStr">
        <is>
          <t>Send next follow-up with traction + CTA</t>
        </is>
      </c>
      <c r="Z103" s="420" t="n">
        <v>7</v>
      </c>
      <c r="AA103" s="420">
        <f>IF(AC103="Archived",0,ROUND((IF(N103="Tier 1",35,IF(N103="Tier 2",20,8))+IF(C103="Financial Investor",15,IF(C103="Intermediary / Banker",12,8))+IF(L103="Term Sheet / Proposal",25,IF(L103="Engaged",20,IF(L103="Meeting Requested",18,IF(L103="Meeting Held",14,IF(L103="Follow Up",10,5)))))+MIN(Q103,30)+IF(S103="DUE",15,IF(S103="Next 3 Days",8,0))),0))</f>
        <v/>
      </c>
      <c r="AB103" s="420">
        <f>IF(AND(AC103="Active",OR(N103="Tier 1",N103="Tier 2"),OR(S103="DUE",S103="Next 3 Days")),"YES","")</f>
        <v/>
      </c>
      <c r="AC103" s="420">
        <f>IF(L103="Passed","Archived","Active")</f>
        <v/>
      </c>
    </row>
    <row r="104">
      <c r="A104" s="420" t="inlineStr">
        <is>
          <t>EXOS-0103</t>
        </is>
      </c>
      <c r="B104" s="420" t="inlineStr">
        <is>
          <t>John - Investor Contacts</t>
        </is>
      </c>
      <c r="C104" s="420" t="inlineStr">
        <is>
          <t>Financial Investor</t>
        </is>
      </c>
      <c r="D104" s="420" t="inlineStr">
        <is>
          <t>Acorn Pacific Ventures</t>
        </is>
      </c>
      <c r="E104" s="420" t="inlineStr">
        <is>
          <t>Derek Chau</t>
        </is>
      </c>
      <c r="F104" s="420" t="inlineStr"/>
      <c r="G104" s="421" t="inlineStr">
        <is>
          <t>derek@acornpacific.ventures</t>
        </is>
      </c>
      <c r="H104" s="420" t="inlineStr"/>
      <c r="I104" s="420" t="inlineStr"/>
      <c r="J104" s="421" t="inlineStr">
        <is>
          <t>https://www.linkedin.com/in/derek-chau-b270116/</t>
        </is>
      </c>
      <c r="K104" s="422" t="inlineStr">
        <is>
          <t>John Quinn</t>
        </is>
      </c>
      <c r="L104" s="422" t="inlineStr">
        <is>
          <t>Follow Up</t>
        </is>
      </c>
      <c r="M104" s="420" t="inlineStr">
        <is>
          <t>Space / Defense / Aerospace / Advanced Manufacturing</t>
        </is>
      </c>
      <c r="N104" s="422" t="inlineStr">
        <is>
          <t>Tier 2</t>
        </is>
      </c>
      <c r="O104" s="440" t="n">
        <v>45872</v>
      </c>
      <c r="P104" s="440" t="n">
        <v>45890</v>
      </c>
      <c r="Q104" s="420">
        <f>IF(P104="","",TODAY()-P104)</f>
        <v/>
      </c>
      <c r="R104" s="440">
        <f>IF(OR(L104="Passed",Z104=""),"",P104+Z104)</f>
        <v/>
      </c>
      <c r="S104" s="420">
        <f>IF(OR(R104="",L104="Passed"),"",IF(R104&lt;=TODAY(),"DUE",IF(R104&lt;=TODAY()+3,"Next 3 Days","Later")))</f>
        <v/>
      </c>
      <c r="T104" s="420" t="inlineStr"/>
      <c r="U104" s="422" t="inlineStr">
        <is>
          <t>https://www.linkedin.com/in/derek-chau-b270116/</t>
        </is>
      </c>
      <c r="V104" s="422" t="inlineStr"/>
      <c r="W104" s="424" t="inlineStr">
        <is>
          <t xml:space="preserve"> | 12/29/2025 | </t>
        </is>
      </c>
      <c r="X104" s="420" t="inlineStr">
        <is>
          <t>John - Investor Contacts!453</t>
        </is>
      </c>
      <c r="Y104" s="422" t="inlineStr">
        <is>
          <t>Send next follow-up with traction + CTA</t>
        </is>
      </c>
      <c r="Z104" s="420" t="n">
        <v>7</v>
      </c>
      <c r="AA104" s="420">
        <f>IF(AC104="Archived",0,ROUND((IF(N104="Tier 1",35,IF(N104="Tier 2",20,8))+IF(C104="Financial Investor",15,IF(C104="Intermediary / Banker",12,8))+IF(L104="Term Sheet / Proposal",25,IF(L104="Engaged",20,IF(L104="Meeting Requested",18,IF(L104="Meeting Held",14,IF(L104="Follow Up",10,5)))))+MIN(Q104,30)+IF(S104="DUE",15,IF(S104="Next 3 Days",8,0))),0))</f>
        <v/>
      </c>
      <c r="AB104" s="420">
        <f>IF(AND(AC104="Active",OR(N104="Tier 1",N104="Tier 2"),OR(S104="DUE",S104="Next 3 Days")),"YES","")</f>
        <v/>
      </c>
      <c r="AC104" s="420">
        <f>IF(L104="Passed","Archived","Active")</f>
        <v/>
      </c>
    </row>
    <row r="105">
      <c r="A105" s="420" t="inlineStr">
        <is>
          <t>EXOS-0104</t>
        </is>
      </c>
      <c r="B105" s="420" t="inlineStr">
        <is>
          <t>John - Investor Contacts</t>
        </is>
      </c>
      <c r="C105" s="420" t="inlineStr">
        <is>
          <t>Financial Investor</t>
        </is>
      </c>
      <c r="D105" s="420" t="inlineStr">
        <is>
          <t>Acorn Pacific Ventures</t>
        </is>
      </c>
      <c r="E105" s="420" t="inlineStr">
        <is>
          <t>Howard Chau</t>
        </is>
      </c>
      <c r="F105" s="420" t="inlineStr"/>
      <c r="G105" s="421" t="inlineStr">
        <is>
          <t>howard@acornpacific.ventures</t>
        </is>
      </c>
      <c r="H105" s="420" t="inlineStr"/>
      <c r="I105" s="420" t="inlineStr"/>
      <c r="J105" s="421" t="inlineStr">
        <is>
          <t>https://www.linkedin.com/in/howard-chau-3a80037/</t>
        </is>
      </c>
      <c r="K105" s="422" t="inlineStr">
        <is>
          <t>John Quinn</t>
        </is>
      </c>
      <c r="L105" s="422" t="inlineStr">
        <is>
          <t>Follow Up</t>
        </is>
      </c>
      <c r="M105" s="420" t="inlineStr">
        <is>
          <t>Space / Defense / Aerospace / Advanced Manufacturing</t>
        </is>
      </c>
      <c r="N105" s="422" t="inlineStr">
        <is>
          <t>Tier 2</t>
        </is>
      </c>
      <c r="O105" s="440" t="n">
        <v>45872</v>
      </c>
      <c r="P105" s="440" t="n">
        <v>45890</v>
      </c>
      <c r="Q105" s="420">
        <f>IF(P105="","",TODAY()-P105)</f>
        <v/>
      </c>
      <c r="R105" s="440">
        <f>IF(OR(L105="Passed",Z105=""),"",P105+Z105)</f>
        <v/>
      </c>
      <c r="S105" s="420">
        <f>IF(OR(R105="",L105="Passed"),"",IF(R105&lt;=TODAY(),"DUE",IF(R105&lt;=TODAY()+3,"Next 3 Days","Later")))</f>
        <v/>
      </c>
      <c r="T105" s="420" t="inlineStr"/>
      <c r="U105" s="422" t="inlineStr">
        <is>
          <t>https://www.linkedin.com/in/howard-chau-3a80037/</t>
        </is>
      </c>
      <c r="V105" s="422" t="inlineStr"/>
      <c r="W105" s="424" t="inlineStr">
        <is>
          <t xml:space="preserve"> | 12/29/2025 | </t>
        </is>
      </c>
      <c r="X105" s="420" t="inlineStr">
        <is>
          <t>John - Investor Contacts!454</t>
        </is>
      </c>
      <c r="Y105" s="422" t="inlineStr">
        <is>
          <t>Send next follow-up with traction + CTA</t>
        </is>
      </c>
      <c r="Z105" s="420" t="n">
        <v>7</v>
      </c>
      <c r="AA105" s="420">
        <f>IF(AC105="Archived",0,ROUND((IF(N105="Tier 1",35,IF(N105="Tier 2",20,8))+IF(C105="Financial Investor",15,IF(C105="Intermediary / Banker",12,8))+IF(L105="Term Sheet / Proposal",25,IF(L105="Engaged",20,IF(L105="Meeting Requested",18,IF(L105="Meeting Held",14,IF(L105="Follow Up",10,5)))))+MIN(Q105,30)+IF(S105="DUE",15,IF(S105="Next 3 Days",8,0))),0))</f>
        <v/>
      </c>
      <c r="AB105" s="420">
        <f>IF(AND(AC105="Active",OR(N105="Tier 1",N105="Tier 2"),OR(S105="DUE",S105="Next 3 Days")),"YES","")</f>
        <v/>
      </c>
      <c r="AC105" s="420">
        <f>IF(L105="Passed","Archived","Active")</f>
        <v/>
      </c>
    </row>
    <row r="106">
      <c r="A106" s="420" t="inlineStr">
        <is>
          <t>EXOS-0105</t>
        </is>
      </c>
      <c r="B106" s="420" t="inlineStr">
        <is>
          <t>John - Investor Contacts</t>
        </is>
      </c>
      <c r="C106" s="420" t="inlineStr">
        <is>
          <t>Financial Investor</t>
        </is>
      </c>
      <c r="D106" s="420" t="inlineStr">
        <is>
          <t>Acorn Pacific Ventures</t>
        </is>
      </c>
      <c r="E106" s="420" t="inlineStr">
        <is>
          <t>Peter Hsieh</t>
        </is>
      </c>
      <c r="F106" s="420" t="inlineStr"/>
      <c r="G106" s="421" t="inlineStr">
        <is>
          <t>peter@acornpacific.ventures</t>
        </is>
      </c>
      <c r="H106" s="420" t="inlineStr"/>
      <c r="I106" s="420" t="inlineStr"/>
      <c r="J106" s="421" t="inlineStr">
        <is>
          <t>https://www.linkedin.com/in/peter-hsieh-9165a/</t>
        </is>
      </c>
      <c r="K106" s="422" t="inlineStr">
        <is>
          <t>John Quinn</t>
        </is>
      </c>
      <c r="L106" s="422" t="inlineStr">
        <is>
          <t>Follow Up</t>
        </is>
      </c>
      <c r="M106" s="420" t="inlineStr">
        <is>
          <t>Space / Defense / Aerospace / Advanced Manufacturing</t>
        </is>
      </c>
      <c r="N106" s="422" t="inlineStr">
        <is>
          <t>Tier 2</t>
        </is>
      </c>
      <c r="O106" s="440" t="n">
        <v>45872</v>
      </c>
      <c r="P106" s="440" t="n">
        <v>45890</v>
      </c>
      <c r="Q106" s="420">
        <f>IF(P106="","",TODAY()-P106)</f>
        <v/>
      </c>
      <c r="R106" s="440">
        <f>IF(OR(L106="Passed",Z106=""),"",P106+Z106)</f>
        <v/>
      </c>
      <c r="S106" s="420">
        <f>IF(OR(R106="",L106="Passed"),"",IF(R106&lt;=TODAY(),"DUE",IF(R106&lt;=TODAY()+3,"Next 3 Days","Later")))</f>
        <v/>
      </c>
      <c r="T106" s="420" t="inlineStr"/>
      <c r="U106" s="422" t="inlineStr">
        <is>
          <t>https://www.linkedin.com/in/peter-hsieh-9165a/</t>
        </is>
      </c>
      <c r="V106" s="422" t="inlineStr"/>
      <c r="W106" s="424" t="inlineStr">
        <is>
          <t xml:space="preserve"> |  | </t>
        </is>
      </c>
      <c r="X106" s="420" t="inlineStr">
        <is>
          <t>John - Investor Contacts!455</t>
        </is>
      </c>
      <c r="Y106" s="422" t="inlineStr">
        <is>
          <t>Send next follow-up with traction + CTA</t>
        </is>
      </c>
      <c r="Z106" s="420" t="n">
        <v>7</v>
      </c>
      <c r="AA106" s="420">
        <f>IF(AC106="Archived",0,ROUND((IF(N106="Tier 1",35,IF(N106="Tier 2",20,8))+IF(C106="Financial Investor",15,IF(C106="Intermediary / Banker",12,8))+IF(L106="Term Sheet / Proposal",25,IF(L106="Engaged",20,IF(L106="Meeting Requested",18,IF(L106="Meeting Held",14,IF(L106="Follow Up",10,5)))))+MIN(Q106,30)+IF(S106="DUE",15,IF(S106="Next 3 Days",8,0))),0))</f>
        <v/>
      </c>
      <c r="AB106" s="420">
        <f>IF(AND(AC106="Active",OR(N106="Tier 1",N106="Tier 2"),OR(S106="DUE",S106="Next 3 Days")),"YES","")</f>
        <v/>
      </c>
      <c r="AC106" s="420">
        <f>IF(L106="Passed","Archived","Active")</f>
        <v/>
      </c>
    </row>
    <row r="107">
      <c r="A107" s="420" t="inlineStr">
        <is>
          <t>EXOS-0106</t>
        </is>
      </c>
      <c r="B107" s="420" t="inlineStr">
        <is>
          <t>John - Investor Contacts</t>
        </is>
      </c>
      <c r="C107" s="420" t="inlineStr">
        <is>
          <t>Financial Investor</t>
        </is>
      </c>
      <c r="D107" s="420" t="inlineStr">
        <is>
          <t>Acorn Pacific Ventures</t>
        </is>
      </c>
      <c r="E107" s="420" t="inlineStr">
        <is>
          <t>Tim Liao</t>
        </is>
      </c>
      <c r="F107" s="420" t="inlineStr"/>
      <c r="G107" s="421" t="inlineStr">
        <is>
          <t>tim@acornpacific.ventures</t>
        </is>
      </c>
      <c r="H107" s="420" t="inlineStr"/>
      <c r="I107" s="420" t="inlineStr"/>
      <c r="J107" s="421" t="inlineStr">
        <is>
          <t>https://www.linkedin.com/in/mrliaotim/</t>
        </is>
      </c>
      <c r="K107" s="422" t="inlineStr">
        <is>
          <t>John Quinn</t>
        </is>
      </c>
      <c r="L107" s="422" t="inlineStr">
        <is>
          <t>Follow Up</t>
        </is>
      </c>
      <c r="M107" s="420" t="inlineStr">
        <is>
          <t>Space / Defense / Aerospace / Advanced Manufacturing</t>
        </is>
      </c>
      <c r="N107" s="422" t="inlineStr">
        <is>
          <t>Tier 2</t>
        </is>
      </c>
      <c r="O107" s="440" t="n">
        <v>45872</v>
      </c>
      <c r="P107" s="440" t="n">
        <v>45890</v>
      </c>
      <c r="Q107" s="420">
        <f>IF(P107="","",TODAY()-P107)</f>
        <v/>
      </c>
      <c r="R107" s="440">
        <f>IF(OR(L107="Passed",Z107=""),"",P107+Z107)</f>
        <v/>
      </c>
      <c r="S107" s="420">
        <f>IF(OR(R107="",L107="Passed"),"",IF(R107&lt;=TODAY(),"DUE",IF(R107&lt;=TODAY()+3,"Next 3 Days","Later")))</f>
        <v/>
      </c>
      <c r="T107" s="420" t="inlineStr"/>
      <c r="U107" s="422" t="inlineStr">
        <is>
          <t>https://www.linkedin.com/in/mrliaotim/</t>
        </is>
      </c>
      <c r="V107" s="422" t="inlineStr"/>
      <c r="W107" s="424" t="inlineStr">
        <is>
          <t xml:space="preserve"> | 12/29/2025 | </t>
        </is>
      </c>
      <c r="X107" s="420" t="inlineStr">
        <is>
          <t>John - Investor Contacts!452</t>
        </is>
      </c>
      <c r="Y107" s="422" t="inlineStr">
        <is>
          <t>Send next follow-up with traction + CTA</t>
        </is>
      </c>
      <c r="Z107" s="420" t="n">
        <v>7</v>
      </c>
      <c r="AA107" s="420">
        <f>IF(AC107="Archived",0,ROUND((IF(N107="Tier 1",35,IF(N107="Tier 2",20,8))+IF(C107="Financial Investor",15,IF(C107="Intermediary / Banker",12,8))+IF(L107="Term Sheet / Proposal",25,IF(L107="Engaged",20,IF(L107="Meeting Requested",18,IF(L107="Meeting Held",14,IF(L107="Follow Up",10,5)))))+MIN(Q107,30)+IF(S107="DUE",15,IF(S107="Next 3 Days",8,0))),0))</f>
        <v/>
      </c>
      <c r="AB107" s="420">
        <f>IF(AND(AC107="Active",OR(N107="Tier 1",N107="Tier 2"),OR(S107="DUE",S107="Next 3 Days")),"YES","")</f>
        <v/>
      </c>
      <c r="AC107" s="420">
        <f>IF(L107="Passed","Archived","Active")</f>
        <v/>
      </c>
    </row>
    <row r="108">
      <c r="A108" s="420" t="inlineStr">
        <is>
          <t>EXOS-0107</t>
        </is>
      </c>
      <c r="B108" s="420" t="inlineStr">
        <is>
          <t>JQ Follow Up | John - Investor Contacts</t>
        </is>
      </c>
      <c r="C108" s="420" t="inlineStr">
        <is>
          <t>Financial Investor</t>
        </is>
      </c>
      <c r="D108" s="420" t="inlineStr">
        <is>
          <t>Advance Ventures</t>
        </is>
      </c>
      <c r="E108" s="420" t="inlineStr">
        <is>
          <t>Ephraim Lindenbaum &amp; Daria</t>
        </is>
      </c>
      <c r="F108" s="420" t="inlineStr"/>
      <c r="G108" s="421" t="inlineStr">
        <is>
          <t>eph@advanceventures.com</t>
        </is>
      </c>
      <c r="H108" s="420" t="inlineStr">
        <is>
          <t>daria@advanceventures.com</t>
        </is>
      </c>
      <c r="I108" s="420" t="inlineStr"/>
      <c r="J108" s="421" t="inlineStr">
        <is>
          <t>https://www.linkedin.com/in/ephraimlindenbaum/</t>
        </is>
      </c>
      <c r="K108" s="422" t="inlineStr">
        <is>
          <t>John Quinn</t>
        </is>
      </c>
      <c r="L108" s="422" t="inlineStr">
        <is>
          <t>Follow Up</t>
        </is>
      </c>
      <c r="M108" s="420" t="inlineStr">
        <is>
          <t>Space / Defense / Aerospace / Advanced Manufacturing</t>
        </is>
      </c>
      <c r="N108" s="422" t="inlineStr">
        <is>
          <t>Tier 2</t>
        </is>
      </c>
      <c r="O108" s="440" t="n">
        <v>45930</v>
      </c>
      <c r="P108" s="440" t="n">
        <v>46010</v>
      </c>
      <c r="Q108" s="420">
        <f>IF(P108="","",TODAY()-P108)</f>
        <v/>
      </c>
      <c r="R108" s="440">
        <f>IF(OR(L108="Passed",Z108=""),"",P108+Z108)</f>
        <v/>
      </c>
      <c r="S108" s="420">
        <f>IF(OR(R108="",L108="Passed"),"",IF(R108&lt;=TODAY(),"DUE",IF(R108&lt;=TODAY()+3,"Next 3 Days","Later")))</f>
        <v/>
      </c>
      <c r="T108" s="420" t="inlineStr"/>
      <c r="U108" s="422" t="inlineStr">
        <is>
          <t>https://www.linkedin.com/in/ephraimlindenbaum/</t>
        </is>
      </c>
      <c r="V108" s="422" t="inlineStr"/>
      <c r="W108" s="424" t="inlineStr">
        <is>
          <t>sent pitch deck on 1/3 | 12/19/2025</t>
        </is>
      </c>
      <c r="X108" s="420" t="inlineStr">
        <is>
          <t>JQ Follow Up!26 | John - Investor Contacts!693</t>
        </is>
      </c>
      <c r="Y108" s="422" t="inlineStr">
        <is>
          <t>Send next follow-up with traction + CTA</t>
        </is>
      </c>
      <c r="Z108" s="420" t="n">
        <v>7</v>
      </c>
      <c r="AA108" s="420">
        <f>IF(AC108="Archived",0,ROUND((IF(N108="Tier 1",35,IF(N108="Tier 2",20,8))+IF(C108="Financial Investor",15,IF(C108="Intermediary / Banker",12,8))+IF(L108="Term Sheet / Proposal",25,IF(L108="Engaged",20,IF(L108="Meeting Requested",18,IF(L108="Meeting Held",14,IF(L108="Follow Up",10,5)))))+MIN(Q108,30)+IF(S108="DUE",15,IF(S108="Next 3 Days",8,0))),0))</f>
        <v/>
      </c>
      <c r="AB108" s="420">
        <f>IF(AND(AC108="Active",OR(N108="Tier 1",N108="Tier 2"),OR(S108="DUE",S108="Next 3 Days")),"YES","")</f>
        <v/>
      </c>
      <c r="AC108" s="420">
        <f>IF(L108="Passed","Archived","Active")</f>
        <v/>
      </c>
    </row>
    <row r="109">
      <c r="A109" s="420" t="inlineStr">
        <is>
          <t>EXOS-0108</t>
        </is>
      </c>
      <c r="B109" s="420" t="inlineStr">
        <is>
          <t>John - Investor Contacts | OSC</t>
        </is>
      </c>
      <c r="C109" s="420" t="inlineStr">
        <is>
          <t>Financial Investor</t>
        </is>
      </c>
      <c r="D109" s="420" t="inlineStr">
        <is>
          <t>Aero Equity</t>
        </is>
      </c>
      <c r="E109" s="420" t="inlineStr">
        <is>
          <t>Lauren Graupman</t>
        </is>
      </c>
      <c r="F109" s="420" t="inlineStr"/>
      <c r="G109" s="421" t="inlineStr">
        <is>
          <t>lgraupman@aeroequity.com</t>
        </is>
      </c>
      <c r="H109" s="420" t="inlineStr"/>
      <c r="I109" s="420" t="inlineStr">
        <is>
          <t>561.372.7820</t>
        </is>
      </c>
      <c r="J109" s="421" t="inlineStr">
        <is>
          <t>https://www.linkedin.com/in/lauren-graupman</t>
        </is>
      </c>
      <c r="K109" s="422" t="inlineStr">
        <is>
          <t>John Quinn</t>
        </is>
      </c>
      <c r="L109" s="422" t="inlineStr">
        <is>
          <t>Follow Up</t>
        </is>
      </c>
      <c r="M109" s="420" t="inlineStr">
        <is>
          <t>Space / Defense / Aerospace / Advanced Manufacturing</t>
        </is>
      </c>
      <c r="N109" s="422" t="inlineStr">
        <is>
          <t>Tier 2</t>
        </is>
      </c>
      <c r="O109" s="440" t="n">
        <v>45814</v>
      </c>
      <c r="P109" s="440" t="n">
        <v>45881</v>
      </c>
      <c r="Q109" s="420">
        <f>IF(P109="","",TODAY()-P109)</f>
        <v/>
      </c>
      <c r="R109" s="440">
        <f>IF(OR(L109="Passed",Z109=""),"",P109+Z109)</f>
        <v/>
      </c>
      <c r="S109" s="420">
        <f>IF(OR(R109="",L109="Passed"),"",IF(R109&lt;=TODAY(),"DUE",IF(R109&lt;=TODAY()+3,"Next 3 Days","Later")))</f>
        <v/>
      </c>
      <c r="T109" s="420" t="inlineStr"/>
      <c r="U109" s="422" t="inlineStr">
        <is>
          <t>https://www.linkedin.com/in/lauren-graupman</t>
        </is>
      </c>
      <c r="V109" s="422" t="inlineStr"/>
      <c r="W109" s="424" t="inlineStr"/>
      <c r="X109" s="420" t="inlineStr">
        <is>
          <t>John - Investor Contacts!138 | OSC!6</t>
        </is>
      </c>
      <c r="Y109" s="422" t="inlineStr">
        <is>
          <t>Send next follow-up with traction + CTA</t>
        </is>
      </c>
      <c r="Z109" s="420" t="n">
        <v>7</v>
      </c>
      <c r="AA109" s="420">
        <f>IF(AC109="Archived",0,ROUND((IF(N109="Tier 1",35,IF(N109="Tier 2",20,8))+IF(C109="Financial Investor",15,IF(C109="Intermediary / Banker",12,8))+IF(L109="Term Sheet / Proposal",25,IF(L109="Engaged",20,IF(L109="Meeting Requested",18,IF(L109="Meeting Held",14,IF(L109="Follow Up",10,5)))))+MIN(Q109,30)+IF(S109="DUE",15,IF(S109="Next 3 Days",8,0))),0))</f>
        <v/>
      </c>
      <c r="AB109" s="420">
        <f>IF(AND(AC109="Active",OR(N109="Tier 1",N109="Tier 2"),OR(S109="DUE",S109="Next 3 Days")),"YES","")</f>
        <v/>
      </c>
      <c r="AC109" s="420">
        <f>IF(L109="Passed","Archived","Active")</f>
        <v/>
      </c>
    </row>
    <row r="110">
      <c r="A110" s="420" t="inlineStr">
        <is>
          <t>EXOS-0109</t>
        </is>
      </c>
      <c r="B110" s="420" t="inlineStr">
        <is>
          <t>John - Investor Contacts | OSC</t>
        </is>
      </c>
      <c r="C110" s="420" t="inlineStr">
        <is>
          <t>Financial Investor</t>
        </is>
      </c>
      <c r="D110" s="420" t="inlineStr">
        <is>
          <t>Aero Equity / AE Industrial Parnters</t>
        </is>
      </c>
      <c r="E110" s="420" t="inlineStr">
        <is>
          <t>Brian Schettler</t>
        </is>
      </c>
      <c r="F110" s="420" t="inlineStr"/>
      <c r="G110" s="421" t="inlineStr">
        <is>
          <t>bschettler@aeroequity.com</t>
        </is>
      </c>
      <c r="H110" s="420" t="inlineStr"/>
      <c r="I110" s="420" t="inlineStr">
        <is>
          <t>650.232.9272</t>
        </is>
      </c>
      <c r="J110" s="421" t="inlineStr">
        <is>
          <t>https://www.linkedin.com/in/brian-schettler-4ab87a5/</t>
        </is>
      </c>
      <c r="K110" s="422" t="inlineStr">
        <is>
          <t>John Quinn</t>
        </is>
      </c>
      <c r="L110" s="422" t="inlineStr">
        <is>
          <t>Follow Up</t>
        </is>
      </c>
      <c r="M110" s="420" t="inlineStr">
        <is>
          <t>Space / Defense / Aerospace / Advanced Manufacturing</t>
        </is>
      </c>
      <c r="N110" s="422" t="inlineStr">
        <is>
          <t>Tier 2</t>
        </is>
      </c>
      <c r="O110" s="440" t="n">
        <v>45853</v>
      </c>
      <c r="P110" s="440" t="n">
        <v>45994</v>
      </c>
      <c r="Q110" s="420">
        <f>IF(P110="","",TODAY()-P110)</f>
        <v/>
      </c>
      <c r="R110" s="440">
        <f>IF(OR(L110="Passed",Z110=""),"",P110+Z110)</f>
        <v/>
      </c>
      <c r="S110" s="420">
        <f>IF(OR(R110="",L110="Passed"),"",IF(R110&lt;=TODAY(),"DUE",IF(R110&lt;=TODAY()+3,"Next 3 Days","Later")))</f>
        <v/>
      </c>
      <c r="T110" s="420" t="inlineStr"/>
      <c r="U110" s="422" t="inlineStr">
        <is>
          <t>https://www.linkedin.com/in/brian-schettler-4ab87a5/</t>
        </is>
      </c>
      <c r="V110" s="422" t="inlineStr"/>
      <c r="W110" s="424" t="inlineStr">
        <is>
          <t>12/30/2025</t>
        </is>
      </c>
      <c r="X110" s="420" t="inlineStr">
        <is>
          <t>John - Investor Contacts!480 | OSC!33</t>
        </is>
      </c>
      <c r="Y110" s="422" t="inlineStr">
        <is>
          <t>Send next follow-up with traction + CTA</t>
        </is>
      </c>
      <c r="Z110" s="420" t="n">
        <v>7</v>
      </c>
      <c r="AA110" s="420">
        <f>IF(AC110="Archived",0,ROUND((IF(N110="Tier 1",35,IF(N110="Tier 2",20,8))+IF(C110="Financial Investor",15,IF(C110="Intermediary / Banker",12,8))+IF(L110="Term Sheet / Proposal",25,IF(L110="Engaged",20,IF(L110="Meeting Requested",18,IF(L110="Meeting Held",14,IF(L110="Follow Up",10,5)))))+MIN(Q110,30)+IF(S110="DUE",15,IF(S110="Next 3 Days",8,0))),0))</f>
        <v/>
      </c>
      <c r="AB110" s="420">
        <f>IF(AND(AC110="Active",OR(N110="Tier 1",N110="Tier 2"),OR(S110="DUE",S110="Next 3 Days")),"YES","")</f>
        <v/>
      </c>
      <c r="AC110" s="420">
        <f>IF(L110="Passed","Archived","Active")</f>
        <v/>
      </c>
    </row>
    <row r="111">
      <c r="A111" s="420" t="inlineStr">
        <is>
          <t>EXOS-0110</t>
        </is>
      </c>
      <c r="B111" s="420" t="inlineStr">
        <is>
          <t>John - Investor Contacts | OSC</t>
        </is>
      </c>
      <c r="C111" s="420" t="inlineStr">
        <is>
          <t>Financial Investor</t>
        </is>
      </c>
      <c r="D111" s="420" t="inlineStr">
        <is>
          <t>Aero Equity / AE Industrial Parnters</t>
        </is>
      </c>
      <c r="E111" s="420" t="inlineStr">
        <is>
          <t>David Rowe</t>
        </is>
      </c>
      <c r="F111" s="420" t="inlineStr"/>
      <c r="G111" s="421" t="inlineStr">
        <is>
          <t>drowe@aeroequity.com</t>
        </is>
      </c>
      <c r="H111" s="420" t="inlineStr"/>
      <c r="I111" s="420" t="inlineStr">
        <is>
          <t>912.596.8336</t>
        </is>
      </c>
      <c r="J111" s="421" t="inlineStr">
        <is>
          <t>https://www.linkedin.com/in/david-rowe-50018431/</t>
        </is>
      </c>
      <c r="K111" s="422" t="inlineStr">
        <is>
          <t>John Quinn</t>
        </is>
      </c>
      <c r="L111" s="422" t="inlineStr">
        <is>
          <t>Follow Up</t>
        </is>
      </c>
      <c r="M111" s="420" t="inlineStr">
        <is>
          <t>Space / Defense / Aerospace / Advanced Manufacturing</t>
        </is>
      </c>
      <c r="N111" s="422" t="inlineStr">
        <is>
          <t>Tier 2</t>
        </is>
      </c>
      <c r="O111" s="440" t="n">
        <v>45853</v>
      </c>
      <c r="P111" s="440" t="n">
        <v>45994</v>
      </c>
      <c r="Q111" s="420">
        <f>IF(P111="","",TODAY()-P111)</f>
        <v/>
      </c>
      <c r="R111" s="440">
        <f>IF(OR(L111="Passed",Z111=""),"",P111+Z111)</f>
        <v/>
      </c>
      <c r="S111" s="420">
        <f>IF(OR(R111="",L111="Passed"),"",IF(R111&lt;=TODAY(),"DUE",IF(R111&lt;=TODAY()+3,"Next 3 Days","Later")))</f>
        <v/>
      </c>
      <c r="T111" s="420" t="inlineStr"/>
      <c r="U111" s="422" t="inlineStr">
        <is>
          <t>https://www.linkedin.com/in/david-rowe-50018431/</t>
        </is>
      </c>
      <c r="V111" s="422" t="inlineStr"/>
      <c r="W111" s="424" t="inlineStr">
        <is>
          <t>12/30/2025</t>
        </is>
      </c>
      <c r="X111" s="420" t="inlineStr">
        <is>
          <t>John - Investor Contacts!478 | OSC!31</t>
        </is>
      </c>
      <c r="Y111" s="422" t="inlineStr">
        <is>
          <t>Send next follow-up with traction + CTA</t>
        </is>
      </c>
      <c r="Z111" s="420" t="n">
        <v>7</v>
      </c>
      <c r="AA111" s="420">
        <f>IF(AC111="Archived",0,ROUND((IF(N111="Tier 1",35,IF(N111="Tier 2",20,8))+IF(C111="Financial Investor",15,IF(C111="Intermediary / Banker",12,8))+IF(L111="Term Sheet / Proposal",25,IF(L111="Engaged",20,IF(L111="Meeting Requested",18,IF(L111="Meeting Held",14,IF(L111="Follow Up",10,5)))))+MIN(Q111,30)+IF(S111="DUE",15,IF(S111="Next 3 Days",8,0))),0))</f>
        <v/>
      </c>
      <c r="AB111" s="420">
        <f>IF(AND(AC111="Active",OR(N111="Tier 1",N111="Tier 2"),OR(S111="DUE",S111="Next 3 Days")),"YES","")</f>
        <v/>
      </c>
      <c r="AC111" s="420">
        <f>IF(L111="Passed","Archived","Active")</f>
        <v/>
      </c>
    </row>
    <row r="112">
      <c r="A112" s="420" t="inlineStr">
        <is>
          <t>EXOS-0111</t>
        </is>
      </c>
      <c r="B112" s="420" t="inlineStr">
        <is>
          <t>John - Investor Contacts | OSC</t>
        </is>
      </c>
      <c r="C112" s="420" t="inlineStr">
        <is>
          <t>Financial Investor</t>
        </is>
      </c>
      <c r="D112" s="420" t="inlineStr">
        <is>
          <t>Aero Equity / AE Industrial Parnters</t>
        </is>
      </c>
      <c r="E112" s="420" t="inlineStr">
        <is>
          <t>Kirk Konert</t>
        </is>
      </c>
      <c r="F112" s="420" t="inlineStr"/>
      <c r="G112" s="421" t="inlineStr">
        <is>
          <t>kkonert@aeroequity.com</t>
        </is>
      </c>
      <c r="H112" s="420" t="inlineStr"/>
      <c r="I112" s="420" t="inlineStr">
        <is>
          <t>561.372.7835</t>
        </is>
      </c>
      <c r="J112" s="421" t="inlineStr">
        <is>
          <t>https://www.linkedin.com/in/kirk-konert-31a99228</t>
        </is>
      </c>
      <c r="K112" s="422" t="inlineStr">
        <is>
          <t>John Quinn</t>
        </is>
      </c>
      <c r="L112" s="422" t="inlineStr">
        <is>
          <t>Follow Up</t>
        </is>
      </c>
      <c r="M112" s="420" t="inlineStr">
        <is>
          <t>Space / Defense / Aerospace / Advanced Manufacturing</t>
        </is>
      </c>
      <c r="N112" s="422" t="inlineStr">
        <is>
          <t>Tier 2</t>
        </is>
      </c>
      <c r="O112" s="440" t="n">
        <v>45853</v>
      </c>
      <c r="P112" s="440" t="n">
        <v>45994</v>
      </c>
      <c r="Q112" s="420">
        <f>IF(P112="","",TODAY()-P112)</f>
        <v/>
      </c>
      <c r="R112" s="440">
        <f>IF(OR(L112="Passed",Z112=""),"",P112+Z112)</f>
        <v/>
      </c>
      <c r="S112" s="420">
        <f>IF(OR(R112="",L112="Passed"),"",IF(R112&lt;=TODAY(),"DUE",IF(R112&lt;=TODAY()+3,"Next 3 Days","Later")))</f>
        <v/>
      </c>
      <c r="T112" s="420" t="inlineStr"/>
      <c r="U112" s="422" t="inlineStr">
        <is>
          <t>https://www.linkedin.com/in/kirk-konert-31a99228</t>
        </is>
      </c>
      <c r="V112" s="422" t="inlineStr"/>
      <c r="W112" s="424" t="inlineStr">
        <is>
          <t>12/30/2025</t>
        </is>
      </c>
      <c r="X112" s="420" t="inlineStr">
        <is>
          <t>John - Investor Contacts!479 | OSC!32</t>
        </is>
      </c>
      <c r="Y112" s="422" t="inlineStr">
        <is>
          <t>Send next follow-up with traction + CTA</t>
        </is>
      </c>
      <c r="Z112" s="420" t="n">
        <v>7</v>
      </c>
      <c r="AA112" s="420">
        <f>IF(AC112="Archived",0,ROUND((IF(N112="Tier 1",35,IF(N112="Tier 2",20,8))+IF(C112="Financial Investor",15,IF(C112="Intermediary / Banker",12,8))+IF(L112="Term Sheet / Proposal",25,IF(L112="Engaged",20,IF(L112="Meeting Requested",18,IF(L112="Meeting Held",14,IF(L112="Follow Up",10,5)))))+MIN(Q112,30)+IF(S112="DUE",15,IF(S112="Next 3 Days",8,0))),0))</f>
        <v/>
      </c>
      <c r="AB112" s="420">
        <f>IF(AND(AC112="Active",OR(N112="Tier 1",N112="Tier 2"),OR(S112="DUE",S112="Next 3 Days")),"YES","")</f>
        <v/>
      </c>
      <c r="AC112" s="420">
        <f>IF(L112="Passed","Archived","Active")</f>
        <v/>
      </c>
    </row>
    <row r="113">
      <c r="A113" s="420" t="inlineStr">
        <is>
          <t>EXOS-0112</t>
        </is>
      </c>
      <c r="B113" s="420" t="inlineStr">
        <is>
          <t>John - Investor Contacts</t>
        </is>
      </c>
      <c r="C113" s="420" t="inlineStr">
        <is>
          <t>Financial Investor</t>
        </is>
      </c>
      <c r="D113" s="420" t="inlineStr">
        <is>
          <t>Allegory Capital</t>
        </is>
      </c>
      <c r="E113" s="420" t="inlineStr">
        <is>
          <t>Haider Alleg</t>
        </is>
      </c>
      <c r="F113" s="420" t="inlineStr"/>
      <c r="G113" s="421" t="inlineStr">
        <is>
          <t>haider.alleg@allegory.capital</t>
        </is>
      </c>
      <c r="H113" s="420" t="inlineStr"/>
      <c r="I113" s="420" t="inlineStr"/>
      <c r="J113" s="421" t="inlineStr">
        <is>
          <t>https://www.linkedin.com/in/haideralleg/</t>
        </is>
      </c>
      <c r="K113" s="422" t="inlineStr">
        <is>
          <t>John Quinn</t>
        </is>
      </c>
      <c r="L113" s="422" t="inlineStr">
        <is>
          <t>Follow Up</t>
        </is>
      </c>
      <c r="M113" s="420" t="inlineStr">
        <is>
          <t>Space / Defense / Aerospace / Advanced Manufacturing</t>
        </is>
      </c>
      <c r="N113" s="422" t="inlineStr">
        <is>
          <t>Tier 2</t>
        </is>
      </c>
      <c r="O113" s="440" t="n">
        <v>45912</v>
      </c>
      <c r="P113" s="440" t="n">
        <v>45973</v>
      </c>
      <c r="Q113" s="420">
        <f>IF(P113="","",TODAY()-P113)</f>
        <v/>
      </c>
      <c r="R113" s="440">
        <f>IF(OR(L113="Passed",Z113=""),"",P113+Z113)</f>
        <v/>
      </c>
      <c r="S113" s="420">
        <f>IF(OR(R113="",L113="Passed"),"",IF(R113&lt;=TODAY(),"DUE",IF(R113&lt;=TODAY()+3,"Next 3 Days","Later")))</f>
        <v/>
      </c>
      <c r="T113" s="420" t="inlineStr"/>
      <c r="U113" s="422" t="inlineStr">
        <is>
          <t>https://www.linkedin.com/in/haideralleg/</t>
        </is>
      </c>
      <c r="V113" s="422" t="inlineStr"/>
      <c r="W113" s="424" t="inlineStr">
        <is>
          <t xml:space="preserve"> | 12/19/2025 | </t>
        </is>
      </c>
      <c r="X113" s="420" t="inlineStr">
        <is>
          <t>John - Investor Contacts!672</t>
        </is>
      </c>
      <c r="Y113" s="422" t="inlineStr">
        <is>
          <t>Send next follow-up with traction + CTA</t>
        </is>
      </c>
      <c r="Z113" s="420" t="n">
        <v>7</v>
      </c>
      <c r="AA113" s="420">
        <f>IF(AC113="Archived",0,ROUND((IF(N113="Tier 1",35,IF(N113="Tier 2",20,8))+IF(C113="Financial Investor",15,IF(C113="Intermediary / Banker",12,8))+IF(L113="Term Sheet / Proposal",25,IF(L113="Engaged",20,IF(L113="Meeting Requested",18,IF(L113="Meeting Held",14,IF(L113="Follow Up",10,5)))))+MIN(Q113,30)+IF(S113="DUE",15,IF(S113="Next 3 Days",8,0))),0))</f>
        <v/>
      </c>
      <c r="AB113" s="420">
        <f>IF(AND(AC113="Active",OR(N113="Tier 1",N113="Tier 2"),OR(S113="DUE",S113="Next 3 Days")),"YES","")</f>
        <v/>
      </c>
      <c r="AC113" s="420">
        <f>IF(L113="Passed","Archived","Active")</f>
        <v/>
      </c>
    </row>
    <row r="114">
      <c r="A114" s="420" t="inlineStr">
        <is>
          <t>EXOS-0113</t>
        </is>
      </c>
      <c r="B114" s="420" t="inlineStr">
        <is>
          <t>John - Investor Contacts</t>
        </is>
      </c>
      <c r="C114" s="420" t="inlineStr">
        <is>
          <t>Financial Investor</t>
        </is>
      </c>
      <c r="D114" s="420" t="inlineStr">
        <is>
          <t>Allos Ventures</t>
        </is>
      </c>
      <c r="E114" s="420" t="inlineStr">
        <is>
          <t>David Kerr</t>
        </is>
      </c>
      <c r="F114" s="420" t="inlineStr"/>
      <c r="G114" s="421" t="inlineStr">
        <is>
          <t>david@allosventures.com</t>
        </is>
      </c>
      <c r="H114" s="420" t="inlineStr"/>
      <c r="I114" s="420" t="inlineStr"/>
      <c r="J114" s="421" t="inlineStr">
        <is>
          <t>https://www.linkedin.com/in/david-kerr-9b0b501/</t>
        </is>
      </c>
      <c r="K114" s="422" t="inlineStr">
        <is>
          <t>John Quinn</t>
        </is>
      </c>
      <c r="L114" s="422" t="inlineStr">
        <is>
          <t>Follow Up</t>
        </is>
      </c>
      <c r="M114" s="420" t="inlineStr">
        <is>
          <t>Space / Defense / Aerospace / Advanced Manufacturing</t>
        </is>
      </c>
      <c r="N114" s="422" t="inlineStr">
        <is>
          <t>Tier 2</t>
        </is>
      </c>
      <c r="O114" s="440" t="n">
        <v>45897</v>
      </c>
      <c r="P114" s="440" t="n">
        <v>45929</v>
      </c>
      <c r="Q114" s="420">
        <f>IF(P114="","",TODAY()-P114)</f>
        <v/>
      </c>
      <c r="R114" s="440">
        <f>IF(OR(L114="Passed",Z114=""),"",P114+Z114)</f>
        <v/>
      </c>
      <c r="S114" s="420">
        <f>IF(OR(R114="",L114="Passed"),"",IF(R114&lt;=TODAY(),"DUE",IF(R114&lt;=TODAY()+3,"Next 3 Days","Later")))</f>
        <v/>
      </c>
      <c r="T114" s="420" t="inlineStr"/>
      <c r="U114" s="422" t="inlineStr">
        <is>
          <t>https://www.linkedin.com/in/david-kerr-9b0b501/</t>
        </is>
      </c>
      <c r="V114" s="422" t="inlineStr"/>
      <c r="W114" s="424" t="inlineStr">
        <is>
          <t xml:space="preserve"> | 12/05/2025 | </t>
        </is>
      </c>
      <c r="X114" s="420" t="inlineStr">
        <is>
          <t>John - Investor Contacts!570</t>
        </is>
      </c>
      <c r="Y114" s="422" t="inlineStr">
        <is>
          <t>Send next follow-up with traction + CTA</t>
        </is>
      </c>
      <c r="Z114" s="420" t="n">
        <v>7</v>
      </c>
      <c r="AA114" s="420">
        <f>IF(AC114="Archived",0,ROUND((IF(N114="Tier 1",35,IF(N114="Tier 2",20,8))+IF(C114="Financial Investor",15,IF(C114="Intermediary / Banker",12,8))+IF(L114="Term Sheet / Proposal",25,IF(L114="Engaged",20,IF(L114="Meeting Requested",18,IF(L114="Meeting Held",14,IF(L114="Follow Up",10,5)))))+MIN(Q114,30)+IF(S114="DUE",15,IF(S114="Next 3 Days",8,0))),0))</f>
        <v/>
      </c>
      <c r="AB114" s="420">
        <f>IF(AND(AC114="Active",OR(N114="Tier 1",N114="Tier 2"),OR(S114="DUE",S114="Next 3 Days")),"YES","")</f>
        <v/>
      </c>
      <c r="AC114" s="420">
        <f>IF(L114="Passed","Archived","Active")</f>
        <v/>
      </c>
    </row>
    <row r="115">
      <c r="A115" s="420" t="inlineStr">
        <is>
          <t>EXOS-0114</t>
        </is>
      </c>
      <c r="B115" s="420" t="inlineStr">
        <is>
          <t>John - Investor Contacts</t>
        </is>
      </c>
      <c r="C115" s="420" t="inlineStr">
        <is>
          <t>Financial Investor</t>
        </is>
      </c>
      <c r="D115" s="420" t="inlineStr">
        <is>
          <t>Alsop Louie Partners</t>
        </is>
      </c>
      <c r="E115" s="420" t="inlineStr">
        <is>
          <t>Bill Crowell</t>
        </is>
      </c>
      <c r="F115" s="420" t="inlineStr"/>
      <c r="G115" s="421" t="inlineStr">
        <is>
          <t>wcrowell@alsop-louie.com</t>
        </is>
      </c>
      <c r="H115" s="420" t="inlineStr"/>
      <c r="I115" s="420" t="inlineStr"/>
      <c r="J115" s="420" t="inlineStr"/>
      <c r="K115" s="422" t="inlineStr">
        <is>
          <t>John Quinn</t>
        </is>
      </c>
      <c r="L115" s="422" t="inlineStr">
        <is>
          <t>Follow Up</t>
        </is>
      </c>
      <c r="M115" s="420" t="inlineStr">
        <is>
          <t>Space / Defense / Aerospace / Advanced Manufacturing</t>
        </is>
      </c>
      <c r="N115" s="422" t="inlineStr">
        <is>
          <t>Tier 2</t>
        </is>
      </c>
      <c r="O115" s="440" t="n">
        <v>45951</v>
      </c>
      <c r="P115" s="440" t="n">
        <v>45973</v>
      </c>
      <c r="Q115" s="420">
        <f>IF(P115="","",TODAY()-P115)</f>
        <v/>
      </c>
      <c r="R115" s="440">
        <f>IF(OR(L115="Passed",Z115=""),"",P115+Z115)</f>
        <v/>
      </c>
      <c r="S115" s="420">
        <f>IF(OR(R115="",L115="Passed"),"",IF(R115&lt;=TODAY(),"DUE",IF(R115&lt;=TODAY()+3,"Next 3 Days","Later")))</f>
        <v/>
      </c>
      <c r="T115" s="420" t="inlineStr"/>
      <c r="U115" s="422" t="inlineStr">
        <is>
          <t>linkedin.com/in/william-crowell-65bb433a</t>
        </is>
      </c>
      <c r="V115" s="422" t="inlineStr"/>
      <c r="W115" s="424" t="inlineStr">
        <is>
          <t xml:space="preserve"> | 12/30/2025 | </t>
        </is>
      </c>
      <c r="X115" s="420" t="inlineStr">
        <is>
          <t>John - Investor Contacts!799</t>
        </is>
      </c>
      <c r="Y115" s="422" t="inlineStr">
        <is>
          <t>Send next follow-up with traction + CTA</t>
        </is>
      </c>
      <c r="Z115" s="420" t="n">
        <v>7</v>
      </c>
      <c r="AA115" s="420">
        <f>IF(AC115="Archived",0,ROUND((IF(N115="Tier 1",35,IF(N115="Tier 2",20,8))+IF(C115="Financial Investor",15,IF(C115="Intermediary / Banker",12,8))+IF(L115="Term Sheet / Proposal",25,IF(L115="Engaged",20,IF(L115="Meeting Requested",18,IF(L115="Meeting Held",14,IF(L115="Follow Up",10,5)))))+MIN(Q115,30)+IF(S115="DUE",15,IF(S115="Next 3 Days",8,0))),0))</f>
        <v/>
      </c>
      <c r="AB115" s="420">
        <f>IF(AND(AC115="Active",OR(N115="Tier 1",N115="Tier 2"),OR(S115="DUE",S115="Next 3 Days")),"YES","")</f>
        <v/>
      </c>
      <c r="AC115" s="420">
        <f>IF(L115="Passed","Archived","Active")</f>
        <v/>
      </c>
    </row>
    <row r="116">
      <c r="A116" s="420" t="inlineStr">
        <is>
          <t>EXOS-0115</t>
        </is>
      </c>
      <c r="B116" s="420" t="inlineStr">
        <is>
          <t>John - Investor Contacts</t>
        </is>
      </c>
      <c r="C116" s="420" t="inlineStr">
        <is>
          <t>Financial Investor</t>
        </is>
      </c>
      <c r="D116" s="420" t="inlineStr">
        <is>
          <t>Alsop Louie Partners</t>
        </is>
      </c>
      <c r="E116" s="420" t="inlineStr">
        <is>
          <t>Stewart Alsop</t>
        </is>
      </c>
      <c r="F116" s="420" t="inlineStr"/>
      <c r="G116" s="421" t="inlineStr">
        <is>
          <t>salsop@alsop-louie.com</t>
        </is>
      </c>
      <c r="H116" s="420" t="inlineStr"/>
      <c r="I116" s="420" t="inlineStr"/>
      <c r="J116" s="421" t="inlineStr">
        <is>
          <t>https://www.linkedin.com/in/salsop/</t>
        </is>
      </c>
      <c r="K116" s="422" t="inlineStr">
        <is>
          <t>John Quinn</t>
        </is>
      </c>
      <c r="L116" s="422" t="inlineStr">
        <is>
          <t>Follow Up</t>
        </is>
      </c>
      <c r="M116" s="420" t="inlineStr">
        <is>
          <t>Space / Defense / Aerospace / Advanced Manufacturing</t>
        </is>
      </c>
      <c r="N116" s="422" t="inlineStr">
        <is>
          <t>Tier 2</t>
        </is>
      </c>
      <c r="O116" s="440" t="n">
        <v>45951</v>
      </c>
      <c r="P116" s="440" t="n">
        <v>45973</v>
      </c>
      <c r="Q116" s="420">
        <f>IF(P116="","",TODAY()-P116)</f>
        <v/>
      </c>
      <c r="R116" s="440">
        <f>IF(OR(L116="Passed",Z116=""),"",P116+Z116)</f>
        <v/>
      </c>
      <c r="S116" s="420">
        <f>IF(OR(R116="",L116="Passed"),"",IF(R116&lt;=TODAY(),"DUE",IF(R116&lt;=TODAY()+3,"Next 3 Days","Later")))</f>
        <v/>
      </c>
      <c r="T116" s="420" t="inlineStr"/>
      <c r="U116" s="422" t="inlineStr">
        <is>
          <t>https://www.linkedin.com/in/salsop/</t>
        </is>
      </c>
      <c r="V116" s="422" t="inlineStr"/>
      <c r="W116" s="424" t="inlineStr">
        <is>
          <t xml:space="preserve"> | 12/30/2025 | </t>
        </is>
      </c>
      <c r="X116" s="420" t="inlineStr">
        <is>
          <t>John - Investor Contacts!798</t>
        </is>
      </c>
      <c r="Y116" s="422" t="inlineStr">
        <is>
          <t>Send next follow-up with traction + CTA</t>
        </is>
      </c>
      <c r="Z116" s="420" t="n">
        <v>7</v>
      </c>
      <c r="AA116" s="420">
        <f>IF(AC116="Archived",0,ROUND((IF(N116="Tier 1",35,IF(N116="Tier 2",20,8))+IF(C116="Financial Investor",15,IF(C116="Intermediary / Banker",12,8))+IF(L116="Term Sheet / Proposal",25,IF(L116="Engaged",20,IF(L116="Meeting Requested",18,IF(L116="Meeting Held",14,IF(L116="Follow Up",10,5)))))+MIN(Q116,30)+IF(S116="DUE",15,IF(S116="Next 3 Days",8,0))),0))</f>
        <v/>
      </c>
      <c r="AB116" s="420">
        <f>IF(AND(AC116="Active",OR(N116="Tier 1",N116="Tier 2"),OR(S116="DUE",S116="Next 3 Days")),"YES","")</f>
        <v/>
      </c>
      <c r="AC116" s="420">
        <f>IF(L116="Passed","Archived","Active")</f>
        <v/>
      </c>
    </row>
    <row r="117">
      <c r="A117" s="420" t="inlineStr">
        <is>
          <t>EXOS-0116</t>
        </is>
      </c>
      <c r="B117" s="420" t="inlineStr">
        <is>
          <t>John - Investor Contacts</t>
        </is>
      </c>
      <c r="C117" s="420" t="inlineStr">
        <is>
          <t>Financial Investor</t>
        </is>
      </c>
      <c r="D117" s="420" t="inlineStr">
        <is>
          <t>Alumni Venture Group</t>
        </is>
      </c>
      <c r="E117" s="420" t="inlineStr">
        <is>
          <t>Erik Hammer</t>
        </is>
      </c>
      <c r="F117" s="420" t="inlineStr"/>
      <c r="G117" s="421" t="inlineStr">
        <is>
          <t>erik@av.vc</t>
        </is>
      </c>
      <c r="H117" s="420" t="inlineStr"/>
      <c r="I117" s="420" t="inlineStr"/>
      <c r="J117" s="420" t="inlineStr"/>
      <c r="K117" s="422" t="inlineStr">
        <is>
          <t>John Quinn</t>
        </is>
      </c>
      <c r="L117" s="422" t="inlineStr">
        <is>
          <t>Follow Up</t>
        </is>
      </c>
      <c r="M117" s="420" t="inlineStr">
        <is>
          <t>Space / Defense / Aerospace / Advanced Manufacturing</t>
        </is>
      </c>
      <c r="N117" s="422" t="inlineStr">
        <is>
          <t>Tier 2</t>
        </is>
      </c>
      <c r="O117" s="440" t="n">
        <v>45897</v>
      </c>
      <c r="P117" s="440" t="n">
        <v>45929</v>
      </c>
      <c r="Q117" s="420">
        <f>IF(P117="","",TODAY()-P117)</f>
        <v/>
      </c>
      <c r="R117" s="440">
        <f>IF(OR(L117="Passed",Z117=""),"",P117+Z117)</f>
        <v/>
      </c>
      <c r="S117" s="420">
        <f>IF(OR(R117="",L117="Passed"),"",IF(R117&lt;=TODAY(),"DUE",IF(R117&lt;=TODAY()+3,"Next 3 Days","Later")))</f>
        <v/>
      </c>
      <c r="T117" s="420" t="inlineStr"/>
      <c r="U117" s="422" t="inlineStr"/>
      <c r="V117" s="422" t="inlineStr"/>
      <c r="W117" s="424" t="inlineStr">
        <is>
          <t xml:space="preserve"> | 12/05/2025 | </t>
        </is>
      </c>
      <c r="X117" s="420" t="inlineStr">
        <is>
          <t>John - Investor Contacts!571</t>
        </is>
      </c>
      <c r="Y117" s="422" t="inlineStr">
        <is>
          <t>Send next follow-up with traction + CTA</t>
        </is>
      </c>
      <c r="Z117" s="420" t="n">
        <v>7</v>
      </c>
      <c r="AA117" s="420">
        <f>IF(AC117="Archived",0,ROUND((IF(N117="Tier 1",35,IF(N117="Tier 2",20,8))+IF(C117="Financial Investor",15,IF(C117="Intermediary / Banker",12,8))+IF(L117="Term Sheet / Proposal",25,IF(L117="Engaged",20,IF(L117="Meeting Requested",18,IF(L117="Meeting Held",14,IF(L117="Follow Up",10,5)))))+MIN(Q117,30)+IF(S117="DUE",15,IF(S117="Next 3 Days",8,0))),0))</f>
        <v/>
      </c>
      <c r="AB117" s="420">
        <f>IF(AND(AC117="Active",OR(N117="Tier 1",N117="Tier 2"),OR(S117="DUE",S117="Next 3 Days")),"YES","")</f>
        <v/>
      </c>
      <c r="AC117" s="420">
        <f>IF(L117="Passed","Archived","Active")</f>
        <v/>
      </c>
    </row>
    <row r="118">
      <c r="A118" s="420" t="inlineStr">
        <is>
          <t>EXOS-0117</t>
        </is>
      </c>
      <c r="B118" s="420" t="inlineStr">
        <is>
          <t>John - Investor Contacts</t>
        </is>
      </c>
      <c r="C118" s="420" t="inlineStr">
        <is>
          <t>Financial Investor</t>
        </is>
      </c>
      <c r="D118" s="420" t="inlineStr">
        <is>
          <t>Alumni Ventures</t>
        </is>
      </c>
      <c r="E118" s="420" t="inlineStr">
        <is>
          <t>Brian Keil</t>
        </is>
      </c>
      <c r="F118" s="420" t="inlineStr"/>
      <c r="G118" s="421" t="inlineStr">
        <is>
          <t>brian.keil@av.vc</t>
        </is>
      </c>
      <c r="H118" s="420" t="inlineStr"/>
      <c r="I118" s="420" t="inlineStr"/>
      <c r="J118" s="421" t="inlineStr">
        <is>
          <t>https://www.linkedin.com/in/brianpkeil</t>
        </is>
      </c>
      <c r="K118" s="422" t="inlineStr">
        <is>
          <t>John Quinn</t>
        </is>
      </c>
      <c r="L118" s="422" t="inlineStr">
        <is>
          <t>Follow Up</t>
        </is>
      </c>
      <c r="M118" s="420" t="inlineStr">
        <is>
          <t>Space / Defense / Aerospace / Advanced Manufacturing</t>
        </is>
      </c>
      <c r="N118" s="422" t="inlineStr">
        <is>
          <t>Tier 2</t>
        </is>
      </c>
      <c r="O118" s="440" t="n">
        <v>45931</v>
      </c>
      <c r="P118" s="440" t="n">
        <v>45973</v>
      </c>
      <c r="Q118" s="420">
        <f>IF(P118="","",TODAY()-P118)</f>
        <v/>
      </c>
      <c r="R118" s="440">
        <f>IF(OR(L118="Passed",Z118=""),"",P118+Z118)</f>
        <v/>
      </c>
      <c r="S118" s="420">
        <f>IF(OR(R118="",L118="Passed"),"",IF(R118&lt;=TODAY(),"DUE",IF(R118&lt;=TODAY()+3,"Next 3 Days","Later")))</f>
        <v/>
      </c>
      <c r="T118" s="420" t="inlineStr"/>
      <c r="U118" s="422" t="inlineStr">
        <is>
          <t>https://www.linkedin.com/in/brianpkeil</t>
        </is>
      </c>
      <c r="V118" s="422" t="inlineStr"/>
      <c r="W118" s="424" t="inlineStr">
        <is>
          <t xml:space="preserve"> | 12/30/2025 | </t>
        </is>
      </c>
      <c r="X118" s="420" t="inlineStr">
        <is>
          <t>John - Investor Contacts!740</t>
        </is>
      </c>
      <c r="Y118" s="422" t="inlineStr">
        <is>
          <t>Send next follow-up with traction + CTA</t>
        </is>
      </c>
      <c r="Z118" s="420" t="n">
        <v>7</v>
      </c>
      <c r="AA118" s="420">
        <f>IF(AC118="Archived",0,ROUND((IF(N118="Tier 1",35,IF(N118="Tier 2",20,8))+IF(C118="Financial Investor",15,IF(C118="Intermediary / Banker",12,8))+IF(L118="Term Sheet / Proposal",25,IF(L118="Engaged",20,IF(L118="Meeting Requested",18,IF(L118="Meeting Held",14,IF(L118="Follow Up",10,5)))))+MIN(Q118,30)+IF(S118="DUE",15,IF(S118="Next 3 Days",8,0))),0))</f>
        <v/>
      </c>
      <c r="AB118" s="420">
        <f>IF(AND(AC118="Active",OR(N118="Tier 1",N118="Tier 2"),OR(S118="DUE",S118="Next 3 Days")),"YES","")</f>
        <v/>
      </c>
      <c r="AC118" s="420">
        <f>IF(L118="Passed","Archived","Active")</f>
        <v/>
      </c>
    </row>
    <row r="119">
      <c r="A119" s="420" t="inlineStr">
        <is>
          <t>EXOS-0118</t>
        </is>
      </c>
      <c r="B119" s="420" t="inlineStr">
        <is>
          <t>John - Investor Contacts</t>
        </is>
      </c>
      <c r="C119" s="420" t="inlineStr">
        <is>
          <t>Financial Investor</t>
        </is>
      </c>
      <c r="D119" s="420" t="inlineStr">
        <is>
          <t>Alumni Ventures</t>
        </is>
      </c>
      <c r="E119" s="420" t="inlineStr">
        <is>
          <t>David Beazley</t>
        </is>
      </c>
      <c r="F119" s="420" t="inlineStr"/>
      <c r="G119" s="421" t="inlineStr">
        <is>
          <t>david@av.vc</t>
        </is>
      </c>
      <c r="H119" s="420" t="inlineStr"/>
      <c r="I119" s="420" t="inlineStr"/>
      <c r="J119" s="421" t="inlineStr">
        <is>
          <t>https://www.linkedin.com/in/david-shapiro-2b328/</t>
        </is>
      </c>
      <c r="K119" s="422" t="inlineStr">
        <is>
          <t>John Quinn</t>
        </is>
      </c>
      <c r="L119" s="422" t="inlineStr">
        <is>
          <t>Follow Up</t>
        </is>
      </c>
      <c r="M119" s="420" t="inlineStr">
        <is>
          <t>Space / Defense / Aerospace / Advanced Manufacturing</t>
        </is>
      </c>
      <c r="N119" s="422" t="inlineStr">
        <is>
          <t>Tier 2</t>
        </is>
      </c>
      <c r="O119" s="440" t="n">
        <v>45821</v>
      </c>
      <c r="P119" s="440" t="n">
        <v>45973</v>
      </c>
      <c r="Q119" s="420">
        <f>IF(P119="","",TODAY()-P119)</f>
        <v/>
      </c>
      <c r="R119" s="440">
        <f>IF(OR(L119="Passed",Z119=""),"",P119+Z119)</f>
        <v/>
      </c>
      <c r="S119" s="420">
        <f>IF(OR(R119="",L119="Passed"),"",IF(R119&lt;=TODAY(),"DUE",IF(R119&lt;=TODAY()+3,"Next 3 Days","Later")))</f>
        <v/>
      </c>
      <c r="T119" s="420" t="inlineStr"/>
      <c r="U119" s="422" t="inlineStr">
        <is>
          <t>https://www.linkedin.com/in/david-shapiro-2b328/</t>
        </is>
      </c>
      <c r="V119" s="422" t="inlineStr"/>
      <c r="W119" s="424" t="inlineStr">
        <is>
          <t>12/30/2025</t>
        </is>
      </c>
      <c r="X119" s="420" t="inlineStr">
        <is>
          <t>John - Investor Contacts!184 | John - Investor Contacts!742</t>
        </is>
      </c>
      <c r="Y119" s="422" t="inlineStr">
        <is>
          <t>Send next follow-up with traction + CTA</t>
        </is>
      </c>
      <c r="Z119" s="420" t="n">
        <v>7</v>
      </c>
      <c r="AA119" s="420">
        <f>IF(AC119="Archived",0,ROUND((IF(N119="Tier 1",35,IF(N119="Tier 2",20,8))+IF(C119="Financial Investor",15,IF(C119="Intermediary / Banker",12,8))+IF(L119="Term Sheet / Proposal",25,IF(L119="Engaged",20,IF(L119="Meeting Requested",18,IF(L119="Meeting Held",14,IF(L119="Follow Up",10,5)))))+MIN(Q119,30)+IF(S119="DUE",15,IF(S119="Next 3 Days",8,0))),0))</f>
        <v/>
      </c>
      <c r="AB119" s="420">
        <f>IF(AND(AC119="Active",OR(N119="Tier 1",N119="Tier 2"),OR(S119="DUE",S119="Next 3 Days")),"YES","")</f>
        <v/>
      </c>
      <c r="AC119" s="420">
        <f>IF(L119="Passed","Archived","Active")</f>
        <v/>
      </c>
    </row>
    <row r="120">
      <c r="A120" s="420" t="inlineStr">
        <is>
          <t>EXOS-0119</t>
        </is>
      </c>
      <c r="B120" s="420" t="inlineStr">
        <is>
          <t>John - Investor Contacts</t>
        </is>
      </c>
      <c r="C120" s="420" t="inlineStr">
        <is>
          <t>Financial Investor</t>
        </is>
      </c>
      <c r="D120" s="420" t="inlineStr">
        <is>
          <t>Alumni Ventures</t>
        </is>
      </c>
      <c r="E120" s="420" t="inlineStr">
        <is>
          <t>Greg Baker</t>
        </is>
      </c>
      <c r="F120" s="420" t="inlineStr"/>
      <c r="G120" s="421" t="inlineStr">
        <is>
          <t>greg@av.vc</t>
        </is>
      </c>
      <c r="H120" s="420" t="inlineStr"/>
      <c r="I120" s="420" t="inlineStr"/>
      <c r="J120" s="421" t="inlineStr">
        <is>
          <t>https://www.linkedin.com/in/gregebaker</t>
        </is>
      </c>
      <c r="K120" s="422" t="inlineStr">
        <is>
          <t>John Quinn</t>
        </is>
      </c>
      <c r="L120" s="422" t="inlineStr">
        <is>
          <t>Follow Up</t>
        </is>
      </c>
      <c r="M120" s="420" t="inlineStr">
        <is>
          <t>Space / Defense / Aerospace / Advanced Manufacturing</t>
        </is>
      </c>
      <c r="N120" s="422" t="inlineStr">
        <is>
          <t>Tier 2</t>
        </is>
      </c>
      <c r="O120" s="440" t="n">
        <v>45821</v>
      </c>
      <c r="P120" s="440" t="n">
        <v>45973</v>
      </c>
      <c r="Q120" s="420">
        <f>IF(P120="","",TODAY()-P120)</f>
        <v/>
      </c>
      <c r="R120" s="440">
        <f>IF(OR(L120="Passed",Z120=""),"",P120+Z120)</f>
        <v/>
      </c>
      <c r="S120" s="420">
        <f>IF(OR(R120="",L120="Passed"),"",IF(R120&lt;=TODAY(),"DUE",IF(R120&lt;=TODAY()+3,"Next 3 Days","Later")))</f>
        <v/>
      </c>
      <c r="T120" s="420" t="inlineStr"/>
      <c r="U120" s="422" t="inlineStr">
        <is>
          <t>https://www.linkedin.com/in/gregebaker</t>
        </is>
      </c>
      <c r="V120" s="422" t="inlineStr"/>
      <c r="W120" s="424" t="inlineStr">
        <is>
          <t>12/30/2025</t>
        </is>
      </c>
      <c r="X120" s="420" t="inlineStr">
        <is>
          <t>John - Investor Contacts!183 | John - Investor Contacts!741</t>
        </is>
      </c>
      <c r="Y120" s="422" t="inlineStr">
        <is>
          <t>Send next follow-up with traction + CTA</t>
        </is>
      </c>
      <c r="Z120" s="420" t="n">
        <v>7</v>
      </c>
      <c r="AA120" s="420">
        <f>IF(AC120="Archived",0,ROUND((IF(N120="Tier 1",35,IF(N120="Tier 2",20,8))+IF(C120="Financial Investor",15,IF(C120="Intermediary / Banker",12,8))+IF(L120="Term Sheet / Proposal",25,IF(L120="Engaged",20,IF(L120="Meeting Requested",18,IF(L120="Meeting Held",14,IF(L120="Follow Up",10,5)))))+MIN(Q120,30)+IF(S120="DUE",15,IF(S120="Next 3 Days",8,0))),0))</f>
        <v/>
      </c>
      <c r="AB120" s="420">
        <f>IF(AND(AC120="Active",OR(N120="Tier 1",N120="Tier 2"),OR(S120="DUE",S120="Next 3 Days")),"YES","")</f>
        <v/>
      </c>
      <c r="AC120" s="420">
        <f>IF(L120="Passed","Archived","Active")</f>
        <v/>
      </c>
    </row>
    <row r="121">
      <c r="A121" s="420" t="inlineStr">
        <is>
          <t>EXOS-0120</t>
        </is>
      </c>
      <c r="B121" s="420" t="inlineStr">
        <is>
          <t>John - Investor Contacts</t>
        </is>
      </c>
      <c r="C121" s="420" t="inlineStr">
        <is>
          <t>Financial Investor</t>
        </is>
      </c>
      <c r="D121" s="420" t="inlineStr">
        <is>
          <t>Alumni Ventures</t>
        </is>
      </c>
      <c r="E121" s="420" t="inlineStr">
        <is>
          <t>Matt Caspari</t>
        </is>
      </c>
      <c r="F121" s="420" t="inlineStr"/>
      <c r="G121" s="421" t="inlineStr">
        <is>
          <t>matt.caspari@av.vc</t>
        </is>
      </c>
      <c r="H121" s="420" t="inlineStr"/>
      <c r="I121" s="420" t="inlineStr"/>
      <c r="J121" s="421" t="inlineStr">
        <is>
          <t>https://www.linkedin.com/in/deeptechvc/</t>
        </is>
      </c>
      <c r="K121" s="422" t="inlineStr">
        <is>
          <t>John Quinn</t>
        </is>
      </c>
      <c r="L121" s="422" t="inlineStr">
        <is>
          <t>Follow Up</t>
        </is>
      </c>
      <c r="M121" s="420" t="inlineStr">
        <is>
          <t>Space / Defense / Aerospace / Advanced Manufacturing</t>
        </is>
      </c>
      <c r="N121" s="422" t="inlineStr">
        <is>
          <t>Tier 2</t>
        </is>
      </c>
      <c r="O121" s="440" t="n">
        <v>45912</v>
      </c>
      <c r="P121" s="440" t="n">
        <v>45973</v>
      </c>
      <c r="Q121" s="420">
        <f>IF(P121="","",TODAY()-P121)</f>
        <v/>
      </c>
      <c r="R121" s="440">
        <f>IF(OR(L121="Passed",Z121=""),"",P121+Z121)</f>
        <v/>
      </c>
      <c r="S121" s="420">
        <f>IF(OR(R121="",L121="Passed"),"",IF(R121&lt;=TODAY(),"DUE",IF(R121&lt;=TODAY()+3,"Next 3 Days","Later")))</f>
        <v/>
      </c>
      <c r="T121" s="420" t="inlineStr"/>
      <c r="U121" s="422" t="inlineStr">
        <is>
          <t>https://www.linkedin.com/in/deeptechvc/</t>
        </is>
      </c>
      <c r="V121" s="422" t="inlineStr"/>
      <c r="W121" s="424" t="inlineStr">
        <is>
          <t xml:space="preserve"> | 12/19/2025 | </t>
        </is>
      </c>
      <c r="X121" s="420" t="inlineStr">
        <is>
          <t>John - Investor Contacts!676</t>
        </is>
      </c>
      <c r="Y121" s="422" t="inlineStr">
        <is>
          <t>Send next follow-up with traction + CTA</t>
        </is>
      </c>
      <c r="Z121" s="420" t="n">
        <v>7</v>
      </c>
      <c r="AA121" s="420">
        <f>IF(AC121="Archived",0,ROUND((IF(N121="Tier 1",35,IF(N121="Tier 2",20,8))+IF(C121="Financial Investor",15,IF(C121="Intermediary / Banker",12,8))+IF(L121="Term Sheet / Proposal",25,IF(L121="Engaged",20,IF(L121="Meeting Requested",18,IF(L121="Meeting Held",14,IF(L121="Follow Up",10,5)))))+MIN(Q121,30)+IF(S121="DUE",15,IF(S121="Next 3 Days",8,0))),0))</f>
        <v/>
      </c>
      <c r="AB121" s="420">
        <f>IF(AND(AC121="Active",OR(N121="Tier 1",N121="Tier 2"),OR(S121="DUE",S121="Next 3 Days")),"YES","")</f>
        <v/>
      </c>
      <c r="AC121" s="420">
        <f>IF(L121="Passed","Archived","Active")</f>
        <v/>
      </c>
    </row>
    <row r="122">
      <c r="A122" s="420" t="inlineStr">
        <is>
          <t>EXOS-0121</t>
        </is>
      </c>
      <c r="B122" s="420" t="inlineStr">
        <is>
          <t>OSC</t>
        </is>
      </c>
      <c r="C122" s="420" t="inlineStr">
        <is>
          <t>Financial Investor</t>
        </is>
      </c>
      <c r="D122" s="420" t="inlineStr">
        <is>
          <t>America's Fronteir</t>
        </is>
      </c>
      <c r="E122" s="420" t="inlineStr">
        <is>
          <t>Faran Nouri</t>
        </is>
      </c>
      <c r="F122" s="420" t="inlineStr"/>
      <c r="G122" s="421" t="inlineStr">
        <is>
          <t>faran@americasfrontier.org</t>
        </is>
      </c>
      <c r="H122" s="420" t="inlineStr"/>
      <c r="I122" s="420" t="inlineStr">
        <is>
          <t>510.572.3055 and 408.666.4699</t>
        </is>
      </c>
      <c r="J122" s="420" t="inlineStr"/>
      <c r="K122" s="422" t="inlineStr">
        <is>
          <t>John Quinn</t>
        </is>
      </c>
      <c r="L122" s="422" t="inlineStr">
        <is>
          <t>Follow Up</t>
        </is>
      </c>
      <c r="M122" s="420" t="inlineStr">
        <is>
          <t>Space / Defense / Aerospace / Advanced Manufacturing</t>
        </is>
      </c>
      <c r="N122" s="422" t="inlineStr">
        <is>
          <t>Tier 2</t>
        </is>
      </c>
      <c r="O122" s="440" t="n">
        <v>45853</v>
      </c>
      <c r="P122" s="440" t="n">
        <v>45922</v>
      </c>
      <c r="Q122" s="420">
        <f>IF(P122="","",TODAY()-P122)</f>
        <v/>
      </c>
      <c r="R122" s="440">
        <f>IF(OR(L122="Passed",Z122=""),"",P122+Z122)</f>
        <v/>
      </c>
      <c r="S122" s="420">
        <f>IF(OR(R122="",L122="Passed"),"",IF(R122&lt;=TODAY(),"DUE",IF(R122&lt;=TODAY()+3,"Next 3 Days","Later")))</f>
        <v/>
      </c>
      <c r="T122" s="420" t="inlineStr"/>
      <c r="U122" s="422" t="inlineStr"/>
      <c r="V122" s="422" t="inlineStr"/>
      <c r="W122" s="424" t="inlineStr"/>
      <c r="X122" s="420" t="inlineStr">
        <is>
          <t>OSC!37</t>
        </is>
      </c>
      <c r="Y122" s="422" t="inlineStr">
        <is>
          <t>Send next follow-up with traction + CTA</t>
        </is>
      </c>
      <c r="Z122" s="420" t="n">
        <v>7</v>
      </c>
      <c r="AA122" s="420">
        <f>IF(AC122="Archived",0,ROUND((IF(N122="Tier 1",35,IF(N122="Tier 2",20,8))+IF(C122="Financial Investor",15,IF(C122="Intermediary / Banker",12,8))+IF(L122="Term Sheet / Proposal",25,IF(L122="Engaged",20,IF(L122="Meeting Requested",18,IF(L122="Meeting Held",14,IF(L122="Follow Up",10,5)))))+MIN(Q122,30)+IF(S122="DUE",15,IF(S122="Next 3 Days",8,0))),0))</f>
        <v/>
      </c>
      <c r="AB122" s="420">
        <f>IF(AND(AC122="Active",OR(N122="Tier 1",N122="Tier 2"),OR(S122="DUE",S122="Next 3 Days")),"YES","")</f>
        <v/>
      </c>
      <c r="AC122" s="420">
        <f>IF(L122="Passed","Archived","Active")</f>
        <v/>
      </c>
    </row>
    <row r="123">
      <c r="A123" s="420" t="inlineStr">
        <is>
          <t>EXOS-0122</t>
        </is>
      </c>
      <c r="B123" s="420" t="inlineStr">
        <is>
          <t>John - Investor Contacts | OSC</t>
        </is>
      </c>
      <c r="C123" s="420" t="inlineStr">
        <is>
          <t>Financial Investor</t>
        </is>
      </c>
      <c r="D123" s="420" t="inlineStr">
        <is>
          <t>America's Fronteir</t>
        </is>
      </c>
      <c r="E123" s="420" t="inlineStr">
        <is>
          <t>Investor Relations</t>
        </is>
      </c>
      <c r="F123" s="420" t="inlineStr"/>
      <c r="G123" s="421" t="inlineStr">
        <is>
          <t>investor.relations@americasfrontier.com</t>
        </is>
      </c>
      <c r="H123" s="420" t="inlineStr"/>
      <c r="I123" s="420" t="inlineStr"/>
      <c r="J123" s="420" t="inlineStr"/>
      <c r="K123" s="422" t="inlineStr">
        <is>
          <t>John Quinn</t>
        </is>
      </c>
      <c r="L123" s="422" t="inlineStr">
        <is>
          <t>Follow Up</t>
        </is>
      </c>
      <c r="M123" s="420" t="inlineStr">
        <is>
          <t>Space / Defense / Aerospace / Advanced Manufacturing</t>
        </is>
      </c>
      <c r="N123" s="422" t="inlineStr">
        <is>
          <t>Tier 2</t>
        </is>
      </c>
      <c r="O123" s="440" t="n">
        <v>45814</v>
      </c>
      <c r="P123" s="440" t="n">
        <v>45922</v>
      </c>
      <c r="Q123" s="420">
        <f>IF(P123="","",TODAY()-P123)</f>
        <v/>
      </c>
      <c r="R123" s="440">
        <f>IF(OR(L123="Passed",Z123=""),"",P123+Z123)</f>
        <v/>
      </c>
      <c r="S123" s="420">
        <f>IF(OR(R123="",L123="Passed"),"",IF(R123&lt;=TODAY(),"DUE",IF(R123&lt;=TODAY()+3,"Next 3 Days","Later")))</f>
        <v/>
      </c>
      <c r="T123" s="420" t="inlineStr"/>
      <c r="U123" s="422" t="inlineStr"/>
      <c r="V123" s="422" t="inlineStr"/>
      <c r="W123" s="424" t="inlineStr"/>
      <c r="X123" s="420" t="inlineStr">
        <is>
          <t>John - Investor Contacts!141 | OSC!9</t>
        </is>
      </c>
      <c r="Y123" s="422" t="inlineStr">
        <is>
          <t>Send next follow-up with traction + CTA</t>
        </is>
      </c>
      <c r="Z123" s="420" t="n">
        <v>7</v>
      </c>
      <c r="AA123" s="420">
        <f>IF(AC123="Archived",0,ROUND((IF(N123="Tier 1",35,IF(N123="Tier 2",20,8))+IF(C123="Financial Investor",15,IF(C123="Intermediary / Banker",12,8))+IF(L123="Term Sheet / Proposal",25,IF(L123="Engaged",20,IF(L123="Meeting Requested",18,IF(L123="Meeting Held",14,IF(L123="Follow Up",10,5)))))+MIN(Q123,30)+IF(S123="DUE",15,IF(S123="Next 3 Days",8,0))),0))</f>
        <v/>
      </c>
      <c r="AB123" s="420">
        <f>IF(AND(AC123="Active",OR(N123="Tier 1",N123="Tier 2"),OR(S123="DUE",S123="Next 3 Days")),"YES","")</f>
        <v/>
      </c>
      <c r="AC123" s="420">
        <f>IF(L123="Passed","Archived","Active")</f>
        <v/>
      </c>
    </row>
    <row r="124">
      <c r="A124" s="420" t="inlineStr">
        <is>
          <t>EXOS-0123</t>
        </is>
      </c>
      <c r="B124" s="420" t="inlineStr">
        <is>
          <t>OSC</t>
        </is>
      </c>
      <c r="C124" s="420" t="inlineStr">
        <is>
          <t>Financial Investor</t>
        </is>
      </c>
      <c r="D124" s="420" t="inlineStr">
        <is>
          <t>America's Fronteir</t>
        </is>
      </c>
      <c r="E124" s="420" t="inlineStr">
        <is>
          <t>Jeff Karras</t>
        </is>
      </c>
      <c r="F124" s="420" t="inlineStr"/>
      <c r="G124" s="421" t="inlineStr">
        <is>
          <t>jkarras@altervp.com</t>
        </is>
      </c>
      <c r="H124" s="420" t="inlineStr"/>
      <c r="I124" s="420" t="inlineStr"/>
      <c r="J124" s="420" t="inlineStr"/>
      <c r="K124" s="422" t="inlineStr">
        <is>
          <t>John Quinn</t>
        </is>
      </c>
      <c r="L124" s="422" t="inlineStr">
        <is>
          <t>Follow Up</t>
        </is>
      </c>
      <c r="M124" s="420" t="inlineStr">
        <is>
          <t>Space / Defense / Aerospace / Advanced Manufacturing</t>
        </is>
      </c>
      <c r="N124" s="422" t="inlineStr">
        <is>
          <t>Tier 2</t>
        </is>
      </c>
      <c r="O124" s="440" t="n">
        <v>45853</v>
      </c>
      <c r="P124" s="440" t="n">
        <v>45922</v>
      </c>
      <c r="Q124" s="420">
        <f>IF(P124="","",TODAY()-P124)</f>
        <v/>
      </c>
      <c r="R124" s="440">
        <f>IF(OR(L124="Passed",Z124=""),"",P124+Z124)</f>
        <v/>
      </c>
      <c r="S124" s="420">
        <f>IF(OR(R124="",L124="Passed"),"",IF(R124&lt;=TODAY(),"DUE",IF(R124&lt;=TODAY()+3,"Next 3 Days","Later")))</f>
        <v/>
      </c>
      <c r="T124" s="420" t="inlineStr"/>
      <c r="U124" s="422" t="inlineStr"/>
      <c r="V124" s="422" t="inlineStr"/>
      <c r="W124" s="424" t="inlineStr"/>
      <c r="X124" s="420" t="inlineStr">
        <is>
          <t>OSC!39</t>
        </is>
      </c>
      <c r="Y124" s="422" t="inlineStr">
        <is>
          <t>Send next follow-up with traction + CTA</t>
        </is>
      </c>
      <c r="Z124" s="420" t="n">
        <v>7</v>
      </c>
      <c r="AA124" s="420">
        <f>IF(AC124="Archived",0,ROUND((IF(N124="Tier 1",35,IF(N124="Tier 2",20,8))+IF(C124="Financial Investor",15,IF(C124="Intermediary / Banker",12,8))+IF(L124="Term Sheet / Proposal",25,IF(L124="Engaged",20,IF(L124="Meeting Requested",18,IF(L124="Meeting Held",14,IF(L124="Follow Up",10,5)))))+MIN(Q124,30)+IF(S124="DUE",15,IF(S124="Next 3 Days",8,0))),0))</f>
        <v/>
      </c>
      <c r="AB124" s="420">
        <f>IF(AND(AC124="Active",OR(N124="Tier 1",N124="Tier 2"),OR(S124="DUE",S124="Next 3 Days")),"YES","")</f>
        <v/>
      </c>
      <c r="AC124" s="420">
        <f>IF(L124="Passed","Archived","Active")</f>
        <v/>
      </c>
    </row>
    <row r="125">
      <c r="A125" s="420" t="inlineStr">
        <is>
          <t>EXOS-0124</t>
        </is>
      </c>
      <c r="B125" s="420" t="inlineStr">
        <is>
          <t>John - Investor Contacts</t>
        </is>
      </c>
      <c r="C125" s="420" t="inlineStr">
        <is>
          <t>Financial Investor</t>
        </is>
      </c>
      <c r="D125" s="420" t="inlineStr">
        <is>
          <t>American Capital Partners, LLC</t>
        </is>
      </c>
      <c r="E125" s="420" t="inlineStr">
        <is>
          <t>Lawrence</t>
        </is>
      </c>
      <c r="F125" s="420" t="inlineStr"/>
      <c r="G125" s="421" t="inlineStr">
        <is>
          <t>ljust@acpweb.com</t>
        </is>
      </c>
      <c r="H125" s="420" t="inlineStr"/>
      <c r="I125" s="420" t="inlineStr"/>
      <c r="J125" s="420" t="inlineStr"/>
      <c r="K125" s="422" t="inlineStr">
        <is>
          <t>John Quinn</t>
        </is>
      </c>
      <c r="L125" s="422" t="inlineStr">
        <is>
          <t>Follow Up</t>
        </is>
      </c>
      <c r="M125" s="420" t="inlineStr">
        <is>
          <t>Space / Defense / Aerospace / Advanced Manufacturing</t>
        </is>
      </c>
      <c r="N125" s="422" t="inlineStr">
        <is>
          <t>Tier 2</t>
        </is>
      </c>
      <c r="O125" s="440" t="n">
        <v>45810</v>
      </c>
      <c r="P125" s="440" t="n">
        <v>45841</v>
      </c>
      <c r="Q125" s="420">
        <f>IF(P125="","",TODAY()-P125)</f>
        <v/>
      </c>
      <c r="R125" s="440">
        <f>IF(OR(L125="Passed",Z125=""),"",P125+Z125)</f>
        <v/>
      </c>
      <c r="S125" s="420">
        <f>IF(OR(R125="",L125="Passed"),"",IF(R125&lt;=TODAY(),"DUE",IF(R125&lt;=TODAY()+3,"Next 3 Days","Later")))</f>
        <v/>
      </c>
      <c r="T125" s="420" t="inlineStr"/>
      <c r="U125" s="422" t="inlineStr">
        <is>
          <t>Tom referral</t>
        </is>
      </c>
      <c r="V125" s="422" t="inlineStr"/>
      <c r="W125" s="424" t="inlineStr">
        <is>
          <t xml:space="preserve"> |  | </t>
        </is>
      </c>
      <c r="X125" s="420" t="inlineStr">
        <is>
          <t>John - Investor Contacts!107</t>
        </is>
      </c>
      <c r="Y125" s="422" t="inlineStr">
        <is>
          <t>Send next follow-up with traction + CTA</t>
        </is>
      </c>
      <c r="Z125" s="420" t="n">
        <v>7</v>
      </c>
      <c r="AA125" s="420">
        <f>IF(AC125="Archived",0,ROUND((IF(N125="Tier 1",35,IF(N125="Tier 2",20,8))+IF(C125="Financial Investor",15,IF(C125="Intermediary / Banker",12,8))+IF(L125="Term Sheet / Proposal",25,IF(L125="Engaged",20,IF(L125="Meeting Requested",18,IF(L125="Meeting Held",14,IF(L125="Follow Up",10,5)))))+MIN(Q125,30)+IF(S125="DUE",15,IF(S125="Next 3 Days",8,0))),0))</f>
        <v/>
      </c>
      <c r="AB125" s="420">
        <f>IF(AND(AC125="Active",OR(N125="Tier 1",N125="Tier 2"),OR(S125="DUE",S125="Next 3 Days")),"YES","")</f>
        <v/>
      </c>
      <c r="AC125" s="420">
        <f>IF(L125="Passed","Archived","Active")</f>
        <v/>
      </c>
    </row>
    <row r="126">
      <c r="A126" s="420" t="inlineStr">
        <is>
          <t>EXOS-0125</t>
        </is>
      </c>
      <c r="B126" s="420" t="inlineStr">
        <is>
          <t>John - Investor Contacts</t>
        </is>
      </c>
      <c r="C126" s="420" t="inlineStr">
        <is>
          <t>Financial Investor</t>
        </is>
      </c>
      <c r="D126" s="420" t="inlineStr">
        <is>
          <t>America’s Frontier Fund</t>
        </is>
      </c>
      <c r="E126" s="420" t="inlineStr">
        <is>
          <t>Brian Wilcove</t>
        </is>
      </c>
      <c r="F126" s="420" t="inlineStr"/>
      <c r="G126" s="421" t="inlineStr">
        <is>
          <t>brian@americasfrontier.org</t>
        </is>
      </c>
      <c r="H126" s="420" t="inlineStr"/>
      <c r="I126" s="420" t="inlineStr"/>
      <c r="J126" s="421" t="inlineStr">
        <is>
          <t>https://www.linkedin.com/in/brianwilcove/</t>
        </is>
      </c>
      <c r="K126" s="422" t="inlineStr">
        <is>
          <t>John Quinn</t>
        </is>
      </c>
      <c r="L126" s="422" t="inlineStr">
        <is>
          <t>Follow Up</t>
        </is>
      </c>
      <c r="M126" s="420" t="inlineStr">
        <is>
          <t>Space / Defense / Aerospace / Advanced Manufacturing</t>
        </is>
      </c>
      <c r="N126" s="422" t="inlineStr">
        <is>
          <t>Tier 2</t>
        </is>
      </c>
      <c r="O126" s="440" t="n">
        <v>45813</v>
      </c>
      <c r="P126" s="440" t="n">
        <v>45841</v>
      </c>
      <c r="Q126" s="420">
        <f>IF(P126="","",TODAY()-P126)</f>
        <v/>
      </c>
      <c r="R126" s="440">
        <f>IF(OR(L126="Passed",Z126=""),"",P126+Z126)</f>
        <v/>
      </c>
      <c r="S126" s="420">
        <f>IF(OR(R126="",L126="Passed"),"",IF(R126&lt;=TODAY(),"DUE",IF(R126&lt;=TODAY()+3,"Next 3 Days","Later")))</f>
        <v/>
      </c>
      <c r="T126" s="420" t="inlineStr"/>
      <c r="U126" s="422" t="inlineStr">
        <is>
          <t>https://www.linkedin.com/in/brianwilcove/</t>
        </is>
      </c>
      <c r="V126" s="422" t="inlineStr"/>
      <c r="W126" s="424" t="inlineStr">
        <is>
          <t xml:space="preserve"> |  | </t>
        </is>
      </c>
      <c r="X126" s="420" t="inlineStr">
        <is>
          <t>John - Investor Contacts!121</t>
        </is>
      </c>
      <c r="Y126" s="422" t="inlineStr">
        <is>
          <t>Send next follow-up with traction + CTA</t>
        </is>
      </c>
      <c r="Z126" s="420" t="n">
        <v>7</v>
      </c>
      <c r="AA126" s="420">
        <f>IF(AC126="Archived",0,ROUND((IF(N126="Tier 1",35,IF(N126="Tier 2",20,8))+IF(C126="Financial Investor",15,IF(C126="Intermediary / Banker",12,8))+IF(L126="Term Sheet / Proposal",25,IF(L126="Engaged",20,IF(L126="Meeting Requested",18,IF(L126="Meeting Held",14,IF(L126="Follow Up",10,5)))))+MIN(Q126,30)+IF(S126="DUE",15,IF(S126="Next 3 Days",8,0))),0))</f>
        <v/>
      </c>
      <c r="AB126" s="420">
        <f>IF(AND(AC126="Active",OR(N126="Tier 1",N126="Tier 2"),OR(S126="DUE",S126="Next 3 Days")),"YES","")</f>
        <v/>
      </c>
      <c r="AC126" s="420">
        <f>IF(L126="Passed","Archived","Active")</f>
        <v/>
      </c>
    </row>
    <row r="127">
      <c r="A127" s="420" t="inlineStr">
        <is>
          <t>EXOS-0126</t>
        </is>
      </c>
      <c r="B127" s="420" t="inlineStr">
        <is>
          <t>John - Investor Contacts | OSC</t>
        </is>
      </c>
      <c r="C127" s="420" t="inlineStr">
        <is>
          <t>Financial Investor</t>
        </is>
      </c>
      <c r="D127" s="420" t="inlineStr">
        <is>
          <t>America’s Frontier Fund</t>
        </is>
      </c>
      <c r="E127" s="420" t="inlineStr">
        <is>
          <t>Gilman Louie</t>
        </is>
      </c>
      <c r="F127" s="420" t="inlineStr"/>
      <c r="G127" s="421" t="inlineStr">
        <is>
          <t>gilman@americasfrontier.org</t>
        </is>
      </c>
      <c r="H127" s="420" t="inlineStr"/>
      <c r="I127" s="420" t="inlineStr">
        <is>
          <t>540.533.4600 and 415.994.4055</t>
        </is>
      </c>
      <c r="J127" s="421" t="inlineStr">
        <is>
          <t>https://www.linkedin.com/in/gilmanlouie/</t>
        </is>
      </c>
      <c r="K127" s="422" t="inlineStr">
        <is>
          <t>John Quinn</t>
        </is>
      </c>
      <c r="L127" s="422" t="inlineStr">
        <is>
          <t>Follow Up</t>
        </is>
      </c>
      <c r="M127" s="420" t="inlineStr">
        <is>
          <t>Space / Defense / Aerospace / Advanced Manufacturing</t>
        </is>
      </c>
      <c r="N127" s="422" t="inlineStr">
        <is>
          <t>Tier 2</t>
        </is>
      </c>
      <c r="O127" s="440" t="n">
        <v>45813</v>
      </c>
      <c r="P127" s="440" t="n">
        <v>45922</v>
      </c>
      <c r="Q127" s="420">
        <f>IF(P127="","",TODAY()-P127)</f>
        <v/>
      </c>
      <c r="R127" s="440">
        <f>IF(OR(L127="Passed",Z127=""),"",P127+Z127)</f>
        <v/>
      </c>
      <c r="S127" s="420">
        <f>IF(OR(R127="",L127="Passed"),"",IF(R127&lt;=TODAY(),"DUE",IF(R127&lt;=TODAY()+3,"Next 3 Days","Later")))</f>
        <v/>
      </c>
      <c r="T127" s="420" t="inlineStr"/>
      <c r="U127" s="422" t="inlineStr">
        <is>
          <t>https://www.linkedin.com/in/gilmanlouie/</t>
        </is>
      </c>
      <c r="V127" s="422" t="inlineStr"/>
      <c r="W127" s="424" t="inlineStr"/>
      <c r="X127" s="420" t="inlineStr">
        <is>
          <t>John - Investor Contacts!122 | OSC!38</t>
        </is>
      </c>
      <c r="Y127" s="422" t="inlineStr">
        <is>
          <t>Send next follow-up with traction + CTA</t>
        </is>
      </c>
      <c r="Z127" s="420" t="n">
        <v>7</v>
      </c>
      <c r="AA127" s="420">
        <f>IF(AC127="Archived",0,ROUND((IF(N127="Tier 1",35,IF(N127="Tier 2",20,8))+IF(C127="Financial Investor",15,IF(C127="Intermediary / Banker",12,8))+IF(L127="Term Sheet / Proposal",25,IF(L127="Engaged",20,IF(L127="Meeting Requested",18,IF(L127="Meeting Held",14,IF(L127="Follow Up",10,5)))))+MIN(Q127,30)+IF(S127="DUE",15,IF(S127="Next 3 Days",8,0))),0))</f>
        <v/>
      </c>
      <c r="AB127" s="420">
        <f>IF(AND(AC127="Active",OR(N127="Tier 1",N127="Tier 2"),OR(S127="DUE",S127="Next 3 Days")),"YES","")</f>
        <v/>
      </c>
      <c r="AC127" s="420">
        <f>IF(L127="Passed","Archived","Active")</f>
        <v/>
      </c>
    </row>
    <row r="128">
      <c r="A128" s="420" t="inlineStr">
        <is>
          <t>EXOS-0127</t>
        </is>
      </c>
      <c r="B128" s="420" t="inlineStr">
        <is>
          <t>John - Investor Contacts | OSC</t>
        </is>
      </c>
      <c r="C128" s="420" t="inlineStr">
        <is>
          <t>Financial Investor</t>
        </is>
      </c>
      <c r="D128" s="420" t="inlineStr">
        <is>
          <t>America’s Frontier Fund</t>
        </is>
      </c>
      <c r="E128" s="420" t="inlineStr">
        <is>
          <t>Jordan Blashek</t>
        </is>
      </c>
      <c r="F128" s="420" t="inlineStr"/>
      <c r="G128" s="421" t="inlineStr">
        <is>
          <t>jordan@americasfrontier.org</t>
        </is>
      </c>
      <c r="H128" s="420" t="inlineStr"/>
      <c r="I128" s="420" t="inlineStr">
        <is>
          <t>818.789.0123 and 818.406.5058</t>
        </is>
      </c>
      <c r="J128" s="421" t="inlineStr">
        <is>
          <t>https://www.linkedin.com/in/jordanblashek/</t>
        </is>
      </c>
      <c r="K128" s="422" t="inlineStr">
        <is>
          <t>John Quinn</t>
        </is>
      </c>
      <c r="L128" s="422" t="inlineStr">
        <is>
          <t>Follow Up</t>
        </is>
      </c>
      <c r="M128" s="420" t="inlineStr">
        <is>
          <t>Space / Defense / Aerospace / Advanced Manufacturing</t>
        </is>
      </c>
      <c r="N128" s="422" t="inlineStr">
        <is>
          <t>Tier 2</t>
        </is>
      </c>
      <c r="O128" s="440" t="n">
        <v>45813</v>
      </c>
      <c r="P128" s="440" t="n">
        <v>45922</v>
      </c>
      <c r="Q128" s="420">
        <f>IF(P128="","",TODAY()-P128)</f>
        <v/>
      </c>
      <c r="R128" s="440">
        <f>IF(OR(L128="Passed",Z128=""),"",P128+Z128)</f>
        <v/>
      </c>
      <c r="S128" s="420">
        <f>IF(OR(R128="",L128="Passed"),"",IF(R128&lt;=TODAY(),"DUE",IF(R128&lt;=TODAY()+3,"Next 3 Days","Later")))</f>
        <v/>
      </c>
      <c r="T128" s="420" t="inlineStr"/>
      <c r="U128" s="422" t="inlineStr">
        <is>
          <t>https://www.linkedin.com/in/jordanblashek/</t>
        </is>
      </c>
      <c r="V128" s="422" t="inlineStr"/>
      <c r="W128" s="424" t="inlineStr"/>
      <c r="X128" s="420" t="inlineStr">
        <is>
          <t>John - Investor Contacts!120 | OSC!36</t>
        </is>
      </c>
      <c r="Y128" s="422" t="inlineStr">
        <is>
          <t>Send next follow-up with traction + CTA</t>
        </is>
      </c>
      <c r="Z128" s="420" t="n">
        <v>7</v>
      </c>
      <c r="AA128" s="420">
        <f>IF(AC128="Archived",0,ROUND((IF(N128="Tier 1",35,IF(N128="Tier 2",20,8))+IF(C128="Financial Investor",15,IF(C128="Intermediary / Banker",12,8))+IF(L128="Term Sheet / Proposal",25,IF(L128="Engaged",20,IF(L128="Meeting Requested",18,IF(L128="Meeting Held",14,IF(L128="Follow Up",10,5)))))+MIN(Q128,30)+IF(S128="DUE",15,IF(S128="Next 3 Days",8,0))),0))</f>
        <v/>
      </c>
      <c r="AB128" s="420">
        <f>IF(AND(AC128="Active",OR(N128="Tier 1",N128="Tier 2"),OR(S128="DUE",S128="Next 3 Days")),"YES","")</f>
        <v/>
      </c>
      <c r="AC128" s="420">
        <f>IF(L128="Passed","Archived","Active")</f>
        <v/>
      </c>
    </row>
    <row r="129">
      <c r="A129" s="420" t="inlineStr">
        <is>
          <t>EXOS-0128</t>
        </is>
      </c>
      <c r="B129" s="420" t="inlineStr">
        <is>
          <t>John - Investor Contacts</t>
        </is>
      </c>
      <c r="C129" s="420" t="inlineStr">
        <is>
          <t>Financial Investor</t>
        </is>
      </c>
      <c r="D129" s="420" t="inlineStr">
        <is>
          <t>Amplify Partners</t>
        </is>
      </c>
      <c r="E129" s="420" t="inlineStr">
        <is>
          <t>Grace Ge</t>
        </is>
      </c>
      <c r="F129" s="420" t="inlineStr"/>
      <c r="G129" s="421" t="inlineStr">
        <is>
          <t>grace@amplifypartners.com</t>
        </is>
      </c>
      <c r="H129" s="420" t="inlineStr"/>
      <c r="I129" s="420" t="inlineStr"/>
      <c r="J129" s="421" t="inlineStr">
        <is>
          <t>https://www.linkedin.com/in/gracewenge/</t>
        </is>
      </c>
      <c r="K129" s="422" t="inlineStr">
        <is>
          <t>John Quinn</t>
        </is>
      </c>
      <c r="L129" s="422" t="inlineStr">
        <is>
          <t>Follow Up</t>
        </is>
      </c>
      <c r="M129" s="420" t="inlineStr">
        <is>
          <t>Space / Defense / Aerospace / Advanced Manufacturing</t>
        </is>
      </c>
      <c r="N129" s="422" t="inlineStr">
        <is>
          <t>Tier 2</t>
        </is>
      </c>
      <c r="O129" s="440" t="n">
        <v>45951</v>
      </c>
      <c r="P129" s="440" t="n">
        <v>45973</v>
      </c>
      <c r="Q129" s="420">
        <f>IF(P129="","",TODAY()-P129)</f>
        <v/>
      </c>
      <c r="R129" s="440">
        <f>IF(OR(L129="Passed",Z129=""),"",P129+Z129)</f>
        <v/>
      </c>
      <c r="S129" s="420">
        <f>IF(OR(R129="",L129="Passed"),"",IF(R129&lt;=TODAY(),"DUE",IF(R129&lt;=TODAY()+3,"Next 3 Days","Later")))</f>
        <v/>
      </c>
      <c r="T129" s="420" t="inlineStr"/>
      <c r="U129" s="422" t="inlineStr">
        <is>
          <t>https://www.linkedin.com/in/gracewenge/</t>
        </is>
      </c>
      <c r="V129" s="422" t="inlineStr"/>
      <c r="W129" s="424" t="inlineStr">
        <is>
          <t xml:space="preserve"> | 12/30/2025 | </t>
        </is>
      </c>
      <c r="X129" s="420" t="inlineStr">
        <is>
          <t>John - Investor Contacts!790</t>
        </is>
      </c>
      <c r="Y129" s="422" t="inlineStr">
        <is>
          <t>Send next follow-up with traction + CTA</t>
        </is>
      </c>
      <c r="Z129" s="420" t="n">
        <v>7</v>
      </c>
      <c r="AA129" s="420">
        <f>IF(AC129="Archived",0,ROUND((IF(N129="Tier 1",35,IF(N129="Tier 2",20,8))+IF(C129="Financial Investor",15,IF(C129="Intermediary / Banker",12,8))+IF(L129="Term Sheet / Proposal",25,IF(L129="Engaged",20,IF(L129="Meeting Requested",18,IF(L129="Meeting Held",14,IF(L129="Follow Up",10,5)))))+MIN(Q129,30)+IF(S129="DUE",15,IF(S129="Next 3 Days",8,0))),0))</f>
        <v/>
      </c>
      <c r="AB129" s="420">
        <f>IF(AND(AC129="Active",OR(N129="Tier 1",N129="Tier 2"),OR(S129="DUE",S129="Next 3 Days")),"YES","")</f>
        <v/>
      </c>
      <c r="AC129" s="420">
        <f>IF(L129="Passed","Archived","Active")</f>
        <v/>
      </c>
    </row>
    <row r="130">
      <c r="A130" s="420" t="inlineStr">
        <is>
          <t>EXOS-0129</t>
        </is>
      </c>
      <c r="B130" s="420" t="inlineStr">
        <is>
          <t>John - Investor Contacts</t>
        </is>
      </c>
      <c r="C130" s="420" t="inlineStr">
        <is>
          <t>Financial Investor</t>
        </is>
      </c>
      <c r="D130" s="420" t="inlineStr">
        <is>
          <t>Amplify Partners</t>
        </is>
      </c>
      <c r="E130" s="420" t="inlineStr">
        <is>
          <t>Lenny Pruss</t>
        </is>
      </c>
      <c r="F130" s="420" t="inlineStr"/>
      <c r="G130" s="421" t="inlineStr">
        <is>
          <t>lenny@amplifypartners.com</t>
        </is>
      </c>
      <c r="H130" s="420" t="inlineStr"/>
      <c r="I130" s="420" t="inlineStr"/>
      <c r="J130" s="421" t="inlineStr">
        <is>
          <t>https://www.linkedin.com/in/lennypruss/</t>
        </is>
      </c>
      <c r="K130" s="422" t="inlineStr">
        <is>
          <t>John Quinn</t>
        </is>
      </c>
      <c r="L130" s="422" t="inlineStr">
        <is>
          <t>Follow Up</t>
        </is>
      </c>
      <c r="M130" s="420" t="inlineStr">
        <is>
          <t>Space / Defense / Aerospace / Advanced Manufacturing</t>
        </is>
      </c>
      <c r="N130" s="422" t="inlineStr">
        <is>
          <t>Tier 2</t>
        </is>
      </c>
      <c r="O130" s="440" t="n">
        <v>45951</v>
      </c>
      <c r="P130" s="440" t="n">
        <v>45973</v>
      </c>
      <c r="Q130" s="420">
        <f>IF(P130="","",TODAY()-P130)</f>
        <v/>
      </c>
      <c r="R130" s="440">
        <f>IF(OR(L130="Passed",Z130=""),"",P130+Z130)</f>
        <v/>
      </c>
      <c r="S130" s="420">
        <f>IF(OR(R130="",L130="Passed"),"",IF(R130&lt;=TODAY(),"DUE",IF(R130&lt;=TODAY()+3,"Next 3 Days","Later")))</f>
        <v/>
      </c>
      <c r="T130" s="420" t="inlineStr"/>
      <c r="U130" s="422" t="inlineStr">
        <is>
          <t>https://www.linkedin.com/in/lennypruss/</t>
        </is>
      </c>
      <c r="V130" s="422" t="inlineStr"/>
      <c r="W130" s="424" t="inlineStr">
        <is>
          <t xml:space="preserve"> | 12/30/2025 | </t>
        </is>
      </c>
      <c r="X130" s="420" t="inlineStr">
        <is>
          <t>John - Investor Contacts!788</t>
        </is>
      </c>
      <c r="Y130" s="422" t="inlineStr">
        <is>
          <t>Send next follow-up with traction + CTA</t>
        </is>
      </c>
      <c r="Z130" s="420" t="n">
        <v>7</v>
      </c>
      <c r="AA130" s="420">
        <f>IF(AC130="Archived",0,ROUND((IF(N130="Tier 1",35,IF(N130="Tier 2",20,8))+IF(C130="Financial Investor",15,IF(C130="Intermediary / Banker",12,8))+IF(L130="Term Sheet / Proposal",25,IF(L130="Engaged",20,IF(L130="Meeting Requested",18,IF(L130="Meeting Held",14,IF(L130="Follow Up",10,5)))))+MIN(Q130,30)+IF(S130="DUE",15,IF(S130="Next 3 Days",8,0))),0))</f>
        <v/>
      </c>
      <c r="AB130" s="420">
        <f>IF(AND(AC130="Active",OR(N130="Tier 1",N130="Tier 2"),OR(S130="DUE",S130="Next 3 Days")),"YES","")</f>
        <v/>
      </c>
      <c r="AC130" s="420">
        <f>IF(L130="Passed","Archived","Active")</f>
        <v/>
      </c>
    </row>
    <row r="131">
      <c r="A131" s="420" t="inlineStr">
        <is>
          <t>EXOS-0130</t>
        </is>
      </c>
      <c r="B131" s="420" t="inlineStr">
        <is>
          <t>John - Investor Contacts</t>
        </is>
      </c>
      <c r="C131" s="420" t="inlineStr">
        <is>
          <t>Financial Investor</t>
        </is>
      </c>
      <c r="D131" s="420" t="inlineStr">
        <is>
          <t>Amplify Partners</t>
        </is>
      </c>
      <c r="E131" s="420" t="inlineStr">
        <is>
          <t>Mike Dauber</t>
        </is>
      </c>
      <c r="F131" s="420" t="inlineStr"/>
      <c r="G131" s="421" t="inlineStr">
        <is>
          <t>mike@amplifypartners.com</t>
        </is>
      </c>
      <c r="H131" s="420" t="inlineStr"/>
      <c r="I131" s="420" t="inlineStr"/>
      <c r="J131" s="421" t="inlineStr">
        <is>
          <t>https://www.linkedin.com/in/dauber/</t>
        </is>
      </c>
      <c r="K131" s="422" t="inlineStr">
        <is>
          <t>John Quinn</t>
        </is>
      </c>
      <c r="L131" s="422" t="inlineStr">
        <is>
          <t>Follow Up</t>
        </is>
      </c>
      <c r="M131" s="420" t="inlineStr">
        <is>
          <t>Space / Defense / Aerospace / Advanced Manufacturing</t>
        </is>
      </c>
      <c r="N131" s="422" t="inlineStr">
        <is>
          <t>Tier 2</t>
        </is>
      </c>
      <c r="O131" s="440" t="n">
        <v>45951</v>
      </c>
      <c r="P131" s="440" t="n">
        <v>45973</v>
      </c>
      <c r="Q131" s="420">
        <f>IF(P131="","",TODAY()-P131)</f>
        <v/>
      </c>
      <c r="R131" s="440">
        <f>IF(OR(L131="Passed",Z131=""),"",P131+Z131)</f>
        <v/>
      </c>
      <c r="S131" s="420">
        <f>IF(OR(R131="",L131="Passed"),"",IF(R131&lt;=TODAY(),"DUE",IF(R131&lt;=TODAY()+3,"Next 3 Days","Later")))</f>
        <v/>
      </c>
      <c r="T131" s="420" t="inlineStr"/>
      <c r="U131" s="422" t="inlineStr">
        <is>
          <t>https://www.linkedin.com/in/dauber/</t>
        </is>
      </c>
      <c r="V131" s="422" t="inlineStr"/>
      <c r="W131" s="424" t="inlineStr">
        <is>
          <t xml:space="preserve"> | 12/30/2025 | </t>
        </is>
      </c>
      <c r="X131" s="420" t="inlineStr">
        <is>
          <t>John - Investor Contacts!789</t>
        </is>
      </c>
      <c r="Y131" s="422" t="inlineStr">
        <is>
          <t>Send next follow-up with traction + CTA</t>
        </is>
      </c>
      <c r="Z131" s="420" t="n">
        <v>7</v>
      </c>
      <c r="AA131" s="420">
        <f>IF(AC131="Archived",0,ROUND((IF(N131="Tier 1",35,IF(N131="Tier 2",20,8))+IF(C131="Financial Investor",15,IF(C131="Intermediary / Banker",12,8))+IF(L131="Term Sheet / Proposal",25,IF(L131="Engaged",20,IF(L131="Meeting Requested",18,IF(L131="Meeting Held",14,IF(L131="Follow Up",10,5)))))+MIN(Q131,30)+IF(S131="DUE",15,IF(S131="Next 3 Days",8,0))),0))</f>
        <v/>
      </c>
      <c r="AB131" s="420">
        <f>IF(AND(AC131="Active",OR(N131="Tier 1",N131="Tier 2"),OR(S131="DUE",S131="Next 3 Days")),"YES","")</f>
        <v/>
      </c>
      <c r="AC131" s="420">
        <f>IF(L131="Passed","Archived","Active")</f>
        <v/>
      </c>
    </row>
    <row r="132">
      <c r="A132" s="420" t="inlineStr">
        <is>
          <t>EXOS-0131</t>
        </is>
      </c>
      <c r="B132" s="420" t="inlineStr">
        <is>
          <t>John - Investor Contacts</t>
        </is>
      </c>
      <c r="C132" s="420" t="inlineStr">
        <is>
          <t>Financial Investor</t>
        </is>
      </c>
      <c r="D132" s="420" t="inlineStr">
        <is>
          <t>Amplify Partners</t>
        </is>
      </c>
      <c r="E132" s="420" t="inlineStr">
        <is>
          <t>Sarah Catanzaro</t>
        </is>
      </c>
      <c r="F132" s="420" t="inlineStr"/>
      <c r="G132" s="421" t="inlineStr">
        <is>
          <t>sarah@amplifypartners.com</t>
        </is>
      </c>
      <c r="H132" s="420" t="inlineStr"/>
      <c r="I132" s="420" t="inlineStr"/>
      <c r="J132" s="421" t="inlineStr">
        <is>
          <t>https://www.linkedin.com/in/sarah-catanzaro-9770b98/</t>
        </is>
      </c>
      <c r="K132" s="422" t="inlineStr">
        <is>
          <t>John Quinn</t>
        </is>
      </c>
      <c r="L132" s="422" t="inlineStr">
        <is>
          <t>Follow Up</t>
        </is>
      </c>
      <c r="M132" s="420" t="inlineStr">
        <is>
          <t>Space / Defense / Aerospace / Advanced Manufacturing</t>
        </is>
      </c>
      <c r="N132" s="422" t="inlineStr">
        <is>
          <t>Tier 2</t>
        </is>
      </c>
      <c r="O132" s="440" t="n">
        <v>45951</v>
      </c>
      <c r="P132" s="440" t="n">
        <v>45973</v>
      </c>
      <c r="Q132" s="420">
        <f>IF(P132="","",TODAY()-P132)</f>
        <v/>
      </c>
      <c r="R132" s="440">
        <f>IF(OR(L132="Passed",Z132=""),"",P132+Z132)</f>
        <v/>
      </c>
      <c r="S132" s="420">
        <f>IF(OR(R132="",L132="Passed"),"",IF(R132&lt;=TODAY(),"DUE",IF(R132&lt;=TODAY()+3,"Next 3 Days","Later")))</f>
        <v/>
      </c>
      <c r="T132" s="420" t="inlineStr"/>
      <c r="U132" s="422" t="inlineStr">
        <is>
          <t>https://www.linkedin.com/in/sarah-catanzaro-9770b98/</t>
        </is>
      </c>
      <c r="V132" s="422" t="inlineStr"/>
      <c r="W132" s="424" t="inlineStr">
        <is>
          <t xml:space="preserve"> | 12/30/2025 | </t>
        </is>
      </c>
      <c r="X132" s="420" t="inlineStr">
        <is>
          <t>John - Investor Contacts!787</t>
        </is>
      </c>
      <c r="Y132" s="422" t="inlineStr">
        <is>
          <t>Send next follow-up with traction + CTA</t>
        </is>
      </c>
      <c r="Z132" s="420" t="n">
        <v>7</v>
      </c>
      <c r="AA132" s="420">
        <f>IF(AC132="Archived",0,ROUND((IF(N132="Tier 1",35,IF(N132="Tier 2",20,8))+IF(C132="Financial Investor",15,IF(C132="Intermediary / Banker",12,8))+IF(L132="Term Sheet / Proposal",25,IF(L132="Engaged",20,IF(L132="Meeting Requested",18,IF(L132="Meeting Held",14,IF(L132="Follow Up",10,5)))))+MIN(Q132,30)+IF(S132="DUE",15,IF(S132="Next 3 Days",8,0))),0))</f>
        <v/>
      </c>
      <c r="AB132" s="420">
        <f>IF(AND(AC132="Active",OR(N132="Tier 1",N132="Tier 2"),OR(S132="DUE",S132="Next 3 Days")),"YES","")</f>
        <v/>
      </c>
      <c r="AC132" s="420">
        <f>IF(L132="Passed","Archived","Active")</f>
        <v/>
      </c>
    </row>
    <row r="133">
      <c r="A133" s="420" t="inlineStr">
        <is>
          <t>EXOS-0132</t>
        </is>
      </c>
      <c r="B133" s="420" t="inlineStr">
        <is>
          <t>John - Investor Contacts</t>
        </is>
      </c>
      <c r="C133" s="420" t="inlineStr">
        <is>
          <t>Financial Investor</t>
        </is>
      </c>
      <c r="D133" s="420" t="inlineStr">
        <is>
          <t>Amplify Partners</t>
        </is>
      </c>
      <c r="E133" s="420" t="inlineStr">
        <is>
          <t>Sunil Dhaliwal</t>
        </is>
      </c>
      <c r="F133" s="420" t="inlineStr"/>
      <c r="G133" s="421" t="inlineStr">
        <is>
          <t>sunil@amplifypartners.com</t>
        </is>
      </c>
      <c r="H133" s="420" t="inlineStr"/>
      <c r="I133" s="420" t="inlineStr"/>
      <c r="J133" s="421" t="inlineStr">
        <is>
          <t>https://www.linkedin.com/in/sunildhaliwal/</t>
        </is>
      </c>
      <c r="K133" s="422" t="inlineStr">
        <is>
          <t>John Quinn</t>
        </is>
      </c>
      <c r="L133" s="422" t="inlineStr">
        <is>
          <t>Follow Up</t>
        </is>
      </c>
      <c r="M133" s="420" t="inlineStr">
        <is>
          <t>Space / Defense / Aerospace / Advanced Manufacturing</t>
        </is>
      </c>
      <c r="N133" s="422" t="inlineStr">
        <is>
          <t>Tier 2</t>
        </is>
      </c>
      <c r="O133" s="440" t="n">
        <v>45951</v>
      </c>
      <c r="P133" s="440" t="n">
        <v>45973</v>
      </c>
      <c r="Q133" s="420">
        <f>IF(P133="","",TODAY()-P133)</f>
        <v/>
      </c>
      <c r="R133" s="440">
        <f>IF(OR(L133="Passed",Z133=""),"",P133+Z133)</f>
        <v/>
      </c>
      <c r="S133" s="420">
        <f>IF(OR(R133="",L133="Passed"),"",IF(R133&lt;=TODAY(),"DUE",IF(R133&lt;=TODAY()+3,"Next 3 Days","Later")))</f>
        <v/>
      </c>
      <c r="T133" s="420" t="inlineStr"/>
      <c r="U133" s="422" t="inlineStr">
        <is>
          <t>https://www.linkedin.com/in/sunildhaliwal/</t>
        </is>
      </c>
      <c r="V133" s="422" t="inlineStr"/>
      <c r="W133" s="424" t="inlineStr">
        <is>
          <t xml:space="preserve"> | 12/30/2025 | </t>
        </is>
      </c>
      <c r="X133" s="420" t="inlineStr">
        <is>
          <t>John - Investor Contacts!786</t>
        </is>
      </c>
      <c r="Y133" s="422" t="inlineStr">
        <is>
          <t>Send next follow-up with traction + CTA</t>
        </is>
      </c>
      <c r="Z133" s="420" t="n">
        <v>7</v>
      </c>
      <c r="AA133" s="420">
        <f>IF(AC133="Archived",0,ROUND((IF(N133="Tier 1",35,IF(N133="Tier 2",20,8))+IF(C133="Financial Investor",15,IF(C133="Intermediary / Banker",12,8))+IF(L133="Term Sheet / Proposal",25,IF(L133="Engaged",20,IF(L133="Meeting Requested",18,IF(L133="Meeting Held",14,IF(L133="Follow Up",10,5)))))+MIN(Q133,30)+IF(S133="DUE",15,IF(S133="Next 3 Days",8,0))),0))</f>
        <v/>
      </c>
      <c r="AB133" s="420">
        <f>IF(AND(AC133="Active",OR(N133="Tier 1",N133="Tier 2"),OR(S133="DUE",S133="Next 3 Days")),"YES","")</f>
        <v/>
      </c>
      <c r="AC133" s="420">
        <f>IF(L133="Passed","Archived","Active")</f>
        <v/>
      </c>
    </row>
    <row r="134">
      <c r="A134" s="420" t="inlineStr">
        <is>
          <t>EXOS-0133</t>
        </is>
      </c>
      <c r="B134" s="420" t="inlineStr">
        <is>
          <t>John - Investor Contacts</t>
        </is>
      </c>
      <c r="C134" s="420" t="inlineStr">
        <is>
          <t>Financial Investor</t>
        </is>
      </c>
      <c r="D134" s="420" t="inlineStr">
        <is>
          <t>Andreessen Horowitz</t>
        </is>
      </c>
      <c r="E134" s="420" t="inlineStr">
        <is>
          <t>Katherine Boyle</t>
        </is>
      </c>
      <c r="F134" s="420" t="inlineStr"/>
      <c r="G134" s="421" t="inlineStr">
        <is>
          <t>katherine@a16z.com</t>
        </is>
      </c>
      <c r="H134" s="420" t="inlineStr"/>
      <c r="I134" s="420" t="inlineStr"/>
      <c r="J134" s="421" t="inlineStr">
        <is>
          <t>https://www.linkedin.com/in/katherine-boyle-4531a67/</t>
        </is>
      </c>
      <c r="K134" s="422" t="inlineStr">
        <is>
          <t>John Quinn</t>
        </is>
      </c>
      <c r="L134" s="422" t="inlineStr">
        <is>
          <t>Follow Up</t>
        </is>
      </c>
      <c r="M134" s="420" t="inlineStr">
        <is>
          <t>Space / Defense / Aerospace / Advanced Manufacturing</t>
        </is>
      </c>
      <c r="N134" s="422" t="inlineStr">
        <is>
          <t>Tier 2</t>
        </is>
      </c>
      <c r="O134" s="440" t="n">
        <v>45790</v>
      </c>
      <c r="P134" s="440" t="n">
        <v>45841</v>
      </c>
      <c r="Q134" s="420">
        <f>IF(P134="","",TODAY()-P134)</f>
        <v/>
      </c>
      <c r="R134" s="440">
        <f>IF(OR(L134="Passed",Z134=""),"",P134+Z134)</f>
        <v/>
      </c>
      <c r="S134" s="420">
        <f>IF(OR(R134="",L134="Passed"),"",IF(R134&lt;=TODAY(),"DUE",IF(R134&lt;=TODAY()+3,"Next 3 Days","Later")))</f>
        <v/>
      </c>
      <c r="T134" s="420" t="inlineStr"/>
      <c r="U134" s="422" t="inlineStr">
        <is>
          <t>https://www.linkedin.com/in/katherine-boyle-4531a67/</t>
        </is>
      </c>
      <c r="V134" s="422" t="inlineStr"/>
      <c r="W134" s="424" t="inlineStr">
        <is>
          <t xml:space="preserve"> |  | </t>
        </is>
      </c>
      <c r="X134" s="420" t="inlineStr">
        <is>
          <t>John - Investor Contacts!5</t>
        </is>
      </c>
      <c r="Y134" s="422" t="inlineStr">
        <is>
          <t>Send next follow-up with traction + CTA</t>
        </is>
      </c>
      <c r="Z134" s="420" t="n">
        <v>7</v>
      </c>
      <c r="AA134" s="420">
        <f>IF(AC134="Archived",0,ROUND((IF(N134="Tier 1",35,IF(N134="Tier 2",20,8))+IF(C134="Financial Investor",15,IF(C134="Intermediary / Banker",12,8))+IF(L134="Term Sheet / Proposal",25,IF(L134="Engaged",20,IF(L134="Meeting Requested",18,IF(L134="Meeting Held",14,IF(L134="Follow Up",10,5)))))+MIN(Q134,30)+IF(S134="DUE",15,IF(S134="Next 3 Days",8,0))),0))</f>
        <v/>
      </c>
      <c r="AB134" s="420">
        <f>IF(AND(AC134="Active",OR(N134="Tier 1",N134="Tier 2"),OR(S134="DUE",S134="Next 3 Days")),"YES","")</f>
        <v/>
      </c>
      <c r="AC134" s="420">
        <f>IF(L134="Passed","Archived","Active")</f>
        <v/>
      </c>
    </row>
    <row r="135">
      <c r="A135" s="420" t="inlineStr">
        <is>
          <t>EXOS-0134</t>
        </is>
      </c>
      <c r="B135" s="420" t="inlineStr">
        <is>
          <t>John - Investor Contacts</t>
        </is>
      </c>
      <c r="C135" s="420" t="inlineStr">
        <is>
          <t>Financial Investor</t>
        </is>
      </c>
      <c r="D135" s="420" t="inlineStr">
        <is>
          <t>Ansa</t>
        </is>
      </c>
      <c r="E135" s="420" t="inlineStr">
        <is>
          <t>Allan Jean-Baptiste</t>
        </is>
      </c>
      <c r="F135" s="420" t="inlineStr"/>
      <c r="G135" s="421" t="inlineStr">
        <is>
          <t>allan@ansa.co</t>
        </is>
      </c>
      <c r="H135" s="420" t="inlineStr"/>
      <c r="I135" s="420" t="inlineStr"/>
      <c r="J135" s="420" t="inlineStr"/>
      <c r="K135" s="422" t="inlineStr">
        <is>
          <t>John Quinn</t>
        </is>
      </c>
      <c r="L135" s="422" t="inlineStr">
        <is>
          <t>Follow Up</t>
        </is>
      </c>
      <c r="M135" s="420" t="inlineStr">
        <is>
          <t>Space / Defense / Aerospace / Advanced Manufacturing</t>
        </is>
      </c>
      <c r="N135" s="422" t="inlineStr">
        <is>
          <t>Tier 2</t>
        </is>
      </c>
      <c r="O135" s="440" t="n">
        <v>45891</v>
      </c>
      <c r="P135" s="440" t="n">
        <v>45923</v>
      </c>
      <c r="Q135" s="420">
        <f>IF(P135="","",TODAY()-P135)</f>
        <v/>
      </c>
      <c r="R135" s="440">
        <f>IF(OR(L135="Passed",Z135=""),"",P135+Z135)</f>
        <v/>
      </c>
      <c r="S135" s="420">
        <f>IF(OR(R135="",L135="Passed"),"",IF(R135&lt;=TODAY(),"DUE",IF(R135&lt;=TODAY()+3,"Next 3 Days","Later")))</f>
        <v/>
      </c>
      <c r="T135" s="420" t="inlineStr"/>
      <c r="U135" s="422" t="inlineStr">
        <is>
          <t>linkedin.com/in/allanjeanbaptiste</t>
        </is>
      </c>
      <c r="V135" s="422" t="inlineStr"/>
      <c r="W135" s="424" t="inlineStr">
        <is>
          <t xml:space="preserve"> | 12/03/2025 | </t>
        </is>
      </c>
      <c r="X135" s="420" t="inlineStr">
        <is>
          <t>John - Investor Contacts!509</t>
        </is>
      </c>
      <c r="Y135" s="422" t="inlineStr">
        <is>
          <t>Send next follow-up with traction + CTA</t>
        </is>
      </c>
      <c r="Z135" s="420" t="n">
        <v>7</v>
      </c>
      <c r="AA135" s="420">
        <f>IF(AC135="Archived",0,ROUND((IF(N135="Tier 1",35,IF(N135="Tier 2",20,8))+IF(C135="Financial Investor",15,IF(C135="Intermediary / Banker",12,8))+IF(L135="Term Sheet / Proposal",25,IF(L135="Engaged",20,IF(L135="Meeting Requested",18,IF(L135="Meeting Held",14,IF(L135="Follow Up",10,5)))))+MIN(Q135,30)+IF(S135="DUE",15,IF(S135="Next 3 Days",8,0))),0))</f>
        <v/>
      </c>
      <c r="AB135" s="420">
        <f>IF(AND(AC135="Active",OR(N135="Tier 1",N135="Tier 2"),OR(S135="DUE",S135="Next 3 Days")),"YES","")</f>
        <v/>
      </c>
      <c r="AC135" s="420">
        <f>IF(L135="Passed","Archived","Active")</f>
        <v/>
      </c>
    </row>
    <row r="136">
      <c r="A136" s="420" t="inlineStr">
        <is>
          <t>EXOS-0135</t>
        </is>
      </c>
      <c r="B136" s="420" t="inlineStr">
        <is>
          <t>John - Investor Contacts</t>
        </is>
      </c>
      <c r="C136" s="420" t="inlineStr">
        <is>
          <t>Financial Investor</t>
        </is>
      </c>
      <c r="D136" s="420" t="inlineStr">
        <is>
          <t>Ansa</t>
        </is>
      </c>
      <c r="E136" s="420" t="inlineStr">
        <is>
          <t>Josh Chin</t>
        </is>
      </c>
      <c r="F136" s="420" t="inlineStr"/>
      <c r="G136" s="421" t="inlineStr">
        <is>
          <t>josh@ansa.co</t>
        </is>
      </c>
      <c r="H136" s="420" t="inlineStr"/>
      <c r="I136" s="420" t="inlineStr"/>
      <c r="J136" s="421" t="inlineStr">
        <is>
          <t>https://www.linkedin.com/in/joshgwchin/</t>
        </is>
      </c>
      <c r="K136" s="422" t="inlineStr">
        <is>
          <t>John Quinn</t>
        </is>
      </c>
      <c r="L136" s="422" t="inlineStr">
        <is>
          <t>Follow Up</t>
        </is>
      </c>
      <c r="M136" s="420" t="inlineStr">
        <is>
          <t>Space / Defense / Aerospace / Advanced Manufacturing</t>
        </is>
      </c>
      <c r="N136" s="422" t="inlineStr">
        <is>
          <t>Tier 2</t>
        </is>
      </c>
      <c r="O136" s="440" t="n">
        <v>45891</v>
      </c>
      <c r="P136" s="440" t="n">
        <v>45923</v>
      </c>
      <c r="Q136" s="420">
        <f>IF(P136="","",TODAY()-P136)</f>
        <v/>
      </c>
      <c r="R136" s="440">
        <f>IF(OR(L136="Passed",Z136=""),"",P136+Z136)</f>
        <v/>
      </c>
      <c r="S136" s="420">
        <f>IF(OR(R136="",L136="Passed"),"",IF(R136&lt;=TODAY(),"DUE",IF(R136&lt;=TODAY()+3,"Next 3 Days","Later")))</f>
        <v/>
      </c>
      <c r="T136" s="420" t="inlineStr"/>
      <c r="U136" s="422" t="inlineStr">
        <is>
          <t>https://www.linkedin.com/in/joshgwchin/</t>
        </is>
      </c>
      <c r="V136" s="422" t="inlineStr"/>
      <c r="W136" s="424" t="inlineStr">
        <is>
          <t xml:space="preserve"> | 12/03/2025 | </t>
        </is>
      </c>
      <c r="X136" s="420" t="inlineStr">
        <is>
          <t>John - Investor Contacts!510</t>
        </is>
      </c>
      <c r="Y136" s="422" t="inlineStr">
        <is>
          <t>Send next follow-up with traction + CTA</t>
        </is>
      </c>
      <c r="Z136" s="420" t="n">
        <v>7</v>
      </c>
      <c r="AA136" s="420">
        <f>IF(AC136="Archived",0,ROUND((IF(N136="Tier 1",35,IF(N136="Tier 2",20,8))+IF(C136="Financial Investor",15,IF(C136="Intermediary / Banker",12,8))+IF(L136="Term Sheet / Proposal",25,IF(L136="Engaged",20,IF(L136="Meeting Requested",18,IF(L136="Meeting Held",14,IF(L136="Follow Up",10,5)))))+MIN(Q136,30)+IF(S136="DUE",15,IF(S136="Next 3 Days",8,0))),0))</f>
        <v/>
      </c>
      <c r="AB136" s="420">
        <f>IF(AND(AC136="Active",OR(N136="Tier 1",N136="Tier 2"),OR(S136="DUE",S136="Next 3 Days")),"YES","")</f>
        <v/>
      </c>
      <c r="AC136" s="420">
        <f>IF(L136="Passed","Archived","Active")</f>
        <v/>
      </c>
    </row>
    <row r="137">
      <c r="A137" s="420" t="inlineStr">
        <is>
          <t>EXOS-0136</t>
        </is>
      </c>
      <c r="B137" s="420" t="inlineStr">
        <is>
          <t>John - Investor Contacts</t>
        </is>
      </c>
      <c r="C137" s="420" t="inlineStr">
        <is>
          <t>Financial Investor</t>
        </is>
      </c>
      <c r="D137" s="420" t="inlineStr">
        <is>
          <t>Ansa</t>
        </is>
      </c>
      <c r="E137" s="420" t="inlineStr">
        <is>
          <t>Marco DeMeireles</t>
        </is>
      </c>
      <c r="F137" s="420" t="inlineStr"/>
      <c r="G137" s="421" t="inlineStr">
        <is>
          <t>marco.demeireles@ansa.co</t>
        </is>
      </c>
      <c r="H137" s="420" t="inlineStr"/>
      <c r="I137" s="420" t="inlineStr"/>
      <c r="J137" s="420" t="inlineStr"/>
      <c r="K137" s="422" t="inlineStr">
        <is>
          <t>John Quinn</t>
        </is>
      </c>
      <c r="L137" s="422" t="inlineStr">
        <is>
          <t>Follow Up</t>
        </is>
      </c>
      <c r="M137" s="420" t="inlineStr">
        <is>
          <t>Space / Defense / Aerospace / Advanced Manufacturing</t>
        </is>
      </c>
      <c r="N137" s="422" t="inlineStr">
        <is>
          <t>Tier 2</t>
        </is>
      </c>
      <c r="O137" s="440" t="n">
        <v>45891</v>
      </c>
      <c r="P137" s="440" t="n">
        <v>45923</v>
      </c>
      <c r="Q137" s="420">
        <f>IF(P137="","",TODAY()-P137)</f>
        <v/>
      </c>
      <c r="R137" s="440">
        <f>IF(OR(L137="Passed",Z137=""),"",P137+Z137)</f>
        <v/>
      </c>
      <c r="S137" s="420">
        <f>IF(OR(R137="",L137="Passed"),"",IF(R137&lt;=TODAY(),"DUE",IF(R137&lt;=TODAY()+3,"Next 3 Days","Later")))</f>
        <v/>
      </c>
      <c r="T137" s="420" t="inlineStr"/>
      <c r="U137" s="422" t="inlineStr">
        <is>
          <t>linkedin.com/in/marcodemeireles</t>
        </is>
      </c>
      <c r="V137" s="422" t="inlineStr"/>
      <c r="W137" s="424" t="inlineStr">
        <is>
          <t xml:space="preserve"> | 12/03/2025 | </t>
        </is>
      </c>
      <c r="X137" s="420" t="inlineStr">
        <is>
          <t>John - Investor Contacts!508</t>
        </is>
      </c>
      <c r="Y137" s="422" t="inlineStr">
        <is>
          <t>Send next follow-up with traction + CTA</t>
        </is>
      </c>
      <c r="Z137" s="420" t="n">
        <v>7</v>
      </c>
      <c r="AA137" s="420">
        <f>IF(AC137="Archived",0,ROUND((IF(N137="Tier 1",35,IF(N137="Tier 2",20,8))+IF(C137="Financial Investor",15,IF(C137="Intermediary / Banker",12,8))+IF(L137="Term Sheet / Proposal",25,IF(L137="Engaged",20,IF(L137="Meeting Requested",18,IF(L137="Meeting Held",14,IF(L137="Follow Up",10,5)))))+MIN(Q137,30)+IF(S137="DUE",15,IF(S137="Next 3 Days",8,0))),0))</f>
        <v/>
      </c>
      <c r="AB137" s="420">
        <f>IF(AND(AC137="Active",OR(N137="Tier 1",N137="Tier 2"),OR(S137="DUE",S137="Next 3 Days")),"YES","")</f>
        <v/>
      </c>
      <c r="AC137" s="420">
        <f>IF(L137="Passed","Archived","Active")</f>
        <v/>
      </c>
    </row>
    <row r="138">
      <c r="A138" s="420" t="inlineStr">
        <is>
          <t>EXOS-0137</t>
        </is>
      </c>
      <c r="B138" s="420" t="inlineStr">
        <is>
          <t>John - Investor Contacts</t>
        </is>
      </c>
      <c r="C138" s="420" t="inlineStr">
        <is>
          <t>Financial Investor</t>
        </is>
      </c>
      <c r="D138" s="420" t="inlineStr">
        <is>
          <t>Anthos Capital</t>
        </is>
      </c>
      <c r="E138" s="420" t="inlineStr">
        <is>
          <t>Roy Stigall</t>
        </is>
      </c>
      <c r="F138" s="420" t="inlineStr"/>
      <c r="G138" s="421" t="inlineStr">
        <is>
          <t>rstigall@anthoscapital.com</t>
        </is>
      </c>
      <c r="H138" s="420" t="inlineStr"/>
      <c r="I138" s="420" t="inlineStr"/>
      <c r="J138" s="421" t="inlineStr">
        <is>
          <t>https://www.linkedin.com/in/roy-stigall-0b87a24a/</t>
        </is>
      </c>
      <c r="K138" s="422" t="inlineStr">
        <is>
          <t>John Quinn</t>
        </is>
      </c>
      <c r="L138" s="422" t="inlineStr">
        <is>
          <t>Follow Up</t>
        </is>
      </c>
      <c r="M138" s="420" t="inlineStr">
        <is>
          <t>Space / Defense / Aerospace / Advanced Manufacturing</t>
        </is>
      </c>
      <c r="N138" s="422" t="inlineStr">
        <is>
          <t>Tier 2</t>
        </is>
      </c>
      <c r="O138" s="440" t="n">
        <v>45897</v>
      </c>
      <c r="P138" s="440" t="n">
        <v>45929</v>
      </c>
      <c r="Q138" s="420">
        <f>IF(P138="","",TODAY()-P138)</f>
        <v/>
      </c>
      <c r="R138" s="440">
        <f>IF(OR(L138="Passed",Z138=""),"",P138+Z138)</f>
        <v/>
      </c>
      <c r="S138" s="420">
        <f>IF(OR(R138="",L138="Passed"),"",IF(R138&lt;=TODAY(),"DUE",IF(R138&lt;=TODAY()+3,"Next 3 Days","Later")))</f>
        <v/>
      </c>
      <c r="T138" s="420" t="inlineStr"/>
      <c r="U138" s="422" t="inlineStr">
        <is>
          <t>https://www.linkedin.com/in/roy-stigall-0b87a24a/</t>
        </is>
      </c>
      <c r="V138" s="422" t="inlineStr"/>
      <c r="W138" s="424" t="inlineStr">
        <is>
          <t xml:space="preserve"> | 12/05/2025 | </t>
        </is>
      </c>
      <c r="X138" s="420" t="inlineStr">
        <is>
          <t>John - Investor Contacts!572</t>
        </is>
      </c>
      <c r="Y138" s="422" t="inlineStr">
        <is>
          <t>Send next follow-up with traction + CTA</t>
        </is>
      </c>
      <c r="Z138" s="420" t="n">
        <v>7</v>
      </c>
      <c r="AA138" s="420">
        <f>IF(AC138="Archived",0,ROUND((IF(N138="Tier 1",35,IF(N138="Tier 2",20,8))+IF(C138="Financial Investor",15,IF(C138="Intermediary / Banker",12,8))+IF(L138="Term Sheet / Proposal",25,IF(L138="Engaged",20,IF(L138="Meeting Requested",18,IF(L138="Meeting Held",14,IF(L138="Follow Up",10,5)))))+MIN(Q138,30)+IF(S138="DUE",15,IF(S138="Next 3 Days",8,0))),0))</f>
        <v/>
      </c>
      <c r="AB138" s="420">
        <f>IF(AND(AC138="Active",OR(N138="Tier 1",N138="Tier 2"),OR(S138="DUE",S138="Next 3 Days")),"YES","")</f>
        <v/>
      </c>
      <c r="AC138" s="420">
        <f>IF(L138="Passed","Archived","Active")</f>
        <v/>
      </c>
    </row>
    <row r="139">
      <c r="A139" s="420" t="inlineStr">
        <is>
          <t>EXOS-0138</t>
        </is>
      </c>
      <c r="B139" s="420" t="inlineStr">
        <is>
          <t>John - Investor Contacts</t>
        </is>
      </c>
      <c r="C139" s="420" t="inlineStr">
        <is>
          <t>Financial Investor</t>
        </is>
      </c>
      <c r="D139" s="420" t="inlineStr">
        <is>
          <t>Arbor Ventures</t>
        </is>
      </c>
      <c r="E139" s="420" t="inlineStr">
        <is>
          <t>Khaled Lababidi</t>
        </is>
      </c>
      <c r="F139" s="420" t="inlineStr"/>
      <c r="G139" s="421" t="inlineStr">
        <is>
          <t>khaled@arborventures.com</t>
        </is>
      </c>
      <c r="H139" s="420" t="inlineStr"/>
      <c r="I139" s="420" t="inlineStr"/>
      <c r="J139" s="421" t="inlineStr">
        <is>
          <t>https://www.linkedin.com/in/khaled-lababidi-5793414/</t>
        </is>
      </c>
      <c r="K139" s="422" t="inlineStr">
        <is>
          <t>John Quinn</t>
        </is>
      </c>
      <c r="L139" s="422" t="inlineStr">
        <is>
          <t>Follow Up</t>
        </is>
      </c>
      <c r="M139" s="420" t="inlineStr">
        <is>
          <t>Space / Defense / Aerospace / Advanced Manufacturing</t>
        </is>
      </c>
      <c r="N139" s="422" t="inlineStr">
        <is>
          <t>Tier 2</t>
        </is>
      </c>
      <c r="O139" s="440" t="n">
        <v>45846</v>
      </c>
      <c r="P139" s="440" t="n">
        <v>45861</v>
      </c>
      <c r="Q139" s="420">
        <f>IF(P139="","",TODAY()-P139)</f>
        <v/>
      </c>
      <c r="R139" s="440">
        <f>IF(OR(L139="Passed",Z139=""),"",P139+Z139)</f>
        <v/>
      </c>
      <c r="S139" s="420">
        <f>IF(OR(R139="",L139="Passed"),"",IF(R139&lt;=TODAY(),"DUE",IF(R139&lt;=TODAY()+3,"Next 3 Days","Later")))</f>
        <v/>
      </c>
      <c r="T139" s="420" t="inlineStr"/>
      <c r="U139" s="422" t="inlineStr">
        <is>
          <t>https://www.linkedin.com/in/khaled-lababidi-5793414/</t>
        </is>
      </c>
      <c r="V139" s="422" t="inlineStr"/>
      <c r="W139" s="424" t="inlineStr">
        <is>
          <t xml:space="preserve"> |  | </t>
        </is>
      </c>
      <c r="X139" s="420" t="inlineStr">
        <is>
          <t>John - Investor Contacts!362</t>
        </is>
      </c>
      <c r="Y139" s="422" t="inlineStr">
        <is>
          <t>Send next follow-up with traction + CTA</t>
        </is>
      </c>
      <c r="Z139" s="420" t="n">
        <v>7</v>
      </c>
      <c r="AA139" s="420">
        <f>IF(AC139="Archived",0,ROUND((IF(N139="Tier 1",35,IF(N139="Tier 2",20,8))+IF(C139="Financial Investor",15,IF(C139="Intermediary / Banker",12,8))+IF(L139="Term Sheet / Proposal",25,IF(L139="Engaged",20,IF(L139="Meeting Requested",18,IF(L139="Meeting Held",14,IF(L139="Follow Up",10,5)))))+MIN(Q139,30)+IF(S139="DUE",15,IF(S139="Next 3 Days",8,0))),0))</f>
        <v/>
      </c>
      <c r="AB139" s="420">
        <f>IF(AND(AC139="Active",OR(N139="Tier 1",N139="Tier 2"),OR(S139="DUE",S139="Next 3 Days")),"YES","")</f>
        <v/>
      </c>
      <c r="AC139" s="420">
        <f>IF(L139="Passed","Archived","Active")</f>
        <v/>
      </c>
    </row>
    <row r="140">
      <c r="A140" s="420" t="inlineStr">
        <is>
          <t>EXOS-0139</t>
        </is>
      </c>
      <c r="B140" s="420" t="inlineStr">
        <is>
          <t>John - Investor Contacts</t>
        </is>
      </c>
      <c r="C140" s="420" t="inlineStr">
        <is>
          <t>Financial Investor</t>
        </is>
      </c>
      <c r="D140" s="420" t="inlineStr">
        <is>
          <t>Arbor Ventures</t>
        </is>
      </c>
      <c r="E140" s="420" t="inlineStr">
        <is>
          <t>Matt Dill</t>
        </is>
      </c>
      <c r="F140" s="420" t="inlineStr"/>
      <c r="G140" s="421" t="inlineStr">
        <is>
          <t>matt@arborventures.com</t>
        </is>
      </c>
      <c r="H140" s="420" t="inlineStr"/>
      <c r="I140" s="420" t="inlineStr"/>
      <c r="J140" s="420" t="inlineStr"/>
      <c r="K140" s="422" t="inlineStr">
        <is>
          <t>John Quinn</t>
        </is>
      </c>
      <c r="L140" s="422" t="inlineStr">
        <is>
          <t>Follow Up</t>
        </is>
      </c>
      <c r="M140" s="420" t="inlineStr">
        <is>
          <t>Space / Defense / Aerospace / Advanced Manufacturing</t>
        </is>
      </c>
      <c r="N140" s="422" t="inlineStr">
        <is>
          <t>Tier 2</t>
        </is>
      </c>
      <c r="O140" s="440" t="n">
        <v>45846</v>
      </c>
      <c r="P140" s="440" t="n">
        <v>45861</v>
      </c>
      <c r="Q140" s="420">
        <f>IF(P140="","",TODAY()-P140)</f>
        <v/>
      </c>
      <c r="R140" s="440">
        <f>IF(OR(L140="Passed",Z140=""),"",P140+Z140)</f>
        <v/>
      </c>
      <c r="S140" s="420">
        <f>IF(OR(R140="",L140="Passed"),"",IF(R140&lt;=TODAY(),"DUE",IF(R140&lt;=TODAY()+3,"Next 3 Days","Later")))</f>
        <v/>
      </c>
      <c r="T140" s="420" t="inlineStr"/>
      <c r="U140" s="422" t="inlineStr"/>
      <c r="V140" s="422" t="inlineStr"/>
      <c r="W140" s="424" t="inlineStr">
        <is>
          <t xml:space="preserve"> | 12/26/2025 | </t>
        </is>
      </c>
      <c r="X140" s="420" t="inlineStr">
        <is>
          <t>John - Investor Contacts!364</t>
        </is>
      </c>
      <c r="Y140" s="422" t="inlineStr">
        <is>
          <t>Send next follow-up with traction + CTA</t>
        </is>
      </c>
      <c r="Z140" s="420" t="n">
        <v>7</v>
      </c>
      <c r="AA140" s="420">
        <f>IF(AC140="Archived",0,ROUND((IF(N140="Tier 1",35,IF(N140="Tier 2",20,8))+IF(C140="Financial Investor",15,IF(C140="Intermediary / Banker",12,8))+IF(L140="Term Sheet / Proposal",25,IF(L140="Engaged",20,IF(L140="Meeting Requested",18,IF(L140="Meeting Held",14,IF(L140="Follow Up",10,5)))))+MIN(Q140,30)+IF(S140="DUE",15,IF(S140="Next 3 Days",8,0))),0))</f>
        <v/>
      </c>
      <c r="AB140" s="420">
        <f>IF(AND(AC140="Active",OR(N140="Tier 1",N140="Tier 2"),OR(S140="DUE",S140="Next 3 Days")),"YES","")</f>
        <v/>
      </c>
      <c r="AC140" s="420">
        <f>IF(L140="Passed","Archived","Active")</f>
        <v/>
      </c>
    </row>
    <row r="141">
      <c r="A141" s="420" t="inlineStr">
        <is>
          <t>EXOS-0140</t>
        </is>
      </c>
      <c r="B141" s="420" t="inlineStr">
        <is>
          <t>John - Investor Contacts</t>
        </is>
      </c>
      <c r="C141" s="420" t="inlineStr">
        <is>
          <t>Financial Investor</t>
        </is>
      </c>
      <c r="D141" s="420" t="inlineStr">
        <is>
          <t>Arbor Ventures</t>
        </is>
      </c>
      <c r="E141" s="420" t="inlineStr">
        <is>
          <t>Melissa Cannon Guzy</t>
        </is>
      </c>
      <c r="F141" s="420" t="inlineStr"/>
      <c r="G141" s="421" t="inlineStr">
        <is>
          <t>melissa@arborventures.com</t>
        </is>
      </c>
      <c r="H141" s="420" t="inlineStr"/>
      <c r="I141" s="420" t="inlineStr"/>
      <c r="J141" s="421" t="inlineStr">
        <is>
          <t>https://www.linkedin.com/in/melissa-c-guzy</t>
        </is>
      </c>
      <c r="K141" s="422" t="inlineStr">
        <is>
          <t>John Quinn</t>
        </is>
      </c>
      <c r="L141" s="422" t="inlineStr">
        <is>
          <t>Follow Up</t>
        </is>
      </c>
      <c r="M141" s="420" t="inlineStr">
        <is>
          <t>Space / Defense / Aerospace / Advanced Manufacturing</t>
        </is>
      </c>
      <c r="N141" s="422" t="inlineStr">
        <is>
          <t>Tier 2</t>
        </is>
      </c>
      <c r="O141" s="440" t="n">
        <v>45846</v>
      </c>
      <c r="P141" s="440" t="n">
        <v>45861</v>
      </c>
      <c r="Q141" s="420">
        <f>IF(P141="","",TODAY()-P141)</f>
        <v/>
      </c>
      <c r="R141" s="440">
        <f>IF(OR(L141="Passed",Z141=""),"",P141+Z141)</f>
        <v/>
      </c>
      <c r="S141" s="420">
        <f>IF(OR(R141="",L141="Passed"),"",IF(R141&lt;=TODAY(),"DUE",IF(R141&lt;=TODAY()+3,"Next 3 Days","Later")))</f>
        <v/>
      </c>
      <c r="T141" s="420" t="inlineStr"/>
      <c r="U141" s="422" t="inlineStr">
        <is>
          <t>https://www.linkedin.com/in/melissa-c-guzy</t>
        </is>
      </c>
      <c r="V141" s="422" t="inlineStr"/>
      <c r="W141" s="424" t="inlineStr">
        <is>
          <t xml:space="preserve"> | 12/26/2025 | </t>
        </is>
      </c>
      <c r="X141" s="420" t="inlineStr">
        <is>
          <t>John - Investor Contacts!363</t>
        </is>
      </c>
      <c r="Y141" s="422" t="inlineStr">
        <is>
          <t>Send next follow-up with traction + CTA</t>
        </is>
      </c>
      <c r="Z141" s="420" t="n">
        <v>7</v>
      </c>
      <c r="AA141" s="420">
        <f>IF(AC141="Archived",0,ROUND((IF(N141="Tier 1",35,IF(N141="Tier 2",20,8))+IF(C141="Financial Investor",15,IF(C141="Intermediary / Banker",12,8))+IF(L141="Term Sheet / Proposal",25,IF(L141="Engaged",20,IF(L141="Meeting Requested",18,IF(L141="Meeting Held",14,IF(L141="Follow Up",10,5)))))+MIN(Q141,30)+IF(S141="DUE",15,IF(S141="Next 3 Days",8,0))),0))</f>
        <v/>
      </c>
      <c r="AB141" s="420">
        <f>IF(AND(AC141="Active",OR(N141="Tier 1",N141="Tier 2"),OR(S141="DUE",S141="Next 3 Days")),"YES","")</f>
        <v/>
      </c>
      <c r="AC141" s="420">
        <f>IF(L141="Passed","Archived","Active")</f>
        <v/>
      </c>
    </row>
    <row r="142">
      <c r="A142" s="420" t="inlineStr">
        <is>
          <t>EXOS-0141</t>
        </is>
      </c>
      <c r="B142" s="420" t="inlineStr">
        <is>
          <t>John - Investor Contacts</t>
        </is>
      </c>
      <c r="C142" s="420" t="inlineStr">
        <is>
          <t>Financial Investor</t>
        </is>
      </c>
      <c r="D142" s="420" t="inlineStr">
        <is>
          <t>Arbor Ventures</t>
        </is>
      </c>
      <c r="E142" s="420" t="inlineStr">
        <is>
          <t>Stephanie Baum‑Zepeda</t>
        </is>
      </c>
      <c r="F142" s="420" t="inlineStr"/>
      <c r="G142" s="421" t="inlineStr">
        <is>
          <t>stephanie@arborventures.com</t>
        </is>
      </c>
      <c r="H142" s="420" t="inlineStr"/>
      <c r="I142" s="420" t="inlineStr"/>
      <c r="J142" s="421" t="inlineStr">
        <is>
          <t>https://www.linkedin.com/in/baumzepedastephanie/</t>
        </is>
      </c>
      <c r="K142" s="422" t="inlineStr">
        <is>
          <t>John Quinn</t>
        </is>
      </c>
      <c r="L142" s="422" t="inlineStr">
        <is>
          <t>Follow Up</t>
        </is>
      </c>
      <c r="M142" s="420" t="inlineStr">
        <is>
          <t>Space / Defense / Aerospace / Advanced Manufacturing</t>
        </is>
      </c>
      <c r="N142" s="422" t="inlineStr">
        <is>
          <t>Tier 2</t>
        </is>
      </c>
      <c r="O142" s="440" t="n">
        <v>45846</v>
      </c>
      <c r="P142" s="440" t="n">
        <v>45861</v>
      </c>
      <c r="Q142" s="420">
        <f>IF(P142="","",TODAY()-P142)</f>
        <v/>
      </c>
      <c r="R142" s="440">
        <f>IF(OR(L142="Passed",Z142=""),"",P142+Z142)</f>
        <v/>
      </c>
      <c r="S142" s="420">
        <f>IF(OR(R142="",L142="Passed"),"",IF(R142&lt;=TODAY(),"DUE",IF(R142&lt;=TODAY()+3,"Next 3 Days","Later")))</f>
        <v/>
      </c>
      <c r="T142" s="420" t="inlineStr"/>
      <c r="U142" s="422" t="inlineStr">
        <is>
          <t>https://www.linkedin.com/in/baumzepedastephanie/</t>
        </is>
      </c>
      <c r="V142" s="422" t="inlineStr"/>
      <c r="W142" s="424" t="inlineStr">
        <is>
          <t xml:space="preserve"> | 12/26/2025 | </t>
        </is>
      </c>
      <c r="X142" s="420" t="inlineStr">
        <is>
          <t>John - Investor Contacts!361</t>
        </is>
      </c>
      <c r="Y142" s="422" t="inlineStr">
        <is>
          <t>Send next follow-up with traction + CTA</t>
        </is>
      </c>
      <c r="Z142" s="420" t="n">
        <v>7</v>
      </c>
      <c r="AA142" s="420">
        <f>IF(AC142="Archived",0,ROUND((IF(N142="Tier 1",35,IF(N142="Tier 2",20,8))+IF(C142="Financial Investor",15,IF(C142="Intermediary / Banker",12,8))+IF(L142="Term Sheet / Proposal",25,IF(L142="Engaged",20,IF(L142="Meeting Requested",18,IF(L142="Meeting Held",14,IF(L142="Follow Up",10,5)))))+MIN(Q142,30)+IF(S142="DUE",15,IF(S142="Next 3 Days",8,0))),0))</f>
        <v/>
      </c>
      <c r="AB142" s="420">
        <f>IF(AND(AC142="Active",OR(N142="Tier 1",N142="Tier 2"),OR(S142="DUE",S142="Next 3 Days")),"YES","")</f>
        <v/>
      </c>
      <c r="AC142" s="420">
        <f>IF(L142="Passed","Archived","Active")</f>
        <v/>
      </c>
    </row>
    <row r="143">
      <c r="A143" s="420" t="inlineStr">
        <is>
          <t>EXOS-0142</t>
        </is>
      </c>
      <c r="B143" s="420" t="inlineStr">
        <is>
          <t>John - Investor Contacts</t>
        </is>
      </c>
      <c r="C143" s="420" t="inlineStr">
        <is>
          <t>Financial Investor</t>
        </is>
      </c>
      <c r="D143" s="420" t="inlineStr">
        <is>
          <t>Arbor Ventures</t>
        </is>
      </c>
      <c r="E143" s="420" t="inlineStr">
        <is>
          <t>Wei Hopeman</t>
        </is>
      </c>
      <c r="F143" s="420" t="inlineStr"/>
      <c r="G143" s="421" t="inlineStr">
        <is>
          <t>whopeman@arborventures.com</t>
        </is>
      </c>
      <c r="H143" s="420" t="inlineStr"/>
      <c r="I143" s="420" t="inlineStr"/>
      <c r="J143" s="421" t="inlineStr">
        <is>
          <t>https://www.linkedin.com/in/whopeman/</t>
        </is>
      </c>
      <c r="K143" s="422" t="inlineStr">
        <is>
          <t>John Quinn</t>
        </is>
      </c>
      <c r="L143" s="422" t="inlineStr">
        <is>
          <t>Follow Up</t>
        </is>
      </c>
      <c r="M143" s="420" t="inlineStr">
        <is>
          <t>Space / Defense / Aerospace / Advanced Manufacturing</t>
        </is>
      </c>
      <c r="N143" s="422" t="inlineStr">
        <is>
          <t>Tier 2</t>
        </is>
      </c>
      <c r="O143" s="440" t="n">
        <v>45846</v>
      </c>
      <c r="P143" s="440" t="n">
        <v>45861</v>
      </c>
      <c r="Q143" s="420">
        <f>IF(P143="","",TODAY()-P143)</f>
        <v/>
      </c>
      <c r="R143" s="440">
        <f>IF(OR(L143="Passed",Z143=""),"",P143+Z143)</f>
        <v/>
      </c>
      <c r="S143" s="420">
        <f>IF(OR(R143="",L143="Passed"),"",IF(R143&lt;=TODAY(),"DUE",IF(R143&lt;=TODAY()+3,"Next 3 Days","Later")))</f>
        <v/>
      </c>
      <c r="T143" s="420" t="inlineStr"/>
      <c r="U143" s="422" t="inlineStr">
        <is>
          <t>https://www.linkedin.com/in/whopeman/</t>
        </is>
      </c>
      <c r="V143" s="422" t="inlineStr"/>
      <c r="W143" s="424" t="inlineStr">
        <is>
          <t xml:space="preserve"> | 12/26/2025 | </t>
        </is>
      </c>
      <c r="X143" s="420" t="inlineStr">
        <is>
          <t>John - Investor Contacts!360</t>
        </is>
      </c>
      <c r="Y143" s="422" t="inlineStr">
        <is>
          <t>Send next follow-up with traction + CTA</t>
        </is>
      </c>
      <c r="Z143" s="420" t="n">
        <v>7</v>
      </c>
      <c r="AA143" s="420">
        <f>IF(AC143="Archived",0,ROUND((IF(N143="Tier 1",35,IF(N143="Tier 2",20,8))+IF(C143="Financial Investor",15,IF(C143="Intermediary / Banker",12,8))+IF(L143="Term Sheet / Proposal",25,IF(L143="Engaged",20,IF(L143="Meeting Requested",18,IF(L143="Meeting Held",14,IF(L143="Follow Up",10,5)))))+MIN(Q143,30)+IF(S143="DUE",15,IF(S143="Next 3 Days",8,0))),0))</f>
        <v/>
      </c>
      <c r="AB143" s="420">
        <f>IF(AND(AC143="Active",OR(N143="Tier 1",N143="Tier 2"),OR(S143="DUE",S143="Next 3 Days")),"YES","")</f>
        <v/>
      </c>
      <c r="AC143" s="420">
        <f>IF(L143="Passed","Archived","Active")</f>
        <v/>
      </c>
    </row>
    <row r="144">
      <c r="A144" s="420" t="inlineStr">
        <is>
          <t>EXOS-0143</t>
        </is>
      </c>
      <c r="B144" s="420" t="inlineStr">
        <is>
          <t>John - Investor Contacts</t>
        </is>
      </c>
      <c r="C144" s="420" t="inlineStr">
        <is>
          <t>Financial Investor</t>
        </is>
      </c>
      <c r="D144" s="420" t="inlineStr">
        <is>
          <t>Arbor Ventures</t>
        </is>
      </c>
      <c r="E144" s="420" t="inlineStr">
        <is>
          <t>the team</t>
        </is>
      </c>
      <c r="F144" s="420" t="inlineStr"/>
      <c r="G144" s="421" t="inlineStr">
        <is>
          <t>info@arborventures.com</t>
        </is>
      </c>
      <c r="H144" s="420" t="inlineStr"/>
      <c r="I144" s="420" t="inlineStr"/>
      <c r="J144" s="420" t="inlineStr"/>
      <c r="K144" s="422" t="inlineStr">
        <is>
          <t>John Quinn</t>
        </is>
      </c>
      <c r="L144" s="422" t="inlineStr">
        <is>
          <t>Follow Up</t>
        </is>
      </c>
      <c r="M144" s="420" t="inlineStr">
        <is>
          <t>Space / Defense / Aerospace / Advanced Manufacturing</t>
        </is>
      </c>
      <c r="N144" s="422" t="inlineStr">
        <is>
          <t>Tier 2</t>
        </is>
      </c>
      <c r="O144" s="440" t="n">
        <v>45846</v>
      </c>
      <c r="P144" s="440" t="n">
        <v>45861</v>
      </c>
      <c r="Q144" s="420">
        <f>IF(P144="","",TODAY()-P144)</f>
        <v/>
      </c>
      <c r="R144" s="440">
        <f>IF(OR(L144="Passed",Z144=""),"",P144+Z144)</f>
        <v/>
      </c>
      <c r="S144" s="420">
        <f>IF(OR(R144="",L144="Passed"),"",IF(R144&lt;=TODAY(),"DUE",IF(R144&lt;=TODAY()+3,"Next 3 Days","Later")))</f>
        <v/>
      </c>
      <c r="T144" s="420" t="inlineStr"/>
      <c r="U144" s="422" t="inlineStr"/>
      <c r="V144" s="422" t="inlineStr"/>
      <c r="W144" s="424" t="inlineStr">
        <is>
          <t xml:space="preserve"> | 12/26/2025 | </t>
        </is>
      </c>
      <c r="X144" s="420" t="inlineStr">
        <is>
          <t>John - Investor Contacts!359</t>
        </is>
      </c>
      <c r="Y144" s="422" t="inlineStr">
        <is>
          <t>Send next follow-up with traction + CTA</t>
        </is>
      </c>
      <c r="Z144" s="420" t="n">
        <v>7</v>
      </c>
      <c r="AA144" s="420">
        <f>IF(AC144="Archived",0,ROUND((IF(N144="Tier 1",35,IF(N144="Tier 2",20,8))+IF(C144="Financial Investor",15,IF(C144="Intermediary / Banker",12,8))+IF(L144="Term Sheet / Proposal",25,IF(L144="Engaged",20,IF(L144="Meeting Requested",18,IF(L144="Meeting Held",14,IF(L144="Follow Up",10,5)))))+MIN(Q144,30)+IF(S144="DUE",15,IF(S144="Next 3 Days",8,0))),0))</f>
        <v/>
      </c>
      <c r="AB144" s="420">
        <f>IF(AND(AC144="Active",OR(N144="Tier 1",N144="Tier 2"),OR(S144="DUE",S144="Next 3 Days")),"YES","")</f>
        <v/>
      </c>
      <c r="AC144" s="420">
        <f>IF(L144="Passed","Archived","Active")</f>
        <v/>
      </c>
    </row>
    <row r="145">
      <c r="A145" s="420" t="inlineStr">
        <is>
          <t>EXOS-0144</t>
        </is>
      </c>
      <c r="B145" s="420" t="inlineStr">
        <is>
          <t>John - Investor Contacts</t>
        </is>
      </c>
      <c r="C145" s="420" t="inlineStr">
        <is>
          <t>Financial Investor</t>
        </is>
      </c>
      <c r="D145" s="420" t="inlineStr">
        <is>
          <t>Arcis Group</t>
        </is>
      </c>
      <c r="E145" s="420" t="inlineStr">
        <is>
          <t>Andrew Healey</t>
        </is>
      </c>
      <c r="F145" s="420" t="inlineStr"/>
      <c r="G145" s="421" t="inlineStr">
        <is>
          <t>ahealey@arcisgroup.com</t>
        </is>
      </c>
      <c r="H145" s="420" t="inlineStr"/>
      <c r="I145" s="420" t="inlineStr"/>
      <c r="J145" s="421" t="inlineStr">
        <is>
          <t>https://www.linkedin.com/in/andrew-healey-39a61125/</t>
        </is>
      </c>
      <c r="K145" s="422" t="inlineStr">
        <is>
          <t>John Quinn</t>
        </is>
      </c>
      <c r="L145" s="422" t="inlineStr">
        <is>
          <t>Follow Up</t>
        </is>
      </c>
      <c r="M145" s="420" t="inlineStr">
        <is>
          <t>Space / Defense / Aerospace / Advanced Manufacturing</t>
        </is>
      </c>
      <c r="N145" s="422" t="inlineStr">
        <is>
          <t>Tier 2</t>
        </is>
      </c>
      <c r="O145" s="440" t="n">
        <v>45818</v>
      </c>
      <c r="P145" s="440" t="n">
        <v>45835</v>
      </c>
      <c r="Q145" s="420">
        <f>IF(P145="","",TODAY()-P145)</f>
        <v/>
      </c>
      <c r="R145" s="440">
        <f>IF(OR(L145="Passed",Z145=""),"",P145+Z145)</f>
        <v/>
      </c>
      <c r="S145" s="420">
        <f>IF(OR(R145="",L145="Passed"),"",IF(R145&lt;=TODAY(),"DUE",IF(R145&lt;=TODAY()+3,"Next 3 Days","Later")))</f>
        <v/>
      </c>
      <c r="T145" s="420" t="inlineStr"/>
      <c r="U145" s="422" t="inlineStr">
        <is>
          <t>https://www.linkedin.com/in/andrew-healey-39a61125/</t>
        </is>
      </c>
      <c r="V145" s="422" t="inlineStr"/>
      <c r="W145" s="424" t="inlineStr">
        <is>
          <t xml:space="preserve"> | 12/22/2025 | </t>
        </is>
      </c>
      <c r="X145" s="420" t="inlineStr">
        <is>
          <t>John - Investor Contacts!150</t>
        </is>
      </c>
      <c r="Y145" s="422" t="inlineStr">
        <is>
          <t>Send next follow-up with traction + CTA</t>
        </is>
      </c>
      <c r="Z145" s="420" t="n">
        <v>7</v>
      </c>
      <c r="AA145" s="420">
        <f>IF(AC145="Archived",0,ROUND((IF(N145="Tier 1",35,IF(N145="Tier 2",20,8))+IF(C145="Financial Investor",15,IF(C145="Intermediary / Banker",12,8))+IF(L145="Term Sheet / Proposal",25,IF(L145="Engaged",20,IF(L145="Meeting Requested",18,IF(L145="Meeting Held",14,IF(L145="Follow Up",10,5)))))+MIN(Q145,30)+IF(S145="DUE",15,IF(S145="Next 3 Days",8,0))),0))</f>
        <v/>
      </c>
      <c r="AB145" s="420">
        <f>IF(AND(AC145="Active",OR(N145="Tier 1",N145="Tier 2"),OR(S145="DUE",S145="Next 3 Days")),"YES","")</f>
        <v/>
      </c>
      <c r="AC145" s="420">
        <f>IF(L145="Passed","Archived","Active")</f>
        <v/>
      </c>
    </row>
    <row r="146">
      <c r="A146" s="420" t="inlineStr">
        <is>
          <t>EXOS-0145</t>
        </is>
      </c>
      <c r="B146" s="420" t="inlineStr">
        <is>
          <t>John - Investor Contacts</t>
        </is>
      </c>
      <c r="C146" s="420" t="inlineStr">
        <is>
          <t>Financial Investor</t>
        </is>
      </c>
      <c r="D146" s="420" t="inlineStr">
        <is>
          <t>Arcis Group</t>
        </is>
      </c>
      <c r="E146" s="420" t="inlineStr">
        <is>
          <t>Arnaud Isnard</t>
        </is>
      </c>
      <c r="F146" s="420" t="inlineStr"/>
      <c r="G146" s="421" t="inlineStr">
        <is>
          <t>aisnard@arcisgroup.com</t>
        </is>
      </c>
      <c r="H146" s="420" t="inlineStr"/>
      <c r="I146" s="420" t="inlineStr"/>
      <c r="J146" s="421" t="inlineStr">
        <is>
          <t>https://www.linkedin.com/in/arnaud-isnard-929603/</t>
        </is>
      </c>
      <c r="K146" s="422" t="inlineStr">
        <is>
          <t>John Quinn</t>
        </is>
      </c>
      <c r="L146" s="422" t="inlineStr">
        <is>
          <t>Follow Up</t>
        </is>
      </c>
      <c r="M146" s="420" t="inlineStr">
        <is>
          <t>Space / Defense / Aerospace / Advanced Manufacturing</t>
        </is>
      </c>
      <c r="N146" s="422" t="inlineStr">
        <is>
          <t>Tier 2</t>
        </is>
      </c>
      <c r="O146" s="440" t="n">
        <v>45818</v>
      </c>
      <c r="P146" s="440" t="n">
        <v>45835</v>
      </c>
      <c r="Q146" s="420">
        <f>IF(P146="","",TODAY()-P146)</f>
        <v/>
      </c>
      <c r="R146" s="440">
        <f>IF(OR(L146="Passed",Z146=""),"",P146+Z146)</f>
        <v/>
      </c>
      <c r="S146" s="420">
        <f>IF(OR(R146="",L146="Passed"),"",IF(R146&lt;=TODAY(),"DUE",IF(R146&lt;=TODAY()+3,"Next 3 Days","Later")))</f>
        <v/>
      </c>
      <c r="T146" s="420" t="inlineStr"/>
      <c r="U146" s="422" t="inlineStr">
        <is>
          <t>https://www.linkedin.com/in/arnaud-isnard-929603/</t>
        </is>
      </c>
      <c r="V146" s="422" t="inlineStr"/>
      <c r="W146" s="424" t="inlineStr">
        <is>
          <t xml:space="preserve"> | 12/22/2025 | </t>
        </is>
      </c>
      <c r="X146" s="420" t="inlineStr">
        <is>
          <t>John - Investor Contacts!151</t>
        </is>
      </c>
      <c r="Y146" s="422" t="inlineStr">
        <is>
          <t>Send next follow-up with traction + CTA</t>
        </is>
      </c>
      <c r="Z146" s="420" t="n">
        <v>7</v>
      </c>
      <c r="AA146" s="420">
        <f>IF(AC146="Archived",0,ROUND((IF(N146="Tier 1",35,IF(N146="Tier 2",20,8))+IF(C146="Financial Investor",15,IF(C146="Intermediary / Banker",12,8))+IF(L146="Term Sheet / Proposal",25,IF(L146="Engaged",20,IF(L146="Meeting Requested",18,IF(L146="Meeting Held",14,IF(L146="Follow Up",10,5)))))+MIN(Q146,30)+IF(S146="DUE",15,IF(S146="Next 3 Days",8,0))),0))</f>
        <v/>
      </c>
      <c r="AB146" s="420">
        <f>IF(AND(AC146="Active",OR(N146="Tier 1",N146="Tier 2"),OR(S146="DUE",S146="Next 3 Days")),"YES","")</f>
        <v/>
      </c>
      <c r="AC146" s="420">
        <f>IF(L146="Passed","Archived","Active")</f>
        <v/>
      </c>
    </row>
    <row r="147">
      <c r="A147" s="420" t="inlineStr">
        <is>
          <t>EXOS-0146</t>
        </is>
      </c>
      <c r="B147" s="420" t="inlineStr">
        <is>
          <t>John - Investor Contacts</t>
        </is>
      </c>
      <c r="C147" s="420" t="inlineStr">
        <is>
          <t>Financial Investor</t>
        </is>
      </c>
      <c r="D147" s="420" t="inlineStr">
        <is>
          <t>Arcis Group</t>
        </is>
      </c>
      <c r="E147" s="420" t="inlineStr">
        <is>
          <t>David Coudray</t>
        </is>
      </c>
      <c r="F147" s="420" t="inlineStr"/>
      <c r="G147" s="421" t="inlineStr">
        <is>
          <t>dcoudray@arcisgroup.com</t>
        </is>
      </c>
      <c r="H147" s="420" t="inlineStr"/>
      <c r="I147" s="420" t="inlineStr"/>
      <c r="J147" s="421" t="inlineStr">
        <is>
          <t>https://www.linkedin.com/in/david-coudray-450024103/</t>
        </is>
      </c>
      <c r="K147" s="422" t="inlineStr">
        <is>
          <t>John Quinn</t>
        </is>
      </c>
      <c r="L147" s="422" t="inlineStr">
        <is>
          <t>Follow Up</t>
        </is>
      </c>
      <c r="M147" s="420" t="inlineStr">
        <is>
          <t>Space / Defense / Aerospace / Advanced Manufacturing</t>
        </is>
      </c>
      <c r="N147" s="422" t="inlineStr">
        <is>
          <t>Tier 2</t>
        </is>
      </c>
      <c r="O147" s="440" t="n">
        <v>45818</v>
      </c>
      <c r="P147" s="440" t="n">
        <v>45835</v>
      </c>
      <c r="Q147" s="420">
        <f>IF(P147="","",TODAY()-P147)</f>
        <v/>
      </c>
      <c r="R147" s="440">
        <f>IF(OR(L147="Passed",Z147=""),"",P147+Z147)</f>
        <v/>
      </c>
      <c r="S147" s="420">
        <f>IF(OR(R147="",L147="Passed"),"",IF(R147&lt;=TODAY(),"DUE",IF(R147&lt;=TODAY()+3,"Next 3 Days","Later")))</f>
        <v/>
      </c>
      <c r="T147" s="420" t="inlineStr"/>
      <c r="U147" s="422" t="inlineStr">
        <is>
          <t>https://www.linkedin.com/in/david-coudray-450024103/</t>
        </is>
      </c>
      <c r="V147" s="422" t="inlineStr"/>
      <c r="W147" s="424" t="inlineStr">
        <is>
          <t xml:space="preserve"> | 12/22/2025 | </t>
        </is>
      </c>
      <c r="X147" s="420" t="inlineStr">
        <is>
          <t>John - Investor Contacts!153</t>
        </is>
      </c>
      <c r="Y147" s="422" t="inlineStr">
        <is>
          <t>Send next follow-up with traction + CTA</t>
        </is>
      </c>
      <c r="Z147" s="420" t="n">
        <v>7</v>
      </c>
      <c r="AA147" s="420">
        <f>IF(AC147="Archived",0,ROUND((IF(N147="Tier 1",35,IF(N147="Tier 2",20,8))+IF(C147="Financial Investor",15,IF(C147="Intermediary / Banker",12,8))+IF(L147="Term Sheet / Proposal",25,IF(L147="Engaged",20,IF(L147="Meeting Requested",18,IF(L147="Meeting Held",14,IF(L147="Follow Up",10,5)))))+MIN(Q147,30)+IF(S147="DUE",15,IF(S147="Next 3 Days",8,0))),0))</f>
        <v/>
      </c>
      <c r="AB147" s="420">
        <f>IF(AND(AC147="Active",OR(N147="Tier 1",N147="Tier 2"),OR(S147="DUE",S147="Next 3 Days")),"YES","")</f>
        <v/>
      </c>
      <c r="AC147" s="420">
        <f>IF(L147="Passed","Archived","Active")</f>
        <v/>
      </c>
    </row>
    <row r="148">
      <c r="A148" s="420" t="inlineStr">
        <is>
          <t>EXOS-0147</t>
        </is>
      </c>
      <c r="B148" s="420" t="inlineStr">
        <is>
          <t>John - Investor Contacts</t>
        </is>
      </c>
      <c r="C148" s="420" t="inlineStr">
        <is>
          <t>Financial Investor</t>
        </is>
      </c>
      <c r="D148" s="420" t="inlineStr">
        <is>
          <t>Arcis Group</t>
        </is>
      </c>
      <c r="E148" s="420" t="inlineStr">
        <is>
          <t>Henri Isnard</t>
        </is>
      </c>
      <c r="F148" s="420" t="inlineStr"/>
      <c r="G148" s="421" t="inlineStr">
        <is>
          <t>hisnard@arcisgroup.com</t>
        </is>
      </c>
      <c r="H148" s="420" t="inlineStr"/>
      <c r="I148" s="420" t="inlineStr"/>
      <c r="J148" s="421" t="inlineStr">
        <is>
          <t>https://www.linkedin.com/in/henri-isnard-646a3b330/</t>
        </is>
      </c>
      <c r="K148" s="422" t="inlineStr">
        <is>
          <t>John Quinn</t>
        </is>
      </c>
      <c r="L148" s="422" t="inlineStr">
        <is>
          <t>Follow Up</t>
        </is>
      </c>
      <c r="M148" s="420" t="inlineStr">
        <is>
          <t>Space / Defense / Aerospace / Advanced Manufacturing</t>
        </is>
      </c>
      <c r="N148" s="422" t="inlineStr">
        <is>
          <t>Tier 2</t>
        </is>
      </c>
      <c r="O148" s="440" t="n">
        <v>45818</v>
      </c>
      <c r="P148" s="440" t="n">
        <v>45835</v>
      </c>
      <c r="Q148" s="420">
        <f>IF(P148="","",TODAY()-P148)</f>
        <v/>
      </c>
      <c r="R148" s="440">
        <f>IF(OR(L148="Passed",Z148=""),"",P148+Z148)</f>
        <v/>
      </c>
      <c r="S148" s="420">
        <f>IF(OR(R148="",L148="Passed"),"",IF(R148&lt;=TODAY(),"DUE",IF(R148&lt;=TODAY()+3,"Next 3 Days","Later")))</f>
        <v/>
      </c>
      <c r="T148" s="420" t="inlineStr"/>
      <c r="U148" s="422" t="inlineStr">
        <is>
          <t>https://www.linkedin.com/in/henri-isnard-646a3b330/</t>
        </is>
      </c>
      <c r="V148" s="422" t="inlineStr"/>
      <c r="W148" s="424" t="inlineStr">
        <is>
          <t xml:space="preserve"> | 12/22/2025 | </t>
        </is>
      </c>
      <c r="X148" s="420" t="inlineStr">
        <is>
          <t>John - Investor Contacts!152</t>
        </is>
      </c>
      <c r="Y148" s="422" t="inlineStr">
        <is>
          <t>Send next follow-up with traction + CTA</t>
        </is>
      </c>
      <c r="Z148" s="420" t="n">
        <v>7</v>
      </c>
      <c r="AA148" s="420">
        <f>IF(AC148="Archived",0,ROUND((IF(N148="Tier 1",35,IF(N148="Tier 2",20,8))+IF(C148="Financial Investor",15,IF(C148="Intermediary / Banker",12,8))+IF(L148="Term Sheet / Proposal",25,IF(L148="Engaged",20,IF(L148="Meeting Requested",18,IF(L148="Meeting Held",14,IF(L148="Follow Up",10,5)))))+MIN(Q148,30)+IF(S148="DUE",15,IF(S148="Next 3 Days",8,0))),0))</f>
        <v/>
      </c>
      <c r="AB148" s="420">
        <f>IF(AND(AC148="Active",OR(N148="Tier 1",N148="Tier 2"),OR(S148="DUE",S148="Next 3 Days")),"YES","")</f>
        <v/>
      </c>
      <c r="AC148" s="420">
        <f>IF(L148="Passed","Archived","Active")</f>
        <v/>
      </c>
    </row>
    <row r="149">
      <c r="A149" s="420" t="inlineStr">
        <is>
          <t>EXOS-0148</t>
        </is>
      </c>
      <c r="B149" s="420" t="inlineStr">
        <is>
          <t>John - Investor Contacts</t>
        </is>
      </c>
      <c r="C149" s="420" t="inlineStr">
        <is>
          <t>Financial Investor</t>
        </is>
      </c>
      <c r="D149" s="420" t="inlineStr">
        <is>
          <t>Arcis Group</t>
        </is>
      </c>
      <c r="E149" s="420" t="inlineStr">
        <is>
          <t>Romain Bouché</t>
        </is>
      </c>
      <c r="F149" s="420" t="inlineStr"/>
      <c r="G149" s="421" t="inlineStr">
        <is>
          <t>rbouche@arcisgroup.com</t>
        </is>
      </c>
      <c r="H149" s="420" t="inlineStr"/>
      <c r="I149" s="420" t="inlineStr"/>
      <c r="J149" s="420" t="inlineStr"/>
      <c r="K149" s="422" t="inlineStr">
        <is>
          <t>John Quinn</t>
        </is>
      </c>
      <c r="L149" s="422" t="inlineStr">
        <is>
          <t>Follow Up</t>
        </is>
      </c>
      <c r="M149" s="420" t="inlineStr">
        <is>
          <t>Space / Defense / Aerospace / Advanced Manufacturing</t>
        </is>
      </c>
      <c r="N149" s="422" t="inlineStr">
        <is>
          <t>Tier 2</t>
        </is>
      </c>
      <c r="O149" s="440" t="n">
        <v>45818</v>
      </c>
      <c r="P149" s="440" t="n">
        <v>45835</v>
      </c>
      <c r="Q149" s="420">
        <f>IF(P149="","",TODAY()-P149)</f>
        <v/>
      </c>
      <c r="R149" s="440">
        <f>IF(OR(L149="Passed",Z149=""),"",P149+Z149)</f>
        <v/>
      </c>
      <c r="S149" s="420">
        <f>IF(OR(R149="",L149="Passed"),"",IF(R149&lt;=TODAY(),"DUE",IF(R149&lt;=TODAY()+3,"Next 3 Days","Later")))</f>
        <v/>
      </c>
      <c r="T149" s="420" t="inlineStr"/>
      <c r="U149" s="422" t="inlineStr"/>
      <c r="V149" s="422" t="inlineStr"/>
      <c r="W149" s="424" t="inlineStr">
        <is>
          <t xml:space="preserve"> | 12/22/2025 | </t>
        </is>
      </c>
      <c r="X149" s="420" t="inlineStr">
        <is>
          <t>John - Investor Contacts!154</t>
        </is>
      </c>
      <c r="Y149" s="422" t="inlineStr">
        <is>
          <t>Send next follow-up with traction + CTA</t>
        </is>
      </c>
      <c r="Z149" s="420" t="n">
        <v>7</v>
      </c>
      <c r="AA149" s="420">
        <f>IF(AC149="Archived",0,ROUND((IF(N149="Tier 1",35,IF(N149="Tier 2",20,8))+IF(C149="Financial Investor",15,IF(C149="Intermediary / Banker",12,8))+IF(L149="Term Sheet / Proposal",25,IF(L149="Engaged",20,IF(L149="Meeting Requested",18,IF(L149="Meeting Held",14,IF(L149="Follow Up",10,5)))))+MIN(Q149,30)+IF(S149="DUE",15,IF(S149="Next 3 Days",8,0))),0))</f>
        <v/>
      </c>
      <c r="AB149" s="420">
        <f>IF(AND(AC149="Active",OR(N149="Tier 1",N149="Tier 2"),OR(S149="DUE",S149="Next 3 Days")),"YES","")</f>
        <v/>
      </c>
      <c r="AC149" s="420">
        <f>IF(L149="Passed","Archived","Active")</f>
        <v/>
      </c>
    </row>
    <row r="150">
      <c r="A150" s="420" t="inlineStr">
        <is>
          <t>EXOS-0149</t>
        </is>
      </c>
      <c r="B150" s="420" t="inlineStr">
        <is>
          <t>John - Investor Contacts</t>
        </is>
      </c>
      <c r="C150" s="420" t="inlineStr">
        <is>
          <t>Financial Investor</t>
        </is>
      </c>
      <c r="D150" s="420" t="inlineStr">
        <is>
          <t>Arlington Capital</t>
        </is>
      </c>
      <c r="E150" s="420" t="inlineStr">
        <is>
          <t>David C Wodlinger</t>
        </is>
      </c>
      <c r="F150" s="420" t="inlineStr"/>
      <c r="G150" s="421" t="inlineStr">
        <is>
          <t>dwodlinger@arlingtoncap.com</t>
        </is>
      </c>
      <c r="H150" s="420" t="inlineStr"/>
      <c r="I150" s="420" t="inlineStr"/>
      <c r="J150" s="421" t="inlineStr">
        <is>
          <t>https://www.linkedin.com/in/david-wodlinger-886b154/</t>
        </is>
      </c>
      <c r="K150" s="422" t="inlineStr">
        <is>
          <t>John Quinn</t>
        </is>
      </c>
      <c r="L150" s="422" t="inlineStr">
        <is>
          <t>Follow Up</t>
        </is>
      </c>
      <c r="M150" s="420" t="inlineStr">
        <is>
          <t>Space / Defense / Aerospace / Advanced Manufacturing</t>
        </is>
      </c>
      <c r="N150" s="422" t="inlineStr">
        <is>
          <t>Tier 2</t>
        </is>
      </c>
      <c r="O150" s="440" t="n">
        <v>45967</v>
      </c>
      <c r="P150" s="440" t="n">
        <v>45986</v>
      </c>
      <c r="Q150" s="420">
        <f>IF(P150="","",TODAY()-P150)</f>
        <v/>
      </c>
      <c r="R150" s="440">
        <f>IF(OR(L150="Passed",Z150=""),"",P150+Z150)</f>
        <v/>
      </c>
      <c r="S150" s="420">
        <f>IF(OR(R150="",L150="Passed"),"",IF(R150&lt;=TODAY(),"DUE",IF(R150&lt;=TODAY()+3,"Next 3 Days","Later")))</f>
        <v/>
      </c>
      <c r="T150" s="420" t="inlineStr"/>
      <c r="U150" s="422" t="inlineStr">
        <is>
          <t>https://www.linkedin.com/in/david-wodlinger-886b154/</t>
        </is>
      </c>
      <c r="V150" s="422" t="inlineStr"/>
      <c r="W150" s="424" t="inlineStr">
        <is>
          <t xml:space="preserve"> | 01/14/2026 | </t>
        </is>
      </c>
      <c r="X150" s="420" t="inlineStr">
        <is>
          <t>John - Investor Contacts!850</t>
        </is>
      </c>
      <c r="Y150" s="422" t="inlineStr">
        <is>
          <t>Send next follow-up with traction + CTA</t>
        </is>
      </c>
      <c r="Z150" s="420" t="n">
        <v>7</v>
      </c>
      <c r="AA150" s="420">
        <f>IF(AC150="Archived",0,ROUND((IF(N150="Tier 1",35,IF(N150="Tier 2",20,8))+IF(C150="Financial Investor",15,IF(C150="Intermediary / Banker",12,8))+IF(L150="Term Sheet / Proposal",25,IF(L150="Engaged",20,IF(L150="Meeting Requested",18,IF(L150="Meeting Held",14,IF(L150="Follow Up",10,5)))))+MIN(Q150,30)+IF(S150="DUE",15,IF(S150="Next 3 Days",8,0))),0))</f>
        <v/>
      </c>
      <c r="AB150" s="420">
        <f>IF(AND(AC150="Active",OR(N150="Tier 1",N150="Tier 2"),OR(S150="DUE",S150="Next 3 Days")),"YES","")</f>
        <v/>
      </c>
      <c r="AC150" s="420">
        <f>IF(L150="Passed","Archived","Active")</f>
        <v/>
      </c>
    </row>
    <row r="151">
      <c r="A151" s="420" t="inlineStr">
        <is>
          <t>EXOS-0150</t>
        </is>
      </c>
      <c r="B151" s="420" t="inlineStr">
        <is>
          <t>John - Investor Contacts</t>
        </is>
      </c>
      <c r="C151" s="420" t="inlineStr">
        <is>
          <t>Financial Investor</t>
        </is>
      </c>
      <c r="D151" s="420" t="inlineStr">
        <is>
          <t>Arlington Capital</t>
        </is>
      </c>
      <c r="E151" s="420" t="inlineStr">
        <is>
          <t>Matthew L Altman</t>
        </is>
      </c>
      <c r="F151" s="420" t="inlineStr"/>
      <c r="G151" s="421" t="inlineStr">
        <is>
          <t>maltman@arlingtoncap.com</t>
        </is>
      </c>
      <c r="H151" s="420" t="inlineStr"/>
      <c r="I151" s="420" t="inlineStr"/>
      <c r="J151" s="421" t="inlineStr">
        <is>
          <t>https://www.linkedin.com/in/matt-altman-34ab134/</t>
        </is>
      </c>
      <c r="K151" s="422" t="inlineStr">
        <is>
          <t>John Quinn</t>
        </is>
      </c>
      <c r="L151" s="422" t="inlineStr">
        <is>
          <t>Follow Up</t>
        </is>
      </c>
      <c r="M151" s="420" t="inlineStr">
        <is>
          <t>Space / Defense / Aerospace / Advanced Manufacturing</t>
        </is>
      </c>
      <c r="N151" s="422" t="inlineStr">
        <is>
          <t>Tier 2</t>
        </is>
      </c>
      <c r="O151" s="440" t="n">
        <v>45967</v>
      </c>
      <c r="P151" s="440" t="n">
        <v>45985</v>
      </c>
      <c r="Q151" s="420">
        <f>IF(P151="","",TODAY()-P151)</f>
        <v/>
      </c>
      <c r="R151" s="440">
        <f>IF(OR(L151="Passed",Z151=""),"",P151+Z151)</f>
        <v/>
      </c>
      <c r="S151" s="420">
        <f>IF(OR(R151="",L151="Passed"),"",IF(R151&lt;=TODAY(),"DUE",IF(R151&lt;=TODAY()+3,"Next 3 Days","Later")))</f>
        <v/>
      </c>
      <c r="T151" s="420" t="inlineStr"/>
      <c r="U151" s="422" t="inlineStr">
        <is>
          <t>https://www.linkedin.com/in/matt-altman-34ab134/</t>
        </is>
      </c>
      <c r="V151" s="422" t="inlineStr"/>
      <c r="W151" s="424" t="inlineStr">
        <is>
          <t xml:space="preserve"> | 01/14/2026 | </t>
        </is>
      </c>
      <c r="X151" s="420" t="inlineStr">
        <is>
          <t>John - Investor Contacts!847</t>
        </is>
      </c>
      <c r="Y151" s="422" t="inlineStr">
        <is>
          <t>Send next follow-up with traction + CTA</t>
        </is>
      </c>
      <c r="Z151" s="420" t="n">
        <v>7</v>
      </c>
      <c r="AA151" s="420">
        <f>IF(AC151="Archived",0,ROUND((IF(N151="Tier 1",35,IF(N151="Tier 2",20,8))+IF(C151="Financial Investor",15,IF(C151="Intermediary / Banker",12,8))+IF(L151="Term Sheet / Proposal",25,IF(L151="Engaged",20,IF(L151="Meeting Requested",18,IF(L151="Meeting Held",14,IF(L151="Follow Up",10,5)))))+MIN(Q151,30)+IF(S151="DUE",15,IF(S151="Next 3 Days",8,0))),0))</f>
        <v/>
      </c>
      <c r="AB151" s="420">
        <f>IF(AND(AC151="Active",OR(N151="Tier 1",N151="Tier 2"),OR(S151="DUE",S151="Next 3 Days")),"YES","")</f>
        <v/>
      </c>
      <c r="AC151" s="420">
        <f>IF(L151="Passed","Archived","Active")</f>
        <v/>
      </c>
    </row>
    <row r="152">
      <c r="A152" s="420" t="inlineStr">
        <is>
          <t>EXOS-0151</t>
        </is>
      </c>
      <c r="B152" s="420" t="inlineStr">
        <is>
          <t>John - Investor Contacts</t>
        </is>
      </c>
      <c r="C152" s="420" t="inlineStr">
        <is>
          <t>Financial Investor</t>
        </is>
      </c>
      <c r="D152" s="420" t="inlineStr">
        <is>
          <t>Arlington Capital</t>
        </is>
      </c>
      <c r="E152" s="420" t="inlineStr">
        <is>
          <t>Michael H Lustbader</t>
        </is>
      </c>
      <c r="F152" s="420" t="inlineStr"/>
      <c r="G152" s="421" t="inlineStr">
        <is>
          <t>mlustbader@arlingtoncap.com</t>
        </is>
      </c>
      <c r="H152" s="420" t="inlineStr"/>
      <c r="I152" s="420" t="inlineStr"/>
      <c r="J152" s="420" t="inlineStr"/>
      <c r="K152" s="422" t="inlineStr">
        <is>
          <t>John Quinn</t>
        </is>
      </c>
      <c r="L152" s="422" t="inlineStr">
        <is>
          <t>Follow Up</t>
        </is>
      </c>
      <c r="M152" s="420" t="inlineStr">
        <is>
          <t>Space / Defense / Aerospace / Advanced Manufacturing</t>
        </is>
      </c>
      <c r="N152" s="422" t="inlineStr">
        <is>
          <t>Tier 2</t>
        </is>
      </c>
      <c r="O152" s="440" t="n">
        <v>45967</v>
      </c>
      <c r="P152" s="440" t="n">
        <v>45986</v>
      </c>
      <c r="Q152" s="420">
        <f>IF(P152="","",TODAY()-P152)</f>
        <v/>
      </c>
      <c r="R152" s="440">
        <f>IF(OR(L152="Passed",Z152=""),"",P152+Z152)</f>
        <v/>
      </c>
      <c r="S152" s="420">
        <f>IF(OR(R152="",L152="Passed"),"",IF(R152&lt;=TODAY(),"DUE",IF(R152&lt;=TODAY()+3,"Next 3 Days","Later")))</f>
        <v/>
      </c>
      <c r="T152" s="420" t="inlineStr"/>
      <c r="U152" s="422" t="inlineStr">
        <is>
          <t>linkedin.com/in/michael-lustbader-128b1a6</t>
        </is>
      </c>
      <c r="V152" s="422" t="inlineStr"/>
      <c r="W152" s="424" t="inlineStr">
        <is>
          <t xml:space="preserve"> | 01/14/2026 | </t>
        </is>
      </c>
      <c r="X152" s="420" t="inlineStr">
        <is>
          <t>John - Investor Contacts!848</t>
        </is>
      </c>
      <c r="Y152" s="422" t="inlineStr">
        <is>
          <t>Send next follow-up with traction + CTA</t>
        </is>
      </c>
      <c r="Z152" s="420" t="n">
        <v>7</v>
      </c>
      <c r="AA152" s="420">
        <f>IF(AC152="Archived",0,ROUND((IF(N152="Tier 1",35,IF(N152="Tier 2",20,8))+IF(C152="Financial Investor",15,IF(C152="Intermediary / Banker",12,8))+IF(L152="Term Sheet / Proposal",25,IF(L152="Engaged",20,IF(L152="Meeting Requested",18,IF(L152="Meeting Held",14,IF(L152="Follow Up",10,5)))))+MIN(Q152,30)+IF(S152="DUE",15,IF(S152="Next 3 Days",8,0))),0))</f>
        <v/>
      </c>
      <c r="AB152" s="420">
        <f>IF(AND(AC152="Active",OR(N152="Tier 1",N152="Tier 2"),OR(S152="DUE",S152="Next 3 Days")),"YES","")</f>
        <v/>
      </c>
      <c r="AC152" s="420">
        <f>IF(L152="Passed","Archived","Active")</f>
        <v/>
      </c>
    </row>
    <row r="153">
      <c r="A153" s="420" t="inlineStr">
        <is>
          <t>EXOS-0152</t>
        </is>
      </c>
      <c r="B153" s="420" t="inlineStr">
        <is>
          <t>John - Investor Contacts</t>
        </is>
      </c>
      <c r="C153" s="420" t="inlineStr">
        <is>
          <t>Financial Investor</t>
        </is>
      </c>
      <c r="D153" s="420" t="inlineStr">
        <is>
          <t>Arlington Capital</t>
        </is>
      </c>
      <c r="E153" s="420" t="inlineStr">
        <is>
          <t>Peter M Manos</t>
        </is>
      </c>
      <c r="F153" s="420" t="inlineStr"/>
      <c r="G153" s="421" t="inlineStr">
        <is>
          <t>pmanos@arlingtoncap.com</t>
        </is>
      </c>
      <c r="H153" s="420" t="inlineStr"/>
      <c r="I153" s="420" t="inlineStr"/>
      <c r="J153" s="421" t="inlineStr">
        <is>
          <t>https://www.linkedin.com/in/peter-manos-7b1a57254/</t>
        </is>
      </c>
      <c r="K153" s="422" t="inlineStr">
        <is>
          <t>John Quinn</t>
        </is>
      </c>
      <c r="L153" s="422" t="inlineStr">
        <is>
          <t>Follow Up</t>
        </is>
      </c>
      <c r="M153" s="420" t="inlineStr">
        <is>
          <t>Space / Defense / Aerospace / Advanced Manufacturing</t>
        </is>
      </c>
      <c r="N153" s="422" t="inlineStr">
        <is>
          <t>Tier 2</t>
        </is>
      </c>
      <c r="O153" s="440" t="n">
        <v>45967</v>
      </c>
      <c r="P153" s="440" t="n">
        <v>45986</v>
      </c>
      <c r="Q153" s="420">
        <f>IF(P153="","",TODAY()-P153)</f>
        <v/>
      </c>
      <c r="R153" s="440">
        <f>IF(OR(L153="Passed",Z153=""),"",P153+Z153)</f>
        <v/>
      </c>
      <c r="S153" s="420">
        <f>IF(OR(R153="",L153="Passed"),"",IF(R153&lt;=TODAY(),"DUE",IF(R153&lt;=TODAY()+3,"Next 3 Days","Later")))</f>
        <v/>
      </c>
      <c r="T153" s="420" t="inlineStr"/>
      <c r="U153" s="422" t="inlineStr">
        <is>
          <t>https://www.linkedin.com/in/peter-manos-7b1a57254/</t>
        </is>
      </c>
      <c r="V153" s="422" t="inlineStr"/>
      <c r="W153" s="424" t="inlineStr">
        <is>
          <t xml:space="preserve"> | 01/14/2026 | </t>
        </is>
      </c>
      <c r="X153" s="420" t="inlineStr">
        <is>
          <t>John - Investor Contacts!849</t>
        </is>
      </c>
      <c r="Y153" s="422" t="inlineStr">
        <is>
          <t>Send next follow-up with traction + CTA</t>
        </is>
      </c>
      <c r="Z153" s="420" t="n">
        <v>7</v>
      </c>
      <c r="AA153" s="420">
        <f>IF(AC153="Archived",0,ROUND((IF(N153="Tier 1",35,IF(N153="Tier 2",20,8))+IF(C153="Financial Investor",15,IF(C153="Intermediary / Banker",12,8))+IF(L153="Term Sheet / Proposal",25,IF(L153="Engaged",20,IF(L153="Meeting Requested",18,IF(L153="Meeting Held",14,IF(L153="Follow Up",10,5)))))+MIN(Q153,30)+IF(S153="DUE",15,IF(S153="Next 3 Days",8,0))),0))</f>
        <v/>
      </c>
      <c r="AB153" s="420">
        <f>IF(AND(AC153="Active",OR(N153="Tier 1",N153="Tier 2"),OR(S153="DUE",S153="Next 3 Days")),"YES","")</f>
        <v/>
      </c>
      <c r="AC153" s="420">
        <f>IF(L153="Passed","Archived","Active")</f>
        <v/>
      </c>
    </row>
    <row r="154">
      <c r="A154" s="420" t="inlineStr">
        <is>
          <t>EXOS-0153</t>
        </is>
      </c>
      <c r="B154" s="420" t="inlineStr">
        <is>
          <t>John - Investor Contacts</t>
        </is>
      </c>
      <c r="C154" s="420" t="inlineStr">
        <is>
          <t>Financial Investor</t>
        </is>
      </c>
      <c r="D154" s="420" t="inlineStr">
        <is>
          <t>Asymmetric Capital Partners</t>
        </is>
      </c>
      <c r="E154" s="420" t="inlineStr">
        <is>
          <t>Michele Spitzer</t>
        </is>
      </c>
      <c r="F154" s="420" t="inlineStr"/>
      <c r="G154" s="421" t="inlineStr">
        <is>
          <t>michele@acp.vc</t>
        </is>
      </c>
      <c r="H154" s="420" t="inlineStr"/>
      <c r="I154" s="420" t="inlineStr"/>
      <c r="J154" s="421" t="inlineStr">
        <is>
          <t>https://www.linkedin.com/in/michelespitzer/</t>
        </is>
      </c>
      <c r="K154" s="422" t="inlineStr">
        <is>
          <t>John Quinn</t>
        </is>
      </c>
      <c r="L154" s="422" t="inlineStr">
        <is>
          <t>Follow Up</t>
        </is>
      </c>
      <c r="M154" s="420" t="inlineStr">
        <is>
          <t>Space / Defense / Aerospace / Advanced Manufacturing</t>
        </is>
      </c>
      <c r="N154" s="422" t="inlineStr">
        <is>
          <t>Tier 2</t>
        </is>
      </c>
      <c r="O154" s="440" t="n">
        <v>45821</v>
      </c>
      <c r="P154" s="440" t="n">
        <v>45835</v>
      </c>
      <c r="Q154" s="420">
        <f>IF(P154="","",TODAY()-P154)</f>
        <v/>
      </c>
      <c r="R154" s="440">
        <f>IF(OR(L154="Passed",Z154=""),"",P154+Z154)</f>
        <v/>
      </c>
      <c r="S154" s="420">
        <f>IF(OR(R154="",L154="Passed"),"",IF(R154&lt;=TODAY(),"DUE",IF(R154&lt;=TODAY()+3,"Next 3 Days","Later")))</f>
        <v/>
      </c>
      <c r="T154" s="420" t="inlineStr"/>
      <c r="U154" s="422" t="inlineStr">
        <is>
          <t>https://www.linkedin.com/in/michelespitzer/</t>
        </is>
      </c>
      <c r="V154" s="422" t="inlineStr"/>
      <c r="W154" s="424" t="inlineStr">
        <is>
          <t xml:space="preserve"> | 12/23/2025 | </t>
        </is>
      </c>
      <c r="X154" s="420" t="inlineStr">
        <is>
          <t>John - Investor Contacts!192</t>
        </is>
      </c>
      <c r="Y154" s="422" t="inlineStr">
        <is>
          <t>Send next follow-up with traction + CTA</t>
        </is>
      </c>
      <c r="Z154" s="420" t="n">
        <v>7</v>
      </c>
      <c r="AA154" s="420">
        <f>IF(AC154="Archived",0,ROUND((IF(N154="Tier 1",35,IF(N154="Tier 2",20,8))+IF(C154="Financial Investor",15,IF(C154="Intermediary / Banker",12,8))+IF(L154="Term Sheet / Proposal",25,IF(L154="Engaged",20,IF(L154="Meeting Requested",18,IF(L154="Meeting Held",14,IF(L154="Follow Up",10,5)))))+MIN(Q154,30)+IF(S154="DUE",15,IF(S154="Next 3 Days",8,0))),0))</f>
        <v/>
      </c>
      <c r="AB154" s="420">
        <f>IF(AND(AC154="Active",OR(N154="Tier 1",N154="Tier 2"),OR(S154="DUE",S154="Next 3 Days")),"YES","")</f>
        <v/>
      </c>
      <c r="AC154" s="420">
        <f>IF(L154="Passed","Archived","Active")</f>
        <v/>
      </c>
    </row>
    <row r="155">
      <c r="A155" s="420" t="inlineStr">
        <is>
          <t>EXOS-0154</t>
        </is>
      </c>
      <c r="B155" s="420" t="inlineStr">
        <is>
          <t>John - Investor Contacts</t>
        </is>
      </c>
      <c r="C155" s="420" t="inlineStr">
        <is>
          <t>Financial Investor</t>
        </is>
      </c>
      <c r="D155" s="420" t="inlineStr">
        <is>
          <t>Asymmetric Capital Partners</t>
        </is>
      </c>
      <c r="E155" s="420" t="inlineStr">
        <is>
          <t>Nancy Chou</t>
        </is>
      </c>
      <c r="F155" s="420" t="inlineStr"/>
      <c r="G155" s="421" t="inlineStr">
        <is>
          <t>nancy@acp.vc</t>
        </is>
      </c>
      <c r="H155" s="420" t="inlineStr"/>
      <c r="I155" s="420" t="inlineStr"/>
      <c r="J155" s="421" t="inlineStr">
        <is>
          <t>https://www.linkedin.com/in/nancy-chou-b8496b29/</t>
        </is>
      </c>
      <c r="K155" s="422" t="inlineStr">
        <is>
          <t>John Quinn</t>
        </is>
      </c>
      <c r="L155" s="422" t="inlineStr">
        <is>
          <t>Follow Up</t>
        </is>
      </c>
      <c r="M155" s="420" t="inlineStr">
        <is>
          <t>Space / Defense / Aerospace / Advanced Manufacturing</t>
        </is>
      </c>
      <c r="N155" s="422" t="inlineStr">
        <is>
          <t>Tier 2</t>
        </is>
      </c>
      <c r="O155" s="440" t="n">
        <v>45821</v>
      </c>
      <c r="P155" s="440" t="n">
        <v>45835</v>
      </c>
      <c r="Q155" s="420">
        <f>IF(P155="","",TODAY()-P155)</f>
        <v/>
      </c>
      <c r="R155" s="440">
        <f>IF(OR(L155="Passed",Z155=""),"",P155+Z155)</f>
        <v/>
      </c>
      <c r="S155" s="420">
        <f>IF(OR(R155="",L155="Passed"),"",IF(R155&lt;=TODAY(),"DUE",IF(R155&lt;=TODAY()+3,"Next 3 Days","Later")))</f>
        <v/>
      </c>
      <c r="T155" s="420" t="inlineStr"/>
      <c r="U155" s="422" t="inlineStr">
        <is>
          <t>https://www.linkedin.com/in/nancy-chou-b8496b29/</t>
        </is>
      </c>
      <c r="V155" s="422" t="inlineStr"/>
      <c r="W155" s="424" t="inlineStr">
        <is>
          <t xml:space="preserve"> | 12/23/2025 | </t>
        </is>
      </c>
      <c r="X155" s="420" t="inlineStr">
        <is>
          <t>John - Investor Contacts!194</t>
        </is>
      </c>
      <c r="Y155" s="422" t="inlineStr">
        <is>
          <t>Send next follow-up with traction + CTA</t>
        </is>
      </c>
      <c r="Z155" s="420" t="n">
        <v>7</v>
      </c>
      <c r="AA155" s="420">
        <f>IF(AC155="Archived",0,ROUND((IF(N155="Tier 1",35,IF(N155="Tier 2",20,8))+IF(C155="Financial Investor",15,IF(C155="Intermediary / Banker",12,8))+IF(L155="Term Sheet / Proposal",25,IF(L155="Engaged",20,IF(L155="Meeting Requested",18,IF(L155="Meeting Held",14,IF(L155="Follow Up",10,5)))))+MIN(Q155,30)+IF(S155="DUE",15,IF(S155="Next 3 Days",8,0))),0))</f>
        <v/>
      </c>
      <c r="AB155" s="420">
        <f>IF(AND(AC155="Active",OR(N155="Tier 1",N155="Tier 2"),OR(S155="DUE",S155="Next 3 Days")),"YES","")</f>
        <v/>
      </c>
      <c r="AC155" s="420">
        <f>IF(L155="Passed","Archived","Active")</f>
        <v/>
      </c>
    </row>
    <row r="156">
      <c r="A156" s="420" t="inlineStr">
        <is>
          <t>EXOS-0155</t>
        </is>
      </c>
      <c r="B156" s="420" t="inlineStr">
        <is>
          <t>John - Investor Contacts</t>
        </is>
      </c>
      <c r="C156" s="420" t="inlineStr">
        <is>
          <t>Financial Investor</t>
        </is>
      </c>
      <c r="D156" s="420" t="inlineStr">
        <is>
          <t>Asymmetric Capital Partners</t>
        </is>
      </c>
      <c r="E156" s="420" t="inlineStr">
        <is>
          <t>Rob Biederman</t>
        </is>
      </c>
      <c r="F156" s="420" t="inlineStr"/>
      <c r="G156" s="421" t="inlineStr">
        <is>
          <t>rob@acp.vc</t>
        </is>
      </c>
      <c r="H156" s="420" t="inlineStr"/>
      <c r="I156" s="420" t="inlineStr"/>
      <c r="J156" s="421" t="inlineStr">
        <is>
          <t>https://www.linkedin.com/in/robertdukebiederman/</t>
        </is>
      </c>
      <c r="K156" s="422" t="inlineStr">
        <is>
          <t>John Quinn</t>
        </is>
      </c>
      <c r="L156" s="422" t="inlineStr">
        <is>
          <t>Follow Up</t>
        </is>
      </c>
      <c r="M156" s="420" t="inlineStr">
        <is>
          <t>Space / Defense / Aerospace / Advanced Manufacturing</t>
        </is>
      </c>
      <c r="N156" s="422" t="inlineStr">
        <is>
          <t>Tier 2</t>
        </is>
      </c>
      <c r="O156" s="440" t="n">
        <v>45821</v>
      </c>
      <c r="P156" s="440" t="n">
        <v>45835</v>
      </c>
      <c r="Q156" s="420">
        <f>IF(P156="","",TODAY()-P156)</f>
        <v/>
      </c>
      <c r="R156" s="440">
        <f>IF(OR(L156="Passed",Z156=""),"",P156+Z156)</f>
        <v/>
      </c>
      <c r="S156" s="420">
        <f>IF(OR(R156="",L156="Passed"),"",IF(R156&lt;=TODAY(),"DUE",IF(R156&lt;=TODAY()+3,"Next 3 Days","Later")))</f>
        <v/>
      </c>
      <c r="T156" s="420" t="inlineStr"/>
      <c r="U156" s="422" t="inlineStr">
        <is>
          <t>https://www.linkedin.com/in/robertdukebiederman/</t>
        </is>
      </c>
      <c r="V156" s="422" t="inlineStr"/>
      <c r="W156" s="424" t="inlineStr">
        <is>
          <t xml:space="preserve"> | 12/23/2025 | </t>
        </is>
      </c>
      <c r="X156" s="420" t="inlineStr">
        <is>
          <t>John - Investor Contacts!190</t>
        </is>
      </c>
      <c r="Y156" s="422" t="inlineStr">
        <is>
          <t>Send next follow-up with traction + CTA</t>
        </is>
      </c>
      <c r="Z156" s="420" t="n">
        <v>7</v>
      </c>
      <c r="AA156" s="420">
        <f>IF(AC156="Archived",0,ROUND((IF(N156="Tier 1",35,IF(N156="Tier 2",20,8))+IF(C156="Financial Investor",15,IF(C156="Intermediary / Banker",12,8))+IF(L156="Term Sheet / Proposal",25,IF(L156="Engaged",20,IF(L156="Meeting Requested",18,IF(L156="Meeting Held",14,IF(L156="Follow Up",10,5)))))+MIN(Q156,30)+IF(S156="DUE",15,IF(S156="Next 3 Days",8,0))),0))</f>
        <v/>
      </c>
      <c r="AB156" s="420">
        <f>IF(AND(AC156="Active",OR(N156="Tier 1",N156="Tier 2"),OR(S156="DUE",S156="Next 3 Days")),"YES","")</f>
        <v/>
      </c>
      <c r="AC156" s="420">
        <f>IF(L156="Passed","Archived","Active")</f>
        <v/>
      </c>
    </row>
    <row r="157">
      <c r="A157" s="420" t="inlineStr">
        <is>
          <t>EXOS-0156</t>
        </is>
      </c>
      <c r="B157" s="420" t="inlineStr">
        <is>
          <t>John - Investor Contacts</t>
        </is>
      </c>
      <c r="C157" s="420" t="inlineStr">
        <is>
          <t>Financial Investor</t>
        </is>
      </c>
      <c r="D157" s="420" t="inlineStr">
        <is>
          <t>Asymmetric Capital Partners</t>
        </is>
      </c>
      <c r="E157" s="420" t="inlineStr">
        <is>
          <t>Sam Clayman</t>
        </is>
      </c>
      <c r="F157" s="420" t="inlineStr"/>
      <c r="G157" s="421" t="inlineStr">
        <is>
          <t>sam@acp.vc</t>
        </is>
      </c>
      <c r="H157" s="420" t="inlineStr"/>
      <c r="I157" s="420" t="inlineStr"/>
      <c r="J157" s="421" t="inlineStr">
        <is>
          <t>https://www.linkedin.com/in/sam-clayman-41628a32/</t>
        </is>
      </c>
      <c r="K157" s="422" t="inlineStr">
        <is>
          <t>John Quinn</t>
        </is>
      </c>
      <c r="L157" s="422" t="inlineStr">
        <is>
          <t>Follow Up</t>
        </is>
      </c>
      <c r="M157" s="420" t="inlineStr">
        <is>
          <t>Space / Defense / Aerospace / Advanced Manufacturing</t>
        </is>
      </c>
      <c r="N157" s="422" t="inlineStr">
        <is>
          <t>Tier 2</t>
        </is>
      </c>
      <c r="O157" s="440" t="n">
        <v>45821</v>
      </c>
      <c r="P157" s="440" t="n">
        <v>45835</v>
      </c>
      <c r="Q157" s="420">
        <f>IF(P157="","",TODAY()-P157)</f>
        <v/>
      </c>
      <c r="R157" s="440">
        <f>IF(OR(L157="Passed",Z157=""),"",P157+Z157)</f>
        <v/>
      </c>
      <c r="S157" s="420">
        <f>IF(OR(R157="",L157="Passed"),"",IF(R157&lt;=TODAY(),"DUE",IF(R157&lt;=TODAY()+3,"Next 3 Days","Later")))</f>
        <v/>
      </c>
      <c r="T157" s="420" t="inlineStr"/>
      <c r="U157" s="422" t="inlineStr">
        <is>
          <t>https://www.linkedin.com/in/sam-clayman-41628a32/</t>
        </is>
      </c>
      <c r="V157" s="422" t="inlineStr"/>
      <c r="W157" s="424" t="inlineStr">
        <is>
          <t xml:space="preserve"> | 12/23/2025 | </t>
        </is>
      </c>
      <c r="X157" s="420" t="inlineStr">
        <is>
          <t>John - Investor Contacts!193</t>
        </is>
      </c>
      <c r="Y157" s="422" t="inlineStr">
        <is>
          <t>Send next follow-up with traction + CTA</t>
        </is>
      </c>
      <c r="Z157" s="420" t="n">
        <v>7</v>
      </c>
      <c r="AA157" s="420">
        <f>IF(AC157="Archived",0,ROUND((IF(N157="Tier 1",35,IF(N157="Tier 2",20,8))+IF(C157="Financial Investor",15,IF(C157="Intermediary / Banker",12,8))+IF(L157="Term Sheet / Proposal",25,IF(L157="Engaged",20,IF(L157="Meeting Requested",18,IF(L157="Meeting Held",14,IF(L157="Follow Up",10,5)))))+MIN(Q157,30)+IF(S157="DUE",15,IF(S157="Next 3 Days",8,0))),0))</f>
        <v/>
      </c>
      <c r="AB157" s="420">
        <f>IF(AND(AC157="Active",OR(N157="Tier 1",N157="Tier 2"),OR(S157="DUE",S157="Next 3 Days")),"YES","")</f>
        <v/>
      </c>
      <c r="AC157" s="420">
        <f>IF(L157="Passed","Archived","Active")</f>
        <v/>
      </c>
    </row>
    <row r="158">
      <c r="A158" s="420" t="inlineStr">
        <is>
          <t>EXOS-0157</t>
        </is>
      </c>
      <c r="B158" s="420" t="inlineStr">
        <is>
          <t>John - Investor Contacts</t>
        </is>
      </c>
      <c r="C158" s="420" t="inlineStr">
        <is>
          <t>Financial Investor</t>
        </is>
      </c>
      <c r="D158" s="420" t="inlineStr">
        <is>
          <t>Asymmetric Capital Partners</t>
        </is>
      </c>
      <c r="E158" s="420" t="inlineStr">
        <is>
          <t>Sarah Biggs</t>
        </is>
      </c>
      <c r="F158" s="420" t="inlineStr"/>
      <c r="G158" s="421" t="inlineStr">
        <is>
          <t>sarah@acp.vc</t>
        </is>
      </c>
      <c r="H158" s="420" t="inlineStr"/>
      <c r="I158" s="420" t="inlineStr"/>
      <c r="J158" s="421" t="inlineStr">
        <is>
          <t>https://www.linkedin.com/in/sarah-unger-biggs/</t>
        </is>
      </c>
      <c r="K158" s="422" t="inlineStr">
        <is>
          <t>John Quinn</t>
        </is>
      </c>
      <c r="L158" s="422" t="inlineStr">
        <is>
          <t>Follow Up</t>
        </is>
      </c>
      <c r="M158" s="420" t="inlineStr">
        <is>
          <t>Space / Defense / Aerospace / Advanced Manufacturing</t>
        </is>
      </c>
      <c r="N158" s="422" t="inlineStr">
        <is>
          <t>Tier 2</t>
        </is>
      </c>
      <c r="O158" s="440" t="n">
        <v>45821</v>
      </c>
      <c r="P158" s="440" t="n">
        <v>45835</v>
      </c>
      <c r="Q158" s="420">
        <f>IF(P158="","",TODAY()-P158)</f>
        <v/>
      </c>
      <c r="R158" s="440">
        <f>IF(OR(L158="Passed",Z158=""),"",P158+Z158)</f>
        <v/>
      </c>
      <c r="S158" s="420">
        <f>IF(OR(R158="",L158="Passed"),"",IF(R158&lt;=TODAY(),"DUE",IF(R158&lt;=TODAY()+3,"Next 3 Days","Later")))</f>
        <v/>
      </c>
      <c r="T158" s="420" t="inlineStr"/>
      <c r="U158" s="422" t="inlineStr">
        <is>
          <t>https://www.linkedin.com/in/sarah-unger-biggs/</t>
        </is>
      </c>
      <c r="V158" s="422" t="inlineStr"/>
      <c r="W158" s="424" t="inlineStr">
        <is>
          <t xml:space="preserve"> | 12/23/2025 | </t>
        </is>
      </c>
      <c r="X158" s="420" t="inlineStr">
        <is>
          <t>John - Investor Contacts!191</t>
        </is>
      </c>
      <c r="Y158" s="422" t="inlineStr">
        <is>
          <t>Send next follow-up with traction + CTA</t>
        </is>
      </c>
      <c r="Z158" s="420" t="n">
        <v>7</v>
      </c>
      <c r="AA158" s="420">
        <f>IF(AC158="Archived",0,ROUND((IF(N158="Tier 1",35,IF(N158="Tier 2",20,8))+IF(C158="Financial Investor",15,IF(C158="Intermediary / Banker",12,8))+IF(L158="Term Sheet / Proposal",25,IF(L158="Engaged",20,IF(L158="Meeting Requested",18,IF(L158="Meeting Held",14,IF(L158="Follow Up",10,5)))))+MIN(Q158,30)+IF(S158="DUE",15,IF(S158="Next 3 Days",8,0))),0))</f>
        <v/>
      </c>
      <c r="AB158" s="420">
        <f>IF(AND(AC158="Active",OR(N158="Tier 1",N158="Tier 2"),OR(S158="DUE",S158="Next 3 Days")),"YES","")</f>
        <v/>
      </c>
      <c r="AC158" s="420">
        <f>IF(L158="Passed","Archived","Active")</f>
        <v/>
      </c>
    </row>
    <row r="159">
      <c r="A159" s="420" t="inlineStr">
        <is>
          <t>EXOS-0158</t>
        </is>
      </c>
      <c r="B159" s="420" t="inlineStr">
        <is>
          <t>John - Investor Contacts</t>
        </is>
      </c>
      <c r="C159" s="420" t="inlineStr">
        <is>
          <t>Financial Investor</t>
        </is>
      </c>
      <c r="D159" s="420" t="inlineStr">
        <is>
          <t>Athenian VC</t>
        </is>
      </c>
      <c r="E159" s="420" t="inlineStr">
        <is>
          <t>Jason Mackey</t>
        </is>
      </c>
      <c r="F159" s="420" t="inlineStr"/>
      <c r="G159" s="421" t="inlineStr">
        <is>
          <t>jason@athenian.vc</t>
        </is>
      </c>
      <c r="H159" s="420" t="inlineStr"/>
      <c r="I159" s="420" t="inlineStr"/>
      <c r="J159" s="421" t="inlineStr">
        <is>
          <t>https://www.linkedin.com/in/mackeyjasond/</t>
        </is>
      </c>
      <c r="K159" s="422" t="inlineStr">
        <is>
          <t>John Quinn</t>
        </is>
      </c>
      <c r="L159" s="422" t="inlineStr">
        <is>
          <t>Follow Up</t>
        </is>
      </c>
      <c r="M159" s="420" t="inlineStr">
        <is>
          <t>Space / Defense / Aerospace / Advanced Manufacturing</t>
        </is>
      </c>
      <c r="N159" s="422" t="inlineStr">
        <is>
          <t>Tier 2</t>
        </is>
      </c>
      <c r="O159" s="440" t="n">
        <v>45930</v>
      </c>
      <c r="P159" s="440" t="n">
        <v>45973</v>
      </c>
      <c r="Q159" s="420">
        <f>IF(P159="","",TODAY()-P159)</f>
        <v/>
      </c>
      <c r="R159" s="440">
        <f>IF(OR(L159="Passed",Z159=""),"",P159+Z159)</f>
        <v/>
      </c>
      <c r="S159" s="420">
        <f>IF(OR(R159="",L159="Passed"),"",IF(R159&lt;=TODAY(),"DUE",IF(R159&lt;=TODAY()+3,"Next 3 Days","Later")))</f>
        <v/>
      </c>
      <c r="T159" s="420" t="inlineStr"/>
      <c r="U159" s="422" t="inlineStr">
        <is>
          <t>https://www.linkedin.com/in/mackeyjasond/</t>
        </is>
      </c>
      <c r="V159" s="422" t="inlineStr"/>
      <c r="W159" s="424" t="inlineStr">
        <is>
          <t xml:space="preserve"> | 12/19/2025 | </t>
        </is>
      </c>
      <c r="X159" s="420" t="inlineStr">
        <is>
          <t>John - Investor Contacts!695</t>
        </is>
      </c>
      <c r="Y159" s="422" t="inlineStr">
        <is>
          <t>Send next follow-up with traction + CTA</t>
        </is>
      </c>
      <c r="Z159" s="420" t="n">
        <v>7</v>
      </c>
      <c r="AA159" s="420">
        <f>IF(AC159="Archived",0,ROUND((IF(N159="Tier 1",35,IF(N159="Tier 2",20,8))+IF(C159="Financial Investor",15,IF(C159="Intermediary / Banker",12,8))+IF(L159="Term Sheet / Proposal",25,IF(L159="Engaged",20,IF(L159="Meeting Requested",18,IF(L159="Meeting Held",14,IF(L159="Follow Up",10,5)))))+MIN(Q159,30)+IF(S159="DUE",15,IF(S159="Next 3 Days",8,0))),0))</f>
        <v/>
      </c>
      <c r="AB159" s="420">
        <f>IF(AND(AC159="Active",OR(N159="Tier 1",N159="Tier 2"),OR(S159="DUE",S159="Next 3 Days")),"YES","")</f>
        <v/>
      </c>
      <c r="AC159" s="420">
        <f>IF(L159="Passed","Archived","Active")</f>
        <v/>
      </c>
    </row>
    <row r="160">
      <c r="A160" s="420" t="inlineStr">
        <is>
          <t>EXOS-0159</t>
        </is>
      </c>
      <c r="B160" s="420" t="inlineStr">
        <is>
          <t>John - Investor Contacts</t>
        </is>
      </c>
      <c r="C160" s="420" t="inlineStr">
        <is>
          <t>Financial Investor</t>
        </is>
      </c>
      <c r="D160" s="420" t="inlineStr">
        <is>
          <t>Augment Ventures</t>
        </is>
      </c>
      <c r="E160" s="420" t="inlineStr">
        <is>
          <t>Austin Churley</t>
        </is>
      </c>
      <c r="F160" s="420" t="inlineStr"/>
      <c r="G160" s="421" t="inlineStr">
        <is>
          <t>austin@augmentventures.com</t>
        </is>
      </c>
      <c r="H160" s="420" t="inlineStr"/>
      <c r="I160" s="420" t="inlineStr"/>
      <c r="J160" s="421" t="inlineStr">
        <is>
          <t>https://www.linkedin.com/in/austinchurley/</t>
        </is>
      </c>
      <c r="K160" s="422" t="inlineStr">
        <is>
          <t>John Quinn</t>
        </is>
      </c>
      <c r="L160" s="422" t="inlineStr">
        <is>
          <t>Follow Up</t>
        </is>
      </c>
      <c r="M160" s="420" t="inlineStr">
        <is>
          <t>Space / Defense / Aerospace / Advanced Manufacturing</t>
        </is>
      </c>
      <c r="N160" s="422" t="inlineStr">
        <is>
          <t>Tier 2</t>
        </is>
      </c>
      <c r="O160" s="440" t="n">
        <v>45896</v>
      </c>
      <c r="P160" s="440" t="n">
        <v>45924</v>
      </c>
      <c r="Q160" s="420">
        <f>IF(P160="","",TODAY()-P160)</f>
        <v/>
      </c>
      <c r="R160" s="440">
        <f>IF(OR(L160="Passed",Z160=""),"",P160+Z160)</f>
        <v/>
      </c>
      <c r="S160" s="420">
        <f>IF(OR(R160="",L160="Passed"),"",IF(R160&lt;=TODAY(),"DUE",IF(R160&lt;=TODAY()+3,"Next 3 Days","Later")))</f>
        <v/>
      </c>
      <c r="T160" s="420" t="inlineStr"/>
      <c r="U160" s="422" t="inlineStr">
        <is>
          <t>https://www.linkedin.com/in/austinchurley/</t>
        </is>
      </c>
      <c r="V160" s="422" t="inlineStr"/>
      <c r="W160" s="424" t="inlineStr">
        <is>
          <t xml:space="preserve"> | 12/04/2025 | </t>
        </is>
      </c>
      <c r="X160" s="420" t="inlineStr">
        <is>
          <t>John - Investor Contacts!545</t>
        </is>
      </c>
      <c r="Y160" s="422" t="inlineStr">
        <is>
          <t>Send next follow-up with traction + CTA</t>
        </is>
      </c>
      <c r="Z160" s="420" t="n">
        <v>7</v>
      </c>
      <c r="AA160" s="420">
        <f>IF(AC160="Archived",0,ROUND((IF(N160="Tier 1",35,IF(N160="Tier 2",20,8))+IF(C160="Financial Investor",15,IF(C160="Intermediary / Banker",12,8))+IF(L160="Term Sheet / Proposal",25,IF(L160="Engaged",20,IF(L160="Meeting Requested",18,IF(L160="Meeting Held",14,IF(L160="Follow Up",10,5)))))+MIN(Q160,30)+IF(S160="DUE",15,IF(S160="Next 3 Days",8,0))),0))</f>
        <v/>
      </c>
      <c r="AB160" s="420">
        <f>IF(AND(AC160="Active",OR(N160="Tier 1",N160="Tier 2"),OR(S160="DUE",S160="Next 3 Days")),"YES","")</f>
        <v/>
      </c>
      <c r="AC160" s="420">
        <f>IF(L160="Passed","Archived","Active")</f>
        <v/>
      </c>
    </row>
    <row r="161">
      <c r="A161" s="420" t="inlineStr">
        <is>
          <t>EXOS-0160</t>
        </is>
      </c>
      <c r="B161" s="420" t="inlineStr">
        <is>
          <t>John - Investor Contacts</t>
        </is>
      </c>
      <c r="C161" s="420" t="inlineStr">
        <is>
          <t>Financial Investor</t>
        </is>
      </c>
      <c r="D161" s="420" t="inlineStr">
        <is>
          <t>Augment Ventures</t>
        </is>
      </c>
      <c r="E161" s="420" t="inlineStr">
        <is>
          <t>David Armstrong</t>
        </is>
      </c>
      <c r="F161" s="420" t="inlineStr"/>
      <c r="G161" s="421" t="inlineStr">
        <is>
          <t>david@augmentventures.com</t>
        </is>
      </c>
      <c r="H161" s="420" t="inlineStr"/>
      <c r="I161" s="420" t="inlineStr"/>
      <c r="J161" s="421" t="inlineStr">
        <is>
          <t>https://www.linkedin.com/in/david-armstrong-74b9a8b/</t>
        </is>
      </c>
      <c r="K161" s="422" t="inlineStr">
        <is>
          <t>John Quinn</t>
        </is>
      </c>
      <c r="L161" s="422" t="inlineStr">
        <is>
          <t>Follow Up</t>
        </is>
      </c>
      <c r="M161" s="420" t="inlineStr">
        <is>
          <t>Space / Defense / Aerospace / Advanced Manufacturing</t>
        </is>
      </c>
      <c r="N161" s="422" t="inlineStr">
        <is>
          <t>Tier 2</t>
        </is>
      </c>
      <c r="O161" s="440" t="n">
        <v>45896</v>
      </c>
      <c r="P161" s="440" t="n">
        <v>45924</v>
      </c>
      <c r="Q161" s="420">
        <f>IF(P161="","",TODAY()-P161)</f>
        <v/>
      </c>
      <c r="R161" s="440">
        <f>IF(OR(L161="Passed",Z161=""),"",P161+Z161)</f>
        <v/>
      </c>
      <c r="S161" s="420">
        <f>IF(OR(R161="",L161="Passed"),"",IF(R161&lt;=TODAY(),"DUE",IF(R161&lt;=TODAY()+3,"Next 3 Days","Later")))</f>
        <v/>
      </c>
      <c r="T161" s="420" t="inlineStr"/>
      <c r="U161" s="422" t="inlineStr">
        <is>
          <t>https://www.linkedin.com/in/david-armstrong-74b9a8b/</t>
        </is>
      </c>
      <c r="V161" s="422" t="inlineStr"/>
      <c r="W161" s="424" t="inlineStr">
        <is>
          <t xml:space="preserve"> | 12/04/2025 | </t>
        </is>
      </c>
      <c r="X161" s="420" t="inlineStr">
        <is>
          <t>John - Investor Contacts!542</t>
        </is>
      </c>
      <c r="Y161" s="422" t="inlineStr">
        <is>
          <t>Send next follow-up with traction + CTA</t>
        </is>
      </c>
      <c r="Z161" s="420" t="n">
        <v>7</v>
      </c>
      <c r="AA161" s="420">
        <f>IF(AC161="Archived",0,ROUND((IF(N161="Tier 1",35,IF(N161="Tier 2",20,8))+IF(C161="Financial Investor",15,IF(C161="Intermediary / Banker",12,8))+IF(L161="Term Sheet / Proposal",25,IF(L161="Engaged",20,IF(L161="Meeting Requested",18,IF(L161="Meeting Held",14,IF(L161="Follow Up",10,5)))))+MIN(Q161,30)+IF(S161="DUE",15,IF(S161="Next 3 Days",8,0))),0))</f>
        <v/>
      </c>
      <c r="AB161" s="420">
        <f>IF(AND(AC161="Active",OR(N161="Tier 1",N161="Tier 2"),OR(S161="DUE",S161="Next 3 Days")),"YES","")</f>
        <v/>
      </c>
      <c r="AC161" s="420">
        <f>IF(L161="Passed","Archived","Active")</f>
        <v/>
      </c>
    </row>
    <row r="162">
      <c r="A162" s="420" t="inlineStr">
        <is>
          <t>EXOS-0161</t>
        </is>
      </c>
      <c r="B162" s="420" t="inlineStr">
        <is>
          <t>John - Investor Contacts</t>
        </is>
      </c>
      <c r="C162" s="420" t="inlineStr">
        <is>
          <t>Financial Investor</t>
        </is>
      </c>
      <c r="D162" s="420" t="inlineStr">
        <is>
          <t>Augment Ventures</t>
        </is>
      </c>
      <c r="E162" s="420" t="inlineStr">
        <is>
          <t>Jeffrey Kontulis</t>
        </is>
      </c>
      <c r="F162" s="420" t="inlineStr"/>
      <c r="G162" s="421" t="inlineStr">
        <is>
          <t>jeffrey@augmentventures.com</t>
        </is>
      </c>
      <c r="H162" s="420" t="inlineStr"/>
      <c r="I162" s="420" t="inlineStr"/>
      <c r="J162" s="421" t="inlineStr">
        <is>
          <t>https://www.linkedin.com/in/jeffrey-kontulis-39a6111b2/</t>
        </is>
      </c>
      <c r="K162" s="422" t="inlineStr">
        <is>
          <t>John Quinn</t>
        </is>
      </c>
      <c r="L162" s="422" t="inlineStr">
        <is>
          <t>Follow Up</t>
        </is>
      </c>
      <c r="M162" s="420" t="inlineStr">
        <is>
          <t>Space / Defense / Aerospace / Advanced Manufacturing</t>
        </is>
      </c>
      <c r="N162" s="422" t="inlineStr">
        <is>
          <t>Tier 2</t>
        </is>
      </c>
      <c r="O162" s="440" t="n">
        <v>45896</v>
      </c>
      <c r="P162" s="440" t="n">
        <v>45924</v>
      </c>
      <c r="Q162" s="420">
        <f>IF(P162="","",TODAY()-P162)</f>
        <v/>
      </c>
      <c r="R162" s="440">
        <f>IF(OR(L162="Passed",Z162=""),"",P162+Z162)</f>
        <v/>
      </c>
      <c r="S162" s="420">
        <f>IF(OR(R162="",L162="Passed"),"",IF(R162&lt;=TODAY(),"DUE",IF(R162&lt;=TODAY()+3,"Next 3 Days","Later")))</f>
        <v/>
      </c>
      <c r="T162" s="420" t="inlineStr"/>
      <c r="U162" s="422" t="inlineStr">
        <is>
          <t>https://www.linkedin.com/in/jeffrey-kontulis-39a6111b2/</t>
        </is>
      </c>
      <c r="V162" s="422" t="inlineStr"/>
      <c r="W162" s="424" t="inlineStr">
        <is>
          <t xml:space="preserve"> | 12/04/2025 | </t>
        </is>
      </c>
      <c r="X162" s="420" t="inlineStr">
        <is>
          <t>John - Investor Contacts!543</t>
        </is>
      </c>
      <c r="Y162" s="422" t="inlineStr">
        <is>
          <t>Send next follow-up with traction + CTA</t>
        </is>
      </c>
      <c r="Z162" s="420" t="n">
        <v>7</v>
      </c>
      <c r="AA162" s="420">
        <f>IF(AC162="Archived",0,ROUND((IF(N162="Tier 1",35,IF(N162="Tier 2",20,8))+IF(C162="Financial Investor",15,IF(C162="Intermediary / Banker",12,8))+IF(L162="Term Sheet / Proposal",25,IF(L162="Engaged",20,IF(L162="Meeting Requested",18,IF(L162="Meeting Held",14,IF(L162="Follow Up",10,5)))))+MIN(Q162,30)+IF(S162="DUE",15,IF(S162="Next 3 Days",8,0))),0))</f>
        <v/>
      </c>
      <c r="AB162" s="420">
        <f>IF(AND(AC162="Active",OR(N162="Tier 1",N162="Tier 2"),OR(S162="DUE",S162="Next 3 Days")),"YES","")</f>
        <v/>
      </c>
      <c r="AC162" s="420">
        <f>IF(L162="Passed","Archived","Active")</f>
        <v/>
      </c>
    </row>
    <row r="163">
      <c r="A163" s="420" t="inlineStr">
        <is>
          <t>EXOS-0162</t>
        </is>
      </c>
      <c r="B163" s="420" t="inlineStr">
        <is>
          <t>John - Investor Contacts</t>
        </is>
      </c>
      <c r="C163" s="420" t="inlineStr">
        <is>
          <t>Financial Investor</t>
        </is>
      </c>
      <c r="D163" s="420" t="inlineStr">
        <is>
          <t>Augment Ventures</t>
        </is>
      </c>
      <c r="E163" s="420" t="inlineStr">
        <is>
          <t>Praachi Jain Mehta</t>
        </is>
      </c>
      <c r="F163" s="420" t="inlineStr"/>
      <c r="G163" s="421" t="inlineStr">
        <is>
          <t>praachi@augmentventures.com</t>
        </is>
      </c>
      <c r="H163" s="420" t="inlineStr"/>
      <c r="I163" s="420" t="inlineStr"/>
      <c r="J163" s="421" t="inlineStr">
        <is>
          <t>https://www.linkedin.com/in/praachijain/</t>
        </is>
      </c>
      <c r="K163" s="422" t="inlineStr">
        <is>
          <t>John Quinn</t>
        </is>
      </c>
      <c r="L163" s="422" t="inlineStr">
        <is>
          <t>Follow Up</t>
        </is>
      </c>
      <c r="M163" s="420" t="inlineStr">
        <is>
          <t>Space / Defense / Aerospace / Advanced Manufacturing</t>
        </is>
      </c>
      <c r="N163" s="422" t="inlineStr">
        <is>
          <t>Tier 2</t>
        </is>
      </c>
      <c r="O163" s="440" t="n">
        <v>45896</v>
      </c>
      <c r="P163" s="440" t="n">
        <v>45924</v>
      </c>
      <c r="Q163" s="420">
        <f>IF(P163="","",TODAY()-P163)</f>
        <v/>
      </c>
      <c r="R163" s="440">
        <f>IF(OR(L163="Passed",Z163=""),"",P163+Z163)</f>
        <v/>
      </c>
      <c r="S163" s="420">
        <f>IF(OR(R163="",L163="Passed"),"",IF(R163&lt;=TODAY(),"DUE",IF(R163&lt;=TODAY()+3,"Next 3 Days","Later")))</f>
        <v/>
      </c>
      <c r="T163" s="420" t="inlineStr"/>
      <c r="U163" s="422" t="inlineStr">
        <is>
          <t>https://www.linkedin.com/in/praachijain/</t>
        </is>
      </c>
      <c r="V163" s="422" t="inlineStr"/>
      <c r="W163" s="424" t="inlineStr">
        <is>
          <t xml:space="preserve"> | 12/04/2025 | </t>
        </is>
      </c>
      <c r="X163" s="420" t="inlineStr">
        <is>
          <t>John - Investor Contacts!544</t>
        </is>
      </c>
      <c r="Y163" s="422" t="inlineStr">
        <is>
          <t>Send next follow-up with traction + CTA</t>
        </is>
      </c>
      <c r="Z163" s="420" t="n">
        <v>7</v>
      </c>
      <c r="AA163" s="420">
        <f>IF(AC163="Archived",0,ROUND((IF(N163="Tier 1",35,IF(N163="Tier 2",20,8))+IF(C163="Financial Investor",15,IF(C163="Intermediary / Banker",12,8))+IF(L163="Term Sheet / Proposal",25,IF(L163="Engaged",20,IF(L163="Meeting Requested",18,IF(L163="Meeting Held",14,IF(L163="Follow Up",10,5)))))+MIN(Q163,30)+IF(S163="DUE",15,IF(S163="Next 3 Days",8,0))),0))</f>
        <v/>
      </c>
      <c r="AB163" s="420">
        <f>IF(AND(AC163="Active",OR(N163="Tier 1",N163="Tier 2"),OR(S163="DUE",S163="Next 3 Days")),"YES","")</f>
        <v/>
      </c>
      <c r="AC163" s="420">
        <f>IF(L163="Passed","Archived","Active")</f>
        <v/>
      </c>
    </row>
    <row r="164">
      <c r="A164" s="420" t="inlineStr">
        <is>
          <t>EXOS-0163</t>
        </is>
      </c>
      <c r="B164" s="420" t="inlineStr">
        <is>
          <t>John - Investor Contacts</t>
        </is>
      </c>
      <c r="C164" s="420" t="inlineStr">
        <is>
          <t>Financial Investor</t>
        </is>
      </c>
      <c r="D164" s="420" t="inlineStr">
        <is>
          <t>Augment Ventures</t>
        </is>
      </c>
      <c r="E164" s="420" t="inlineStr">
        <is>
          <t>Sonali Vijayavargiya</t>
        </is>
      </c>
      <c r="F164" s="420" t="inlineStr"/>
      <c r="G164" s="421" t="inlineStr">
        <is>
          <t>sonali@augmentventures.com</t>
        </is>
      </c>
      <c r="H164" s="420" t="inlineStr"/>
      <c r="I164" s="420" t="inlineStr"/>
      <c r="J164" s="421" t="inlineStr">
        <is>
          <t>https://www.linkedin.com/in/sonaliav/</t>
        </is>
      </c>
      <c r="K164" s="422" t="inlineStr">
        <is>
          <t>John Quinn</t>
        </is>
      </c>
      <c r="L164" s="422" t="inlineStr">
        <is>
          <t>Follow Up</t>
        </is>
      </c>
      <c r="M164" s="420" t="inlineStr">
        <is>
          <t>Space / Defense / Aerospace / Advanced Manufacturing</t>
        </is>
      </c>
      <c r="N164" s="422" t="inlineStr">
        <is>
          <t>Tier 2</t>
        </is>
      </c>
      <c r="O164" s="440" t="n">
        <v>45896</v>
      </c>
      <c r="P164" s="440" t="n">
        <v>45924</v>
      </c>
      <c r="Q164" s="420">
        <f>IF(P164="","",TODAY()-P164)</f>
        <v/>
      </c>
      <c r="R164" s="440">
        <f>IF(OR(L164="Passed",Z164=""),"",P164+Z164)</f>
        <v/>
      </c>
      <c r="S164" s="420">
        <f>IF(OR(R164="",L164="Passed"),"",IF(R164&lt;=TODAY(),"DUE",IF(R164&lt;=TODAY()+3,"Next 3 Days","Later")))</f>
        <v/>
      </c>
      <c r="T164" s="420" t="inlineStr"/>
      <c r="U164" s="422" t="inlineStr">
        <is>
          <t>https://www.linkedin.com/in/sonaliav/</t>
        </is>
      </c>
      <c r="V164" s="422" t="inlineStr"/>
      <c r="W164" s="424" t="inlineStr">
        <is>
          <t xml:space="preserve"> | 12/04/2025 | </t>
        </is>
      </c>
      <c r="X164" s="420" t="inlineStr">
        <is>
          <t>John - Investor Contacts!541</t>
        </is>
      </c>
      <c r="Y164" s="422" t="inlineStr">
        <is>
          <t>Send next follow-up with traction + CTA</t>
        </is>
      </c>
      <c r="Z164" s="420" t="n">
        <v>7</v>
      </c>
      <c r="AA164" s="420">
        <f>IF(AC164="Archived",0,ROUND((IF(N164="Tier 1",35,IF(N164="Tier 2",20,8))+IF(C164="Financial Investor",15,IF(C164="Intermediary / Banker",12,8))+IF(L164="Term Sheet / Proposal",25,IF(L164="Engaged",20,IF(L164="Meeting Requested",18,IF(L164="Meeting Held",14,IF(L164="Follow Up",10,5)))))+MIN(Q164,30)+IF(S164="DUE",15,IF(S164="Next 3 Days",8,0))),0))</f>
        <v/>
      </c>
      <c r="AB164" s="420">
        <f>IF(AND(AC164="Active",OR(N164="Tier 1",N164="Tier 2"),OR(S164="DUE",S164="Next 3 Days")),"YES","")</f>
        <v/>
      </c>
      <c r="AC164" s="420">
        <f>IF(L164="Passed","Archived","Active")</f>
        <v/>
      </c>
    </row>
    <row r="165">
      <c r="A165" s="420" t="inlineStr">
        <is>
          <t>EXOS-0164</t>
        </is>
      </c>
      <c r="B165" s="420" t="inlineStr">
        <is>
          <t>John - Investor Contacts</t>
        </is>
      </c>
      <c r="C165" s="420" t="inlineStr">
        <is>
          <t>Financial Investor</t>
        </is>
      </c>
      <c r="D165" s="420" t="inlineStr">
        <is>
          <t>Aureolis Ventures</t>
        </is>
      </c>
      <c r="E165" s="420" t="inlineStr">
        <is>
          <t>Arnav Mariwala</t>
        </is>
      </c>
      <c r="F165" s="420" t="inlineStr"/>
      <c r="G165" s="421" t="inlineStr">
        <is>
          <t>arnav@aureolis.co.in</t>
        </is>
      </c>
      <c r="H165" s="420" t="inlineStr"/>
      <c r="I165" s="420" t="inlineStr"/>
      <c r="J165" s="420" t="inlineStr"/>
      <c r="K165" s="422" t="inlineStr">
        <is>
          <t>John Quinn</t>
        </is>
      </c>
      <c r="L165" s="422" t="inlineStr">
        <is>
          <t>Follow Up</t>
        </is>
      </c>
      <c r="M165" s="420" t="inlineStr">
        <is>
          <t>Space / Defense / Aerospace / Advanced Manufacturing</t>
        </is>
      </c>
      <c r="N165" s="422" t="inlineStr">
        <is>
          <t>Tier 2</t>
        </is>
      </c>
      <c r="O165" s="440" t="n">
        <v>45993</v>
      </c>
      <c r="P165" s="440" t="n">
        <v>46010</v>
      </c>
      <c r="Q165" s="420">
        <f>IF(P165="","",TODAY()-P165)</f>
        <v/>
      </c>
      <c r="R165" s="440">
        <f>IF(OR(L165="Passed",Z165=""),"",P165+Z165)</f>
        <v/>
      </c>
      <c r="S165" s="420">
        <f>IF(OR(R165="",L165="Passed"),"",IF(R165&lt;=TODAY(),"DUE",IF(R165&lt;=TODAY()+3,"Next 3 Days","Later")))</f>
        <v/>
      </c>
      <c r="T165" s="420" t="inlineStr"/>
      <c r="U165" s="422" t="inlineStr">
        <is>
          <t>linkedin.com/in/arnavmariwala</t>
        </is>
      </c>
      <c r="V165" s="422" t="inlineStr"/>
      <c r="W165" s="424" t="inlineStr">
        <is>
          <t xml:space="preserve"> |  | </t>
        </is>
      </c>
      <c r="X165" s="420" t="inlineStr">
        <is>
          <t>John - Investor Contacts!696</t>
        </is>
      </c>
      <c r="Y165" s="422" t="inlineStr">
        <is>
          <t>Send next follow-up with traction + CTA</t>
        </is>
      </c>
      <c r="Z165" s="420" t="n">
        <v>7</v>
      </c>
      <c r="AA165" s="420">
        <f>IF(AC165="Archived",0,ROUND((IF(N165="Tier 1",35,IF(N165="Tier 2",20,8))+IF(C165="Financial Investor",15,IF(C165="Intermediary / Banker",12,8))+IF(L165="Term Sheet / Proposal",25,IF(L165="Engaged",20,IF(L165="Meeting Requested",18,IF(L165="Meeting Held",14,IF(L165="Follow Up",10,5)))))+MIN(Q165,30)+IF(S165="DUE",15,IF(S165="Next 3 Days",8,0))),0))</f>
        <v/>
      </c>
      <c r="AB165" s="420">
        <f>IF(AND(AC165="Active",OR(N165="Tier 1",N165="Tier 2"),OR(S165="DUE",S165="Next 3 Days")),"YES","")</f>
        <v/>
      </c>
      <c r="AC165" s="420">
        <f>IF(L165="Passed","Archived","Active")</f>
        <v/>
      </c>
    </row>
    <row r="166">
      <c r="A166" s="420" t="inlineStr">
        <is>
          <t>EXOS-0165</t>
        </is>
      </c>
      <c r="B166" s="420" t="inlineStr">
        <is>
          <t>John - Investor Contacts</t>
        </is>
      </c>
      <c r="C166" s="420" t="inlineStr">
        <is>
          <t>Financial Investor</t>
        </is>
      </c>
      <c r="D166" s="420" t="inlineStr">
        <is>
          <t>Bain Capital</t>
        </is>
      </c>
      <c r="E166" s="420" t="inlineStr">
        <is>
          <t>Aaref Hilaly</t>
        </is>
      </c>
      <c r="F166" s="420" t="inlineStr"/>
      <c r="G166" s="421" t="inlineStr">
        <is>
          <t>ahilaly@baincapital.com</t>
        </is>
      </c>
      <c r="H166" s="420" t="inlineStr"/>
      <c r="I166" s="420" t="inlineStr"/>
      <c r="J166" s="421" t="inlineStr">
        <is>
          <t>https://www.linkedin.com/in/aarefhilaly/</t>
        </is>
      </c>
      <c r="K166" s="422" t="inlineStr">
        <is>
          <t>John Quinn</t>
        </is>
      </c>
      <c r="L166" s="422" t="inlineStr">
        <is>
          <t>Follow Up</t>
        </is>
      </c>
      <c r="M166" s="420" t="inlineStr">
        <is>
          <t>Space / Defense / Aerospace / Advanced Manufacturing</t>
        </is>
      </c>
      <c r="N166" s="422" t="inlineStr">
        <is>
          <t>Tier 2</t>
        </is>
      </c>
      <c r="O166" s="440" t="n">
        <v>45966</v>
      </c>
      <c r="P166" s="440" t="n">
        <v>45985</v>
      </c>
      <c r="Q166" s="420">
        <f>IF(P166="","",TODAY()-P166)</f>
        <v/>
      </c>
      <c r="R166" s="440">
        <f>IF(OR(L166="Passed",Z166=""),"",P166+Z166)</f>
        <v/>
      </c>
      <c r="S166" s="420">
        <f>IF(OR(R166="",L166="Passed"),"",IF(R166&lt;=TODAY(),"DUE",IF(R166&lt;=TODAY()+3,"Next 3 Days","Later")))</f>
        <v/>
      </c>
      <c r="T166" s="420" t="inlineStr"/>
      <c r="U166" s="422" t="inlineStr">
        <is>
          <t>https://www.linkedin.com/in/aarefhilaly/</t>
        </is>
      </c>
      <c r="V166" s="422" t="inlineStr"/>
      <c r="W166" s="424" t="inlineStr">
        <is>
          <t xml:space="preserve"> | 01/14/2026 | </t>
        </is>
      </c>
      <c r="X166" s="420" t="inlineStr">
        <is>
          <t>John - Investor Contacts!832</t>
        </is>
      </c>
      <c r="Y166" s="422" t="inlineStr">
        <is>
          <t>Send next follow-up with traction + CTA</t>
        </is>
      </c>
      <c r="Z166" s="420" t="n">
        <v>7</v>
      </c>
      <c r="AA166" s="420">
        <f>IF(AC166="Archived",0,ROUND((IF(N166="Tier 1",35,IF(N166="Tier 2",20,8))+IF(C166="Financial Investor",15,IF(C166="Intermediary / Banker",12,8))+IF(L166="Term Sheet / Proposal",25,IF(L166="Engaged",20,IF(L166="Meeting Requested",18,IF(L166="Meeting Held",14,IF(L166="Follow Up",10,5)))))+MIN(Q166,30)+IF(S166="DUE",15,IF(S166="Next 3 Days",8,0))),0))</f>
        <v/>
      </c>
      <c r="AB166" s="420">
        <f>IF(AND(AC166="Active",OR(N166="Tier 1",N166="Tier 2"),OR(S166="DUE",S166="Next 3 Days")),"YES","")</f>
        <v/>
      </c>
      <c r="AC166" s="420">
        <f>IF(L166="Passed","Archived","Active")</f>
        <v/>
      </c>
    </row>
    <row r="167">
      <c r="A167" s="420" t="inlineStr">
        <is>
          <t>EXOS-0166</t>
        </is>
      </c>
      <c r="B167" s="420" t="inlineStr">
        <is>
          <t>John - Investor Contacts</t>
        </is>
      </c>
      <c r="C167" s="420" t="inlineStr">
        <is>
          <t>Financial Investor</t>
        </is>
      </c>
      <c r="D167" s="420" t="inlineStr">
        <is>
          <t>Bain Capital</t>
        </is>
      </c>
      <c r="E167" s="420" t="inlineStr">
        <is>
          <t>Ajay Agarwal</t>
        </is>
      </c>
      <c r="F167" s="420" t="inlineStr"/>
      <c r="G167" s="421" t="inlineStr">
        <is>
          <t>ajay@baincapital.com</t>
        </is>
      </c>
      <c r="H167" s="420" t="inlineStr"/>
      <c r="I167" s="420" t="inlineStr"/>
      <c r="J167" s="421" t="inlineStr">
        <is>
          <t>https://www.linkedin.com/in/ajay1agarwal</t>
        </is>
      </c>
      <c r="K167" s="422" t="inlineStr">
        <is>
          <t>John Quinn</t>
        </is>
      </c>
      <c r="L167" s="422" t="inlineStr">
        <is>
          <t>Follow Up</t>
        </is>
      </c>
      <c r="M167" s="420" t="inlineStr">
        <is>
          <t>Space / Defense / Aerospace / Advanced Manufacturing</t>
        </is>
      </c>
      <c r="N167" s="422" t="inlineStr">
        <is>
          <t>Tier 2</t>
        </is>
      </c>
      <c r="O167" s="440" t="n">
        <v>45966</v>
      </c>
      <c r="P167" s="440" t="n">
        <v>45985</v>
      </c>
      <c r="Q167" s="420">
        <f>IF(P167="","",TODAY()-P167)</f>
        <v/>
      </c>
      <c r="R167" s="440">
        <f>IF(OR(L167="Passed",Z167=""),"",P167+Z167)</f>
        <v/>
      </c>
      <c r="S167" s="420">
        <f>IF(OR(R167="",L167="Passed"),"",IF(R167&lt;=TODAY(),"DUE",IF(R167&lt;=TODAY()+3,"Next 3 Days","Later")))</f>
        <v/>
      </c>
      <c r="T167" s="420" t="inlineStr"/>
      <c r="U167" s="422" t="inlineStr">
        <is>
          <t>https://www.linkedin.com/in/ajay1agarwal</t>
        </is>
      </c>
      <c r="V167" s="422" t="inlineStr"/>
      <c r="W167" s="424" t="inlineStr">
        <is>
          <t xml:space="preserve"> | 01/14/2026 | </t>
        </is>
      </c>
      <c r="X167" s="420" t="inlineStr">
        <is>
          <t>John - Investor Contacts!831</t>
        </is>
      </c>
      <c r="Y167" s="422" t="inlineStr">
        <is>
          <t>Send next follow-up with traction + CTA</t>
        </is>
      </c>
      <c r="Z167" s="420" t="n">
        <v>7</v>
      </c>
      <c r="AA167" s="420">
        <f>IF(AC167="Archived",0,ROUND((IF(N167="Tier 1",35,IF(N167="Tier 2",20,8))+IF(C167="Financial Investor",15,IF(C167="Intermediary / Banker",12,8))+IF(L167="Term Sheet / Proposal",25,IF(L167="Engaged",20,IF(L167="Meeting Requested",18,IF(L167="Meeting Held",14,IF(L167="Follow Up",10,5)))))+MIN(Q167,30)+IF(S167="DUE",15,IF(S167="Next 3 Days",8,0))),0))</f>
        <v/>
      </c>
      <c r="AB167" s="420">
        <f>IF(AND(AC167="Active",OR(N167="Tier 1",N167="Tier 2"),OR(S167="DUE",S167="Next 3 Days")),"YES","")</f>
        <v/>
      </c>
      <c r="AC167" s="420">
        <f>IF(L167="Passed","Archived","Active")</f>
        <v/>
      </c>
    </row>
    <row r="168">
      <c r="A168" s="420" t="inlineStr">
        <is>
          <t>EXOS-0167</t>
        </is>
      </c>
      <c r="B168" s="420" t="inlineStr">
        <is>
          <t>John - Investor Contacts</t>
        </is>
      </c>
      <c r="C168" s="420" t="inlineStr">
        <is>
          <t>Financial Investor</t>
        </is>
      </c>
      <c r="D168" s="420" t="inlineStr">
        <is>
          <t>Bain Capital</t>
        </is>
      </c>
      <c r="E168" s="420" t="inlineStr">
        <is>
          <t>Kevin Zhang</t>
        </is>
      </c>
      <c r="F168" s="420" t="inlineStr"/>
      <c r="G168" s="421" t="inlineStr">
        <is>
          <t>kzhang@baincapital.com</t>
        </is>
      </c>
      <c r="H168" s="420" t="inlineStr"/>
      <c r="I168" s="420" t="inlineStr"/>
      <c r="J168" s="421" t="inlineStr">
        <is>
          <t>https://www.linkedin.com/in/kevinzhang711/</t>
        </is>
      </c>
      <c r="K168" s="422" t="inlineStr">
        <is>
          <t>John Quinn</t>
        </is>
      </c>
      <c r="L168" s="422" t="inlineStr">
        <is>
          <t>Follow Up</t>
        </is>
      </c>
      <c r="M168" s="420" t="inlineStr">
        <is>
          <t>Space / Defense / Aerospace / Advanced Manufacturing</t>
        </is>
      </c>
      <c r="N168" s="422" t="inlineStr">
        <is>
          <t>Tier 2</t>
        </is>
      </c>
      <c r="O168" s="440" t="n">
        <v>45966</v>
      </c>
      <c r="P168" s="440" t="n">
        <v>45985</v>
      </c>
      <c r="Q168" s="420">
        <f>IF(P168="","",TODAY()-P168)</f>
        <v/>
      </c>
      <c r="R168" s="440">
        <f>IF(OR(L168="Passed",Z168=""),"",P168+Z168)</f>
        <v/>
      </c>
      <c r="S168" s="420">
        <f>IF(OR(R168="",L168="Passed"),"",IF(R168&lt;=TODAY(),"DUE",IF(R168&lt;=TODAY()+3,"Next 3 Days","Later")))</f>
        <v/>
      </c>
      <c r="T168" s="420" t="inlineStr"/>
      <c r="U168" s="422" t="inlineStr">
        <is>
          <t>https://www.linkedin.com/in/kevinzhang711/</t>
        </is>
      </c>
      <c r="V168" s="422" t="inlineStr"/>
      <c r="W168" s="424" t="inlineStr">
        <is>
          <t xml:space="preserve"> | 01/14/2026 | </t>
        </is>
      </c>
      <c r="X168" s="420" t="inlineStr">
        <is>
          <t>John - Investor Contacts!833</t>
        </is>
      </c>
      <c r="Y168" s="422" t="inlineStr">
        <is>
          <t>Send next follow-up with traction + CTA</t>
        </is>
      </c>
      <c r="Z168" s="420" t="n">
        <v>7</v>
      </c>
      <c r="AA168" s="420">
        <f>IF(AC168="Archived",0,ROUND((IF(N168="Tier 1",35,IF(N168="Tier 2",20,8))+IF(C168="Financial Investor",15,IF(C168="Intermediary / Banker",12,8))+IF(L168="Term Sheet / Proposal",25,IF(L168="Engaged",20,IF(L168="Meeting Requested",18,IF(L168="Meeting Held",14,IF(L168="Follow Up",10,5)))))+MIN(Q168,30)+IF(S168="DUE",15,IF(S168="Next 3 Days",8,0))),0))</f>
        <v/>
      </c>
      <c r="AB168" s="420">
        <f>IF(AND(AC168="Active",OR(N168="Tier 1",N168="Tier 2"),OR(S168="DUE",S168="Next 3 Days")),"YES","")</f>
        <v/>
      </c>
      <c r="AC168" s="420">
        <f>IF(L168="Passed","Archived","Active")</f>
        <v/>
      </c>
    </row>
    <row r="169">
      <c r="A169" s="420" t="inlineStr">
        <is>
          <t>EXOS-0168</t>
        </is>
      </c>
      <c r="B169" s="420" t="inlineStr">
        <is>
          <t>John - Investor Contacts</t>
        </is>
      </c>
      <c r="C169" s="420" t="inlineStr">
        <is>
          <t>Financial Investor</t>
        </is>
      </c>
      <c r="D169" s="420" t="inlineStr">
        <is>
          <t>Bain Capital</t>
        </is>
      </c>
      <c r="E169" s="420" t="inlineStr">
        <is>
          <t>Merritt Hummer</t>
        </is>
      </c>
      <c r="F169" s="420" t="inlineStr"/>
      <c r="G169" s="421" t="inlineStr">
        <is>
          <t>mhummer@baincapital.com</t>
        </is>
      </c>
      <c r="H169" s="420" t="inlineStr"/>
      <c r="I169" s="420" t="inlineStr"/>
      <c r="J169" s="421" t="inlineStr">
        <is>
          <t>https://www.linkedin.com/in/merritt-hummer-aa187712/</t>
        </is>
      </c>
      <c r="K169" s="422" t="inlineStr">
        <is>
          <t>John Quinn</t>
        </is>
      </c>
      <c r="L169" s="422" t="inlineStr">
        <is>
          <t>Follow Up</t>
        </is>
      </c>
      <c r="M169" s="420" t="inlineStr">
        <is>
          <t>Space / Defense / Aerospace / Advanced Manufacturing</t>
        </is>
      </c>
      <c r="N169" s="422" t="inlineStr">
        <is>
          <t>Tier 2</t>
        </is>
      </c>
      <c r="O169" s="440" t="n">
        <v>45966</v>
      </c>
      <c r="P169" s="440" t="n">
        <v>45985</v>
      </c>
      <c r="Q169" s="420">
        <f>IF(P169="","",TODAY()-P169)</f>
        <v/>
      </c>
      <c r="R169" s="440">
        <f>IF(OR(L169="Passed",Z169=""),"",P169+Z169)</f>
        <v/>
      </c>
      <c r="S169" s="420">
        <f>IF(OR(R169="",L169="Passed"),"",IF(R169&lt;=TODAY(),"DUE",IF(R169&lt;=TODAY()+3,"Next 3 Days","Later")))</f>
        <v/>
      </c>
      <c r="T169" s="420" t="inlineStr"/>
      <c r="U169" s="422" t="inlineStr">
        <is>
          <t>https://www.linkedin.com/in/merritt-hummer-aa187712/</t>
        </is>
      </c>
      <c r="V169" s="422" t="inlineStr"/>
      <c r="W169" s="424" t="inlineStr">
        <is>
          <t xml:space="preserve"> | 01/14/2026 | </t>
        </is>
      </c>
      <c r="X169" s="420" t="inlineStr">
        <is>
          <t>John - Investor Contacts!834</t>
        </is>
      </c>
      <c r="Y169" s="422" t="inlineStr">
        <is>
          <t>Send next follow-up with traction + CTA</t>
        </is>
      </c>
      <c r="Z169" s="420" t="n">
        <v>7</v>
      </c>
      <c r="AA169" s="420">
        <f>IF(AC169="Archived",0,ROUND((IF(N169="Tier 1",35,IF(N169="Tier 2",20,8))+IF(C169="Financial Investor",15,IF(C169="Intermediary / Banker",12,8))+IF(L169="Term Sheet / Proposal",25,IF(L169="Engaged",20,IF(L169="Meeting Requested",18,IF(L169="Meeting Held",14,IF(L169="Follow Up",10,5)))))+MIN(Q169,30)+IF(S169="DUE",15,IF(S169="Next 3 Days",8,0))),0))</f>
        <v/>
      </c>
      <c r="AB169" s="420">
        <f>IF(AND(AC169="Active",OR(N169="Tier 1",N169="Tier 2"),OR(S169="DUE",S169="Next 3 Days")),"YES","")</f>
        <v/>
      </c>
      <c r="AC169" s="420">
        <f>IF(L169="Passed","Archived","Active")</f>
        <v/>
      </c>
    </row>
    <row r="170">
      <c r="A170" s="420" t="inlineStr">
        <is>
          <t>EXOS-0169</t>
        </is>
      </c>
      <c r="B170" s="420" t="inlineStr">
        <is>
          <t>John - Investor Contacts</t>
        </is>
      </c>
      <c r="C170" s="420" t="inlineStr">
        <is>
          <t>Financial Investor</t>
        </is>
      </c>
      <c r="D170" s="420" t="inlineStr">
        <is>
          <t>Bandera Capital</t>
        </is>
      </c>
      <c r="E170" s="420" t="inlineStr">
        <is>
          <t>David Solsky</t>
        </is>
      </c>
      <c r="F170" s="420" t="inlineStr"/>
      <c r="G170" s="421" t="inlineStr">
        <is>
          <t>david@bandera.capital</t>
        </is>
      </c>
      <c r="H170" s="420" t="inlineStr"/>
      <c r="I170" s="420" t="inlineStr"/>
      <c r="J170" s="421" t="inlineStr">
        <is>
          <t>https://www.linkedin.com/in/davidsolsky/</t>
        </is>
      </c>
      <c r="K170" s="422" t="inlineStr">
        <is>
          <t>John Quinn</t>
        </is>
      </c>
      <c r="L170" s="422" t="inlineStr">
        <is>
          <t>Follow Up</t>
        </is>
      </c>
      <c r="M170" s="420" t="inlineStr">
        <is>
          <t>Space / Defense / Aerospace / Advanced Manufacturing</t>
        </is>
      </c>
      <c r="N170" s="422" t="inlineStr">
        <is>
          <t>Tier 2</t>
        </is>
      </c>
      <c r="O170" s="440" t="n">
        <v>45813</v>
      </c>
      <c r="P170" s="440" t="n">
        <v>45841</v>
      </c>
      <c r="Q170" s="420">
        <f>IF(P170="","",TODAY()-P170)</f>
        <v/>
      </c>
      <c r="R170" s="440">
        <f>IF(OR(L170="Passed",Z170=""),"",P170+Z170)</f>
        <v/>
      </c>
      <c r="S170" s="420">
        <f>IF(OR(R170="",L170="Passed"),"",IF(R170&lt;=TODAY(),"DUE",IF(R170&lt;=TODAY()+3,"Next 3 Days","Later")))</f>
        <v/>
      </c>
      <c r="T170" s="420" t="inlineStr"/>
      <c r="U170" s="422" t="inlineStr">
        <is>
          <t>https://www.linkedin.com/in/davidsolsky/</t>
        </is>
      </c>
      <c r="V170" s="422" t="inlineStr"/>
      <c r="W170" s="424" t="inlineStr">
        <is>
          <t xml:space="preserve"> |  | </t>
        </is>
      </c>
      <c r="X170" s="420" t="inlineStr">
        <is>
          <t>John - Investor Contacts!130</t>
        </is>
      </c>
      <c r="Y170" s="422" t="inlineStr">
        <is>
          <t>Send next follow-up with traction + CTA</t>
        </is>
      </c>
      <c r="Z170" s="420" t="n">
        <v>7</v>
      </c>
      <c r="AA170" s="420">
        <f>IF(AC170="Archived",0,ROUND((IF(N170="Tier 1",35,IF(N170="Tier 2",20,8))+IF(C170="Financial Investor",15,IF(C170="Intermediary / Banker",12,8))+IF(L170="Term Sheet / Proposal",25,IF(L170="Engaged",20,IF(L170="Meeting Requested",18,IF(L170="Meeting Held",14,IF(L170="Follow Up",10,5)))))+MIN(Q170,30)+IF(S170="DUE",15,IF(S170="Next 3 Days",8,0))),0))</f>
        <v/>
      </c>
      <c r="AB170" s="420">
        <f>IF(AND(AC170="Active",OR(N170="Tier 1",N170="Tier 2"),OR(S170="DUE",S170="Next 3 Days")),"YES","")</f>
        <v/>
      </c>
      <c r="AC170" s="420">
        <f>IF(L170="Passed","Archived","Active")</f>
        <v/>
      </c>
    </row>
    <row r="171">
      <c r="A171" s="420" t="inlineStr">
        <is>
          <t>EXOS-0170</t>
        </is>
      </c>
      <c r="B171" s="420" t="inlineStr">
        <is>
          <t>John - Investor Contacts</t>
        </is>
      </c>
      <c r="C171" s="420" t="inlineStr">
        <is>
          <t>Financial Investor</t>
        </is>
      </c>
      <c r="D171" s="420" t="inlineStr">
        <is>
          <t>Bandera Capital</t>
        </is>
      </c>
      <c r="E171" s="420" t="inlineStr">
        <is>
          <t>Gabriel Reyna</t>
        </is>
      </c>
      <c r="F171" s="420" t="inlineStr"/>
      <c r="G171" s="421" t="inlineStr">
        <is>
          <t>gabriel@bandera.capital</t>
        </is>
      </c>
      <c r="H171" s="420" t="inlineStr"/>
      <c r="I171" s="420" t="inlineStr"/>
      <c r="J171" s="421" t="inlineStr">
        <is>
          <t>https://www.linkedin.com/in/gabriel-reyna/</t>
        </is>
      </c>
      <c r="K171" s="422" t="inlineStr">
        <is>
          <t>John Quinn</t>
        </is>
      </c>
      <c r="L171" s="422" t="inlineStr">
        <is>
          <t>Follow Up</t>
        </is>
      </c>
      <c r="M171" s="420" t="inlineStr">
        <is>
          <t>Space / Defense / Aerospace / Advanced Manufacturing</t>
        </is>
      </c>
      <c r="N171" s="422" t="inlineStr">
        <is>
          <t>Tier 2</t>
        </is>
      </c>
      <c r="O171" s="440" t="n">
        <v>45813</v>
      </c>
      <c r="P171" s="440" t="n">
        <v>45841</v>
      </c>
      <c r="Q171" s="420">
        <f>IF(P171="","",TODAY()-P171)</f>
        <v/>
      </c>
      <c r="R171" s="440">
        <f>IF(OR(L171="Passed",Z171=""),"",P171+Z171)</f>
        <v/>
      </c>
      <c r="S171" s="420">
        <f>IF(OR(R171="",L171="Passed"),"",IF(R171&lt;=TODAY(),"DUE",IF(R171&lt;=TODAY()+3,"Next 3 Days","Later")))</f>
        <v/>
      </c>
      <c r="T171" s="420" t="inlineStr"/>
      <c r="U171" s="422" t="inlineStr">
        <is>
          <t>https://www.linkedin.com/in/gabriel-reyna/</t>
        </is>
      </c>
      <c r="V171" s="422" t="inlineStr"/>
      <c r="W171" s="424" t="inlineStr">
        <is>
          <t xml:space="preserve"> |  | </t>
        </is>
      </c>
      <c r="X171" s="420" t="inlineStr">
        <is>
          <t>John - Investor Contacts!129</t>
        </is>
      </c>
      <c r="Y171" s="422" t="inlineStr">
        <is>
          <t>Send next follow-up with traction + CTA</t>
        </is>
      </c>
      <c r="Z171" s="420" t="n">
        <v>7</v>
      </c>
      <c r="AA171" s="420">
        <f>IF(AC171="Archived",0,ROUND((IF(N171="Tier 1",35,IF(N171="Tier 2",20,8))+IF(C171="Financial Investor",15,IF(C171="Intermediary / Banker",12,8))+IF(L171="Term Sheet / Proposal",25,IF(L171="Engaged",20,IF(L171="Meeting Requested",18,IF(L171="Meeting Held",14,IF(L171="Follow Up",10,5)))))+MIN(Q171,30)+IF(S171="DUE",15,IF(S171="Next 3 Days",8,0))),0))</f>
        <v/>
      </c>
      <c r="AB171" s="420">
        <f>IF(AND(AC171="Active",OR(N171="Tier 1",N171="Tier 2"),OR(S171="DUE",S171="Next 3 Days")),"YES","")</f>
        <v/>
      </c>
      <c r="AC171" s="420">
        <f>IF(L171="Passed","Archived","Active")</f>
        <v/>
      </c>
    </row>
    <row r="172">
      <c r="A172" s="420" t="inlineStr">
        <is>
          <t>EXOS-0171</t>
        </is>
      </c>
      <c r="B172" s="420" t="inlineStr">
        <is>
          <t>John - Investor Contacts</t>
        </is>
      </c>
      <c r="C172" s="420" t="inlineStr">
        <is>
          <t>Financial Investor</t>
        </is>
      </c>
      <c r="D172" s="420" t="inlineStr">
        <is>
          <t>Bandera Capital</t>
        </is>
      </c>
      <c r="E172" s="420" t="inlineStr">
        <is>
          <t>Paul Bennett</t>
        </is>
      </c>
      <c r="F172" s="420" t="inlineStr"/>
      <c r="G172" s="421" t="inlineStr">
        <is>
          <t>paul@bandera.capital</t>
        </is>
      </c>
      <c r="H172" s="420" t="inlineStr"/>
      <c r="I172" s="420" t="inlineStr"/>
      <c r="J172" s="421" t="inlineStr">
        <is>
          <t>https://www.linkedin.com/in/paul-bennett-4ba22732/</t>
        </is>
      </c>
      <c r="K172" s="422" t="inlineStr">
        <is>
          <t>John Quinn</t>
        </is>
      </c>
      <c r="L172" s="422" t="inlineStr">
        <is>
          <t>Follow Up</t>
        </is>
      </c>
      <c r="M172" s="420" t="inlineStr">
        <is>
          <t>Space / Defense / Aerospace / Advanced Manufacturing</t>
        </is>
      </c>
      <c r="N172" s="422" t="inlineStr">
        <is>
          <t>Tier 2</t>
        </is>
      </c>
      <c r="O172" s="440" t="n">
        <v>45813</v>
      </c>
      <c r="P172" s="440" t="n">
        <v>45841</v>
      </c>
      <c r="Q172" s="420">
        <f>IF(P172="","",TODAY()-P172)</f>
        <v/>
      </c>
      <c r="R172" s="440">
        <f>IF(OR(L172="Passed",Z172=""),"",P172+Z172)</f>
        <v/>
      </c>
      <c r="S172" s="420">
        <f>IF(OR(R172="",L172="Passed"),"",IF(R172&lt;=TODAY(),"DUE",IF(R172&lt;=TODAY()+3,"Next 3 Days","Later")))</f>
        <v/>
      </c>
      <c r="T172" s="420" t="inlineStr"/>
      <c r="U172" s="422" t="inlineStr">
        <is>
          <t>https://www.linkedin.com/in/paul-bennett-4ba22732/</t>
        </is>
      </c>
      <c r="V172" s="422" t="inlineStr"/>
      <c r="W172" s="424" t="inlineStr">
        <is>
          <t xml:space="preserve"> |  | </t>
        </is>
      </c>
      <c r="X172" s="420" t="inlineStr">
        <is>
          <t>John - Investor Contacts!131</t>
        </is>
      </c>
      <c r="Y172" s="422" t="inlineStr">
        <is>
          <t>Send next follow-up with traction + CTA</t>
        </is>
      </c>
      <c r="Z172" s="420" t="n">
        <v>7</v>
      </c>
      <c r="AA172" s="420">
        <f>IF(AC172="Archived",0,ROUND((IF(N172="Tier 1",35,IF(N172="Tier 2",20,8))+IF(C172="Financial Investor",15,IF(C172="Intermediary / Banker",12,8))+IF(L172="Term Sheet / Proposal",25,IF(L172="Engaged",20,IF(L172="Meeting Requested",18,IF(L172="Meeting Held",14,IF(L172="Follow Up",10,5)))))+MIN(Q172,30)+IF(S172="DUE",15,IF(S172="Next 3 Days",8,0))),0))</f>
        <v/>
      </c>
      <c r="AB172" s="420">
        <f>IF(AND(AC172="Active",OR(N172="Tier 1",N172="Tier 2"),OR(S172="DUE",S172="Next 3 Days")),"YES","")</f>
        <v/>
      </c>
      <c r="AC172" s="420">
        <f>IF(L172="Passed","Archived","Active")</f>
        <v/>
      </c>
    </row>
    <row r="173">
      <c r="A173" s="420" t="inlineStr">
        <is>
          <t>EXOS-0172</t>
        </is>
      </c>
      <c r="B173" s="420" t="inlineStr">
        <is>
          <t>John - Investor Contacts</t>
        </is>
      </c>
      <c r="C173" s="420" t="inlineStr">
        <is>
          <t>Financial Investor</t>
        </is>
      </c>
      <c r="D173" s="420" t="inlineStr">
        <is>
          <t>Battery Ventures</t>
        </is>
      </c>
      <c r="E173" s="420" t="inlineStr">
        <is>
          <t>Jesse Feldman</t>
        </is>
      </c>
      <c r="F173" s="420" t="inlineStr"/>
      <c r="G173" s="421" t="inlineStr">
        <is>
          <t>jesse@battery.com</t>
        </is>
      </c>
      <c r="H173" s="420" t="inlineStr"/>
      <c r="I173" s="420" t="inlineStr"/>
      <c r="J173" s="421" t="inlineStr">
        <is>
          <t>https://www.linkedin.com/in/feldmanjesse/</t>
        </is>
      </c>
      <c r="K173" s="422" t="inlineStr">
        <is>
          <t>John Quinn</t>
        </is>
      </c>
      <c r="L173" s="422" t="inlineStr">
        <is>
          <t>Follow Up</t>
        </is>
      </c>
      <c r="M173" s="420" t="inlineStr">
        <is>
          <t>Space / Defense / Aerospace / Advanced Manufacturing</t>
        </is>
      </c>
      <c r="N173" s="422" t="inlineStr">
        <is>
          <t>Tier 2</t>
        </is>
      </c>
      <c r="O173" s="440" t="n">
        <v>45793</v>
      </c>
      <c r="P173" s="440" t="n">
        <v>45841</v>
      </c>
      <c r="Q173" s="420">
        <f>IF(P173="","",TODAY()-P173)</f>
        <v/>
      </c>
      <c r="R173" s="440">
        <f>IF(OR(L173="Passed",Z173=""),"",P173+Z173)</f>
        <v/>
      </c>
      <c r="S173" s="420">
        <f>IF(OR(R173="",L173="Passed"),"",IF(R173&lt;=TODAY(),"DUE",IF(R173&lt;=TODAY()+3,"Next 3 Days","Later")))</f>
        <v/>
      </c>
      <c r="T173" s="420" t="inlineStr"/>
      <c r="U173" s="422" t="inlineStr">
        <is>
          <t>https://www.linkedin.com/in/feldmanjesse/</t>
        </is>
      </c>
      <c r="V173" s="422" t="inlineStr"/>
      <c r="W173" s="424" t="inlineStr">
        <is>
          <t xml:space="preserve"> |  | </t>
        </is>
      </c>
      <c r="X173" s="420" t="inlineStr">
        <is>
          <t>John - Investor Contacts!65</t>
        </is>
      </c>
      <c r="Y173" s="422" t="inlineStr">
        <is>
          <t>Send next follow-up with traction + CTA</t>
        </is>
      </c>
      <c r="Z173" s="420" t="n">
        <v>7</v>
      </c>
      <c r="AA173" s="420">
        <f>IF(AC173="Archived",0,ROUND((IF(N173="Tier 1",35,IF(N173="Tier 2",20,8))+IF(C173="Financial Investor",15,IF(C173="Intermediary / Banker",12,8))+IF(L173="Term Sheet / Proposal",25,IF(L173="Engaged",20,IF(L173="Meeting Requested",18,IF(L173="Meeting Held",14,IF(L173="Follow Up",10,5)))))+MIN(Q173,30)+IF(S173="DUE",15,IF(S173="Next 3 Days",8,0))),0))</f>
        <v/>
      </c>
      <c r="AB173" s="420">
        <f>IF(AND(AC173="Active",OR(N173="Tier 1",N173="Tier 2"),OR(S173="DUE",S173="Next 3 Days")),"YES","")</f>
        <v/>
      </c>
      <c r="AC173" s="420">
        <f>IF(L173="Passed","Archived","Active")</f>
        <v/>
      </c>
    </row>
    <row r="174">
      <c r="A174" s="420" t="inlineStr">
        <is>
          <t>EXOS-0173</t>
        </is>
      </c>
      <c r="B174" s="420" t="inlineStr">
        <is>
          <t>John - Investor Contacts</t>
        </is>
      </c>
      <c r="C174" s="420" t="inlineStr">
        <is>
          <t>Financial Investor</t>
        </is>
      </c>
      <c r="D174" s="420" t="inlineStr">
        <is>
          <t>Battery Ventures</t>
        </is>
      </c>
      <c r="E174" s="420" t="inlineStr">
        <is>
          <t>Michael Brown</t>
        </is>
      </c>
      <c r="F174" s="420" t="inlineStr"/>
      <c r="G174" s="421" t="inlineStr">
        <is>
          <t>mbrown@battery.com</t>
        </is>
      </c>
      <c r="H174" s="420" t="inlineStr"/>
      <c r="I174" s="420" t="inlineStr"/>
      <c r="J174" s="421" t="inlineStr">
        <is>
          <t>https://www.linkedin.com/in/michaelbrownvc/</t>
        </is>
      </c>
      <c r="K174" s="422" t="inlineStr">
        <is>
          <t>John Quinn</t>
        </is>
      </c>
      <c r="L174" s="422" t="inlineStr">
        <is>
          <t>Follow Up</t>
        </is>
      </c>
      <c r="M174" s="420" t="inlineStr">
        <is>
          <t>Space / Defense / Aerospace / Advanced Manufacturing</t>
        </is>
      </c>
      <c r="N174" s="422" t="inlineStr">
        <is>
          <t>Tier 2</t>
        </is>
      </c>
      <c r="O174" s="440" t="n">
        <v>45793</v>
      </c>
      <c r="P174" s="440" t="n">
        <v>45841</v>
      </c>
      <c r="Q174" s="420">
        <f>IF(P174="","",TODAY()-P174)</f>
        <v/>
      </c>
      <c r="R174" s="440">
        <f>IF(OR(L174="Passed",Z174=""),"",P174+Z174)</f>
        <v/>
      </c>
      <c r="S174" s="420">
        <f>IF(OR(R174="",L174="Passed"),"",IF(R174&lt;=TODAY(),"DUE",IF(R174&lt;=TODAY()+3,"Next 3 Days","Later")))</f>
        <v/>
      </c>
      <c r="T174" s="420" t="inlineStr"/>
      <c r="U174" s="422" t="inlineStr">
        <is>
          <t>https://www.linkedin.com/in/michaelbrownvc/</t>
        </is>
      </c>
      <c r="V174" s="422" t="inlineStr"/>
      <c r="W174" s="424" t="inlineStr">
        <is>
          <t xml:space="preserve"> |  | </t>
        </is>
      </c>
      <c r="X174" s="420" t="inlineStr">
        <is>
          <t>John - Investor Contacts!62</t>
        </is>
      </c>
      <c r="Y174" s="422" t="inlineStr">
        <is>
          <t>Send next follow-up with traction + CTA</t>
        </is>
      </c>
      <c r="Z174" s="420" t="n">
        <v>7</v>
      </c>
      <c r="AA174" s="420">
        <f>IF(AC174="Archived",0,ROUND((IF(N174="Tier 1",35,IF(N174="Tier 2",20,8))+IF(C174="Financial Investor",15,IF(C174="Intermediary / Banker",12,8))+IF(L174="Term Sheet / Proposal",25,IF(L174="Engaged",20,IF(L174="Meeting Requested",18,IF(L174="Meeting Held",14,IF(L174="Follow Up",10,5)))))+MIN(Q174,30)+IF(S174="DUE",15,IF(S174="Next 3 Days",8,0))),0))</f>
        <v/>
      </c>
      <c r="AB174" s="420">
        <f>IF(AND(AC174="Active",OR(N174="Tier 1",N174="Tier 2"),OR(S174="DUE",S174="Next 3 Days")),"YES","")</f>
        <v/>
      </c>
      <c r="AC174" s="420">
        <f>IF(L174="Passed","Archived","Active")</f>
        <v/>
      </c>
    </row>
    <row r="175">
      <c r="A175" s="420" t="inlineStr">
        <is>
          <t>EXOS-0174</t>
        </is>
      </c>
      <c r="B175" s="420" t="inlineStr">
        <is>
          <t>John - Investor Contacts</t>
        </is>
      </c>
      <c r="C175" s="420" t="inlineStr">
        <is>
          <t>Financial Investor</t>
        </is>
      </c>
      <c r="D175" s="420" t="inlineStr">
        <is>
          <t>Battery Ventures</t>
        </is>
      </c>
      <c r="E175" s="420" t="inlineStr">
        <is>
          <t>Morad Elhafed</t>
        </is>
      </c>
      <c r="F175" s="420" t="inlineStr"/>
      <c r="G175" s="421" t="inlineStr">
        <is>
          <t>morad@battery.com</t>
        </is>
      </c>
      <c r="H175" s="420" t="inlineStr"/>
      <c r="I175" s="420" t="inlineStr"/>
      <c r="J175" s="421" t="inlineStr">
        <is>
          <t>https://www.linkedin.com/in/morad-elhafed-01a13b3/</t>
        </is>
      </c>
      <c r="K175" s="422" t="inlineStr">
        <is>
          <t>John Quinn</t>
        </is>
      </c>
      <c r="L175" s="422" t="inlineStr">
        <is>
          <t>Follow Up</t>
        </is>
      </c>
      <c r="M175" s="420" t="inlineStr">
        <is>
          <t>Space / Defense / Aerospace / Advanced Manufacturing</t>
        </is>
      </c>
      <c r="N175" s="422" t="inlineStr">
        <is>
          <t>Tier 2</t>
        </is>
      </c>
      <c r="O175" s="440" t="n">
        <v>45793</v>
      </c>
      <c r="P175" s="440" t="n">
        <v>45841</v>
      </c>
      <c r="Q175" s="420">
        <f>IF(P175="","",TODAY()-P175)</f>
        <v/>
      </c>
      <c r="R175" s="440">
        <f>IF(OR(L175="Passed",Z175=""),"",P175+Z175)</f>
        <v/>
      </c>
      <c r="S175" s="420">
        <f>IF(OR(R175="",L175="Passed"),"",IF(R175&lt;=TODAY(),"DUE",IF(R175&lt;=TODAY()+3,"Next 3 Days","Later")))</f>
        <v/>
      </c>
      <c r="T175" s="420" t="inlineStr"/>
      <c r="U175" s="422" t="inlineStr">
        <is>
          <t>https://www.linkedin.com/in/morad-elhafed-01a13b3/</t>
        </is>
      </c>
      <c r="V175" s="422" t="inlineStr"/>
      <c r="W175" s="424" t="inlineStr">
        <is>
          <t xml:space="preserve"> |  | </t>
        </is>
      </c>
      <c r="X175" s="420" t="inlineStr">
        <is>
          <t>John - Investor Contacts!64</t>
        </is>
      </c>
      <c r="Y175" s="422" t="inlineStr">
        <is>
          <t>Send next follow-up with traction + CTA</t>
        </is>
      </c>
      <c r="Z175" s="420" t="n">
        <v>7</v>
      </c>
      <c r="AA175" s="420">
        <f>IF(AC175="Archived",0,ROUND((IF(N175="Tier 1",35,IF(N175="Tier 2",20,8))+IF(C175="Financial Investor",15,IF(C175="Intermediary / Banker",12,8))+IF(L175="Term Sheet / Proposal",25,IF(L175="Engaged",20,IF(L175="Meeting Requested",18,IF(L175="Meeting Held",14,IF(L175="Follow Up",10,5)))))+MIN(Q175,30)+IF(S175="DUE",15,IF(S175="Next 3 Days",8,0))),0))</f>
        <v/>
      </c>
      <c r="AB175" s="420">
        <f>IF(AND(AC175="Active",OR(N175="Tier 1",N175="Tier 2"),OR(S175="DUE",S175="Next 3 Days")),"YES","")</f>
        <v/>
      </c>
      <c r="AC175" s="420">
        <f>IF(L175="Passed","Archived","Active")</f>
        <v/>
      </c>
    </row>
    <row r="176">
      <c r="A176" s="420" t="inlineStr">
        <is>
          <t>EXOS-0175</t>
        </is>
      </c>
      <c r="B176" s="420" t="inlineStr">
        <is>
          <t>John - Investor Contacts</t>
        </is>
      </c>
      <c r="C176" s="420" t="inlineStr">
        <is>
          <t>Financial Investor</t>
        </is>
      </c>
      <c r="D176" s="420" t="inlineStr">
        <is>
          <t>Battery Ventures</t>
        </is>
      </c>
      <c r="E176" s="420" t="inlineStr">
        <is>
          <t>Neeraj Agrawal</t>
        </is>
      </c>
      <c r="F176" s="420" t="inlineStr"/>
      <c r="G176" s="421" t="inlineStr">
        <is>
          <t>nagrawal@battery.com</t>
        </is>
      </c>
      <c r="H176" s="420" t="inlineStr"/>
      <c r="I176" s="420" t="inlineStr"/>
      <c r="J176" s="421" t="inlineStr">
        <is>
          <t>https://www.linkedin.com/in/neerajagrawal2000/</t>
        </is>
      </c>
      <c r="K176" s="422" t="inlineStr">
        <is>
          <t>John Quinn</t>
        </is>
      </c>
      <c r="L176" s="422" t="inlineStr">
        <is>
          <t>Follow Up</t>
        </is>
      </c>
      <c r="M176" s="420" t="inlineStr">
        <is>
          <t>Space / Defense / Aerospace / Advanced Manufacturing</t>
        </is>
      </c>
      <c r="N176" s="422" t="inlineStr">
        <is>
          <t>Tier 2</t>
        </is>
      </c>
      <c r="O176" s="440" t="n">
        <v>45793</v>
      </c>
      <c r="P176" s="440" t="n">
        <v>45841</v>
      </c>
      <c r="Q176" s="420">
        <f>IF(P176="","",TODAY()-P176)</f>
        <v/>
      </c>
      <c r="R176" s="440">
        <f>IF(OR(L176="Passed",Z176=""),"",P176+Z176)</f>
        <v/>
      </c>
      <c r="S176" s="420">
        <f>IF(OR(R176="",L176="Passed"),"",IF(R176&lt;=TODAY(),"DUE",IF(R176&lt;=TODAY()+3,"Next 3 Days","Later")))</f>
        <v/>
      </c>
      <c r="T176" s="420" t="inlineStr"/>
      <c r="U176" s="422" t="inlineStr">
        <is>
          <t>https://www.linkedin.com/in/neerajagrawal2000/</t>
        </is>
      </c>
      <c r="V176" s="422" t="inlineStr"/>
      <c r="W176" s="424" t="inlineStr">
        <is>
          <t xml:space="preserve"> |  | </t>
        </is>
      </c>
      <c r="X176" s="420" t="inlineStr">
        <is>
          <t>John - Investor Contacts!63</t>
        </is>
      </c>
      <c r="Y176" s="422" t="inlineStr">
        <is>
          <t>Send next follow-up with traction + CTA</t>
        </is>
      </c>
      <c r="Z176" s="420" t="n">
        <v>7</v>
      </c>
      <c r="AA176" s="420">
        <f>IF(AC176="Archived",0,ROUND((IF(N176="Tier 1",35,IF(N176="Tier 2",20,8))+IF(C176="Financial Investor",15,IF(C176="Intermediary / Banker",12,8))+IF(L176="Term Sheet / Proposal",25,IF(L176="Engaged",20,IF(L176="Meeting Requested",18,IF(L176="Meeting Held",14,IF(L176="Follow Up",10,5)))))+MIN(Q176,30)+IF(S176="DUE",15,IF(S176="Next 3 Days",8,0))),0))</f>
        <v/>
      </c>
      <c r="AB176" s="420">
        <f>IF(AND(AC176="Active",OR(N176="Tier 1",N176="Tier 2"),OR(S176="DUE",S176="Next 3 Days")),"YES","")</f>
        <v/>
      </c>
      <c r="AC176" s="420">
        <f>IF(L176="Passed","Archived","Active")</f>
        <v/>
      </c>
    </row>
    <row r="177">
      <c r="A177" s="420" t="inlineStr">
        <is>
          <t>EXOS-0176</t>
        </is>
      </c>
      <c r="B177" s="420" t="inlineStr">
        <is>
          <t>John - Investor Contacts</t>
        </is>
      </c>
      <c r="C177" s="420" t="inlineStr">
        <is>
          <t>Financial Investor</t>
        </is>
      </c>
      <c r="D177" s="420" t="inlineStr">
        <is>
          <t>Battery Ventures</t>
        </is>
      </c>
      <c r="E177" s="420" t="inlineStr">
        <is>
          <t>Russell Fleischer</t>
        </is>
      </c>
      <c r="F177" s="420" t="inlineStr"/>
      <c r="G177" s="421" t="inlineStr">
        <is>
          <t>rfleischer@battery.com</t>
        </is>
      </c>
      <c r="H177" s="420" t="inlineStr"/>
      <c r="I177" s="420" t="inlineStr"/>
      <c r="J177" s="421" t="inlineStr">
        <is>
          <t>https://www.linkedin.com/in/russell-fleischer-37333934/</t>
        </is>
      </c>
      <c r="K177" s="422" t="inlineStr">
        <is>
          <t>John Quinn</t>
        </is>
      </c>
      <c r="L177" s="422" t="inlineStr">
        <is>
          <t>Follow Up</t>
        </is>
      </c>
      <c r="M177" s="420" t="inlineStr">
        <is>
          <t>Space / Defense / Aerospace / Advanced Manufacturing</t>
        </is>
      </c>
      <c r="N177" s="422" t="inlineStr">
        <is>
          <t>Tier 2</t>
        </is>
      </c>
      <c r="O177" s="440" t="n">
        <v>45793</v>
      </c>
      <c r="P177" s="440" t="n">
        <v>45841</v>
      </c>
      <c r="Q177" s="420">
        <f>IF(P177="","",TODAY()-P177)</f>
        <v/>
      </c>
      <c r="R177" s="440">
        <f>IF(OR(L177="Passed",Z177=""),"",P177+Z177)</f>
        <v/>
      </c>
      <c r="S177" s="420">
        <f>IF(OR(R177="",L177="Passed"),"",IF(R177&lt;=TODAY(),"DUE",IF(R177&lt;=TODAY()+3,"Next 3 Days","Later")))</f>
        <v/>
      </c>
      <c r="T177" s="420" t="inlineStr"/>
      <c r="U177" s="422" t="inlineStr">
        <is>
          <t>https://www.linkedin.com/in/russell-fleischer-37333934/</t>
        </is>
      </c>
      <c r="V177" s="422" t="inlineStr"/>
      <c r="W177" s="424" t="inlineStr">
        <is>
          <t xml:space="preserve"> |  | </t>
        </is>
      </c>
      <c r="X177" s="420" t="inlineStr">
        <is>
          <t>John - Investor Contacts!61</t>
        </is>
      </c>
      <c r="Y177" s="422" t="inlineStr">
        <is>
          <t>Send next follow-up with traction + CTA</t>
        </is>
      </c>
      <c r="Z177" s="420" t="n">
        <v>7</v>
      </c>
      <c r="AA177" s="420">
        <f>IF(AC177="Archived",0,ROUND((IF(N177="Tier 1",35,IF(N177="Tier 2",20,8))+IF(C177="Financial Investor",15,IF(C177="Intermediary / Banker",12,8))+IF(L177="Term Sheet / Proposal",25,IF(L177="Engaged",20,IF(L177="Meeting Requested",18,IF(L177="Meeting Held",14,IF(L177="Follow Up",10,5)))))+MIN(Q177,30)+IF(S177="DUE",15,IF(S177="Next 3 Days",8,0))),0))</f>
        <v/>
      </c>
      <c r="AB177" s="420">
        <f>IF(AND(AC177="Active",OR(N177="Tier 1",N177="Tier 2"),OR(S177="DUE",S177="Next 3 Days")),"YES","")</f>
        <v/>
      </c>
      <c r="AC177" s="420">
        <f>IF(L177="Passed","Archived","Active")</f>
        <v/>
      </c>
    </row>
    <row r="178">
      <c r="A178" s="420" t="inlineStr">
        <is>
          <t>EXOS-0177</t>
        </is>
      </c>
      <c r="B178" s="420" t="inlineStr">
        <is>
          <t>John - Investor Contacts</t>
        </is>
      </c>
      <c r="C178" s="420" t="inlineStr">
        <is>
          <t>Financial Investor</t>
        </is>
      </c>
      <c r="D178" s="420" t="inlineStr">
        <is>
          <t>BayMed Venture Partners</t>
        </is>
      </c>
      <c r="E178" s="420" t="inlineStr">
        <is>
          <t>Gary Gershony</t>
        </is>
      </c>
      <c r="F178" s="420" t="inlineStr"/>
      <c r="G178" s="421" t="inlineStr">
        <is>
          <t>gary@baymedvp.com</t>
        </is>
      </c>
      <c r="H178" s="420" t="inlineStr"/>
      <c r="I178" s="420" t="inlineStr"/>
      <c r="J178" s="420" t="inlineStr"/>
      <c r="K178" s="422" t="inlineStr">
        <is>
          <t>John Quinn</t>
        </is>
      </c>
      <c r="L178" s="422" t="inlineStr">
        <is>
          <t>Follow Up</t>
        </is>
      </c>
      <c r="M178" s="420" t="inlineStr">
        <is>
          <t>Space / Defense / Aerospace / Advanced Manufacturing</t>
        </is>
      </c>
      <c r="N178" s="422" t="inlineStr">
        <is>
          <t>Tier 2</t>
        </is>
      </c>
      <c r="O178" s="440" t="n">
        <v>45912</v>
      </c>
      <c r="P178" s="440" t="n">
        <v>45973</v>
      </c>
      <c r="Q178" s="420">
        <f>IF(P178="","",TODAY()-P178)</f>
        <v/>
      </c>
      <c r="R178" s="440">
        <f>IF(OR(L178="Passed",Z178=""),"",P178+Z178)</f>
        <v/>
      </c>
      <c r="S178" s="420">
        <f>IF(OR(R178="",L178="Passed"),"",IF(R178&lt;=TODAY(),"DUE",IF(R178&lt;=TODAY()+3,"Next 3 Days","Later")))</f>
        <v/>
      </c>
      <c r="T178" s="420" t="inlineStr"/>
      <c r="U178" s="422" t="inlineStr">
        <is>
          <t>linkedin.com/in/garygershony</t>
        </is>
      </c>
      <c r="V178" s="422" t="inlineStr"/>
      <c r="W178" s="424" t="inlineStr">
        <is>
          <t xml:space="preserve"> | 12/19/2025 | </t>
        </is>
      </c>
      <c r="X178" s="420" t="inlineStr">
        <is>
          <t>John - Investor Contacts!683</t>
        </is>
      </c>
      <c r="Y178" s="422" t="inlineStr">
        <is>
          <t>Send next follow-up with traction + CTA</t>
        </is>
      </c>
      <c r="Z178" s="420" t="n">
        <v>7</v>
      </c>
      <c r="AA178" s="420">
        <f>IF(AC178="Archived",0,ROUND((IF(N178="Tier 1",35,IF(N178="Tier 2",20,8))+IF(C178="Financial Investor",15,IF(C178="Intermediary / Banker",12,8))+IF(L178="Term Sheet / Proposal",25,IF(L178="Engaged",20,IF(L178="Meeting Requested",18,IF(L178="Meeting Held",14,IF(L178="Follow Up",10,5)))))+MIN(Q178,30)+IF(S178="DUE",15,IF(S178="Next 3 Days",8,0))),0))</f>
        <v/>
      </c>
      <c r="AB178" s="420">
        <f>IF(AND(AC178="Active",OR(N178="Tier 1",N178="Tier 2"),OR(S178="DUE",S178="Next 3 Days")),"YES","")</f>
        <v/>
      </c>
      <c r="AC178" s="420">
        <f>IF(L178="Passed","Archived","Active")</f>
        <v/>
      </c>
    </row>
    <row r="179">
      <c r="A179" s="420" t="inlineStr">
        <is>
          <t>EXOS-0178</t>
        </is>
      </c>
      <c r="B179" s="420" t="inlineStr">
        <is>
          <t>John - Investor Contacts</t>
        </is>
      </c>
      <c r="C179" s="420" t="inlineStr">
        <is>
          <t>Financial Investor</t>
        </is>
      </c>
      <c r="D179" s="420" t="inlineStr">
        <is>
          <t>Bessemer Venture</t>
        </is>
      </c>
      <c r="E179" s="420" t="inlineStr">
        <is>
          <t>Ed Colloton</t>
        </is>
      </c>
      <c r="F179" s="420" t="inlineStr"/>
      <c r="G179" s="421" t="inlineStr">
        <is>
          <t>ed@bvp.com</t>
        </is>
      </c>
      <c r="H179" s="420" t="inlineStr"/>
      <c r="I179" s="420" t="inlineStr"/>
      <c r="J179" s="420" t="inlineStr"/>
      <c r="K179" s="422" t="inlineStr">
        <is>
          <t>John Quinn</t>
        </is>
      </c>
      <c r="L179" s="422" t="inlineStr">
        <is>
          <t>Follow Up</t>
        </is>
      </c>
      <c r="M179" s="420" t="inlineStr">
        <is>
          <t>Space / Defense / Aerospace / Advanced Manufacturing</t>
        </is>
      </c>
      <c r="N179" s="422" t="inlineStr">
        <is>
          <t>Tier 2</t>
        </is>
      </c>
      <c r="O179" s="440" t="n">
        <v>45854</v>
      </c>
      <c r="P179" s="440" t="n">
        <v>45878</v>
      </c>
      <c r="Q179" s="420">
        <f>IF(P179="","",TODAY()-P179)</f>
        <v/>
      </c>
      <c r="R179" s="440">
        <f>IF(OR(L179="Passed",Z179=""),"",P179+Z179)</f>
        <v/>
      </c>
      <c r="S179" s="420">
        <f>IF(OR(R179="",L179="Passed"),"",IF(R179&lt;=TODAY(),"DUE",IF(R179&lt;=TODAY()+3,"Next 3 Days","Later")))</f>
        <v/>
      </c>
      <c r="T179" s="420" t="inlineStr"/>
      <c r="U179" s="422" t="inlineStr"/>
      <c r="V179" s="422" t="inlineStr"/>
      <c r="W179" s="424" t="inlineStr">
        <is>
          <t xml:space="preserve"> | 12/26/2025 | </t>
        </is>
      </c>
      <c r="X179" s="420" t="inlineStr">
        <is>
          <t>John - Investor Contacts!409</t>
        </is>
      </c>
      <c r="Y179" s="422" t="inlineStr">
        <is>
          <t>Send next follow-up with traction + CTA</t>
        </is>
      </c>
      <c r="Z179" s="420" t="n">
        <v>7</v>
      </c>
      <c r="AA179" s="420">
        <f>IF(AC179="Archived",0,ROUND((IF(N179="Tier 1",35,IF(N179="Tier 2",20,8))+IF(C179="Financial Investor",15,IF(C179="Intermediary / Banker",12,8))+IF(L179="Term Sheet / Proposal",25,IF(L179="Engaged",20,IF(L179="Meeting Requested",18,IF(L179="Meeting Held",14,IF(L179="Follow Up",10,5)))))+MIN(Q179,30)+IF(S179="DUE",15,IF(S179="Next 3 Days",8,0))),0))</f>
        <v/>
      </c>
      <c r="AB179" s="420">
        <f>IF(AND(AC179="Active",OR(N179="Tier 1",N179="Tier 2"),OR(S179="DUE",S179="Next 3 Days")),"YES","")</f>
        <v/>
      </c>
      <c r="AC179" s="420">
        <f>IF(L179="Passed","Archived","Active")</f>
        <v/>
      </c>
    </row>
    <row r="180">
      <c r="A180" s="420" t="inlineStr">
        <is>
          <t>EXOS-0179</t>
        </is>
      </c>
      <c r="B180" s="420" t="inlineStr">
        <is>
          <t>John - Investor Contacts</t>
        </is>
      </c>
      <c r="C180" s="420" t="inlineStr">
        <is>
          <t>Financial Investor</t>
        </is>
      </c>
      <c r="D180" s="420" t="inlineStr">
        <is>
          <t>Bessemer Venture Partners</t>
        </is>
      </c>
      <c r="E180" s="420" t="inlineStr">
        <is>
          <t>Byron Deeter</t>
        </is>
      </c>
      <c r="F180" s="420" t="inlineStr"/>
      <c r="G180" s="421" t="inlineStr">
        <is>
          <t>bdeeter@bvp.com</t>
        </is>
      </c>
      <c r="H180" s="420" t="inlineStr"/>
      <c r="I180" s="420" t="inlineStr"/>
      <c r="J180" s="421" t="inlineStr">
        <is>
          <t>https://www.linkedin.com/in/byrondeeter/</t>
        </is>
      </c>
      <c r="K180" s="422" t="inlineStr">
        <is>
          <t>John Quinn</t>
        </is>
      </c>
      <c r="L180" s="422" t="inlineStr">
        <is>
          <t>Follow Up</t>
        </is>
      </c>
      <c r="M180" s="420" t="inlineStr">
        <is>
          <t>Space / Defense / Aerospace / Advanced Manufacturing</t>
        </is>
      </c>
      <c r="N180" s="422" t="inlineStr">
        <is>
          <t>Tier 2</t>
        </is>
      </c>
      <c r="O180" s="440" t="n">
        <v>45792</v>
      </c>
      <c r="P180" s="440" t="n">
        <v>45841</v>
      </c>
      <c r="Q180" s="420">
        <f>IF(P180="","",TODAY()-P180)</f>
        <v/>
      </c>
      <c r="R180" s="440">
        <f>IF(OR(L180="Passed",Z180=""),"",P180+Z180)</f>
        <v/>
      </c>
      <c r="S180" s="420">
        <f>IF(OR(R180="",L180="Passed"),"",IF(R180&lt;=TODAY(),"DUE",IF(R180&lt;=TODAY()+3,"Next 3 Days","Later")))</f>
        <v/>
      </c>
      <c r="T180" s="420" t="inlineStr"/>
      <c r="U180" s="422" t="inlineStr">
        <is>
          <t>https://www.linkedin.com/in/byrondeeter/</t>
        </is>
      </c>
      <c r="V180" s="422" t="inlineStr"/>
      <c r="W180" s="424" t="inlineStr">
        <is>
          <t xml:space="preserve"> |  | </t>
        </is>
      </c>
      <c r="X180" s="420" t="inlineStr">
        <is>
          <t>John - Investor Contacts!57</t>
        </is>
      </c>
      <c r="Y180" s="422" t="inlineStr">
        <is>
          <t>Send next follow-up with traction + CTA</t>
        </is>
      </c>
      <c r="Z180" s="420" t="n">
        <v>7</v>
      </c>
      <c r="AA180" s="420">
        <f>IF(AC180="Archived",0,ROUND((IF(N180="Tier 1",35,IF(N180="Tier 2",20,8))+IF(C180="Financial Investor",15,IF(C180="Intermediary / Banker",12,8))+IF(L180="Term Sheet / Proposal",25,IF(L180="Engaged",20,IF(L180="Meeting Requested",18,IF(L180="Meeting Held",14,IF(L180="Follow Up",10,5)))))+MIN(Q180,30)+IF(S180="DUE",15,IF(S180="Next 3 Days",8,0))),0))</f>
        <v/>
      </c>
      <c r="AB180" s="420">
        <f>IF(AND(AC180="Active",OR(N180="Tier 1",N180="Tier 2"),OR(S180="DUE",S180="Next 3 Days")),"YES","")</f>
        <v/>
      </c>
      <c r="AC180" s="420">
        <f>IF(L180="Passed","Archived","Active")</f>
        <v/>
      </c>
    </row>
    <row r="181">
      <c r="A181" s="420" t="inlineStr">
        <is>
          <t>EXOS-0180</t>
        </is>
      </c>
      <c r="B181" s="420" t="inlineStr">
        <is>
          <t>John - Investor Contacts</t>
        </is>
      </c>
      <c r="C181" s="420" t="inlineStr">
        <is>
          <t>Financial Investor</t>
        </is>
      </c>
      <c r="D181" s="420" t="inlineStr">
        <is>
          <t>Bessemer Venture Partners</t>
        </is>
      </c>
      <c r="E181" s="420" t="inlineStr">
        <is>
          <t>David Cowan</t>
        </is>
      </c>
      <c r="F181" s="420" t="inlineStr"/>
      <c r="G181" s="421" t="inlineStr">
        <is>
          <t>david@bvp.com</t>
        </is>
      </c>
      <c r="H181" s="420" t="inlineStr"/>
      <c r="I181" s="420" t="inlineStr"/>
      <c r="J181" s="421" t="inlineStr">
        <is>
          <t>https://www.linkedin.com/in/davidjcowan/</t>
        </is>
      </c>
      <c r="K181" s="422" t="inlineStr">
        <is>
          <t>John Quinn</t>
        </is>
      </c>
      <c r="L181" s="422" t="inlineStr">
        <is>
          <t>Follow Up</t>
        </is>
      </c>
      <c r="M181" s="420" t="inlineStr">
        <is>
          <t>Space / Defense / Aerospace / Advanced Manufacturing</t>
        </is>
      </c>
      <c r="N181" s="422" t="inlineStr">
        <is>
          <t>Tier 2</t>
        </is>
      </c>
      <c r="O181" s="440" t="n">
        <v>45792</v>
      </c>
      <c r="P181" s="440" t="n">
        <v>45841</v>
      </c>
      <c r="Q181" s="420">
        <f>IF(P181="","",TODAY()-P181)</f>
        <v/>
      </c>
      <c r="R181" s="440">
        <f>IF(OR(L181="Passed",Z181=""),"",P181+Z181)</f>
        <v/>
      </c>
      <c r="S181" s="420">
        <f>IF(OR(R181="",L181="Passed"),"",IF(R181&lt;=TODAY(),"DUE",IF(R181&lt;=TODAY()+3,"Next 3 Days","Later")))</f>
        <v/>
      </c>
      <c r="T181" s="420" t="inlineStr"/>
      <c r="U181" s="422" t="inlineStr">
        <is>
          <t>https://www.linkedin.com/in/davidjcowan/</t>
        </is>
      </c>
      <c r="V181" s="422" t="inlineStr"/>
      <c r="W181" s="424" t="inlineStr">
        <is>
          <t xml:space="preserve"> |  | </t>
        </is>
      </c>
      <c r="X181" s="420" t="inlineStr">
        <is>
          <t>John - Investor Contacts!55</t>
        </is>
      </c>
      <c r="Y181" s="422" t="inlineStr">
        <is>
          <t>Send next follow-up with traction + CTA</t>
        </is>
      </c>
      <c r="Z181" s="420" t="n">
        <v>7</v>
      </c>
      <c r="AA181" s="420">
        <f>IF(AC181="Archived",0,ROUND((IF(N181="Tier 1",35,IF(N181="Tier 2",20,8))+IF(C181="Financial Investor",15,IF(C181="Intermediary / Banker",12,8))+IF(L181="Term Sheet / Proposal",25,IF(L181="Engaged",20,IF(L181="Meeting Requested",18,IF(L181="Meeting Held",14,IF(L181="Follow Up",10,5)))))+MIN(Q181,30)+IF(S181="DUE",15,IF(S181="Next 3 Days",8,0))),0))</f>
        <v/>
      </c>
      <c r="AB181" s="420">
        <f>IF(AND(AC181="Active",OR(N181="Tier 1",N181="Tier 2"),OR(S181="DUE",S181="Next 3 Days")),"YES","")</f>
        <v/>
      </c>
      <c r="AC181" s="420">
        <f>IF(L181="Passed","Archived","Active")</f>
        <v/>
      </c>
    </row>
    <row r="182">
      <c r="A182" s="420" t="inlineStr">
        <is>
          <t>EXOS-0181</t>
        </is>
      </c>
      <c r="B182" s="420" t="inlineStr">
        <is>
          <t>John - Investor Contacts</t>
        </is>
      </c>
      <c r="C182" s="420" t="inlineStr">
        <is>
          <t>Financial Investor</t>
        </is>
      </c>
      <c r="D182" s="420" t="inlineStr">
        <is>
          <t>Bessemer Venture Partners</t>
        </is>
      </c>
      <c r="E182" s="420" t="inlineStr">
        <is>
          <t>Kent Bennett</t>
        </is>
      </c>
      <c r="F182" s="420" t="inlineStr"/>
      <c r="G182" s="421" t="inlineStr">
        <is>
          <t>bennett@bvp.com</t>
        </is>
      </c>
      <c r="H182" s="420" t="inlineStr"/>
      <c r="I182" s="420" t="inlineStr"/>
      <c r="J182" s="421" t="inlineStr">
        <is>
          <t>https://www.linkedin.com/in/kentbennett/</t>
        </is>
      </c>
      <c r="K182" s="422" t="inlineStr">
        <is>
          <t>John Quinn</t>
        </is>
      </c>
      <c r="L182" s="422" t="inlineStr">
        <is>
          <t>Follow Up</t>
        </is>
      </c>
      <c r="M182" s="420" t="inlineStr">
        <is>
          <t>Space / Defense / Aerospace / Advanced Manufacturing</t>
        </is>
      </c>
      <c r="N182" s="422" t="inlineStr">
        <is>
          <t>Tier 2</t>
        </is>
      </c>
      <c r="O182" s="440" t="n">
        <v>45792</v>
      </c>
      <c r="P182" s="440" t="n">
        <v>45841</v>
      </c>
      <c r="Q182" s="420">
        <f>IF(P182="","",TODAY()-P182)</f>
        <v/>
      </c>
      <c r="R182" s="440">
        <f>IF(OR(L182="Passed",Z182=""),"",P182+Z182)</f>
        <v/>
      </c>
      <c r="S182" s="420">
        <f>IF(OR(R182="",L182="Passed"),"",IF(R182&lt;=TODAY(),"DUE",IF(R182&lt;=TODAY()+3,"Next 3 Days","Later")))</f>
        <v/>
      </c>
      <c r="T182" s="420" t="inlineStr"/>
      <c r="U182" s="422" t="inlineStr">
        <is>
          <t>https://www.linkedin.com/in/kentbennett/</t>
        </is>
      </c>
      <c r="V182" s="422" t="inlineStr"/>
      <c r="W182" s="424" t="inlineStr">
        <is>
          <t xml:space="preserve"> |  | </t>
        </is>
      </c>
      <c r="X182" s="420" t="inlineStr">
        <is>
          <t>John - Investor Contacts!56</t>
        </is>
      </c>
      <c r="Y182" s="422" t="inlineStr">
        <is>
          <t>Send next follow-up with traction + CTA</t>
        </is>
      </c>
      <c r="Z182" s="420" t="n">
        <v>7</v>
      </c>
      <c r="AA182" s="420">
        <f>IF(AC182="Archived",0,ROUND((IF(N182="Tier 1",35,IF(N182="Tier 2",20,8))+IF(C182="Financial Investor",15,IF(C182="Intermediary / Banker",12,8))+IF(L182="Term Sheet / Proposal",25,IF(L182="Engaged",20,IF(L182="Meeting Requested",18,IF(L182="Meeting Held",14,IF(L182="Follow Up",10,5)))))+MIN(Q182,30)+IF(S182="DUE",15,IF(S182="Next 3 Days",8,0))),0))</f>
        <v/>
      </c>
      <c r="AB182" s="420">
        <f>IF(AND(AC182="Active",OR(N182="Tier 1",N182="Tier 2"),OR(S182="DUE",S182="Next 3 Days")),"YES","")</f>
        <v/>
      </c>
      <c r="AC182" s="420">
        <f>IF(L182="Passed","Archived","Active")</f>
        <v/>
      </c>
    </row>
    <row r="183">
      <c r="A183" s="420" t="inlineStr">
        <is>
          <t>EXOS-0182</t>
        </is>
      </c>
      <c r="B183" s="420" t="inlineStr">
        <is>
          <t>John - Investor Contacts</t>
        </is>
      </c>
      <c r="C183" s="420" t="inlineStr">
        <is>
          <t>Financial Investor</t>
        </is>
      </c>
      <c r="D183" s="420" t="inlineStr">
        <is>
          <t>Bessemer Venture Partners</t>
        </is>
      </c>
      <c r="E183" s="420" t="inlineStr">
        <is>
          <t>Ray O Johnson</t>
        </is>
      </c>
      <c r="F183" s="420" t="inlineStr"/>
      <c r="G183" s="421" t="inlineStr">
        <is>
          <t>rjohnson@bvp.com</t>
        </is>
      </c>
      <c r="H183" s="420" t="inlineStr"/>
      <c r="I183" s="420" t="inlineStr"/>
      <c r="J183" s="421" t="inlineStr">
        <is>
          <t>https://www.linkedin.com/in/ray-o-johnson-278116/</t>
        </is>
      </c>
      <c r="K183" s="422" t="inlineStr">
        <is>
          <t>John Quinn</t>
        </is>
      </c>
      <c r="L183" s="422" t="inlineStr">
        <is>
          <t>Follow Up</t>
        </is>
      </c>
      <c r="M183" s="420" t="inlineStr">
        <is>
          <t>Space / Defense / Aerospace / Advanced Manufacturing</t>
        </is>
      </c>
      <c r="N183" s="422" t="inlineStr">
        <is>
          <t>Tier 2</t>
        </is>
      </c>
      <c r="O183" s="440" t="n">
        <v>45790</v>
      </c>
      <c r="P183" s="440" t="n">
        <v>45841</v>
      </c>
      <c r="Q183" s="420">
        <f>IF(P183="","",TODAY()-P183)</f>
        <v/>
      </c>
      <c r="R183" s="440">
        <f>IF(OR(L183="Passed",Z183=""),"",P183+Z183)</f>
        <v/>
      </c>
      <c r="S183" s="420">
        <f>IF(OR(R183="",L183="Passed"),"",IF(R183&lt;=TODAY(),"DUE",IF(R183&lt;=TODAY()+3,"Next 3 Days","Later")))</f>
        <v/>
      </c>
      <c r="T183" s="420" t="inlineStr"/>
      <c r="U183" s="422" t="inlineStr">
        <is>
          <t>https://www.linkedin.com/in/ray-o-johnson-278116/</t>
        </is>
      </c>
      <c r="V183" s="422" t="inlineStr"/>
      <c r="W183" s="424" t="inlineStr">
        <is>
          <t xml:space="preserve"> |  | </t>
        </is>
      </c>
      <c r="X183" s="420" t="inlineStr">
        <is>
          <t>John - Investor Contacts!9</t>
        </is>
      </c>
      <c r="Y183" s="422" t="inlineStr">
        <is>
          <t>Send next follow-up with traction + CTA</t>
        </is>
      </c>
      <c r="Z183" s="420" t="n">
        <v>7</v>
      </c>
      <c r="AA183" s="420">
        <f>IF(AC183="Archived",0,ROUND((IF(N183="Tier 1",35,IF(N183="Tier 2",20,8))+IF(C183="Financial Investor",15,IF(C183="Intermediary / Banker",12,8))+IF(L183="Term Sheet / Proposal",25,IF(L183="Engaged",20,IF(L183="Meeting Requested",18,IF(L183="Meeting Held",14,IF(L183="Follow Up",10,5)))))+MIN(Q183,30)+IF(S183="DUE",15,IF(S183="Next 3 Days",8,0))),0))</f>
        <v/>
      </c>
      <c r="AB183" s="420">
        <f>IF(AND(AC183="Active",OR(N183="Tier 1",N183="Tier 2"),OR(S183="DUE",S183="Next 3 Days")),"YES","")</f>
        <v/>
      </c>
      <c r="AC183" s="420">
        <f>IF(L183="Passed","Archived","Active")</f>
        <v/>
      </c>
    </row>
    <row r="184">
      <c r="A184" s="420" t="inlineStr">
        <is>
          <t>EXOS-0183</t>
        </is>
      </c>
      <c r="B184" s="420" t="inlineStr">
        <is>
          <t>John - Investor Contacts</t>
        </is>
      </c>
      <c r="C184" s="420" t="inlineStr">
        <is>
          <t>Financial Investor</t>
        </is>
      </c>
      <c r="D184" s="420" t="inlineStr">
        <is>
          <t>Blitzscaling Ventures</t>
        </is>
      </c>
      <c r="E184" s="420" t="inlineStr">
        <is>
          <t>Chris Yeh</t>
        </is>
      </c>
      <c r="F184" s="420" t="inlineStr"/>
      <c r="G184" s="421" t="inlineStr">
        <is>
          <t>chris@blitzscalingventures.com</t>
        </is>
      </c>
      <c r="H184" s="420" t="inlineStr"/>
      <c r="I184" s="420" t="inlineStr"/>
      <c r="J184" s="420" t="inlineStr"/>
      <c r="K184" s="422" t="inlineStr">
        <is>
          <t>John Quinn</t>
        </is>
      </c>
      <c r="L184" s="422" t="inlineStr">
        <is>
          <t>Follow Up</t>
        </is>
      </c>
      <c r="M184" s="420" t="inlineStr">
        <is>
          <t>Space / Defense / Aerospace / Advanced Manufacturing</t>
        </is>
      </c>
      <c r="N184" s="422" t="inlineStr">
        <is>
          <t>Tier 2</t>
        </is>
      </c>
      <c r="O184" s="440" t="n">
        <v>45819</v>
      </c>
      <c r="P184" s="440" t="n">
        <v>45835</v>
      </c>
      <c r="Q184" s="420">
        <f>IF(P184="","",TODAY()-P184)</f>
        <v/>
      </c>
      <c r="R184" s="440">
        <f>IF(OR(L184="Passed",Z184=""),"",P184+Z184)</f>
        <v/>
      </c>
      <c r="S184" s="420">
        <f>IF(OR(R184="",L184="Passed"),"",IF(R184&lt;=TODAY(),"DUE",IF(R184&lt;=TODAY()+3,"Next 3 Days","Later")))</f>
        <v/>
      </c>
      <c r="T184" s="420" t="inlineStr"/>
      <c r="U184" s="422" t="inlineStr">
        <is>
          <t>linkedin.com/in/chrisyeh</t>
        </is>
      </c>
      <c r="V184" s="422" t="inlineStr"/>
      <c r="W184" s="424" t="inlineStr">
        <is>
          <t xml:space="preserve"> | 12/22/2025 | </t>
        </is>
      </c>
      <c r="X184" s="420" t="inlineStr">
        <is>
          <t>John - Investor Contacts!157</t>
        </is>
      </c>
      <c r="Y184" s="422" t="inlineStr">
        <is>
          <t>Send next follow-up with traction + CTA</t>
        </is>
      </c>
      <c r="Z184" s="420" t="n">
        <v>7</v>
      </c>
      <c r="AA184" s="420">
        <f>IF(AC184="Archived",0,ROUND((IF(N184="Tier 1",35,IF(N184="Tier 2",20,8))+IF(C184="Financial Investor",15,IF(C184="Intermediary / Banker",12,8))+IF(L184="Term Sheet / Proposal",25,IF(L184="Engaged",20,IF(L184="Meeting Requested",18,IF(L184="Meeting Held",14,IF(L184="Follow Up",10,5)))))+MIN(Q184,30)+IF(S184="DUE",15,IF(S184="Next 3 Days",8,0))),0))</f>
        <v/>
      </c>
      <c r="AB184" s="420">
        <f>IF(AND(AC184="Active",OR(N184="Tier 1",N184="Tier 2"),OR(S184="DUE",S184="Next 3 Days")),"YES","")</f>
        <v/>
      </c>
      <c r="AC184" s="420">
        <f>IF(L184="Passed","Archived","Active")</f>
        <v/>
      </c>
    </row>
    <row r="185">
      <c r="A185" s="420" t="inlineStr">
        <is>
          <t>EXOS-0184</t>
        </is>
      </c>
      <c r="B185" s="420" t="inlineStr">
        <is>
          <t>John - Investor Contacts</t>
        </is>
      </c>
      <c r="C185" s="420" t="inlineStr">
        <is>
          <t>Financial Investor</t>
        </is>
      </c>
      <c r="D185" s="420" t="inlineStr">
        <is>
          <t>Blitzscaling Ventures</t>
        </is>
      </c>
      <c r="E185" s="420" t="inlineStr">
        <is>
          <t>Jeff Abbott</t>
        </is>
      </c>
      <c r="F185" s="420" t="inlineStr"/>
      <c r="G185" s="421" t="inlineStr">
        <is>
          <t>jeff@blitzscalingventures.com</t>
        </is>
      </c>
      <c r="H185" s="420" t="inlineStr"/>
      <c r="I185" s="420" t="inlineStr"/>
      <c r="J185" s="420" t="inlineStr"/>
      <c r="K185" s="422" t="inlineStr">
        <is>
          <t>John Quinn</t>
        </is>
      </c>
      <c r="L185" s="422" t="inlineStr">
        <is>
          <t>Follow Up</t>
        </is>
      </c>
      <c r="M185" s="420" t="inlineStr">
        <is>
          <t>Space / Defense / Aerospace / Advanced Manufacturing</t>
        </is>
      </c>
      <c r="N185" s="422" t="inlineStr">
        <is>
          <t>Tier 2</t>
        </is>
      </c>
      <c r="O185" s="440" t="n">
        <v>45819</v>
      </c>
      <c r="P185" s="440" t="n">
        <v>45835</v>
      </c>
      <c r="Q185" s="420">
        <f>IF(P185="","",TODAY()-P185)</f>
        <v/>
      </c>
      <c r="R185" s="440">
        <f>IF(OR(L185="Passed",Z185=""),"",P185+Z185)</f>
        <v/>
      </c>
      <c r="S185" s="420">
        <f>IF(OR(R185="",L185="Passed"),"",IF(R185&lt;=TODAY(),"DUE",IF(R185&lt;=TODAY()+3,"Next 3 Days","Later")))</f>
        <v/>
      </c>
      <c r="T185" s="420" t="inlineStr"/>
      <c r="U185" s="422" t="inlineStr">
        <is>
          <t>linkedin.com/in/jeffreydabbott</t>
        </is>
      </c>
      <c r="V185" s="422" t="inlineStr"/>
      <c r="W185" s="424" t="inlineStr">
        <is>
          <t xml:space="preserve"> | 12/22/2025 | </t>
        </is>
      </c>
      <c r="X185" s="420" t="inlineStr">
        <is>
          <t>John - Investor Contacts!155</t>
        </is>
      </c>
      <c r="Y185" s="422" t="inlineStr">
        <is>
          <t>Send next follow-up with traction + CTA</t>
        </is>
      </c>
      <c r="Z185" s="420" t="n">
        <v>7</v>
      </c>
      <c r="AA185" s="420">
        <f>IF(AC185="Archived",0,ROUND((IF(N185="Tier 1",35,IF(N185="Tier 2",20,8))+IF(C185="Financial Investor",15,IF(C185="Intermediary / Banker",12,8))+IF(L185="Term Sheet / Proposal",25,IF(L185="Engaged",20,IF(L185="Meeting Requested",18,IF(L185="Meeting Held",14,IF(L185="Follow Up",10,5)))))+MIN(Q185,30)+IF(S185="DUE",15,IF(S185="Next 3 Days",8,0))),0))</f>
        <v/>
      </c>
      <c r="AB185" s="420">
        <f>IF(AND(AC185="Active",OR(N185="Tier 1",N185="Tier 2"),OR(S185="DUE",S185="Next 3 Days")),"YES","")</f>
        <v/>
      </c>
      <c r="AC185" s="420">
        <f>IF(L185="Passed","Archived","Active")</f>
        <v/>
      </c>
    </row>
    <row r="186">
      <c r="A186" s="420" t="inlineStr">
        <is>
          <t>EXOS-0185</t>
        </is>
      </c>
      <c r="B186" s="420" t="inlineStr">
        <is>
          <t>John - Investor Contacts</t>
        </is>
      </c>
      <c r="C186" s="420" t="inlineStr">
        <is>
          <t>Financial Investor</t>
        </is>
      </c>
      <c r="D186" s="420" t="inlineStr">
        <is>
          <t>Blitzscaling Ventures</t>
        </is>
      </c>
      <c r="E186" s="420" t="inlineStr">
        <is>
          <t>Jeremiah Owyang</t>
        </is>
      </c>
      <c r="F186" s="420" t="inlineStr"/>
      <c r="G186" s="421" t="inlineStr">
        <is>
          <t>jeremiah@blitzscalingventures.com</t>
        </is>
      </c>
      <c r="H186" s="420" t="inlineStr"/>
      <c r="I186" s="420" t="inlineStr"/>
      <c r="J186" s="421" t="inlineStr">
        <is>
          <t>https://www.linkedin.com/in/jowyang/</t>
        </is>
      </c>
      <c r="K186" s="422" t="inlineStr">
        <is>
          <t>John Quinn</t>
        </is>
      </c>
      <c r="L186" s="422" t="inlineStr">
        <is>
          <t>Follow Up</t>
        </is>
      </c>
      <c r="M186" s="420" t="inlineStr">
        <is>
          <t>Space / Defense / Aerospace / Advanced Manufacturing</t>
        </is>
      </c>
      <c r="N186" s="422" t="inlineStr">
        <is>
          <t>Tier 2</t>
        </is>
      </c>
      <c r="O186" s="440" t="n">
        <v>45819</v>
      </c>
      <c r="P186" s="440" t="n">
        <v>45835</v>
      </c>
      <c r="Q186" s="420">
        <f>IF(P186="","",TODAY()-P186)</f>
        <v/>
      </c>
      <c r="R186" s="440">
        <f>IF(OR(L186="Passed",Z186=""),"",P186+Z186)</f>
        <v/>
      </c>
      <c r="S186" s="420">
        <f>IF(OR(R186="",L186="Passed"),"",IF(R186&lt;=TODAY(),"DUE",IF(R186&lt;=TODAY()+3,"Next 3 Days","Later")))</f>
        <v/>
      </c>
      <c r="T186" s="420" t="inlineStr"/>
      <c r="U186" s="422" t="inlineStr">
        <is>
          <t>https://www.linkedin.com/in/jowyang/</t>
        </is>
      </c>
      <c r="V186" s="422" t="inlineStr"/>
      <c r="W186" s="424" t="inlineStr">
        <is>
          <t xml:space="preserve"> | "out of thesis - more focused on AI startups" | </t>
        </is>
      </c>
      <c r="X186" s="420" t="inlineStr">
        <is>
          <t>John - Investor Contacts!158</t>
        </is>
      </c>
      <c r="Y186" s="422" t="inlineStr">
        <is>
          <t>Send next follow-up with traction + CTA</t>
        </is>
      </c>
      <c r="Z186" s="420" t="n">
        <v>7</v>
      </c>
      <c r="AA186" s="420">
        <f>IF(AC186="Archived",0,ROUND((IF(N186="Tier 1",35,IF(N186="Tier 2",20,8))+IF(C186="Financial Investor",15,IF(C186="Intermediary / Banker",12,8))+IF(L186="Term Sheet / Proposal",25,IF(L186="Engaged",20,IF(L186="Meeting Requested",18,IF(L186="Meeting Held",14,IF(L186="Follow Up",10,5)))))+MIN(Q186,30)+IF(S186="DUE",15,IF(S186="Next 3 Days",8,0))),0))</f>
        <v/>
      </c>
      <c r="AB186" s="420">
        <f>IF(AND(AC186="Active",OR(N186="Tier 1",N186="Tier 2"),OR(S186="DUE",S186="Next 3 Days")),"YES","")</f>
        <v/>
      </c>
      <c r="AC186" s="420">
        <f>IF(L186="Passed","Archived","Active")</f>
        <v/>
      </c>
    </row>
    <row r="187">
      <c r="A187" s="420" t="inlineStr">
        <is>
          <t>EXOS-0186</t>
        </is>
      </c>
      <c r="B187" s="420" t="inlineStr">
        <is>
          <t>John - Investor Contacts</t>
        </is>
      </c>
      <c r="C187" s="420" t="inlineStr">
        <is>
          <t>Financial Investor</t>
        </is>
      </c>
      <c r="D187" s="420" t="inlineStr">
        <is>
          <t>Blitzscaling Ventures</t>
        </is>
      </c>
      <c r="E187" s="420" t="inlineStr">
        <is>
          <t>Scott Johnson</t>
        </is>
      </c>
      <c r="F187" s="420" t="inlineStr"/>
      <c r="G187" s="421" t="inlineStr">
        <is>
          <t>scott@blitzscalingventures.com</t>
        </is>
      </c>
      <c r="H187" s="420" t="inlineStr"/>
      <c r="I187" s="420" t="inlineStr"/>
      <c r="J187" s="420" t="inlineStr"/>
      <c r="K187" s="422" t="inlineStr">
        <is>
          <t>John Quinn</t>
        </is>
      </c>
      <c r="L187" s="422" t="inlineStr">
        <is>
          <t>Follow Up</t>
        </is>
      </c>
      <c r="M187" s="420" t="inlineStr">
        <is>
          <t>Space / Defense / Aerospace / Advanced Manufacturing</t>
        </is>
      </c>
      <c r="N187" s="422" t="inlineStr">
        <is>
          <t>Tier 2</t>
        </is>
      </c>
      <c r="O187" s="440" t="n">
        <v>45819</v>
      </c>
      <c r="P187" s="440" t="n">
        <v>45835</v>
      </c>
      <c r="Q187" s="420">
        <f>IF(P187="","",TODAY()-P187)</f>
        <v/>
      </c>
      <c r="R187" s="440">
        <f>IF(OR(L187="Passed",Z187=""),"",P187+Z187)</f>
        <v/>
      </c>
      <c r="S187" s="420">
        <f>IF(OR(R187="",L187="Passed"),"",IF(R187&lt;=TODAY(),"DUE",IF(R187&lt;=TODAY()+3,"Next 3 Days","Later")))</f>
        <v/>
      </c>
      <c r="T187" s="420" t="inlineStr"/>
      <c r="U187" s="422" t="inlineStr">
        <is>
          <t>linkedin.com/in/scott-johnson-49345</t>
        </is>
      </c>
      <c r="V187" s="422" t="inlineStr"/>
      <c r="W187" s="424" t="inlineStr">
        <is>
          <t xml:space="preserve"> | 12/22/2025 | </t>
        </is>
      </c>
      <c r="X187" s="420" t="inlineStr">
        <is>
          <t>John - Investor Contacts!156</t>
        </is>
      </c>
      <c r="Y187" s="422" t="inlineStr">
        <is>
          <t>Send next follow-up with traction + CTA</t>
        </is>
      </c>
      <c r="Z187" s="420" t="n">
        <v>7</v>
      </c>
      <c r="AA187" s="420">
        <f>IF(AC187="Archived",0,ROUND((IF(N187="Tier 1",35,IF(N187="Tier 2",20,8))+IF(C187="Financial Investor",15,IF(C187="Intermediary / Banker",12,8))+IF(L187="Term Sheet / Proposal",25,IF(L187="Engaged",20,IF(L187="Meeting Requested",18,IF(L187="Meeting Held",14,IF(L187="Follow Up",10,5)))))+MIN(Q187,30)+IF(S187="DUE",15,IF(S187="Next 3 Days",8,0))),0))</f>
        <v/>
      </c>
      <c r="AB187" s="420">
        <f>IF(AND(AC187="Active",OR(N187="Tier 1",N187="Tier 2"),OR(S187="DUE",S187="Next 3 Days")),"YES","")</f>
        <v/>
      </c>
      <c r="AC187" s="420">
        <f>IF(L187="Passed","Archived","Active")</f>
        <v/>
      </c>
    </row>
    <row r="188">
      <c r="A188" s="420" t="inlineStr">
        <is>
          <t>EXOS-0187</t>
        </is>
      </c>
      <c r="B188" s="420" t="inlineStr">
        <is>
          <t>OSC</t>
        </is>
      </c>
      <c r="C188" s="420" t="inlineStr">
        <is>
          <t>Financial Investor</t>
        </is>
      </c>
      <c r="D188" s="420" t="inlineStr">
        <is>
          <t>Blue Delta Capital Partners</t>
        </is>
      </c>
      <c r="E188" s="420" t="inlineStr">
        <is>
          <t>Chris Torti</t>
        </is>
      </c>
      <c r="F188" s="420" t="inlineStr"/>
      <c r="G188" s="421" t="inlineStr">
        <is>
          <t>chris@bluedeltacapitalpartners.com</t>
        </is>
      </c>
      <c r="H188" s="420" t="inlineStr"/>
      <c r="I188" s="420" t="inlineStr">
        <is>
          <t>703.282.7439 (m) and 240.626.7766</t>
        </is>
      </c>
      <c r="J188" s="420" t="inlineStr"/>
      <c r="K188" s="422" t="inlineStr">
        <is>
          <t>John Quinn</t>
        </is>
      </c>
      <c r="L188" s="422" t="inlineStr">
        <is>
          <t>Follow Up</t>
        </is>
      </c>
      <c r="M188" s="420" t="inlineStr">
        <is>
          <t>Space / Defense / Aerospace / Advanced Manufacturing</t>
        </is>
      </c>
      <c r="N188" s="422" t="inlineStr">
        <is>
          <t>Tier 2</t>
        </is>
      </c>
      <c r="O188" s="440" t="n">
        <v>45854</v>
      </c>
      <c r="P188" s="440" t="n">
        <v>45922</v>
      </c>
      <c r="Q188" s="420">
        <f>IF(P188="","",TODAY()-P188)</f>
        <v/>
      </c>
      <c r="R188" s="440">
        <f>IF(OR(L188="Passed",Z188=""),"",P188+Z188)</f>
        <v/>
      </c>
      <c r="S188" s="420">
        <f>IF(OR(R188="",L188="Passed"),"",IF(R188&lt;=TODAY(),"DUE",IF(R188&lt;=TODAY()+3,"Next 3 Days","Later")))</f>
        <v/>
      </c>
      <c r="T188" s="420" t="inlineStr"/>
      <c r="U188" s="422" t="inlineStr"/>
      <c r="V188" s="422" t="inlineStr"/>
      <c r="W188" s="424" t="inlineStr"/>
      <c r="X188" s="420" t="inlineStr">
        <is>
          <t>OSC!47</t>
        </is>
      </c>
      <c r="Y188" s="422" t="inlineStr">
        <is>
          <t>Send next follow-up with traction + CTA</t>
        </is>
      </c>
      <c r="Z188" s="420" t="n">
        <v>7</v>
      </c>
      <c r="AA188" s="420">
        <f>IF(AC188="Archived",0,ROUND((IF(N188="Tier 1",35,IF(N188="Tier 2",20,8))+IF(C188="Financial Investor",15,IF(C188="Intermediary / Banker",12,8))+IF(L188="Term Sheet / Proposal",25,IF(L188="Engaged",20,IF(L188="Meeting Requested",18,IF(L188="Meeting Held",14,IF(L188="Follow Up",10,5)))))+MIN(Q188,30)+IF(S188="DUE",15,IF(S188="Next 3 Days",8,0))),0))</f>
        <v/>
      </c>
      <c r="AB188" s="420">
        <f>IF(AND(AC188="Active",OR(N188="Tier 1",N188="Tier 2"),OR(S188="DUE",S188="Next 3 Days")),"YES","")</f>
        <v/>
      </c>
      <c r="AC188" s="420">
        <f>IF(L188="Passed","Archived","Active")</f>
        <v/>
      </c>
    </row>
    <row r="189">
      <c r="A189" s="420" t="inlineStr">
        <is>
          <t>EXOS-0188</t>
        </is>
      </c>
      <c r="B189" s="420" t="inlineStr">
        <is>
          <t>OSC</t>
        </is>
      </c>
      <c r="C189" s="420" t="inlineStr">
        <is>
          <t>Financial Investor</t>
        </is>
      </c>
      <c r="D189" s="420" t="inlineStr">
        <is>
          <t>Blue Delta Capital Partners</t>
        </is>
      </c>
      <c r="E189" s="420" t="inlineStr">
        <is>
          <t>Kevin Robbins</t>
        </is>
      </c>
      <c r="F189" s="420" t="inlineStr"/>
      <c r="G189" s="421" t="inlineStr">
        <is>
          <t>kevin@bluedeltacapitalpartners.com</t>
        </is>
      </c>
      <c r="H189" s="420" t="inlineStr"/>
      <c r="I189" s="420" t="inlineStr">
        <is>
          <t>703.251.8601 (m) and 240.626.7766</t>
        </is>
      </c>
      <c r="J189" s="420" t="inlineStr"/>
      <c r="K189" s="422" t="inlineStr">
        <is>
          <t>John Quinn</t>
        </is>
      </c>
      <c r="L189" s="422" t="inlineStr">
        <is>
          <t>Follow Up</t>
        </is>
      </c>
      <c r="M189" s="420" t="inlineStr">
        <is>
          <t>Space / Defense / Aerospace / Advanced Manufacturing</t>
        </is>
      </c>
      <c r="N189" s="422" t="inlineStr">
        <is>
          <t>Tier 2</t>
        </is>
      </c>
      <c r="O189" s="440" t="n">
        <v>45854</v>
      </c>
      <c r="P189" s="440" t="n">
        <v>45922</v>
      </c>
      <c r="Q189" s="420">
        <f>IF(P189="","",TODAY()-P189)</f>
        <v/>
      </c>
      <c r="R189" s="440">
        <f>IF(OR(L189="Passed",Z189=""),"",P189+Z189)</f>
        <v/>
      </c>
      <c r="S189" s="420">
        <f>IF(OR(R189="",L189="Passed"),"",IF(R189&lt;=TODAY(),"DUE",IF(R189&lt;=TODAY()+3,"Next 3 Days","Later")))</f>
        <v/>
      </c>
      <c r="T189" s="420" t="inlineStr"/>
      <c r="U189" s="422" t="inlineStr"/>
      <c r="V189" s="422" t="inlineStr"/>
      <c r="W189" s="424" t="inlineStr"/>
      <c r="X189" s="420" t="inlineStr">
        <is>
          <t>OSC!46</t>
        </is>
      </c>
      <c r="Y189" s="422" t="inlineStr">
        <is>
          <t>Send next follow-up with traction + CTA</t>
        </is>
      </c>
      <c r="Z189" s="420" t="n">
        <v>7</v>
      </c>
      <c r="AA189" s="420">
        <f>IF(AC189="Archived",0,ROUND((IF(N189="Tier 1",35,IF(N189="Tier 2",20,8))+IF(C189="Financial Investor",15,IF(C189="Intermediary / Banker",12,8))+IF(L189="Term Sheet / Proposal",25,IF(L189="Engaged",20,IF(L189="Meeting Requested",18,IF(L189="Meeting Held",14,IF(L189="Follow Up",10,5)))))+MIN(Q189,30)+IF(S189="DUE",15,IF(S189="Next 3 Days",8,0))),0))</f>
        <v/>
      </c>
      <c r="AB189" s="420">
        <f>IF(AND(AC189="Active",OR(N189="Tier 1",N189="Tier 2"),OR(S189="DUE",S189="Next 3 Days")),"YES","")</f>
        <v/>
      </c>
      <c r="AC189" s="420">
        <f>IF(L189="Passed","Archived","Active")</f>
        <v/>
      </c>
    </row>
    <row r="190">
      <c r="A190" s="420" t="inlineStr">
        <is>
          <t>EXOS-0189</t>
        </is>
      </c>
      <c r="B190" s="420" t="inlineStr">
        <is>
          <t>OSC</t>
        </is>
      </c>
      <c r="C190" s="420" t="inlineStr">
        <is>
          <t>Financial Investor</t>
        </is>
      </c>
      <c r="D190" s="420" t="inlineStr">
        <is>
          <t>Blue Delta Capital Partners</t>
        </is>
      </c>
      <c r="E190" s="420" t="inlineStr">
        <is>
          <t>Phil Nolan</t>
        </is>
      </c>
      <c r="F190" s="420" t="inlineStr"/>
      <c r="G190" s="421" t="inlineStr">
        <is>
          <t>phil@bluedeltacapitalpartners.com</t>
        </is>
      </c>
      <c r="H190" s="420" t="inlineStr"/>
      <c r="I190" s="420" t="inlineStr">
        <is>
          <t>703.282.7449 (m) and 240.626.7766</t>
        </is>
      </c>
      <c r="J190" s="420" t="inlineStr"/>
      <c r="K190" s="422" t="inlineStr">
        <is>
          <t>John Quinn</t>
        </is>
      </c>
      <c r="L190" s="422" t="inlineStr">
        <is>
          <t>Follow Up</t>
        </is>
      </c>
      <c r="M190" s="420" t="inlineStr">
        <is>
          <t>Space / Defense / Aerospace / Advanced Manufacturing</t>
        </is>
      </c>
      <c r="N190" s="422" t="inlineStr">
        <is>
          <t>Tier 2</t>
        </is>
      </c>
      <c r="O190" s="440" t="n">
        <v>45854</v>
      </c>
      <c r="P190" s="440" t="n">
        <v>45922</v>
      </c>
      <c r="Q190" s="420">
        <f>IF(P190="","",TODAY()-P190)</f>
        <v/>
      </c>
      <c r="R190" s="440">
        <f>IF(OR(L190="Passed",Z190=""),"",P190+Z190)</f>
        <v/>
      </c>
      <c r="S190" s="420">
        <f>IF(OR(R190="",L190="Passed"),"",IF(R190&lt;=TODAY(),"DUE",IF(R190&lt;=TODAY()+3,"Next 3 Days","Later")))</f>
        <v/>
      </c>
      <c r="T190" s="420" t="inlineStr"/>
      <c r="U190" s="422" t="inlineStr"/>
      <c r="V190" s="422" t="inlineStr"/>
      <c r="W190" s="424" t="inlineStr"/>
      <c r="X190" s="420" t="inlineStr">
        <is>
          <t>OSC!48</t>
        </is>
      </c>
      <c r="Y190" s="422" t="inlineStr">
        <is>
          <t>Send next follow-up with traction + CTA</t>
        </is>
      </c>
      <c r="Z190" s="420" t="n">
        <v>7</v>
      </c>
      <c r="AA190" s="420">
        <f>IF(AC190="Archived",0,ROUND((IF(N190="Tier 1",35,IF(N190="Tier 2",20,8))+IF(C190="Financial Investor",15,IF(C190="Intermediary / Banker",12,8))+IF(L190="Term Sheet / Proposal",25,IF(L190="Engaged",20,IF(L190="Meeting Requested",18,IF(L190="Meeting Held",14,IF(L190="Follow Up",10,5)))))+MIN(Q190,30)+IF(S190="DUE",15,IF(S190="Next 3 Days",8,0))),0))</f>
        <v/>
      </c>
      <c r="AB190" s="420">
        <f>IF(AND(AC190="Active",OR(N190="Tier 1",N190="Tier 2"),OR(S190="DUE",S190="Next 3 Days")),"YES","")</f>
        <v/>
      </c>
      <c r="AC190" s="420">
        <f>IF(L190="Passed","Archived","Active")</f>
        <v/>
      </c>
    </row>
    <row r="191">
      <c r="A191" s="420" t="inlineStr">
        <is>
          <t>EXOS-0190</t>
        </is>
      </c>
      <c r="B191" s="420" t="inlineStr">
        <is>
          <t>John - Investor Contacts</t>
        </is>
      </c>
      <c r="C191" s="420" t="inlineStr">
        <is>
          <t>Financial Investor</t>
        </is>
      </c>
      <c r="D191" s="420" t="inlineStr">
        <is>
          <t>Blue Startups</t>
        </is>
      </c>
      <c r="E191" s="420" t="inlineStr">
        <is>
          <t>Chenoa Farnsworth</t>
        </is>
      </c>
      <c r="F191" s="420" t="inlineStr"/>
      <c r="G191" s="421" t="inlineStr">
        <is>
          <t>chenoa@bluestartups.com</t>
        </is>
      </c>
      <c r="H191" s="420" t="inlineStr"/>
      <c r="I191" s="420" t="inlineStr"/>
      <c r="J191" s="421" t="inlineStr">
        <is>
          <t>https://www.linkedin.com/in/chenoafarnsworth/</t>
        </is>
      </c>
      <c r="K191" s="422" t="inlineStr">
        <is>
          <t>John Quinn</t>
        </is>
      </c>
      <c r="L191" s="422" t="inlineStr">
        <is>
          <t>Follow Up</t>
        </is>
      </c>
      <c r="M191" s="420" t="inlineStr">
        <is>
          <t>Space / Defense / Aerospace / Advanced Manufacturing</t>
        </is>
      </c>
      <c r="N191" s="422" t="inlineStr">
        <is>
          <t>Tier 2</t>
        </is>
      </c>
      <c r="O191" s="440" t="n">
        <v>45912</v>
      </c>
      <c r="P191" s="440" t="n">
        <v>45973</v>
      </c>
      <c r="Q191" s="420">
        <f>IF(P191="","",TODAY()-P191)</f>
        <v/>
      </c>
      <c r="R191" s="440">
        <f>IF(OR(L191="Passed",Z191=""),"",P191+Z191)</f>
        <v/>
      </c>
      <c r="S191" s="420">
        <f>IF(OR(R191="",L191="Passed"),"",IF(R191&lt;=TODAY(),"DUE",IF(R191&lt;=TODAY()+3,"Next 3 Days","Later")))</f>
        <v/>
      </c>
      <c r="T191" s="420" t="inlineStr"/>
      <c r="U191" s="422" t="inlineStr">
        <is>
          <t>https://www.linkedin.com/in/chenoafarnsworth/</t>
        </is>
      </c>
      <c r="V191" s="422" t="inlineStr"/>
      <c r="W191" s="424" t="inlineStr">
        <is>
          <t xml:space="preserve"> | 12/19/2025 | </t>
        </is>
      </c>
      <c r="X191" s="420" t="inlineStr">
        <is>
          <t>John - Investor Contacts!680</t>
        </is>
      </c>
      <c r="Y191" s="422" t="inlineStr">
        <is>
          <t>Send next follow-up with traction + CTA</t>
        </is>
      </c>
      <c r="Z191" s="420" t="n">
        <v>7</v>
      </c>
      <c r="AA191" s="420">
        <f>IF(AC191="Archived",0,ROUND((IF(N191="Tier 1",35,IF(N191="Tier 2",20,8))+IF(C191="Financial Investor",15,IF(C191="Intermediary / Banker",12,8))+IF(L191="Term Sheet / Proposal",25,IF(L191="Engaged",20,IF(L191="Meeting Requested",18,IF(L191="Meeting Held",14,IF(L191="Follow Up",10,5)))))+MIN(Q191,30)+IF(S191="DUE",15,IF(S191="Next 3 Days",8,0))),0))</f>
        <v/>
      </c>
      <c r="AB191" s="420">
        <f>IF(AND(AC191="Active",OR(N191="Tier 1",N191="Tier 2"),OR(S191="DUE",S191="Next 3 Days")),"YES","")</f>
        <v/>
      </c>
      <c r="AC191" s="420">
        <f>IF(L191="Passed","Archived","Active")</f>
        <v/>
      </c>
    </row>
    <row r="192">
      <c r="A192" s="420" t="inlineStr">
        <is>
          <t>EXOS-0191</t>
        </is>
      </c>
      <c r="B192" s="420" t="inlineStr">
        <is>
          <t>OSC</t>
        </is>
      </c>
      <c r="C192" s="420" t="inlineStr">
        <is>
          <t>Financial Investor</t>
        </is>
      </c>
      <c r="D192" s="420" t="inlineStr">
        <is>
          <t>Blue Stone</t>
        </is>
      </c>
      <c r="E192" s="420" t="inlineStr">
        <is>
          <t>Bill Strang</t>
        </is>
      </c>
      <c r="F192" s="420" t="inlineStr"/>
      <c r="G192" s="421" t="inlineStr">
        <is>
          <t>bstrang@bluestoneinv.com</t>
        </is>
      </c>
      <c r="H192" s="420" t="inlineStr"/>
      <c r="I192" s="420" t="inlineStr"/>
      <c r="J192" s="420" t="inlineStr"/>
      <c r="K192" s="422" t="inlineStr">
        <is>
          <t>John Quinn</t>
        </is>
      </c>
      <c r="L192" s="422" t="inlineStr">
        <is>
          <t>Follow Up</t>
        </is>
      </c>
      <c r="M192" s="420" t="inlineStr">
        <is>
          <t>Space / Defense / Aerospace / Advanced Manufacturing</t>
        </is>
      </c>
      <c r="N192" s="422" t="inlineStr">
        <is>
          <t>Tier 2</t>
        </is>
      </c>
      <c r="O192" s="440" t="n">
        <v>45853</v>
      </c>
      <c r="P192" s="440" t="n">
        <v>45922</v>
      </c>
      <c r="Q192" s="420">
        <f>IF(P192="","",TODAY()-P192)</f>
        <v/>
      </c>
      <c r="R192" s="440">
        <f>IF(OR(L192="Passed",Z192=""),"",P192+Z192)</f>
        <v/>
      </c>
      <c r="S192" s="420">
        <f>IF(OR(R192="",L192="Passed"),"",IF(R192&lt;=TODAY(),"DUE",IF(R192&lt;=TODAY()+3,"Next 3 Days","Later")))</f>
        <v/>
      </c>
      <c r="T192" s="420" t="inlineStr"/>
      <c r="U192" s="422" t="inlineStr"/>
      <c r="V192" s="422" t="inlineStr"/>
      <c r="W192" s="424" t="inlineStr"/>
      <c r="X192" s="420" t="inlineStr">
        <is>
          <t>OSC!42</t>
        </is>
      </c>
      <c r="Y192" s="422" t="inlineStr">
        <is>
          <t>Send next follow-up with traction + CTA</t>
        </is>
      </c>
      <c r="Z192" s="420" t="n">
        <v>7</v>
      </c>
      <c r="AA192" s="420">
        <f>IF(AC192="Archived",0,ROUND((IF(N192="Tier 1",35,IF(N192="Tier 2",20,8))+IF(C192="Financial Investor",15,IF(C192="Intermediary / Banker",12,8))+IF(L192="Term Sheet / Proposal",25,IF(L192="Engaged",20,IF(L192="Meeting Requested",18,IF(L192="Meeting Held",14,IF(L192="Follow Up",10,5)))))+MIN(Q192,30)+IF(S192="DUE",15,IF(S192="Next 3 Days",8,0))),0))</f>
        <v/>
      </c>
      <c r="AB192" s="420">
        <f>IF(AND(AC192="Active",OR(N192="Tier 1",N192="Tier 2"),OR(S192="DUE",S192="Next 3 Days")),"YES","")</f>
        <v/>
      </c>
      <c r="AC192" s="420">
        <f>IF(L192="Passed","Archived","Active")</f>
        <v/>
      </c>
    </row>
    <row r="193">
      <c r="A193" s="420" t="inlineStr">
        <is>
          <t>EXOS-0192</t>
        </is>
      </c>
      <c r="B193" s="420" t="inlineStr">
        <is>
          <t>John - Investor Contacts | OSC</t>
        </is>
      </c>
      <c r="C193" s="420" t="inlineStr">
        <is>
          <t>Financial Investor</t>
        </is>
      </c>
      <c r="D193" s="420" t="inlineStr">
        <is>
          <t>Blue Stone</t>
        </is>
      </c>
      <c r="E193" s="420" t="inlineStr">
        <is>
          <t>Eric Wolking</t>
        </is>
      </c>
      <c r="F193" s="420" t="inlineStr"/>
      <c r="G193" s="421" t="inlineStr">
        <is>
          <t>ewolking@bluestoneinv.com</t>
        </is>
      </c>
      <c r="H193" s="420" t="inlineStr"/>
      <c r="I193" s="420" t="inlineStr">
        <is>
          <t>office: 703.462.5600</t>
        </is>
      </c>
      <c r="J193" s="421" t="inlineStr">
        <is>
          <t>https://www.linkedin.com/in/eric-wolking-29a6701/</t>
        </is>
      </c>
      <c r="K193" s="422" t="inlineStr">
        <is>
          <t>John Quinn</t>
        </is>
      </c>
      <c r="L193" s="422" t="inlineStr">
        <is>
          <t>Follow Up</t>
        </is>
      </c>
      <c r="M193" s="420" t="inlineStr">
        <is>
          <t>Space / Defense / Aerospace / Advanced Manufacturing</t>
        </is>
      </c>
      <c r="N193" s="422" t="inlineStr">
        <is>
          <t>Tier 2</t>
        </is>
      </c>
      <c r="O193" s="440" t="n">
        <v>45814</v>
      </c>
      <c r="P193" s="440" t="n">
        <v>45881</v>
      </c>
      <c r="Q193" s="420">
        <f>IF(P193="","",TODAY()-P193)</f>
        <v/>
      </c>
      <c r="R193" s="440">
        <f>IF(OR(L193="Passed",Z193=""),"",P193+Z193)</f>
        <v/>
      </c>
      <c r="S193" s="420">
        <f>IF(OR(R193="",L193="Passed"),"",IF(R193&lt;=TODAY(),"DUE",IF(R193&lt;=TODAY()+3,"Next 3 Days","Later")))</f>
        <v/>
      </c>
      <c r="T193" s="420" t="inlineStr"/>
      <c r="U193" s="422" t="inlineStr">
        <is>
          <t>https://www.linkedin.com/in/eric-wolking-29a6701/</t>
        </is>
      </c>
      <c r="V193" s="422" t="inlineStr"/>
      <c r="W193" s="424" t="inlineStr"/>
      <c r="X193" s="420" t="inlineStr">
        <is>
          <t>John - Investor Contacts!143 | OSC!10</t>
        </is>
      </c>
      <c r="Y193" s="422" t="inlineStr">
        <is>
          <t>Send next follow-up with traction + CTA</t>
        </is>
      </c>
      <c r="Z193" s="420" t="n">
        <v>7</v>
      </c>
      <c r="AA193" s="420">
        <f>IF(AC193="Archived",0,ROUND((IF(N193="Tier 1",35,IF(N193="Tier 2",20,8))+IF(C193="Financial Investor",15,IF(C193="Intermediary / Banker",12,8))+IF(L193="Term Sheet / Proposal",25,IF(L193="Engaged",20,IF(L193="Meeting Requested",18,IF(L193="Meeting Held",14,IF(L193="Follow Up",10,5)))))+MIN(Q193,30)+IF(S193="DUE",15,IF(S193="Next 3 Days",8,0))),0))</f>
        <v/>
      </c>
      <c r="AB193" s="420">
        <f>IF(AND(AC193="Active",OR(N193="Tier 1",N193="Tier 2"),OR(S193="DUE",S193="Next 3 Days")),"YES","")</f>
        <v/>
      </c>
      <c r="AC193" s="420">
        <f>IF(L193="Passed","Archived","Active")</f>
        <v/>
      </c>
    </row>
    <row r="194">
      <c r="A194" s="420" t="inlineStr">
        <is>
          <t>EXOS-0193</t>
        </is>
      </c>
      <c r="B194" s="420" t="inlineStr">
        <is>
          <t>OSC</t>
        </is>
      </c>
      <c r="C194" s="420" t="inlineStr">
        <is>
          <t>Financial Investor</t>
        </is>
      </c>
      <c r="D194" s="420" t="inlineStr">
        <is>
          <t>Blue Stone</t>
        </is>
      </c>
      <c r="E194" s="420" t="inlineStr">
        <is>
          <t>Joe Collins</t>
        </is>
      </c>
      <c r="F194" s="420" t="inlineStr"/>
      <c r="G194" s="421" t="inlineStr">
        <is>
          <t>jcollins@bluestoneinv.com</t>
        </is>
      </c>
      <c r="H194" s="420" t="inlineStr"/>
      <c r="I194" s="420" t="inlineStr">
        <is>
          <t>703.997.4767</t>
        </is>
      </c>
      <c r="J194" s="420" t="inlineStr"/>
      <c r="K194" s="422" t="inlineStr">
        <is>
          <t>John Quinn</t>
        </is>
      </c>
      <c r="L194" s="422" t="inlineStr">
        <is>
          <t>Follow Up</t>
        </is>
      </c>
      <c r="M194" s="420" t="inlineStr">
        <is>
          <t>Space / Defense / Aerospace / Advanced Manufacturing</t>
        </is>
      </c>
      <c r="N194" s="422" t="inlineStr">
        <is>
          <t>Tier 2</t>
        </is>
      </c>
      <c r="O194" s="440" t="n">
        <v>45853</v>
      </c>
      <c r="P194" s="440" t="n">
        <v>45922</v>
      </c>
      <c r="Q194" s="420">
        <f>IF(P194="","",TODAY()-P194)</f>
        <v/>
      </c>
      <c r="R194" s="440">
        <f>IF(OR(L194="Passed",Z194=""),"",P194+Z194)</f>
        <v/>
      </c>
      <c r="S194" s="420">
        <f>IF(OR(R194="",L194="Passed"),"",IF(R194&lt;=TODAY(),"DUE",IF(R194&lt;=TODAY()+3,"Next 3 Days","Later")))</f>
        <v/>
      </c>
      <c r="T194" s="420" t="inlineStr"/>
      <c r="U194" s="422" t="inlineStr"/>
      <c r="V194" s="422" t="inlineStr"/>
      <c r="W194" s="424" t="inlineStr">
        <is>
          <t>outside area of expertise</t>
        </is>
      </c>
      <c r="X194" s="420" t="inlineStr">
        <is>
          <t>OSC!43</t>
        </is>
      </c>
      <c r="Y194" s="422" t="inlineStr">
        <is>
          <t>Send next follow-up with traction + CTA</t>
        </is>
      </c>
      <c r="Z194" s="420" t="n">
        <v>7</v>
      </c>
      <c r="AA194" s="420">
        <f>IF(AC194="Archived",0,ROUND((IF(N194="Tier 1",35,IF(N194="Tier 2",20,8))+IF(C194="Financial Investor",15,IF(C194="Intermediary / Banker",12,8))+IF(L194="Term Sheet / Proposal",25,IF(L194="Engaged",20,IF(L194="Meeting Requested",18,IF(L194="Meeting Held",14,IF(L194="Follow Up",10,5)))))+MIN(Q194,30)+IF(S194="DUE",15,IF(S194="Next 3 Days",8,0))),0))</f>
        <v/>
      </c>
      <c r="AB194" s="420">
        <f>IF(AND(AC194="Active",OR(N194="Tier 1",N194="Tier 2"),OR(S194="DUE",S194="Next 3 Days")),"YES","")</f>
        <v/>
      </c>
      <c r="AC194" s="420">
        <f>IF(L194="Passed","Archived","Active")</f>
        <v/>
      </c>
    </row>
    <row r="195">
      <c r="A195" s="420" t="inlineStr">
        <is>
          <t>EXOS-0194</t>
        </is>
      </c>
      <c r="B195" s="420" t="inlineStr">
        <is>
          <t>OSC</t>
        </is>
      </c>
      <c r="C195" s="420" t="inlineStr">
        <is>
          <t>Financial Investor</t>
        </is>
      </c>
      <c r="D195" s="420" t="inlineStr">
        <is>
          <t>Blue Stone</t>
        </is>
      </c>
      <c r="E195" s="420" t="inlineStr">
        <is>
          <t>John Allen</t>
        </is>
      </c>
      <c r="F195" s="420" t="inlineStr"/>
      <c r="G195" s="421" t="inlineStr">
        <is>
          <t>jallen@bluestoneinv.com</t>
        </is>
      </c>
      <c r="H195" s="420" t="inlineStr"/>
      <c r="I195" s="420" t="inlineStr">
        <is>
          <t>703.462.5601</t>
        </is>
      </c>
      <c r="J195" s="420" t="inlineStr"/>
      <c r="K195" s="422" t="inlineStr">
        <is>
          <t>John Quinn</t>
        </is>
      </c>
      <c r="L195" s="422" t="inlineStr">
        <is>
          <t>Follow Up</t>
        </is>
      </c>
      <c r="M195" s="420" t="inlineStr">
        <is>
          <t>Space / Defense / Aerospace / Advanced Manufacturing</t>
        </is>
      </c>
      <c r="N195" s="422" t="inlineStr">
        <is>
          <t>Tier 2</t>
        </is>
      </c>
      <c r="O195" s="440" t="n">
        <v>45853</v>
      </c>
      <c r="P195" s="440" t="n">
        <v>45922</v>
      </c>
      <c r="Q195" s="420">
        <f>IF(P195="","",TODAY()-P195)</f>
        <v/>
      </c>
      <c r="R195" s="440">
        <f>IF(OR(L195="Passed",Z195=""),"",P195+Z195)</f>
        <v/>
      </c>
      <c r="S195" s="420">
        <f>IF(OR(R195="",L195="Passed"),"",IF(R195&lt;=TODAY(),"DUE",IF(R195&lt;=TODAY()+3,"Next 3 Days","Later")))</f>
        <v/>
      </c>
      <c r="T195" s="420" t="inlineStr"/>
      <c r="U195" s="422" t="inlineStr"/>
      <c r="V195" s="422" t="inlineStr"/>
      <c r="W195" s="424" t="inlineStr"/>
      <c r="X195" s="420" t="inlineStr">
        <is>
          <t>OSC!40</t>
        </is>
      </c>
      <c r="Y195" s="422" t="inlineStr">
        <is>
          <t>Send next follow-up with traction + CTA</t>
        </is>
      </c>
      <c r="Z195" s="420" t="n">
        <v>7</v>
      </c>
      <c r="AA195" s="420">
        <f>IF(AC195="Archived",0,ROUND((IF(N195="Tier 1",35,IF(N195="Tier 2",20,8))+IF(C195="Financial Investor",15,IF(C195="Intermediary / Banker",12,8))+IF(L195="Term Sheet / Proposal",25,IF(L195="Engaged",20,IF(L195="Meeting Requested",18,IF(L195="Meeting Held",14,IF(L195="Follow Up",10,5)))))+MIN(Q195,30)+IF(S195="DUE",15,IF(S195="Next 3 Days",8,0))),0))</f>
        <v/>
      </c>
      <c r="AB195" s="420">
        <f>IF(AND(AC195="Active",OR(N195="Tier 1",N195="Tier 2"),OR(S195="DUE",S195="Next 3 Days")),"YES","")</f>
        <v/>
      </c>
      <c r="AC195" s="420">
        <f>IF(L195="Passed","Archived","Active")</f>
        <v/>
      </c>
    </row>
    <row r="196">
      <c r="A196" s="420" t="inlineStr">
        <is>
          <t>EXOS-0195</t>
        </is>
      </c>
      <c r="B196" s="420" t="inlineStr">
        <is>
          <t>OSC</t>
        </is>
      </c>
      <c r="C196" s="420" t="inlineStr">
        <is>
          <t>Financial Investor</t>
        </is>
      </c>
      <c r="D196" s="420" t="inlineStr">
        <is>
          <t>Blue Stone</t>
        </is>
      </c>
      <c r="E196" s="420" t="inlineStr">
        <is>
          <t>Mike Ivey</t>
        </is>
      </c>
      <c r="F196" s="420" t="inlineStr"/>
      <c r="G196" s="421" t="inlineStr">
        <is>
          <t>mivey@bluestoneinv.com</t>
        </is>
      </c>
      <c r="H196" s="420" t="inlineStr"/>
      <c r="I196" s="420" t="inlineStr">
        <is>
          <t>703.462.5605</t>
        </is>
      </c>
      <c r="J196" s="420" t="inlineStr"/>
      <c r="K196" s="422" t="inlineStr">
        <is>
          <t>John Quinn</t>
        </is>
      </c>
      <c r="L196" s="422" t="inlineStr">
        <is>
          <t>Follow Up</t>
        </is>
      </c>
      <c r="M196" s="420" t="inlineStr">
        <is>
          <t>Space / Defense / Aerospace / Advanced Manufacturing</t>
        </is>
      </c>
      <c r="N196" s="422" t="inlineStr">
        <is>
          <t>Tier 2</t>
        </is>
      </c>
      <c r="O196" s="440" t="n">
        <v>45853</v>
      </c>
      <c r="P196" s="440" t="n">
        <v>45922</v>
      </c>
      <c r="Q196" s="420">
        <f>IF(P196="","",TODAY()-P196)</f>
        <v/>
      </c>
      <c r="R196" s="440">
        <f>IF(OR(L196="Passed",Z196=""),"",P196+Z196)</f>
        <v/>
      </c>
      <c r="S196" s="420">
        <f>IF(OR(R196="",L196="Passed"),"",IF(R196&lt;=TODAY(),"DUE",IF(R196&lt;=TODAY()+3,"Next 3 Days","Later")))</f>
        <v/>
      </c>
      <c r="T196" s="420" t="inlineStr"/>
      <c r="U196" s="422" t="inlineStr"/>
      <c r="V196" s="422" t="inlineStr"/>
      <c r="W196" s="424" t="inlineStr">
        <is>
          <t>asked to set meeting</t>
        </is>
      </c>
      <c r="X196" s="420" t="inlineStr">
        <is>
          <t>OSC!41</t>
        </is>
      </c>
      <c r="Y196" s="422" t="inlineStr">
        <is>
          <t>Send next follow-up with traction + CTA</t>
        </is>
      </c>
      <c r="Z196" s="420" t="n">
        <v>7</v>
      </c>
      <c r="AA196" s="420">
        <f>IF(AC196="Archived",0,ROUND((IF(N196="Tier 1",35,IF(N196="Tier 2",20,8))+IF(C196="Financial Investor",15,IF(C196="Intermediary / Banker",12,8))+IF(L196="Term Sheet / Proposal",25,IF(L196="Engaged",20,IF(L196="Meeting Requested",18,IF(L196="Meeting Held",14,IF(L196="Follow Up",10,5)))))+MIN(Q196,30)+IF(S196="DUE",15,IF(S196="Next 3 Days",8,0))),0))</f>
        <v/>
      </c>
      <c r="AB196" s="420">
        <f>IF(AND(AC196="Active",OR(N196="Tier 1",N196="Tier 2"),OR(S196="DUE",S196="Next 3 Days")),"YES","")</f>
        <v/>
      </c>
      <c r="AC196" s="420">
        <f>IF(L196="Passed","Archived","Active")</f>
        <v/>
      </c>
    </row>
    <row r="197">
      <c r="A197" s="420" t="inlineStr">
        <is>
          <t>EXOS-0196</t>
        </is>
      </c>
      <c r="B197" s="420" t="inlineStr">
        <is>
          <t>John - Investor Contacts | OSC</t>
        </is>
      </c>
      <c r="C197" s="420" t="inlineStr">
        <is>
          <t>Financial Investor</t>
        </is>
      </c>
      <c r="D197" s="420" t="inlineStr">
        <is>
          <t>Blue Yard VC</t>
        </is>
      </c>
      <c r="E197" s="420" t="inlineStr"/>
      <c r="F197" s="420" t="inlineStr"/>
      <c r="G197" s="421" t="inlineStr">
        <is>
          <t>legal@blueyard.com</t>
        </is>
      </c>
      <c r="H197" s="420" t="inlineStr"/>
      <c r="I197" s="420" t="inlineStr"/>
      <c r="J197" s="420" t="inlineStr"/>
      <c r="K197" s="422" t="inlineStr">
        <is>
          <t>John Quinn</t>
        </is>
      </c>
      <c r="L197" s="422" t="inlineStr">
        <is>
          <t>Follow Up</t>
        </is>
      </c>
      <c r="M197" s="420" t="inlineStr">
        <is>
          <t>Space / Defense / Aerospace / Advanced Manufacturing</t>
        </is>
      </c>
      <c r="N197" s="422" t="inlineStr">
        <is>
          <t>Tier 2</t>
        </is>
      </c>
      <c r="O197" s="440" t="n">
        <v>45814</v>
      </c>
      <c r="P197" s="440" t="n">
        <v>45922</v>
      </c>
      <c r="Q197" s="420">
        <f>IF(P197="","",TODAY()-P197)</f>
        <v/>
      </c>
      <c r="R197" s="440">
        <f>IF(OR(L197="Passed",Z197=""),"",P197+Z197)</f>
        <v/>
      </c>
      <c r="S197" s="420">
        <f>IF(OR(R197="",L197="Passed"),"",IF(R197&lt;=TODAY(),"DUE",IF(R197&lt;=TODAY()+3,"Next 3 Days","Later")))</f>
        <v/>
      </c>
      <c r="T197" s="420" t="inlineStr"/>
      <c r="U197" s="422" t="inlineStr"/>
      <c r="V197" s="422" t="inlineStr"/>
      <c r="W197" s="424" t="inlineStr"/>
      <c r="X197" s="420" t="inlineStr">
        <is>
          <t>John - Investor Contacts!137 | OSC!5</t>
        </is>
      </c>
      <c r="Y197" s="422" t="inlineStr">
        <is>
          <t>Send next follow-up with traction + CTA</t>
        </is>
      </c>
      <c r="Z197" s="420" t="n">
        <v>7</v>
      </c>
      <c r="AA197" s="420">
        <f>IF(AC197="Archived",0,ROUND((IF(N197="Tier 1",35,IF(N197="Tier 2",20,8))+IF(C197="Financial Investor",15,IF(C197="Intermediary / Banker",12,8))+IF(L197="Term Sheet / Proposal",25,IF(L197="Engaged",20,IF(L197="Meeting Requested",18,IF(L197="Meeting Held",14,IF(L197="Follow Up",10,5)))))+MIN(Q197,30)+IF(S197="DUE",15,IF(S197="Next 3 Days",8,0))),0))</f>
        <v/>
      </c>
      <c r="AB197" s="420">
        <f>IF(AND(AC197="Active",OR(N197="Tier 1",N197="Tier 2"),OR(S197="DUE",S197="Next 3 Days")),"YES","")</f>
        <v/>
      </c>
      <c r="AC197" s="420">
        <f>IF(L197="Passed","Archived","Active")</f>
        <v/>
      </c>
    </row>
    <row r="198">
      <c r="A198" s="420" t="inlineStr">
        <is>
          <t>EXOS-0197</t>
        </is>
      </c>
      <c r="B198" s="420" t="inlineStr">
        <is>
          <t>OSC</t>
        </is>
      </c>
      <c r="C198" s="420" t="inlineStr">
        <is>
          <t>Financial Investor</t>
        </is>
      </c>
      <c r="D198" s="420" t="inlineStr">
        <is>
          <t>BlueYard VC</t>
        </is>
      </c>
      <c r="E198" s="420" t="inlineStr">
        <is>
          <t>Chad Fowler</t>
        </is>
      </c>
      <c r="F198" s="420" t="inlineStr"/>
      <c r="G198" s="421" t="inlineStr">
        <is>
          <t>chad@blueyard.com</t>
        </is>
      </c>
      <c r="H198" s="420" t="inlineStr"/>
      <c r="I198" s="420" t="inlineStr">
        <is>
          <t>303.317.5309 and 901.518.5107</t>
        </is>
      </c>
      <c r="J198" s="420" t="inlineStr"/>
      <c r="K198" s="422" t="inlineStr">
        <is>
          <t>John Quinn</t>
        </is>
      </c>
      <c r="L198" s="422" t="inlineStr">
        <is>
          <t>Follow Up</t>
        </is>
      </c>
      <c r="M198" s="420" t="inlineStr">
        <is>
          <t>Space / Defense / Aerospace / Advanced Manufacturing</t>
        </is>
      </c>
      <c r="N198" s="422" t="inlineStr">
        <is>
          <t>Tier 2</t>
        </is>
      </c>
      <c r="O198" s="440" t="n">
        <v>45853</v>
      </c>
      <c r="P198" s="440" t="n">
        <v>45922</v>
      </c>
      <c r="Q198" s="420">
        <f>IF(P198="","",TODAY()-P198)</f>
        <v/>
      </c>
      <c r="R198" s="440">
        <f>IF(OR(L198="Passed",Z198=""),"",P198+Z198)</f>
        <v/>
      </c>
      <c r="S198" s="420">
        <f>IF(OR(R198="",L198="Passed"),"",IF(R198&lt;=TODAY(),"DUE",IF(R198&lt;=TODAY()+3,"Next 3 Days","Later")))</f>
        <v/>
      </c>
      <c r="T198" s="420" t="inlineStr"/>
      <c r="U198" s="422" t="inlineStr"/>
      <c r="V198" s="422" t="inlineStr"/>
      <c r="W198" s="424" t="inlineStr"/>
      <c r="X198" s="420" t="inlineStr">
        <is>
          <t>OSC!27</t>
        </is>
      </c>
      <c r="Y198" s="422" t="inlineStr">
        <is>
          <t>Send next follow-up with traction + CTA</t>
        </is>
      </c>
      <c r="Z198" s="420" t="n">
        <v>7</v>
      </c>
      <c r="AA198" s="420">
        <f>IF(AC198="Archived",0,ROUND((IF(N198="Tier 1",35,IF(N198="Tier 2",20,8))+IF(C198="Financial Investor",15,IF(C198="Intermediary / Banker",12,8))+IF(L198="Term Sheet / Proposal",25,IF(L198="Engaged",20,IF(L198="Meeting Requested",18,IF(L198="Meeting Held",14,IF(L198="Follow Up",10,5)))))+MIN(Q198,30)+IF(S198="DUE",15,IF(S198="Next 3 Days",8,0))),0))</f>
        <v/>
      </c>
      <c r="AB198" s="420">
        <f>IF(AND(AC198="Active",OR(N198="Tier 1",N198="Tier 2"),OR(S198="DUE",S198="Next 3 Days")),"YES","")</f>
        <v/>
      </c>
      <c r="AC198" s="420">
        <f>IF(L198="Passed","Archived","Active")</f>
        <v/>
      </c>
    </row>
    <row r="199">
      <c r="A199" s="420" t="inlineStr">
        <is>
          <t>EXOS-0198</t>
        </is>
      </c>
      <c r="B199" s="420" t="inlineStr">
        <is>
          <t>OSC</t>
        </is>
      </c>
      <c r="C199" s="420" t="inlineStr">
        <is>
          <t>Financial Investor</t>
        </is>
      </c>
      <c r="D199" s="420" t="inlineStr">
        <is>
          <t>BlueYard VC</t>
        </is>
      </c>
      <c r="E199" s="420" t="inlineStr">
        <is>
          <t>Ciaran O'Leary</t>
        </is>
      </c>
      <c r="F199" s="420" t="inlineStr"/>
      <c r="G199" s="421" t="inlineStr">
        <is>
          <t>ciaran@blueyard.com</t>
        </is>
      </c>
      <c r="H199" s="420" t="inlineStr"/>
      <c r="I199" s="420" t="inlineStr"/>
      <c r="J199" s="420" t="inlineStr"/>
      <c r="K199" s="422" t="inlineStr">
        <is>
          <t>John Quinn</t>
        </is>
      </c>
      <c r="L199" s="422" t="inlineStr">
        <is>
          <t>Follow Up</t>
        </is>
      </c>
      <c r="M199" s="420" t="inlineStr">
        <is>
          <t>Space / Defense / Aerospace / Advanced Manufacturing</t>
        </is>
      </c>
      <c r="N199" s="422" t="inlineStr">
        <is>
          <t>Tier 2</t>
        </is>
      </c>
      <c r="O199" s="440" t="n">
        <v>45853</v>
      </c>
      <c r="P199" s="440" t="n">
        <v>45922</v>
      </c>
      <c r="Q199" s="420">
        <f>IF(P199="","",TODAY()-P199)</f>
        <v/>
      </c>
      <c r="R199" s="440">
        <f>IF(OR(L199="Passed",Z199=""),"",P199+Z199)</f>
        <v/>
      </c>
      <c r="S199" s="420">
        <f>IF(OR(R199="",L199="Passed"),"",IF(R199&lt;=TODAY(),"DUE",IF(R199&lt;=TODAY()+3,"Next 3 Days","Later")))</f>
        <v/>
      </c>
      <c r="T199" s="420" t="inlineStr"/>
      <c r="U199" s="422" t="inlineStr"/>
      <c r="V199" s="422" t="inlineStr"/>
      <c r="W199" s="424" t="inlineStr"/>
      <c r="X199" s="420" t="inlineStr">
        <is>
          <t>OSC!28</t>
        </is>
      </c>
      <c r="Y199" s="422" t="inlineStr">
        <is>
          <t>Send next follow-up with traction + CTA</t>
        </is>
      </c>
      <c r="Z199" s="420" t="n">
        <v>7</v>
      </c>
      <c r="AA199" s="420">
        <f>IF(AC199="Archived",0,ROUND((IF(N199="Tier 1",35,IF(N199="Tier 2",20,8))+IF(C199="Financial Investor",15,IF(C199="Intermediary / Banker",12,8))+IF(L199="Term Sheet / Proposal",25,IF(L199="Engaged",20,IF(L199="Meeting Requested",18,IF(L199="Meeting Held",14,IF(L199="Follow Up",10,5)))))+MIN(Q199,30)+IF(S199="DUE",15,IF(S199="Next 3 Days",8,0))),0))</f>
        <v/>
      </c>
      <c r="AB199" s="420">
        <f>IF(AND(AC199="Active",OR(N199="Tier 1",N199="Tier 2"),OR(S199="DUE",S199="Next 3 Days")),"YES","")</f>
        <v/>
      </c>
      <c r="AC199" s="420">
        <f>IF(L199="Passed","Archived","Active")</f>
        <v/>
      </c>
    </row>
    <row r="200">
      <c r="A200" s="420" t="inlineStr">
        <is>
          <t>EXOS-0199</t>
        </is>
      </c>
      <c r="B200" s="420" t="inlineStr">
        <is>
          <t>OSC</t>
        </is>
      </c>
      <c r="C200" s="420" t="inlineStr">
        <is>
          <t>Financial Investor</t>
        </is>
      </c>
      <c r="D200" s="420" t="inlineStr">
        <is>
          <t>BlueYard VC</t>
        </is>
      </c>
      <c r="E200" s="420" t="inlineStr">
        <is>
          <t>David Byrd</t>
        </is>
      </c>
      <c r="F200" s="420" t="inlineStr"/>
      <c r="G200" s="421" t="inlineStr">
        <is>
          <t>david@blueyard.com</t>
        </is>
      </c>
      <c r="H200" s="420" t="inlineStr"/>
      <c r="I200" s="420" t="inlineStr">
        <is>
          <t>408.857.4330</t>
        </is>
      </c>
      <c r="J200" s="420" t="inlineStr"/>
      <c r="K200" s="422" t="inlineStr">
        <is>
          <t>John Quinn</t>
        </is>
      </c>
      <c r="L200" s="422" t="inlineStr">
        <is>
          <t>Follow Up</t>
        </is>
      </c>
      <c r="M200" s="420" t="inlineStr">
        <is>
          <t>Space / Defense / Aerospace / Advanced Manufacturing</t>
        </is>
      </c>
      <c r="N200" s="422" t="inlineStr">
        <is>
          <t>Tier 2</t>
        </is>
      </c>
      <c r="O200" s="440" t="n">
        <v>45853</v>
      </c>
      <c r="P200" s="440" t="n">
        <v>45922</v>
      </c>
      <c r="Q200" s="420">
        <f>IF(P200="","",TODAY()-P200)</f>
        <v/>
      </c>
      <c r="R200" s="440">
        <f>IF(OR(L200="Passed",Z200=""),"",P200+Z200)</f>
        <v/>
      </c>
      <c r="S200" s="420">
        <f>IF(OR(R200="",L200="Passed"),"",IF(R200&lt;=TODAY(),"DUE",IF(R200&lt;=TODAY()+3,"Next 3 Days","Later")))</f>
        <v/>
      </c>
      <c r="T200" s="420" t="inlineStr"/>
      <c r="U200" s="422" t="inlineStr"/>
      <c r="V200" s="422" t="inlineStr"/>
      <c r="W200" s="424" t="inlineStr"/>
      <c r="X200" s="420" t="inlineStr">
        <is>
          <t>OSC!30</t>
        </is>
      </c>
      <c r="Y200" s="422" t="inlineStr">
        <is>
          <t>Send next follow-up with traction + CTA</t>
        </is>
      </c>
      <c r="Z200" s="420" t="n">
        <v>7</v>
      </c>
      <c r="AA200" s="420">
        <f>IF(AC200="Archived",0,ROUND((IF(N200="Tier 1",35,IF(N200="Tier 2",20,8))+IF(C200="Financial Investor",15,IF(C200="Intermediary / Banker",12,8))+IF(L200="Term Sheet / Proposal",25,IF(L200="Engaged",20,IF(L200="Meeting Requested",18,IF(L200="Meeting Held",14,IF(L200="Follow Up",10,5)))))+MIN(Q200,30)+IF(S200="DUE",15,IF(S200="Next 3 Days",8,0))),0))</f>
        <v/>
      </c>
      <c r="AB200" s="420">
        <f>IF(AND(AC200="Active",OR(N200="Tier 1",N200="Tier 2"),OR(S200="DUE",S200="Next 3 Days")),"YES","")</f>
        <v/>
      </c>
      <c r="AC200" s="420">
        <f>IF(L200="Passed","Archived","Active")</f>
        <v/>
      </c>
    </row>
    <row r="201">
      <c r="A201" s="425" t="inlineStr">
        <is>
          <t>EXOS-0200</t>
        </is>
      </c>
      <c r="B201" s="425" t="inlineStr">
        <is>
          <t>OSC</t>
        </is>
      </c>
      <c r="C201" s="425" t="inlineStr">
        <is>
          <t>Financial Investor</t>
        </is>
      </c>
      <c r="D201" s="425" t="inlineStr">
        <is>
          <t>BlueYard VC</t>
        </is>
      </c>
      <c r="E201" s="425" t="inlineStr">
        <is>
          <t>Jason Whitmire</t>
        </is>
      </c>
      <c r="F201" s="425" t="inlineStr"/>
      <c r="G201" s="111" t="inlineStr">
        <is>
          <t>jason@blueyard.com</t>
        </is>
      </c>
      <c r="H201" s="425" t="inlineStr"/>
      <c r="I201" s="425" t="inlineStr">
        <is>
          <t>510.749.2643</t>
        </is>
      </c>
      <c r="J201" s="425" t="inlineStr"/>
      <c r="K201" s="426" t="inlineStr">
        <is>
          <t>John Quinn</t>
        </is>
      </c>
      <c r="L201" s="426" t="inlineStr">
        <is>
          <t>Follow Up</t>
        </is>
      </c>
      <c r="M201" s="425" t="inlineStr">
        <is>
          <t>Space / Defense / Aerospace / Advanced Manufacturing</t>
        </is>
      </c>
      <c r="N201" s="426" t="inlineStr">
        <is>
          <t>Tier 2</t>
        </is>
      </c>
      <c r="O201" s="441" t="n">
        <v>45853</v>
      </c>
      <c r="P201" s="441" t="n">
        <v>45922</v>
      </c>
      <c r="Q201" s="425">
        <f>IF(P201="","",TODAY()-P201)</f>
        <v/>
      </c>
      <c r="R201" s="441">
        <f>IF(OR(L201="Passed",Z201=""),"",P201+Z201)</f>
        <v/>
      </c>
      <c r="S201" s="425">
        <f>IF(OR(R201="",L201="Passed"),"",IF(R201&lt;=TODAY(),"DUE",IF(R201&lt;=TODAY()+3,"Next 3 Days","Later")))</f>
        <v/>
      </c>
      <c r="T201" s="425" t="inlineStr"/>
      <c r="U201" s="426" t="inlineStr"/>
      <c r="V201" s="426" t="inlineStr"/>
      <c r="W201" s="428" t="inlineStr"/>
      <c r="X201" s="425" t="inlineStr">
        <is>
          <t>OSC!29</t>
        </is>
      </c>
      <c r="Y201" s="426" t="inlineStr">
        <is>
          <t>Send next follow-up with traction + CTA</t>
        </is>
      </c>
      <c r="Z201" s="425" t="n">
        <v>7</v>
      </c>
      <c r="AA201" s="425">
        <f>IF(AC201="Archived",0,ROUND((IF(N201="Tier 1",35,IF(N201="Tier 2",20,8))+IF(C201="Financial Investor",15,IF(C201="Intermediary / Banker",12,8))+IF(L201="Term Sheet / Proposal",25,IF(L201="Engaged",20,IF(L201="Meeting Requested",18,IF(L201="Meeting Held",14,IF(L201="Follow Up",10,5)))))+MIN(Q201,30)+IF(S201="DUE",15,IF(S201="Next 3 Days",8,0))),0))</f>
        <v/>
      </c>
      <c r="AB201" s="425">
        <f>IF(AND(AC201="Active",OR(N201="Tier 1",N201="Tier 2"),OR(S201="DUE",S201="Next 3 Days")),"YES","")</f>
        <v/>
      </c>
      <c r="AC201" s="425">
        <f>IF(L201="Passed","Archived","Active")</f>
        <v/>
      </c>
    </row>
    <row r="202">
      <c r="A202" s="425" t="inlineStr">
        <is>
          <t>EXOS-0201</t>
        </is>
      </c>
      <c r="B202" s="425" t="inlineStr">
        <is>
          <t>John - Investor Contacts</t>
        </is>
      </c>
      <c r="C202" s="425" t="inlineStr">
        <is>
          <t>Financial Investor</t>
        </is>
      </c>
      <c r="D202" s="425" t="inlineStr">
        <is>
          <t>Bright Pixel Capital</t>
        </is>
      </c>
      <c r="E202" s="425" t="inlineStr">
        <is>
          <t>Eduardo Piedade</t>
        </is>
      </c>
      <c r="F202" s="425" t="inlineStr"/>
      <c r="G202" s="111" t="inlineStr">
        <is>
          <t>eduardo.piedade@brpx.com</t>
        </is>
      </c>
      <c r="H202" s="425" t="inlineStr"/>
      <c r="I202" s="425" t="inlineStr"/>
      <c r="J202" s="111" t="inlineStr">
        <is>
          <t>https://www.linkedin.com/in/eduardopiedade/</t>
        </is>
      </c>
      <c r="K202" s="426" t="inlineStr">
        <is>
          <t>John Quinn</t>
        </is>
      </c>
      <c r="L202" s="426" t="inlineStr">
        <is>
          <t>Follow Up</t>
        </is>
      </c>
      <c r="M202" s="425" t="inlineStr">
        <is>
          <t>Space / Defense / Aerospace / Advanced Manufacturing</t>
        </is>
      </c>
      <c r="N202" s="426" t="inlineStr">
        <is>
          <t>Tier 2</t>
        </is>
      </c>
      <c r="O202" s="441" t="n">
        <v>45936</v>
      </c>
      <c r="P202" s="441" t="n">
        <v>45973</v>
      </c>
      <c r="Q202" s="425">
        <f>IF(P202="","",TODAY()-P202)</f>
        <v/>
      </c>
      <c r="R202" s="441">
        <f>IF(OR(L202="Passed",Z202=""),"",P202+Z202)</f>
        <v/>
      </c>
      <c r="S202" s="425">
        <f>IF(OR(R202="",L202="Passed"),"",IF(R202&lt;=TODAY(),"DUE",IF(R202&lt;=TODAY()+3,"Next 3 Days","Later")))</f>
        <v/>
      </c>
      <c r="T202" s="425" t="inlineStr"/>
      <c r="U202" s="426" t="inlineStr">
        <is>
          <t>https://www.linkedin.com/in/eduardopiedade/</t>
        </is>
      </c>
      <c r="V202" s="426" t="inlineStr"/>
      <c r="W202" s="428" t="inlineStr">
        <is>
          <t xml:space="preserve"> | 12/30/2025 | </t>
        </is>
      </c>
      <c r="X202" s="425" t="inlineStr">
        <is>
          <t>John - Investor Contacts!743</t>
        </is>
      </c>
      <c r="Y202" s="426" t="inlineStr">
        <is>
          <t>Send next follow-up with traction + CTA</t>
        </is>
      </c>
      <c r="Z202" s="425" t="n">
        <v>7</v>
      </c>
      <c r="AA202" s="425">
        <f>IF(AC202="Archived",0,ROUND((IF(N202="Tier 1",35,IF(N202="Tier 2",20,8))+IF(C202="Financial Investor",15,IF(C202="Intermediary / Banker",12,8))+IF(L202="Term Sheet / Proposal",25,IF(L202="Engaged",20,IF(L202="Meeting Requested",18,IF(L202="Meeting Held",14,IF(L202="Follow Up",10,5)))))+MIN(Q202,30)+IF(S202="DUE",15,IF(S202="Next 3 Days",8,0))),0))</f>
        <v/>
      </c>
      <c r="AB202" s="425">
        <f>IF(AND(AC202="Active",OR(N202="Tier 1",N202="Tier 2"),OR(S202="DUE",S202="Next 3 Days")),"YES","")</f>
        <v/>
      </c>
      <c r="AC202" s="425">
        <f>IF(L202="Passed","Archived","Active")</f>
        <v/>
      </c>
    </row>
    <row r="203">
      <c r="A203" s="425" t="inlineStr">
        <is>
          <t>EXOS-0202</t>
        </is>
      </c>
      <c r="B203" s="425" t="inlineStr">
        <is>
          <t>John - Investor Contacts</t>
        </is>
      </c>
      <c r="C203" s="425" t="inlineStr">
        <is>
          <t>Financial Investor</t>
        </is>
      </c>
      <c r="D203" s="425" t="inlineStr">
        <is>
          <t>Bright Pixel Capital</t>
        </is>
      </c>
      <c r="E203" s="425" t="inlineStr">
        <is>
          <t>Fernando Martins</t>
        </is>
      </c>
      <c r="F203" s="425" t="inlineStr"/>
      <c r="G203" s="111" t="inlineStr">
        <is>
          <t>fernando.martins@brpx.com</t>
        </is>
      </c>
      <c r="H203" s="425" t="inlineStr"/>
      <c r="I203" s="425" t="inlineStr"/>
      <c r="J203" s="111" t="inlineStr">
        <is>
          <t>https://www.linkedin.com/in/fernandomartinscybersecurity</t>
        </is>
      </c>
      <c r="K203" s="426" t="inlineStr">
        <is>
          <t>John Quinn</t>
        </is>
      </c>
      <c r="L203" s="426" t="inlineStr">
        <is>
          <t>Follow Up</t>
        </is>
      </c>
      <c r="M203" s="425" t="inlineStr">
        <is>
          <t>Space / Defense / Aerospace / Advanced Manufacturing</t>
        </is>
      </c>
      <c r="N203" s="426" t="inlineStr">
        <is>
          <t>Tier 2</t>
        </is>
      </c>
      <c r="O203" s="441" t="n">
        <v>45936</v>
      </c>
      <c r="P203" s="441" t="n">
        <v>45973</v>
      </c>
      <c r="Q203" s="425">
        <f>IF(P203="","",TODAY()-P203)</f>
        <v/>
      </c>
      <c r="R203" s="441">
        <f>IF(OR(L203="Passed",Z203=""),"",P203+Z203)</f>
        <v/>
      </c>
      <c r="S203" s="425">
        <f>IF(OR(R203="",L203="Passed"),"",IF(R203&lt;=TODAY(),"DUE",IF(R203&lt;=TODAY()+3,"Next 3 Days","Later")))</f>
        <v/>
      </c>
      <c r="T203" s="425" t="inlineStr"/>
      <c r="U203" s="426" t="inlineStr">
        <is>
          <t>https://www.linkedin.com/in/fernandomartinscybersecurity</t>
        </is>
      </c>
      <c r="V203" s="426" t="inlineStr"/>
      <c r="W203" s="428" t="inlineStr">
        <is>
          <t xml:space="preserve"> | 12/30/2025 | </t>
        </is>
      </c>
      <c r="X203" s="425" t="inlineStr">
        <is>
          <t>John - Investor Contacts!744</t>
        </is>
      </c>
      <c r="Y203" s="426" t="inlineStr">
        <is>
          <t>Send next follow-up with traction + CTA</t>
        </is>
      </c>
      <c r="Z203" s="425" t="n">
        <v>7</v>
      </c>
      <c r="AA203" s="425">
        <f>IF(AC203="Archived",0,ROUND((IF(N203="Tier 1",35,IF(N203="Tier 2",20,8))+IF(C203="Financial Investor",15,IF(C203="Intermediary / Banker",12,8))+IF(L203="Term Sheet / Proposal",25,IF(L203="Engaged",20,IF(L203="Meeting Requested",18,IF(L203="Meeting Held",14,IF(L203="Follow Up",10,5)))))+MIN(Q203,30)+IF(S203="DUE",15,IF(S203="Next 3 Days",8,0))),0))</f>
        <v/>
      </c>
      <c r="AB203" s="425">
        <f>IF(AND(AC203="Active",OR(N203="Tier 1",N203="Tier 2"),OR(S203="DUE",S203="Next 3 Days")),"YES","")</f>
        <v/>
      </c>
      <c r="AC203" s="425">
        <f>IF(L203="Passed","Archived","Active")</f>
        <v/>
      </c>
    </row>
    <row r="204">
      <c r="A204" s="425" t="inlineStr">
        <is>
          <t>EXOS-0203</t>
        </is>
      </c>
      <c r="B204" s="425" t="inlineStr">
        <is>
          <t>John - Investor Contacts</t>
        </is>
      </c>
      <c r="C204" s="425" t="inlineStr">
        <is>
          <t>Financial Investor</t>
        </is>
      </c>
      <c r="D204" s="425" t="inlineStr">
        <is>
          <t>Bright Pixel Capital</t>
        </is>
      </c>
      <c r="E204" s="425" t="inlineStr">
        <is>
          <t>Filipa Costa</t>
        </is>
      </c>
      <c r="F204" s="425" t="inlineStr"/>
      <c r="G204" s="111" t="inlineStr">
        <is>
          <t>filipa.costa@brpx.com</t>
        </is>
      </c>
      <c r="H204" s="425" t="inlineStr"/>
      <c r="I204" s="425" t="inlineStr"/>
      <c r="J204" s="111" t="inlineStr">
        <is>
          <t>https://www.linkedin.com/in/filipa-costa-64a20968/</t>
        </is>
      </c>
      <c r="K204" s="426" t="inlineStr">
        <is>
          <t>John Quinn</t>
        </is>
      </c>
      <c r="L204" s="426" t="inlineStr">
        <is>
          <t>Follow Up</t>
        </is>
      </c>
      <c r="M204" s="425" t="inlineStr">
        <is>
          <t>Space / Defense / Aerospace / Advanced Manufacturing</t>
        </is>
      </c>
      <c r="N204" s="426" t="inlineStr">
        <is>
          <t>Tier 2</t>
        </is>
      </c>
      <c r="O204" s="441" t="n">
        <v>45936</v>
      </c>
      <c r="P204" s="441" t="n">
        <v>45973</v>
      </c>
      <c r="Q204" s="425">
        <f>IF(P204="","",TODAY()-P204)</f>
        <v/>
      </c>
      <c r="R204" s="441">
        <f>IF(OR(L204="Passed",Z204=""),"",P204+Z204)</f>
        <v/>
      </c>
      <c r="S204" s="425">
        <f>IF(OR(R204="",L204="Passed"),"",IF(R204&lt;=TODAY(),"DUE",IF(R204&lt;=TODAY()+3,"Next 3 Days","Later")))</f>
        <v/>
      </c>
      <c r="T204" s="425" t="inlineStr"/>
      <c r="U204" s="426" t="inlineStr">
        <is>
          <t>https://www.linkedin.com/in/filipa-costa-64a20968/</t>
        </is>
      </c>
      <c r="V204" s="426" t="inlineStr"/>
      <c r="W204" s="428" t="inlineStr">
        <is>
          <t xml:space="preserve"> | 12/30/2025 | </t>
        </is>
      </c>
      <c r="X204" s="425" t="inlineStr">
        <is>
          <t>John - Investor Contacts!745</t>
        </is>
      </c>
      <c r="Y204" s="426" t="inlineStr">
        <is>
          <t>Send next follow-up with traction + CTA</t>
        </is>
      </c>
      <c r="Z204" s="425" t="n">
        <v>7</v>
      </c>
      <c r="AA204" s="425">
        <f>IF(AC204="Archived",0,ROUND((IF(N204="Tier 1",35,IF(N204="Tier 2",20,8))+IF(C204="Financial Investor",15,IF(C204="Intermediary / Banker",12,8))+IF(L204="Term Sheet / Proposal",25,IF(L204="Engaged",20,IF(L204="Meeting Requested",18,IF(L204="Meeting Held",14,IF(L204="Follow Up",10,5)))))+MIN(Q204,30)+IF(S204="DUE",15,IF(S204="Next 3 Days",8,0))),0))</f>
        <v/>
      </c>
      <c r="AB204" s="425">
        <f>IF(AND(AC204="Active",OR(N204="Tier 1",N204="Tier 2"),OR(S204="DUE",S204="Next 3 Days")),"YES","")</f>
        <v/>
      </c>
      <c r="AC204" s="425">
        <f>IF(L204="Passed","Archived","Active")</f>
        <v/>
      </c>
    </row>
    <row r="205">
      <c r="A205" s="425" t="inlineStr">
        <is>
          <t>EXOS-0204</t>
        </is>
      </c>
      <c r="B205" s="425" t="inlineStr">
        <is>
          <t>OSC</t>
        </is>
      </c>
      <c r="C205" s="425" t="inlineStr">
        <is>
          <t>Financial Investor</t>
        </is>
      </c>
      <c r="D205" s="425" t="inlineStr">
        <is>
          <t>Brightstar Capital Partners</t>
        </is>
      </c>
      <c r="E205" s="425" t="inlineStr"/>
      <c r="F205" s="425" t="inlineStr"/>
      <c r="G205" s="111" t="inlineStr">
        <is>
          <t>info@brightstarcp.com</t>
        </is>
      </c>
      <c r="H205" s="425" t="inlineStr"/>
      <c r="I205" s="425" t="inlineStr"/>
      <c r="J205" s="425" t="inlineStr"/>
      <c r="K205" s="426" t="inlineStr">
        <is>
          <t>John Quinn</t>
        </is>
      </c>
      <c r="L205" s="426" t="inlineStr">
        <is>
          <t>Follow Up</t>
        </is>
      </c>
      <c r="M205" s="425" t="inlineStr">
        <is>
          <t>Space / Defense / Aerospace / Advanced Manufacturing</t>
        </is>
      </c>
      <c r="N205" s="426" t="inlineStr">
        <is>
          <t>Tier 2</t>
        </is>
      </c>
      <c r="O205" s="441" t="n">
        <v>45854</v>
      </c>
      <c r="P205" s="441" t="n">
        <v>45922</v>
      </c>
      <c r="Q205" s="425">
        <f>IF(P205="","",TODAY()-P205)</f>
        <v/>
      </c>
      <c r="R205" s="441">
        <f>IF(OR(L205="Passed",Z205=""),"",P205+Z205)</f>
        <v/>
      </c>
      <c r="S205" s="425">
        <f>IF(OR(R205="",L205="Passed"),"",IF(R205&lt;=TODAY(),"DUE",IF(R205&lt;=TODAY()+3,"Next 3 Days","Later")))</f>
        <v/>
      </c>
      <c r="T205" s="425" t="inlineStr"/>
      <c r="U205" s="426" t="inlineStr"/>
      <c r="V205" s="426" t="inlineStr"/>
      <c r="W205" s="428" t="inlineStr"/>
      <c r="X205" s="425" t="inlineStr">
        <is>
          <t>OSC!54</t>
        </is>
      </c>
      <c r="Y205" s="426" t="inlineStr">
        <is>
          <t>Send next follow-up with traction + CTA</t>
        </is>
      </c>
      <c r="Z205" s="425" t="n">
        <v>7</v>
      </c>
      <c r="AA205" s="425">
        <f>IF(AC205="Archived",0,ROUND((IF(N205="Tier 1",35,IF(N205="Tier 2",20,8))+IF(C205="Financial Investor",15,IF(C205="Intermediary / Banker",12,8))+IF(L205="Term Sheet / Proposal",25,IF(L205="Engaged",20,IF(L205="Meeting Requested",18,IF(L205="Meeting Held",14,IF(L205="Follow Up",10,5)))))+MIN(Q205,30)+IF(S205="DUE",15,IF(S205="Next 3 Days",8,0))),0))</f>
        <v/>
      </c>
      <c r="AB205" s="425">
        <f>IF(AND(AC205="Active",OR(N205="Tier 1",N205="Tier 2"),OR(S205="DUE",S205="Next 3 Days")),"YES","")</f>
        <v/>
      </c>
      <c r="AC205" s="425">
        <f>IF(L205="Passed","Archived","Active")</f>
        <v/>
      </c>
    </row>
    <row r="206">
      <c r="A206" s="425" t="inlineStr">
        <is>
          <t>EXOS-0205</t>
        </is>
      </c>
      <c r="B206" s="425" t="inlineStr">
        <is>
          <t>OSC</t>
        </is>
      </c>
      <c r="C206" s="425" t="inlineStr">
        <is>
          <t>Financial Investor</t>
        </is>
      </c>
      <c r="D206" s="425" t="inlineStr">
        <is>
          <t>Brightstar Capital Partners</t>
        </is>
      </c>
      <c r="E206" s="425" t="inlineStr">
        <is>
          <t>Andrew Weinberg</t>
        </is>
      </c>
      <c r="F206" s="425" t="inlineStr"/>
      <c r="G206" s="111" t="inlineStr">
        <is>
          <t>andrew@brightstarcp.com</t>
        </is>
      </c>
      <c r="H206" s="425" t="inlineStr"/>
      <c r="I206" s="425" t="inlineStr">
        <is>
          <t>212.430.2510 (m) and 212.430.2510</t>
        </is>
      </c>
      <c r="J206" s="425" t="inlineStr"/>
      <c r="K206" s="426" t="inlineStr">
        <is>
          <t>John Quinn</t>
        </is>
      </c>
      <c r="L206" s="426" t="inlineStr">
        <is>
          <t>Follow Up</t>
        </is>
      </c>
      <c r="M206" s="425" t="inlineStr">
        <is>
          <t>Space / Defense / Aerospace / Advanced Manufacturing</t>
        </is>
      </c>
      <c r="N206" s="426" t="inlineStr">
        <is>
          <t>Tier 2</t>
        </is>
      </c>
      <c r="O206" s="441" t="n">
        <v>45854</v>
      </c>
      <c r="P206" s="441" t="n">
        <v>45922</v>
      </c>
      <c r="Q206" s="425">
        <f>IF(P206="","",TODAY()-P206)</f>
        <v/>
      </c>
      <c r="R206" s="441">
        <f>IF(OR(L206="Passed",Z206=""),"",P206+Z206)</f>
        <v/>
      </c>
      <c r="S206" s="425">
        <f>IF(OR(R206="",L206="Passed"),"",IF(R206&lt;=TODAY(),"DUE",IF(R206&lt;=TODAY()+3,"Next 3 Days","Later")))</f>
        <v/>
      </c>
      <c r="T206" s="425" t="inlineStr"/>
      <c r="U206" s="426" t="inlineStr"/>
      <c r="V206" s="426" t="inlineStr"/>
      <c r="W206" s="428" t="inlineStr"/>
      <c r="X206" s="425" t="inlineStr">
        <is>
          <t>OSC!49</t>
        </is>
      </c>
      <c r="Y206" s="426" t="inlineStr">
        <is>
          <t>Send next follow-up with traction + CTA</t>
        </is>
      </c>
      <c r="Z206" s="425" t="n">
        <v>7</v>
      </c>
      <c r="AA206" s="425">
        <f>IF(AC206="Archived",0,ROUND((IF(N206="Tier 1",35,IF(N206="Tier 2",20,8))+IF(C206="Financial Investor",15,IF(C206="Intermediary / Banker",12,8))+IF(L206="Term Sheet / Proposal",25,IF(L206="Engaged",20,IF(L206="Meeting Requested",18,IF(L206="Meeting Held",14,IF(L206="Follow Up",10,5)))))+MIN(Q206,30)+IF(S206="DUE",15,IF(S206="Next 3 Days",8,0))),0))</f>
        <v/>
      </c>
      <c r="AB206" s="425">
        <f>IF(AND(AC206="Active",OR(N206="Tier 1",N206="Tier 2"),OR(S206="DUE",S206="Next 3 Days")),"YES","")</f>
        <v/>
      </c>
      <c r="AC206" s="425">
        <f>IF(L206="Passed","Archived","Active")</f>
        <v/>
      </c>
    </row>
    <row r="207">
      <c r="A207" s="425" t="inlineStr">
        <is>
          <t>EXOS-0206</t>
        </is>
      </c>
      <c r="B207" s="425" t="inlineStr">
        <is>
          <t>OSC</t>
        </is>
      </c>
      <c r="C207" s="425" t="inlineStr">
        <is>
          <t>Financial Investor</t>
        </is>
      </c>
      <c r="D207" s="425" t="inlineStr">
        <is>
          <t>Brightstar Capital Partners</t>
        </is>
      </c>
      <c r="E207" s="425" t="inlineStr">
        <is>
          <t>Bruce Roberson</t>
        </is>
      </c>
      <c r="F207" s="425" t="inlineStr"/>
      <c r="G207" s="111" t="inlineStr">
        <is>
          <t>broberson@brightstarcp.com</t>
        </is>
      </c>
      <c r="H207" s="425" t="inlineStr"/>
      <c r="I207" s="425" t="inlineStr">
        <is>
          <t>214.649.5424 (m) and 212.430.2500</t>
        </is>
      </c>
      <c r="J207" s="425" t="inlineStr"/>
      <c r="K207" s="426" t="inlineStr">
        <is>
          <t>John Quinn</t>
        </is>
      </c>
      <c r="L207" s="426" t="inlineStr">
        <is>
          <t>Follow Up</t>
        </is>
      </c>
      <c r="M207" s="425" t="inlineStr">
        <is>
          <t>Space / Defense / Aerospace / Advanced Manufacturing</t>
        </is>
      </c>
      <c r="N207" s="426" t="inlineStr">
        <is>
          <t>Tier 2</t>
        </is>
      </c>
      <c r="O207" s="441" t="n">
        <v>45854</v>
      </c>
      <c r="P207" s="441" t="n">
        <v>45922</v>
      </c>
      <c r="Q207" s="425">
        <f>IF(P207="","",TODAY()-P207)</f>
        <v/>
      </c>
      <c r="R207" s="441">
        <f>IF(OR(L207="Passed",Z207=""),"",P207+Z207)</f>
        <v/>
      </c>
      <c r="S207" s="425">
        <f>IF(OR(R207="",L207="Passed"),"",IF(R207&lt;=TODAY(),"DUE",IF(R207&lt;=TODAY()+3,"Next 3 Days","Later")))</f>
        <v/>
      </c>
      <c r="T207" s="425" t="inlineStr"/>
      <c r="U207" s="426" t="inlineStr"/>
      <c r="V207" s="426" t="inlineStr"/>
      <c r="W207" s="428" t="inlineStr"/>
      <c r="X207" s="425" t="inlineStr">
        <is>
          <t>OSC!51</t>
        </is>
      </c>
      <c r="Y207" s="426" t="inlineStr">
        <is>
          <t>Send next follow-up with traction + CTA</t>
        </is>
      </c>
      <c r="Z207" s="425" t="n">
        <v>7</v>
      </c>
      <c r="AA207" s="425">
        <f>IF(AC207="Archived",0,ROUND((IF(N207="Tier 1",35,IF(N207="Tier 2",20,8))+IF(C207="Financial Investor",15,IF(C207="Intermediary / Banker",12,8))+IF(L207="Term Sheet / Proposal",25,IF(L207="Engaged",20,IF(L207="Meeting Requested",18,IF(L207="Meeting Held",14,IF(L207="Follow Up",10,5)))))+MIN(Q207,30)+IF(S207="DUE",15,IF(S207="Next 3 Days",8,0))),0))</f>
        <v/>
      </c>
      <c r="AB207" s="425">
        <f>IF(AND(AC207="Active",OR(N207="Tier 1",N207="Tier 2"),OR(S207="DUE",S207="Next 3 Days")),"YES","")</f>
        <v/>
      </c>
      <c r="AC207" s="425">
        <f>IF(L207="Passed","Archived","Active")</f>
        <v/>
      </c>
    </row>
    <row r="208">
      <c r="A208" s="425" t="inlineStr">
        <is>
          <t>EXOS-0207</t>
        </is>
      </c>
      <c r="B208" s="425" t="inlineStr">
        <is>
          <t>OSC</t>
        </is>
      </c>
      <c r="C208" s="425" t="inlineStr">
        <is>
          <t>Financial Investor</t>
        </is>
      </c>
      <c r="D208" s="425" t="inlineStr">
        <is>
          <t>Brightstar Capital Partners</t>
        </is>
      </c>
      <c r="E208" s="425" t="inlineStr">
        <is>
          <t>Kevin Deemer</t>
        </is>
      </c>
      <c r="F208" s="425" t="inlineStr"/>
      <c r="G208" s="111" t="inlineStr">
        <is>
          <t>kdeemer@brightstarcp.com</t>
        </is>
      </c>
      <c r="H208" s="425" t="inlineStr"/>
      <c r="I208" s="425" t="inlineStr"/>
      <c r="J208" s="425" t="inlineStr"/>
      <c r="K208" s="426" t="inlineStr">
        <is>
          <t>John Quinn</t>
        </is>
      </c>
      <c r="L208" s="426" t="inlineStr">
        <is>
          <t>Follow Up</t>
        </is>
      </c>
      <c r="M208" s="425" t="inlineStr">
        <is>
          <t>Space / Defense / Aerospace / Advanced Manufacturing</t>
        </is>
      </c>
      <c r="N208" s="426" t="inlineStr">
        <is>
          <t>Tier 2</t>
        </is>
      </c>
      <c r="O208" s="441" t="n">
        <v>45854</v>
      </c>
      <c r="P208" s="441" t="n">
        <v>45922</v>
      </c>
      <c r="Q208" s="425">
        <f>IF(P208="","",TODAY()-P208)</f>
        <v/>
      </c>
      <c r="R208" s="441">
        <f>IF(OR(L208="Passed",Z208=""),"",P208+Z208)</f>
        <v/>
      </c>
      <c r="S208" s="425">
        <f>IF(OR(R208="",L208="Passed"),"",IF(R208&lt;=TODAY(),"DUE",IF(R208&lt;=TODAY()+3,"Next 3 Days","Later")))</f>
        <v/>
      </c>
      <c r="T208" s="425" t="inlineStr"/>
      <c r="U208" s="426" t="inlineStr"/>
      <c r="V208" s="426" t="inlineStr"/>
      <c r="W208" s="428" t="inlineStr"/>
      <c r="X208" s="425" t="inlineStr">
        <is>
          <t>OSC!53</t>
        </is>
      </c>
      <c r="Y208" s="426" t="inlineStr">
        <is>
          <t>Send next follow-up with traction + CTA</t>
        </is>
      </c>
      <c r="Z208" s="425" t="n">
        <v>7</v>
      </c>
      <c r="AA208" s="425">
        <f>IF(AC208="Archived",0,ROUND((IF(N208="Tier 1",35,IF(N208="Tier 2",20,8))+IF(C208="Financial Investor",15,IF(C208="Intermediary / Banker",12,8))+IF(L208="Term Sheet / Proposal",25,IF(L208="Engaged",20,IF(L208="Meeting Requested",18,IF(L208="Meeting Held",14,IF(L208="Follow Up",10,5)))))+MIN(Q208,30)+IF(S208="DUE",15,IF(S208="Next 3 Days",8,0))),0))</f>
        <v/>
      </c>
      <c r="AB208" s="425">
        <f>IF(AND(AC208="Active",OR(N208="Tier 1",N208="Tier 2"),OR(S208="DUE",S208="Next 3 Days")),"YES","")</f>
        <v/>
      </c>
      <c r="AC208" s="425">
        <f>IF(L208="Passed","Archived","Active")</f>
        <v/>
      </c>
    </row>
    <row r="209">
      <c r="A209" s="425" t="inlineStr">
        <is>
          <t>EXOS-0208</t>
        </is>
      </c>
      <c r="B209" s="425" t="inlineStr">
        <is>
          <t>OSC</t>
        </is>
      </c>
      <c r="C209" s="425" t="inlineStr">
        <is>
          <t>Financial Investor</t>
        </is>
      </c>
      <c r="D209" s="425" t="inlineStr">
        <is>
          <t>Brightstar Capital Partners</t>
        </is>
      </c>
      <c r="E209" s="425" t="inlineStr">
        <is>
          <t>Michael Singer</t>
        </is>
      </c>
      <c r="F209" s="425" t="inlineStr"/>
      <c r="G209" s="111" t="inlineStr">
        <is>
          <t>msinger@brightstarcp.com</t>
        </is>
      </c>
      <c r="H209" s="425" t="inlineStr"/>
      <c r="I209" s="425" t="inlineStr">
        <is>
          <t>305.921.1477 (m) and 212.430.2500</t>
        </is>
      </c>
      <c r="J209" s="425" t="inlineStr"/>
      <c r="K209" s="426" t="inlineStr">
        <is>
          <t>John Quinn</t>
        </is>
      </c>
      <c r="L209" s="426" t="inlineStr">
        <is>
          <t>Follow Up</t>
        </is>
      </c>
      <c r="M209" s="425" t="inlineStr">
        <is>
          <t>Space / Defense / Aerospace / Advanced Manufacturing</t>
        </is>
      </c>
      <c r="N209" s="426" t="inlineStr">
        <is>
          <t>Tier 2</t>
        </is>
      </c>
      <c r="O209" s="441" t="n">
        <v>45854</v>
      </c>
      <c r="P209" s="441" t="n">
        <v>45922</v>
      </c>
      <c r="Q209" s="425">
        <f>IF(P209="","",TODAY()-P209)</f>
        <v/>
      </c>
      <c r="R209" s="441">
        <f>IF(OR(L209="Passed",Z209=""),"",P209+Z209)</f>
        <v/>
      </c>
      <c r="S209" s="425">
        <f>IF(OR(R209="",L209="Passed"),"",IF(R209&lt;=TODAY(),"DUE",IF(R209&lt;=TODAY()+3,"Next 3 Days","Later")))</f>
        <v/>
      </c>
      <c r="T209" s="425" t="inlineStr"/>
      <c r="U209" s="426" t="inlineStr"/>
      <c r="V209" s="426" t="inlineStr"/>
      <c r="W209" s="428" t="inlineStr"/>
      <c r="X209" s="425" t="inlineStr">
        <is>
          <t>OSC!50</t>
        </is>
      </c>
      <c r="Y209" s="426" t="inlineStr">
        <is>
          <t>Send next follow-up with traction + CTA</t>
        </is>
      </c>
      <c r="Z209" s="425" t="n">
        <v>7</v>
      </c>
      <c r="AA209" s="425">
        <f>IF(AC209="Archived",0,ROUND((IF(N209="Tier 1",35,IF(N209="Tier 2",20,8))+IF(C209="Financial Investor",15,IF(C209="Intermediary / Banker",12,8))+IF(L209="Term Sheet / Proposal",25,IF(L209="Engaged",20,IF(L209="Meeting Requested",18,IF(L209="Meeting Held",14,IF(L209="Follow Up",10,5)))))+MIN(Q209,30)+IF(S209="DUE",15,IF(S209="Next 3 Days",8,0))),0))</f>
        <v/>
      </c>
      <c r="AB209" s="425">
        <f>IF(AND(AC209="Active",OR(N209="Tier 1",N209="Tier 2"),OR(S209="DUE",S209="Next 3 Days")),"YES","")</f>
        <v/>
      </c>
      <c r="AC209" s="425">
        <f>IF(L209="Passed","Archived","Active")</f>
        <v/>
      </c>
    </row>
    <row r="210">
      <c r="A210" s="425" t="inlineStr">
        <is>
          <t>EXOS-0209</t>
        </is>
      </c>
      <c r="B210" s="425" t="inlineStr">
        <is>
          <t>OSC</t>
        </is>
      </c>
      <c r="C210" s="425" t="inlineStr">
        <is>
          <t>Financial Investor</t>
        </is>
      </c>
      <c r="D210" s="425" t="inlineStr">
        <is>
          <t>Brightstar Capital Partners</t>
        </is>
      </c>
      <c r="E210" s="425" t="inlineStr">
        <is>
          <t>Shana Bochinis</t>
        </is>
      </c>
      <c r="F210" s="425" t="inlineStr"/>
      <c r="G210" s="111" t="inlineStr">
        <is>
          <t>shana@brightstarcp.com</t>
        </is>
      </c>
      <c r="H210" s="425" t="inlineStr"/>
      <c r="I210" s="425" t="inlineStr"/>
      <c r="J210" s="425" t="inlineStr"/>
      <c r="K210" s="426" t="inlineStr">
        <is>
          <t>John Quinn</t>
        </is>
      </c>
      <c r="L210" s="426" t="inlineStr">
        <is>
          <t>Follow Up</t>
        </is>
      </c>
      <c r="M210" s="425" t="inlineStr">
        <is>
          <t>Space / Defense / Aerospace / Advanced Manufacturing</t>
        </is>
      </c>
      <c r="N210" s="426" t="inlineStr">
        <is>
          <t>Tier 2</t>
        </is>
      </c>
      <c r="O210" s="441" t="n">
        <v>45854</v>
      </c>
      <c r="P210" s="441" t="n">
        <v>45922</v>
      </c>
      <c r="Q210" s="425">
        <f>IF(P210="","",TODAY()-P210)</f>
        <v/>
      </c>
      <c r="R210" s="441">
        <f>IF(OR(L210="Passed",Z210=""),"",P210+Z210)</f>
        <v/>
      </c>
      <c r="S210" s="425">
        <f>IF(OR(R210="",L210="Passed"),"",IF(R210&lt;=TODAY(),"DUE",IF(R210&lt;=TODAY()+3,"Next 3 Days","Later")))</f>
        <v/>
      </c>
      <c r="T210" s="425" t="inlineStr"/>
      <c r="U210" s="426" t="inlineStr"/>
      <c r="V210" s="426" t="inlineStr"/>
      <c r="W210" s="428" t="inlineStr"/>
      <c r="X210" s="425" t="inlineStr">
        <is>
          <t>OSC!52</t>
        </is>
      </c>
      <c r="Y210" s="426" t="inlineStr">
        <is>
          <t>Send next follow-up with traction + CTA</t>
        </is>
      </c>
      <c r="Z210" s="425" t="n">
        <v>7</v>
      </c>
      <c r="AA210" s="425">
        <f>IF(AC210="Archived",0,ROUND((IF(N210="Tier 1",35,IF(N210="Tier 2",20,8))+IF(C210="Financial Investor",15,IF(C210="Intermediary / Banker",12,8))+IF(L210="Term Sheet / Proposal",25,IF(L210="Engaged",20,IF(L210="Meeting Requested",18,IF(L210="Meeting Held",14,IF(L210="Follow Up",10,5)))))+MIN(Q210,30)+IF(S210="DUE",15,IF(S210="Next 3 Days",8,0))),0))</f>
        <v/>
      </c>
      <c r="AB210" s="425">
        <f>IF(AND(AC210="Active",OR(N210="Tier 1",N210="Tier 2"),OR(S210="DUE",S210="Next 3 Days")),"YES","")</f>
        <v/>
      </c>
      <c r="AC210" s="425">
        <f>IF(L210="Passed","Archived","Active")</f>
        <v/>
      </c>
    </row>
    <row r="211">
      <c r="A211" s="425" t="inlineStr">
        <is>
          <t>EXOS-0210</t>
        </is>
      </c>
      <c r="B211" s="425" t="inlineStr">
        <is>
          <t>John - Investor Contacts</t>
        </is>
      </c>
      <c r="C211" s="425" t="inlineStr">
        <is>
          <t>Financial Investor</t>
        </is>
      </c>
      <c r="D211" s="425" t="inlineStr">
        <is>
          <t>BuildGroup</t>
        </is>
      </c>
      <c r="E211" s="425" t="inlineStr">
        <is>
          <t>Eric Levine</t>
        </is>
      </c>
      <c r="F211" s="425" t="inlineStr"/>
      <c r="G211" s="111" t="inlineStr">
        <is>
          <t>eric@buildgroup.com</t>
        </is>
      </c>
      <c r="H211" s="425" t="inlineStr"/>
      <c r="I211" s="425" t="inlineStr"/>
      <c r="J211" s="425" t="inlineStr"/>
      <c r="K211" s="426" t="inlineStr">
        <is>
          <t>John Quinn</t>
        </is>
      </c>
      <c r="L211" s="426" t="inlineStr">
        <is>
          <t>Follow Up</t>
        </is>
      </c>
      <c r="M211" s="425" t="inlineStr">
        <is>
          <t>Space / Defense / Aerospace / Advanced Manufacturing</t>
        </is>
      </c>
      <c r="N211" s="426" t="inlineStr">
        <is>
          <t>Tier 2</t>
        </is>
      </c>
      <c r="O211" s="441" t="n">
        <v>45872</v>
      </c>
      <c r="P211" s="441" t="n">
        <v>45890</v>
      </c>
      <c r="Q211" s="425">
        <f>IF(P211="","",TODAY()-P211)</f>
        <v/>
      </c>
      <c r="R211" s="441">
        <f>IF(OR(L211="Passed",Z211=""),"",P211+Z211)</f>
        <v/>
      </c>
      <c r="S211" s="425">
        <f>IF(OR(R211="",L211="Passed"),"",IF(R211&lt;=TODAY(),"DUE",IF(R211&lt;=TODAY()+3,"Next 3 Days","Later")))</f>
        <v/>
      </c>
      <c r="T211" s="425" t="inlineStr"/>
      <c r="U211" s="426" t="inlineStr">
        <is>
          <t>linkedin.com/in/eric-levine-740923a3</t>
        </is>
      </c>
      <c r="V211" s="426" t="inlineStr"/>
      <c r="W211" s="428" t="inlineStr">
        <is>
          <t xml:space="preserve"> | 12/29/2025 | </t>
        </is>
      </c>
      <c r="X211" s="425" t="inlineStr">
        <is>
          <t>John - Investor Contacts!439</t>
        </is>
      </c>
      <c r="Y211" s="426" t="inlineStr">
        <is>
          <t>Send next follow-up with traction + CTA</t>
        </is>
      </c>
      <c r="Z211" s="425" t="n">
        <v>7</v>
      </c>
      <c r="AA211" s="425">
        <f>IF(AC211="Archived",0,ROUND((IF(N211="Tier 1",35,IF(N211="Tier 2",20,8))+IF(C211="Financial Investor",15,IF(C211="Intermediary / Banker",12,8))+IF(L211="Term Sheet / Proposal",25,IF(L211="Engaged",20,IF(L211="Meeting Requested",18,IF(L211="Meeting Held",14,IF(L211="Follow Up",10,5)))))+MIN(Q211,30)+IF(S211="DUE",15,IF(S211="Next 3 Days",8,0))),0))</f>
        <v/>
      </c>
      <c r="AB211" s="425">
        <f>IF(AND(AC211="Active",OR(N211="Tier 1",N211="Tier 2"),OR(S211="DUE",S211="Next 3 Days")),"YES","")</f>
        <v/>
      </c>
      <c r="AC211" s="425">
        <f>IF(L211="Passed","Archived","Active")</f>
        <v/>
      </c>
    </row>
    <row r="212">
      <c r="A212" s="425" t="inlineStr">
        <is>
          <t>EXOS-0211</t>
        </is>
      </c>
      <c r="B212" s="425" t="inlineStr">
        <is>
          <t>John - Investor Contacts</t>
        </is>
      </c>
      <c r="C212" s="425" t="inlineStr">
        <is>
          <t>Financial Investor</t>
        </is>
      </c>
      <c r="D212" s="425" t="inlineStr">
        <is>
          <t>BuildGroup</t>
        </is>
      </c>
      <c r="E212" s="425" t="inlineStr">
        <is>
          <t>Jim Curry</t>
        </is>
      </c>
      <c r="F212" s="425" t="inlineStr"/>
      <c r="G212" s="111" t="inlineStr">
        <is>
          <t>jim@buildgroup.com</t>
        </is>
      </c>
      <c r="H212" s="425" t="inlineStr"/>
      <c r="I212" s="425" t="inlineStr"/>
      <c r="J212" s="425" t="inlineStr"/>
      <c r="K212" s="426" t="inlineStr">
        <is>
          <t>John Quinn</t>
        </is>
      </c>
      <c r="L212" s="426" t="inlineStr">
        <is>
          <t>Follow Up</t>
        </is>
      </c>
      <c r="M212" s="425" t="inlineStr">
        <is>
          <t>Space / Defense / Aerospace / Advanced Manufacturing</t>
        </is>
      </c>
      <c r="N212" s="426" t="inlineStr">
        <is>
          <t>Tier 2</t>
        </is>
      </c>
      <c r="O212" s="441" t="n">
        <v>45872</v>
      </c>
      <c r="P212" s="441" t="n">
        <v>45890</v>
      </c>
      <c r="Q212" s="425">
        <f>IF(P212="","",TODAY()-P212)</f>
        <v/>
      </c>
      <c r="R212" s="441">
        <f>IF(OR(L212="Passed",Z212=""),"",P212+Z212)</f>
        <v/>
      </c>
      <c r="S212" s="425">
        <f>IF(OR(R212="",L212="Passed"),"",IF(R212&lt;=TODAY(),"DUE",IF(R212&lt;=TODAY()+3,"Next 3 Days","Later")))</f>
        <v/>
      </c>
      <c r="T212" s="425" t="inlineStr"/>
      <c r="U212" s="426" t="inlineStr">
        <is>
          <t>linkedin.com/in/jimncurry</t>
        </is>
      </c>
      <c r="V212" s="426" t="inlineStr"/>
      <c r="W212" s="428" t="inlineStr">
        <is>
          <t xml:space="preserve"> | 12/29/2025 | </t>
        </is>
      </c>
      <c r="X212" s="425" t="inlineStr">
        <is>
          <t>John - Investor Contacts!441</t>
        </is>
      </c>
      <c r="Y212" s="426" t="inlineStr">
        <is>
          <t>Send next follow-up with traction + CTA</t>
        </is>
      </c>
      <c r="Z212" s="425" t="n">
        <v>7</v>
      </c>
      <c r="AA212" s="425">
        <f>IF(AC212="Archived",0,ROUND((IF(N212="Tier 1",35,IF(N212="Tier 2",20,8))+IF(C212="Financial Investor",15,IF(C212="Intermediary / Banker",12,8))+IF(L212="Term Sheet / Proposal",25,IF(L212="Engaged",20,IF(L212="Meeting Requested",18,IF(L212="Meeting Held",14,IF(L212="Follow Up",10,5)))))+MIN(Q212,30)+IF(S212="DUE",15,IF(S212="Next 3 Days",8,0))),0))</f>
        <v/>
      </c>
      <c r="AB212" s="425">
        <f>IF(AND(AC212="Active",OR(N212="Tier 1",N212="Tier 2"),OR(S212="DUE",S212="Next 3 Days")),"YES","")</f>
        <v/>
      </c>
      <c r="AC212" s="425">
        <f>IF(L212="Passed","Archived","Active")</f>
        <v/>
      </c>
    </row>
    <row r="213">
      <c r="A213" s="425" t="inlineStr">
        <is>
          <t>EXOS-0212</t>
        </is>
      </c>
      <c r="B213" s="425" t="inlineStr">
        <is>
          <t>John - Investor Contacts</t>
        </is>
      </c>
      <c r="C213" s="425" t="inlineStr">
        <is>
          <t>Financial Investor</t>
        </is>
      </c>
      <c r="D213" s="425" t="inlineStr">
        <is>
          <t>BuildGroup</t>
        </is>
      </c>
      <c r="E213" s="425" t="inlineStr">
        <is>
          <t>Klee Kleber</t>
        </is>
      </c>
      <c r="F213" s="425" t="inlineStr"/>
      <c r="G213" s="111" t="inlineStr">
        <is>
          <t>klee@buildgroup.com</t>
        </is>
      </c>
      <c r="H213" s="425" t="inlineStr"/>
      <c r="I213" s="425" t="inlineStr"/>
      <c r="J213" s="425" t="inlineStr"/>
      <c r="K213" s="426" t="inlineStr">
        <is>
          <t>John Quinn</t>
        </is>
      </c>
      <c r="L213" s="426" t="inlineStr">
        <is>
          <t>Follow Up</t>
        </is>
      </c>
      <c r="M213" s="425" t="inlineStr">
        <is>
          <t>Space / Defense / Aerospace / Advanced Manufacturing</t>
        </is>
      </c>
      <c r="N213" s="426" t="inlineStr">
        <is>
          <t>Tier 2</t>
        </is>
      </c>
      <c r="O213" s="441" t="n">
        <v>45872</v>
      </c>
      <c r="P213" s="441" t="n">
        <v>45890</v>
      </c>
      <c r="Q213" s="425">
        <f>IF(P213="","",TODAY()-P213)</f>
        <v/>
      </c>
      <c r="R213" s="441">
        <f>IF(OR(L213="Passed",Z213=""),"",P213+Z213)</f>
        <v/>
      </c>
      <c r="S213" s="425">
        <f>IF(OR(R213="",L213="Passed"),"",IF(R213&lt;=TODAY(),"DUE",IF(R213&lt;=TODAY()+3,"Next 3 Days","Later")))</f>
        <v/>
      </c>
      <c r="T213" s="425" t="inlineStr"/>
      <c r="U213" s="426" t="inlineStr">
        <is>
          <t>linkedin.com/in/kleekleber</t>
        </is>
      </c>
      <c r="V213" s="426" t="inlineStr"/>
      <c r="W213" s="428" t="inlineStr">
        <is>
          <t xml:space="preserve"> | 12/29/2025 | </t>
        </is>
      </c>
      <c r="X213" s="425" t="inlineStr">
        <is>
          <t>John - Investor Contacts!440</t>
        </is>
      </c>
      <c r="Y213" s="426" t="inlineStr">
        <is>
          <t>Send next follow-up with traction + CTA</t>
        </is>
      </c>
      <c r="Z213" s="425" t="n">
        <v>7</v>
      </c>
      <c r="AA213" s="425">
        <f>IF(AC213="Archived",0,ROUND((IF(N213="Tier 1",35,IF(N213="Tier 2",20,8))+IF(C213="Financial Investor",15,IF(C213="Intermediary / Banker",12,8))+IF(L213="Term Sheet / Proposal",25,IF(L213="Engaged",20,IF(L213="Meeting Requested",18,IF(L213="Meeting Held",14,IF(L213="Follow Up",10,5)))))+MIN(Q213,30)+IF(S213="DUE",15,IF(S213="Next 3 Days",8,0))),0))</f>
        <v/>
      </c>
      <c r="AB213" s="425">
        <f>IF(AND(AC213="Active",OR(N213="Tier 1",N213="Tier 2"),OR(S213="DUE",S213="Next 3 Days")),"YES","")</f>
        <v/>
      </c>
      <c r="AC213" s="425">
        <f>IF(L213="Passed","Archived","Active")</f>
        <v/>
      </c>
    </row>
    <row r="214">
      <c r="A214" s="425" t="inlineStr">
        <is>
          <t>EXOS-0213</t>
        </is>
      </c>
      <c r="B214" s="425" t="inlineStr">
        <is>
          <t>John - Investor Contacts</t>
        </is>
      </c>
      <c r="C214" s="425" t="inlineStr">
        <is>
          <t>Financial Investor</t>
        </is>
      </c>
      <c r="D214" s="425" t="inlineStr">
        <is>
          <t>BuildGroup</t>
        </is>
      </c>
      <c r="E214" s="425" t="inlineStr">
        <is>
          <t>Lanham Napier</t>
        </is>
      </c>
      <c r="F214" s="425" t="inlineStr"/>
      <c r="G214" s="111" t="inlineStr">
        <is>
          <t>lanham@buildgroup.com</t>
        </is>
      </c>
      <c r="H214" s="425" t="inlineStr"/>
      <c r="I214" s="425" t="inlineStr"/>
      <c r="J214" s="111" t="inlineStr">
        <is>
          <t>https://www.linkedin.com/in/lanhamnapier/</t>
        </is>
      </c>
      <c r="K214" s="426" t="inlineStr">
        <is>
          <t>John Quinn</t>
        </is>
      </c>
      <c r="L214" s="426" t="inlineStr">
        <is>
          <t>Follow Up</t>
        </is>
      </c>
      <c r="M214" s="425" t="inlineStr">
        <is>
          <t>Space / Defense / Aerospace / Advanced Manufacturing</t>
        </is>
      </c>
      <c r="N214" s="426" t="inlineStr">
        <is>
          <t>Tier 2</t>
        </is>
      </c>
      <c r="O214" s="441" t="n">
        <v>45872</v>
      </c>
      <c r="P214" s="441" t="n">
        <v>45890</v>
      </c>
      <c r="Q214" s="425">
        <f>IF(P214="","",TODAY()-P214)</f>
        <v/>
      </c>
      <c r="R214" s="441">
        <f>IF(OR(L214="Passed",Z214=""),"",P214+Z214)</f>
        <v/>
      </c>
      <c r="S214" s="425">
        <f>IF(OR(R214="",L214="Passed"),"",IF(R214&lt;=TODAY(),"DUE",IF(R214&lt;=TODAY()+3,"Next 3 Days","Later")))</f>
        <v/>
      </c>
      <c r="T214" s="425" t="inlineStr"/>
      <c r="U214" s="426" t="inlineStr">
        <is>
          <t>https://www.linkedin.com/in/lanhamnapier/</t>
        </is>
      </c>
      <c r="V214" s="426" t="inlineStr"/>
      <c r="W214" s="428" t="inlineStr">
        <is>
          <t xml:space="preserve"> | 12/29/2025 | </t>
        </is>
      </c>
      <c r="X214" s="425" t="inlineStr">
        <is>
          <t>John - Investor Contacts!443</t>
        </is>
      </c>
      <c r="Y214" s="426" t="inlineStr">
        <is>
          <t>Send next follow-up with traction + CTA</t>
        </is>
      </c>
      <c r="Z214" s="425" t="n">
        <v>7</v>
      </c>
      <c r="AA214" s="425">
        <f>IF(AC214="Archived",0,ROUND((IF(N214="Tier 1",35,IF(N214="Tier 2",20,8))+IF(C214="Financial Investor",15,IF(C214="Intermediary / Banker",12,8))+IF(L214="Term Sheet / Proposal",25,IF(L214="Engaged",20,IF(L214="Meeting Requested",18,IF(L214="Meeting Held",14,IF(L214="Follow Up",10,5)))))+MIN(Q214,30)+IF(S214="DUE",15,IF(S214="Next 3 Days",8,0))),0))</f>
        <v/>
      </c>
      <c r="AB214" s="425">
        <f>IF(AND(AC214="Active",OR(N214="Tier 1",N214="Tier 2"),OR(S214="DUE",S214="Next 3 Days")),"YES","")</f>
        <v/>
      </c>
      <c r="AC214" s="425">
        <f>IF(L214="Passed","Archived","Active")</f>
        <v/>
      </c>
    </row>
    <row r="215">
      <c r="A215" s="425" t="inlineStr">
        <is>
          <t>EXOS-0214</t>
        </is>
      </c>
      <c r="B215" s="425" t="inlineStr">
        <is>
          <t>John - Investor Contacts</t>
        </is>
      </c>
      <c r="C215" s="425" t="inlineStr">
        <is>
          <t>Financial Investor</t>
        </is>
      </c>
      <c r="D215" s="425" t="inlineStr">
        <is>
          <t>BuildGroup</t>
        </is>
      </c>
      <c r="E215" s="425" t="inlineStr">
        <is>
          <t>Miguel Perez</t>
        </is>
      </c>
      <c r="F215" s="425" t="inlineStr"/>
      <c r="G215" s="111" t="inlineStr">
        <is>
          <t>miguel@buildgroup.com</t>
        </is>
      </c>
      <c r="H215" s="425" t="inlineStr"/>
      <c r="I215" s="425" t="inlineStr"/>
      <c r="J215" s="111" t="inlineStr">
        <is>
          <t>https://www.linkedin.com/in/miguel-perez-jr-6b650b67/</t>
        </is>
      </c>
      <c r="K215" s="426" t="inlineStr">
        <is>
          <t>John Quinn</t>
        </is>
      </c>
      <c r="L215" s="426" t="inlineStr">
        <is>
          <t>Follow Up</t>
        </is>
      </c>
      <c r="M215" s="425" t="inlineStr">
        <is>
          <t>Space / Defense / Aerospace / Advanced Manufacturing</t>
        </is>
      </c>
      <c r="N215" s="426" t="inlineStr">
        <is>
          <t>Tier 2</t>
        </is>
      </c>
      <c r="O215" s="441" t="n">
        <v>45872</v>
      </c>
      <c r="P215" s="441" t="n">
        <v>45890</v>
      </c>
      <c r="Q215" s="425">
        <f>IF(P215="","",TODAY()-P215)</f>
        <v/>
      </c>
      <c r="R215" s="441">
        <f>IF(OR(L215="Passed",Z215=""),"",P215+Z215)</f>
        <v/>
      </c>
      <c r="S215" s="425">
        <f>IF(OR(R215="",L215="Passed"),"",IF(R215&lt;=TODAY(),"DUE",IF(R215&lt;=TODAY()+3,"Next 3 Days","Later")))</f>
        <v/>
      </c>
      <c r="T215" s="425" t="inlineStr"/>
      <c r="U215" s="426" t="inlineStr">
        <is>
          <t>https://www.linkedin.com/in/miguel-perez-jr-6b650b67/</t>
        </is>
      </c>
      <c r="V215" s="426" t="inlineStr"/>
      <c r="W215" s="428" t="inlineStr">
        <is>
          <t xml:space="preserve"> | 12/29/2025 | </t>
        </is>
      </c>
      <c r="X215" s="425" t="inlineStr">
        <is>
          <t>John - Investor Contacts!442</t>
        </is>
      </c>
      <c r="Y215" s="426" t="inlineStr">
        <is>
          <t>Send next follow-up with traction + CTA</t>
        </is>
      </c>
      <c r="Z215" s="425" t="n">
        <v>7</v>
      </c>
      <c r="AA215" s="425">
        <f>IF(AC215="Archived",0,ROUND((IF(N215="Tier 1",35,IF(N215="Tier 2",20,8))+IF(C215="Financial Investor",15,IF(C215="Intermediary / Banker",12,8))+IF(L215="Term Sheet / Proposal",25,IF(L215="Engaged",20,IF(L215="Meeting Requested",18,IF(L215="Meeting Held",14,IF(L215="Follow Up",10,5)))))+MIN(Q215,30)+IF(S215="DUE",15,IF(S215="Next 3 Days",8,0))),0))</f>
        <v/>
      </c>
      <c r="AB215" s="425">
        <f>IF(AND(AC215="Active",OR(N215="Tier 1",N215="Tier 2"),OR(S215="DUE",S215="Next 3 Days")),"YES","")</f>
        <v/>
      </c>
      <c r="AC215" s="425">
        <f>IF(L215="Passed","Archived","Active")</f>
        <v/>
      </c>
    </row>
    <row r="216">
      <c r="A216" s="425" t="inlineStr">
        <is>
          <t>EXOS-0215</t>
        </is>
      </c>
      <c r="B216" s="425" t="inlineStr">
        <is>
          <t>John - Investor Contacts</t>
        </is>
      </c>
      <c r="C216" s="425" t="inlineStr">
        <is>
          <t>Financial Investor</t>
        </is>
      </c>
      <c r="D216" s="425" t="inlineStr">
        <is>
          <t>CEO</t>
        </is>
      </c>
      <c r="E216" s="425" t="inlineStr">
        <is>
          <t>Graeme Black</t>
        </is>
      </c>
      <c r="F216" s="425" t="inlineStr"/>
      <c r="G216" s="111" t="inlineStr">
        <is>
          <t>graeme.a.black.tu24@tuck.dartmouth.edu</t>
        </is>
      </c>
      <c r="H216" s="425" t="inlineStr"/>
      <c r="I216" s="425" t="inlineStr"/>
      <c r="J216" s="111" t="inlineStr">
        <is>
          <t>https://www.linkedin.com/in/graeme-a-black/</t>
        </is>
      </c>
      <c r="K216" s="426" t="inlineStr">
        <is>
          <t>John Quinn</t>
        </is>
      </c>
      <c r="L216" s="426" t="inlineStr">
        <is>
          <t>Follow Up</t>
        </is>
      </c>
      <c r="M216" s="425" t="inlineStr">
        <is>
          <t>Space / Defense / Aerospace / Advanced Manufacturing</t>
        </is>
      </c>
      <c r="N216" s="426" t="inlineStr">
        <is>
          <t>Tier 2</t>
        </is>
      </c>
      <c r="O216" s="441" t="n">
        <v>45974</v>
      </c>
      <c r="P216" s="441" t="n">
        <v>46037</v>
      </c>
      <c r="Q216" s="425">
        <f>IF(P216="","",TODAY()-P216)</f>
        <v/>
      </c>
      <c r="R216" s="441">
        <f>IF(OR(L216="Passed",Z216=""),"",P216+Z216)</f>
        <v/>
      </c>
      <c r="S216" s="425">
        <f>IF(OR(R216="",L216="Passed"),"",IF(R216&lt;=TODAY(),"DUE",IF(R216&lt;=TODAY()+3,"Next 3 Days","Later")))</f>
        <v/>
      </c>
      <c r="T216" s="425" t="inlineStr"/>
      <c r="U216" s="426" t="inlineStr">
        <is>
          <t>https://www.linkedin.com/in/graeme-a-black/</t>
        </is>
      </c>
      <c r="V216" s="426" t="inlineStr"/>
      <c r="W216" s="428" t="inlineStr">
        <is>
          <t xml:space="preserve"> |  | </t>
        </is>
      </c>
      <c r="X216" s="425" t="inlineStr">
        <is>
          <t>John - Investor Contacts!732</t>
        </is>
      </c>
      <c r="Y216" s="426" t="inlineStr">
        <is>
          <t>Send next follow-up with traction + CTA</t>
        </is>
      </c>
      <c r="Z216" s="425" t="n">
        <v>7</v>
      </c>
      <c r="AA216" s="425">
        <f>IF(AC216="Archived",0,ROUND((IF(N216="Tier 1",35,IF(N216="Tier 2",20,8))+IF(C216="Financial Investor",15,IF(C216="Intermediary / Banker",12,8))+IF(L216="Term Sheet / Proposal",25,IF(L216="Engaged",20,IF(L216="Meeting Requested",18,IF(L216="Meeting Held",14,IF(L216="Follow Up",10,5)))))+MIN(Q216,30)+IF(S216="DUE",15,IF(S216="Next 3 Days",8,0))),0))</f>
        <v/>
      </c>
      <c r="AB216" s="425">
        <f>IF(AND(AC216="Active",OR(N216="Tier 1",N216="Tier 2"),OR(S216="DUE",S216="Next 3 Days")),"YES","")</f>
        <v/>
      </c>
      <c r="AC216" s="425">
        <f>IF(L216="Passed","Archived","Active")</f>
        <v/>
      </c>
    </row>
    <row r="217">
      <c r="A217" s="425" t="inlineStr">
        <is>
          <t>EXOS-0216</t>
        </is>
      </c>
      <c r="B217" s="425" t="inlineStr">
        <is>
          <t>John - Investor Contacts</t>
        </is>
      </c>
      <c r="C217" s="425" t="inlineStr">
        <is>
          <t>Financial Investor</t>
        </is>
      </c>
      <c r="D217" s="425" t="inlineStr">
        <is>
          <t>CEO</t>
        </is>
      </c>
      <c r="E217" s="425" t="inlineStr">
        <is>
          <t>Mikael Lundman</t>
        </is>
      </c>
      <c r="F217" s="425" t="inlineStr"/>
      <c r="G217" s="111" t="inlineStr">
        <is>
          <t>mikael@exminvest.com</t>
        </is>
      </c>
      <c r="H217" s="425" t="inlineStr"/>
      <c r="I217" s="425" t="inlineStr"/>
      <c r="J217" s="111" t="inlineStr">
        <is>
          <t>https://www.linkedin.com/in/mikaellundman/</t>
        </is>
      </c>
      <c r="K217" s="426" t="inlineStr">
        <is>
          <t>John Quinn</t>
        </is>
      </c>
      <c r="L217" s="426" t="inlineStr">
        <is>
          <t>Follow Up</t>
        </is>
      </c>
      <c r="M217" s="425" t="inlineStr">
        <is>
          <t>Space / Defense / Aerospace / Advanced Manufacturing</t>
        </is>
      </c>
      <c r="N217" s="426" t="inlineStr">
        <is>
          <t>Tier 2</t>
        </is>
      </c>
      <c r="O217" s="441" t="n">
        <v>45974</v>
      </c>
      <c r="P217" s="441" t="n">
        <v>46037</v>
      </c>
      <c r="Q217" s="425">
        <f>IF(P217="","",TODAY()-P217)</f>
        <v/>
      </c>
      <c r="R217" s="441">
        <f>IF(OR(L217="Passed",Z217=""),"",P217+Z217)</f>
        <v/>
      </c>
      <c r="S217" s="425">
        <f>IF(OR(R217="",L217="Passed"),"",IF(R217&lt;=TODAY(),"DUE",IF(R217&lt;=TODAY()+3,"Next 3 Days","Later")))</f>
        <v/>
      </c>
      <c r="T217" s="425" t="inlineStr"/>
      <c r="U217" s="426" t="inlineStr">
        <is>
          <t>https://www.linkedin.com/in/mikaellundman/</t>
        </is>
      </c>
      <c r="V217" s="426" t="inlineStr"/>
      <c r="W217" s="428" t="inlineStr">
        <is>
          <t xml:space="preserve"> |  | </t>
        </is>
      </c>
      <c r="X217" s="425" t="inlineStr">
        <is>
          <t>John - Investor Contacts!737</t>
        </is>
      </c>
      <c r="Y217" s="426" t="inlineStr">
        <is>
          <t>Send next follow-up with traction + CTA</t>
        </is>
      </c>
      <c r="Z217" s="425" t="n">
        <v>7</v>
      </c>
      <c r="AA217" s="425">
        <f>IF(AC217="Archived",0,ROUND((IF(N217="Tier 1",35,IF(N217="Tier 2",20,8))+IF(C217="Financial Investor",15,IF(C217="Intermediary / Banker",12,8))+IF(L217="Term Sheet / Proposal",25,IF(L217="Engaged",20,IF(L217="Meeting Requested",18,IF(L217="Meeting Held",14,IF(L217="Follow Up",10,5)))))+MIN(Q217,30)+IF(S217="DUE",15,IF(S217="Next 3 Days",8,0))),0))</f>
        <v/>
      </c>
      <c r="AB217" s="425">
        <f>IF(AND(AC217="Active",OR(N217="Tier 1",N217="Tier 2"),OR(S217="DUE",S217="Next 3 Days")),"YES","")</f>
        <v/>
      </c>
      <c r="AC217" s="425">
        <f>IF(L217="Passed","Archived","Active")</f>
        <v/>
      </c>
    </row>
    <row r="218">
      <c r="A218" s="425" t="inlineStr">
        <is>
          <t>EXOS-0217</t>
        </is>
      </c>
      <c r="B218" s="425" t="inlineStr">
        <is>
          <t>John - Investor Contacts</t>
        </is>
      </c>
      <c r="C218" s="425" t="inlineStr">
        <is>
          <t>Financial Investor</t>
        </is>
      </c>
      <c r="D218" s="425" t="inlineStr">
        <is>
          <t>CEO/ Managing Partner - SENCO Hydrogen Capital</t>
        </is>
      </c>
      <c r="E218" s="425" t="inlineStr">
        <is>
          <t>Carsten Schmeding</t>
        </is>
      </c>
      <c r="F218" s="425" t="inlineStr"/>
      <c r="G218" s="111" t="inlineStr">
        <is>
          <t>schmeding@senco-capital.com</t>
        </is>
      </c>
      <c r="H218" s="425" t="inlineStr"/>
      <c r="I218" s="425" t="inlineStr"/>
      <c r="J218" s="425" t="inlineStr"/>
      <c r="K218" s="426" t="inlineStr">
        <is>
          <t>John Quinn</t>
        </is>
      </c>
      <c r="L218" s="426" t="inlineStr">
        <is>
          <t>Follow Up</t>
        </is>
      </c>
      <c r="M218" s="425" t="inlineStr">
        <is>
          <t>Space / Defense / Aerospace / Advanced Manufacturing</t>
        </is>
      </c>
      <c r="N218" s="426" t="inlineStr">
        <is>
          <t>Tier 2</t>
        </is>
      </c>
      <c r="O218" s="441" t="n">
        <v>45974</v>
      </c>
      <c r="P218" s="441" t="n">
        <v>46010</v>
      </c>
      <c r="Q218" s="425">
        <f>IF(P218="","",TODAY()-P218)</f>
        <v/>
      </c>
      <c r="R218" s="441">
        <f>IF(OR(L218="Passed",Z218=""),"",P218+Z218)</f>
        <v/>
      </c>
      <c r="S218" s="425">
        <f>IF(OR(R218="",L218="Passed"),"",IF(R218&lt;=TODAY(),"DUE",IF(R218&lt;=TODAY()+3,"Next 3 Days","Later")))</f>
        <v/>
      </c>
      <c r="T218" s="425" t="inlineStr"/>
      <c r="U218" s="426" t="inlineStr">
        <is>
          <t>linkedin.com/in/carsten-schmeding-a351a5</t>
        </is>
      </c>
      <c r="V218" s="426" t="inlineStr"/>
      <c r="W218" s="428" t="inlineStr">
        <is>
          <t xml:space="preserve"> |  | </t>
        </is>
      </c>
      <c r="X218" s="425" t="inlineStr">
        <is>
          <t>John - Investor Contacts!720</t>
        </is>
      </c>
      <c r="Y218" s="426" t="inlineStr">
        <is>
          <t>Send next follow-up with traction + CTA</t>
        </is>
      </c>
      <c r="Z218" s="425" t="n">
        <v>7</v>
      </c>
      <c r="AA218" s="425">
        <f>IF(AC218="Archived",0,ROUND((IF(N218="Tier 1",35,IF(N218="Tier 2",20,8))+IF(C218="Financial Investor",15,IF(C218="Intermediary / Banker",12,8))+IF(L218="Term Sheet / Proposal",25,IF(L218="Engaged",20,IF(L218="Meeting Requested",18,IF(L218="Meeting Held",14,IF(L218="Follow Up",10,5)))))+MIN(Q218,30)+IF(S218="DUE",15,IF(S218="Next 3 Days",8,0))),0))</f>
        <v/>
      </c>
      <c r="AB218" s="425">
        <f>IF(AND(AC218="Active",OR(N218="Tier 1",N218="Tier 2"),OR(S218="DUE",S218="Next 3 Days")),"YES","")</f>
        <v/>
      </c>
      <c r="AC218" s="425">
        <f>IF(L218="Passed","Archived","Active")</f>
        <v/>
      </c>
    </row>
    <row r="219">
      <c r="A219" s="425" t="inlineStr">
        <is>
          <t>EXOS-0218</t>
        </is>
      </c>
      <c r="B219" s="425" t="inlineStr">
        <is>
          <t>John - Investor Contacts</t>
        </is>
      </c>
      <c r="C219" s="425" t="inlineStr">
        <is>
          <t>Financial Investor</t>
        </is>
      </c>
      <c r="D219" s="425" t="inlineStr">
        <is>
          <t>CFO</t>
        </is>
      </c>
      <c r="E219" s="425" t="inlineStr">
        <is>
          <t>Ben Tidd</t>
        </is>
      </c>
      <c r="F219" s="425" t="inlineStr"/>
      <c r="G219" s="111" t="inlineStr">
        <is>
          <t>ben.tidd@hydrogenonecapital.com</t>
        </is>
      </c>
      <c r="H219" s="425" t="inlineStr"/>
      <c r="I219" s="425" t="inlineStr"/>
      <c r="J219" s="111" t="inlineStr">
        <is>
          <t>https://www.linkedin.com/in/ben-tidd/</t>
        </is>
      </c>
      <c r="K219" s="426" t="inlineStr">
        <is>
          <t>John Quinn</t>
        </is>
      </c>
      <c r="L219" s="426" t="inlineStr">
        <is>
          <t>Follow Up</t>
        </is>
      </c>
      <c r="M219" s="425" t="inlineStr">
        <is>
          <t>Space / Defense / Aerospace / Advanced Manufacturing</t>
        </is>
      </c>
      <c r="N219" s="426" t="inlineStr">
        <is>
          <t>Tier 2</t>
        </is>
      </c>
      <c r="O219" s="441" t="n">
        <v>45974</v>
      </c>
      <c r="P219" s="441" t="n">
        <v>46037</v>
      </c>
      <c r="Q219" s="425">
        <f>IF(P219="","",TODAY()-P219)</f>
        <v/>
      </c>
      <c r="R219" s="441">
        <f>IF(OR(L219="Passed",Z219=""),"",P219+Z219)</f>
        <v/>
      </c>
      <c r="S219" s="425">
        <f>IF(OR(R219="",L219="Passed"),"",IF(R219&lt;=TODAY(),"DUE",IF(R219&lt;=TODAY()+3,"Next 3 Days","Later")))</f>
        <v/>
      </c>
      <c r="T219" s="425" t="inlineStr"/>
      <c r="U219" s="426" t="inlineStr">
        <is>
          <t>https://www.linkedin.com/in/ben-tidd/</t>
        </is>
      </c>
      <c r="V219" s="426" t="inlineStr"/>
      <c r="W219" s="428" t="inlineStr">
        <is>
          <t xml:space="preserve"> |  | </t>
        </is>
      </c>
      <c r="X219" s="425" t="inlineStr">
        <is>
          <t>John - Investor Contacts!729</t>
        </is>
      </c>
      <c r="Y219" s="426" t="inlineStr">
        <is>
          <t>Send next follow-up with traction + CTA</t>
        </is>
      </c>
      <c r="Z219" s="425" t="n">
        <v>7</v>
      </c>
      <c r="AA219" s="425">
        <f>IF(AC219="Archived",0,ROUND((IF(N219="Tier 1",35,IF(N219="Tier 2",20,8))+IF(C219="Financial Investor",15,IF(C219="Intermediary / Banker",12,8))+IF(L219="Term Sheet / Proposal",25,IF(L219="Engaged",20,IF(L219="Meeting Requested",18,IF(L219="Meeting Held",14,IF(L219="Follow Up",10,5)))))+MIN(Q219,30)+IF(S219="DUE",15,IF(S219="Next 3 Days",8,0))),0))</f>
        <v/>
      </c>
      <c r="AB219" s="425">
        <f>IF(AND(AC219="Active",OR(N219="Tier 1",N219="Tier 2"),OR(S219="DUE",S219="Next 3 Days")),"YES","")</f>
        <v/>
      </c>
      <c r="AC219" s="425">
        <f>IF(L219="Passed","Archived","Active")</f>
        <v/>
      </c>
    </row>
    <row r="220">
      <c r="A220" s="425" t="inlineStr">
        <is>
          <t>EXOS-0219</t>
        </is>
      </c>
      <c r="B220" s="425" t="inlineStr">
        <is>
          <t>John - Investor Contacts</t>
        </is>
      </c>
      <c r="C220" s="425" t="inlineStr">
        <is>
          <t>Financial Investor</t>
        </is>
      </c>
      <c r="D220" s="425" t="inlineStr">
        <is>
          <t>CFO</t>
        </is>
      </c>
      <c r="E220" s="425" t="inlineStr">
        <is>
          <t>Eillot Attie</t>
        </is>
      </c>
      <c r="F220" s="425" t="inlineStr"/>
      <c r="G220" s="111" t="inlineStr">
        <is>
          <t>elliot.attie@trilantic.com</t>
        </is>
      </c>
      <c r="H220" s="425" t="inlineStr"/>
      <c r="I220" s="425" t="inlineStr"/>
      <c r="J220" s="111" t="inlineStr">
        <is>
          <t>https://www.linkedin.com/in/elliot-attie-a5483b247/</t>
        </is>
      </c>
      <c r="K220" s="426" t="inlineStr">
        <is>
          <t>John Quinn</t>
        </is>
      </c>
      <c r="L220" s="426" t="inlineStr">
        <is>
          <t>Follow Up</t>
        </is>
      </c>
      <c r="M220" s="425" t="inlineStr">
        <is>
          <t>Space / Defense / Aerospace / Advanced Manufacturing</t>
        </is>
      </c>
      <c r="N220" s="426" t="inlineStr">
        <is>
          <t>Tier 2</t>
        </is>
      </c>
      <c r="O220" s="441" t="n">
        <v>45974</v>
      </c>
      <c r="P220" s="441" t="n">
        <v>46037</v>
      </c>
      <c r="Q220" s="425">
        <f>IF(P220="","",TODAY()-P220)</f>
        <v/>
      </c>
      <c r="R220" s="441">
        <f>IF(OR(L220="Passed",Z220=""),"",P220+Z220)</f>
        <v/>
      </c>
      <c r="S220" s="425">
        <f>IF(OR(R220="",L220="Passed"),"",IF(R220&lt;=TODAY(),"DUE",IF(R220&lt;=TODAY()+3,"Next 3 Days","Later")))</f>
        <v/>
      </c>
      <c r="T220" s="425" t="inlineStr"/>
      <c r="U220" s="426" t="inlineStr">
        <is>
          <t>https://www.linkedin.com/in/elliot-attie-a5483b247/</t>
        </is>
      </c>
      <c r="V220" s="426" t="inlineStr"/>
      <c r="W220" s="428" t="inlineStr">
        <is>
          <t xml:space="preserve"> |  | </t>
        </is>
      </c>
      <c r="X220" s="425" t="inlineStr">
        <is>
          <t>John - Investor Contacts!730</t>
        </is>
      </c>
      <c r="Y220" s="426" t="inlineStr">
        <is>
          <t>Send next follow-up with traction + CTA</t>
        </is>
      </c>
      <c r="Z220" s="425" t="n">
        <v>7</v>
      </c>
      <c r="AA220" s="425">
        <f>IF(AC220="Archived",0,ROUND((IF(N220="Tier 1",35,IF(N220="Tier 2",20,8))+IF(C220="Financial Investor",15,IF(C220="Intermediary / Banker",12,8))+IF(L220="Term Sheet / Proposal",25,IF(L220="Engaged",20,IF(L220="Meeting Requested",18,IF(L220="Meeting Held",14,IF(L220="Follow Up",10,5)))))+MIN(Q220,30)+IF(S220="DUE",15,IF(S220="Next 3 Days",8,0))),0))</f>
        <v/>
      </c>
      <c r="AB220" s="425">
        <f>IF(AND(AC220="Active",OR(N220="Tier 1",N220="Tier 2"),OR(S220="DUE",S220="Next 3 Days")),"YES","")</f>
        <v/>
      </c>
      <c r="AC220" s="425">
        <f>IF(L220="Passed","Archived","Active")</f>
        <v/>
      </c>
    </row>
    <row r="221">
      <c r="A221" s="425" t="inlineStr">
        <is>
          <t>EXOS-0220</t>
        </is>
      </c>
      <c r="B221" s="425" t="inlineStr">
        <is>
          <t>John - Investor Contacts</t>
        </is>
      </c>
      <c r="C221" s="425" t="inlineStr">
        <is>
          <t>Financial Investor</t>
        </is>
      </c>
      <c r="D221" s="425" t="inlineStr">
        <is>
          <t>Candou Ventures</t>
        </is>
      </c>
      <c r="E221" s="425" t="inlineStr">
        <is>
          <t>Laleh Masnavi</t>
        </is>
      </c>
      <c r="F221" s="425" t="inlineStr"/>
      <c r="G221" s="111" t="inlineStr">
        <is>
          <t>laleh@candouventures.com</t>
        </is>
      </c>
      <c r="H221" s="425" t="inlineStr"/>
      <c r="I221" s="425" t="inlineStr"/>
      <c r="J221" s="111" t="inlineStr">
        <is>
          <t>https://www.linkedin.com/in/laleh-masnavi-06b4347/</t>
        </is>
      </c>
      <c r="K221" s="426" t="inlineStr">
        <is>
          <t>John Quinn</t>
        </is>
      </c>
      <c r="L221" s="426" t="inlineStr">
        <is>
          <t>Follow Up</t>
        </is>
      </c>
      <c r="M221" s="425" t="inlineStr">
        <is>
          <t>Space / Defense / Aerospace / Advanced Manufacturing</t>
        </is>
      </c>
      <c r="N221" s="426" t="inlineStr">
        <is>
          <t>Tier 2</t>
        </is>
      </c>
      <c r="O221" s="441" t="n">
        <v>45993</v>
      </c>
      <c r="P221" s="441" t="n">
        <v>46036</v>
      </c>
      <c r="Q221" s="425">
        <f>IF(P221="","",TODAY()-P221)</f>
        <v/>
      </c>
      <c r="R221" s="441">
        <f>IF(OR(L221="Passed",Z221=""),"",P221+Z221)</f>
        <v/>
      </c>
      <c r="S221" s="425">
        <f>IF(OR(R221="",L221="Passed"),"",IF(R221&lt;=TODAY(),"DUE",IF(R221&lt;=TODAY()+3,"Next 3 Days","Later")))</f>
        <v/>
      </c>
      <c r="T221" s="425" t="inlineStr"/>
      <c r="U221" s="426" t="inlineStr">
        <is>
          <t>https://www.linkedin.com/in/laleh-masnavi-06b4347/</t>
        </is>
      </c>
      <c r="V221" s="426" t="inlineStr"/>
      <c r="W221" s="428" t="inlineStr">
        <is>
          <t xml:space="preserve"> |  | </t>
        </is>
      </c>
      <c r="X221" s="425" t="inlineStr">
        <is>
          <t>John - Investor Contacts!697</t>
        </is>
      </c>
      <c r="Y221" s="426" t="inlineStr">
        <is>
          <t>Send next follow-up with traction + CTA</t>
        </is>
      </c>
      <c r="Z221" s="425" t="n">
        <v>7</v>
      </c>
      <c r="AA221" s="425">
        <f>IF(AC221="Archived",0,ROUND((IF(N221="Tier 1",35,IF(N221="Tier 2",20,8))+IF(C221="Financial Investor",15,IF(C221="Intermediary / Banker",12,8))+IF(L221="Term Sheet / Proposal",25,IF(L221="Engaged",20,IF(L221="Meeting Requested",18,IF(L221="Meeting Held",14,IF(L221="Follow Up",10,5)))))+MIN(Q221,30)+IF(S221="DUE",15,IF(S221="Next 3 Days",8,0))),0))</f>
        <v/>
      </c>
      <c r="AB221" s="425">
        <f>IF(AND(AC221="Active",OR(N221="Tier 1",N221="Tier 2"),OR(S221="DUE",S221="Next 3 Days")),"YES","")</f>
        <v/>
      </c>
      <c r="AC221" s="425">
        <f>IF(L221="Passed","Archived","Active")</f>
        <v/>
      </c>
    </row>
    <row r="222">
      <c r="A222" s="425" t="inlineStr">
        <is>
          <t>EXOS-0221</t>
        </is>
      </c>
      <c r="B222" s="425" t="inlineStr">
        <is>
          <t>John - Investor Contacts</t>
        </is>
      </c>
      <c r="C222" s="425" t="inlineStr">
        <is>
          <t>Financial Investor</t>
        </is>
      </c>
      <c r="D222" s="425" t="inlineStr">
        <is>
          <t>Canvas Prime</t>
        </is>
      </c>
      <c r="E222" s="425" t="inlineStr">
        <is>
          <t>Gary Little</t>
        </is>
      </c>
      <c r="F222" s="425" t="inlineStr"/>
      <c r="G222" s="111" t="inlineStr">
        <is>
          <t>glittle@canvas.vc</t>
        </is>
      </c>
      <c r="H222" s="425" t="inlineStr"/>
      <c r="I222" s="425" t="inlineStr"/>
      <c r="J222" s="425" t="inlineStr"/>
      <c r="K222" s="426" t="inlineStr">
        <is>
          <t>John Quinn</t>
        </is>
      </c>
      <c r="L222" s="426" t="inlineStr">
        <is>
          <t>Follow Up</t>
        </is>
      </c>
      <c r="M222" s="425" t="inlineStr">
        <is>
          <t>Space / Defense / Aerospace / Advanced Manufacturing</t>
        </is>
      </c>
      <c r="N222" s="426" t="inlineStr">
        <is>
          <t>Tier 2</t>
        </is>
      </c>
      <c r="O222" s="441" t="n">
        <v>45896</v>
      </c>
      <c r="P222" s="441" t="n">
        <v>45929</v>
      </c>
      <c r="Q222" s="425">
        <f>IF(P222="","",TODAY()-P222)</f>
        <v/>
      </c>
      <c r="R222" s="441">
        <f>IF(OR(L222="Passed",Z222=""),"",P222+Z222)</f>
        <v/>
      </c>
      <c r="S222" s="425">
        <f>IF(OR(R222="",L222="Passed"),"",IF(R222&lt;=TODAY(),"DUE",IF(R222&lt;=TODAY()+3,"Next 3 Days","Later")))</f>
        <v/>
      </c>
      <c r="T222" s="425" t="inlineStr"/>
      <c r="U222" s="426" t="inlineStr">
        <is>
          <t>linkedin.com/in/garylittle1</t>
        </is>
      </c>
      <c r="V222" s="426" t="inlineStr"/>
      <c r="W222" s="428" t="inlineStr">
        <is>
          <t xml:space="preserve"> | 12/04/2025 | </t>
        </is>
      </c>
      <c r="X222" s="425" t="inlineStr">
        <is>
          <t>John - Investor Contacts!560</t>
        </is>
      </c>
      <c r="Y222" s="426" t="inlineStr">
        <is>
          <t>Send next follow-up with traction + CTA</t>
        </is>
      </c>
      <c r="Z222" s="425" t="n">
        <v>7</v>
      </c>
      <c r="AA222" s="425">
        <f>IF(AC222="Archived",0,ROUND((IF(N222="Tier 1",35,IF(N222="Tier 2",20,8))+IF(C222="Financial Investor",15,IF(C222="Intermediary / Banker",12,8))+IF(L222="Term Sheet / Proposal",25,IF(L222="Engaged",20,IF(L222="Meeting Requested",18,IF(L222="Meeting Held",14,IF(L222="Follow Up",10,5)))))+MIN(Q222,30)+IF(S222="DUE",15,IF(S222="Next 3 Days",8,0))),0))</f>
        <v/>
      </c>
      <c r="AB222" s="425">
        <f>IF(AND(AC222="Active",OR(N222="Tier 1",N222="Tier 2"),OR(S222="DUE",S222="Next 3 Days")),"YES","")</f>
        <v/>
      </c>
      <c r="AC222" s="425">
        <f>IF(L222="Passed","Archived","Active")</f>
        <v/>
      </c>
    </row>
    <row r="223">
      <c r="A223" s="425" t="inlineStr">
        <is>
          <t>EXOS-0222</t>
        </is>
      </c>
      <c r="B223" s="425" t="inlineStr">
        <is>
          <t>John - Investor Contacts</t>
        </is>
      </c>
      <c r="C223" s="425" t="inlineStr">
        <is>
          <t>Financial Investor</t>
        </is>
      </c>
      <c r="D223" s="425" t="inlineStr">
        <is>
          <t>Canvas Prime</t>
        </is>
      </c>
      <c r="E223" s="425" t="inlineStr">
        <is>
          <t>Harrison Lieberfarb</t>
        </is>
      </c>
      <c r="F223" s="425" t="inlineStr"/>
      <c r="G223" s="111" t="inlineStr">
        <is>
          <t>harrison@canvas.vc</t>
        </is>
      </c>
      <c r="H223" s="425" t="inlineStr"/>
      <c r="I223" s="425" t="inlineStr"/>
      <c r="J223" s="425" t="inlineStr"/>
      <c r="K223" s="426" t="inlineStr">
        <is>
          <t>John Quinn</t>
        </is>
      </c>
      <c r="L223" s="426" t="inlineStr">
        <is>
          <t>Follow Up</t>
        </is>
      </c>
      <c r="M223" s="425" t="inlineStr">
        <is>
          <t>Space / Defense / Aerospace / Advanced Manufacturing</t>
        </is>
      </c>
      <c r="N223" s="426" t="inlineStr">
        <is>
          <t>Tier 2</t>
        </is>
      </c>
      <c r="O223" s="441" t="n">
        <v>45896</v>
      </c>
      <c r="P223" s="441" t="n">
        <v>45929</v>
      </c>
      <c r="Q223" s="425">
        <f>IF(P223="","",TODAY()-P223)</f>
        <v/>
      </c>
      <c r="R223" s="441">
        <f>IF(OR(L223="Passed",Z223=""),"",P223+Z223)</f>
        <v/>
      </c>
      <c r="S223" s="425">
        <f>IF(OR(R223="",L223="Passed"),"",IF(R223&lt;=TODAY(),"DUE",IF(R223&lt;=TODAY()+3,"Next 3 Days","Later")))</f>
        <v/>
      </c>
      <c r="T223" s="425" t="inlineStr"/>
      <c r="U223" s="426" t="inlineStr">
        <is>
          <t>linkedin.com/in/lieberfarb</t>
        </is>
      </c>
      <c r="V223" s="426" t="inlineStr"/>
      <c r="W223" s="428" t="inlineStr">
        <is>
          <t xml:space="preserve"> | 12/04/2025 | </t>
        </is>
      </c>
      <c r="X223" s="425" t="inlineStr">
        <is>
          <t>John - Investor Contacts!561</t>
        </is>
      </c>
      <c r="Y223" s="426" t="inlineStr">
        <is>
          <t>Send next follow-up with traction + CTA</t>
        </is>
      </c>
      <c r="Z223" s="425" t="n">
        <v>7</v>
      </c>
      <c r="AA223" s="425">
        <f>IF(AC223="Archived",0,ROUND((IF(N223="Tier 1",35,IF(N223="Tier 2",20,8))+IF(C223="Financial Investor",15,IF(C223="Intermediary / Banker",12,8))+IF(L223="Term Sheet / Proposal",25,IF(L223="Engaged",20,IF(L223="Meeting Requested",18,IF(L223="Meeting Held",14,IF(L223="Follow Up",10,5)))))+MIN(Q223,30)+IF(S223="DUE",15,IF(S223="Next 3 Days",8,0))),0))</f>
        <v/>
      </c>
      <c r="AB223" s="425">
        <f>IF(AND(AC223="Active",OR(N223="Tier 1",N223="Tier 2"),OR(S223="DUE",S223="Next 3 Days")),"YES","")</f>
        <v/>
      </c>
      <c r="AC223" s="425">
        <f>IF(L223="Passed","Archived","Active")</f>
        <v/>
      </c>
    </row>
    <row r="224">
      <c r="A224" s="425" t="inlineStr">
        <is>
          <t>EXOS-0223</t>
        </is>
      </c>
      <c r="B224" s="425" t="inlineStr">
        <is>
          <t>John - Investor Contacts</t>
        </is>
      </c>
      <c r="C224" s="425" t="inlineStr">
        <is>
          <t>Financial Investor</t>
        </is>
      </c>
      <c r="D224" s="425" t="inlineStr">
        <is>
          <t>Canvas Prime</t>
        </is>
      </c>
      <c r="E224" s="425" t="inlineStr">
        <is>
          <t>Justin Pirzadeh</t>
        </is>
      </c>
      <c r="F224" s="425" t="inlineStr"/>
      <c r="G224" s="111" t="inlineStr">
        <is>
          <t>jpirzadeh@canvas.vc</t>
        </is>
      </c>
      <c r="H224" s="425" t="inlineStr"/>
      <c r="I224" s="425" t="inlineStr"/>
      <c r="J224" s="425" t="inlineStr"/>
      <c r="K224" s="426" t="inlineStr">
        <is>
          <t>John Quinn</t>
        </is>
      </c>
      <c r="L224" s="426" t="inlineStr">
        <is>
          <t>Follow Up</t>
        </is>
      </c>
      <c r="M224" s="425" t="inlineStr">
        <is>
          <t>Space / Defense / Aerospace / Advanced Manufacturing</t>
        </is>
      </c>
      <c r="N224" s="426" t="inlineStr">
        <is>
          <t>Tier 2</t>
        </is>
      </c>
      <c r="O224" s="441" t="n">
        <v>45896</v>
      </c>
      <c r="P224" s="441" t="n">
        <v>45929</v>
      </c>
      <c r="Q224" s="425">
        <f>IF(P224="","",TODAY()-P224)</f>
        <v/>
      </c>
      <c r="R224" s="441">
        <f>IF(OR(L224="Passed",Z224=""),"",P224+Z224)</f>
        <v/>
      </c>
      <c r="S224" s="425">
        <f>IF(OR(R224="",L224="Passed"),"",IF(R224&lt;=TODAY(),"DUE",IF(R224&lt;=TODAY()+3,"Next 3 Days","Later")))</f>
        <v/>
      </c>
      <c r="T224" s="425" t="inlineStr"/>
      <c r="U224" s="426" t="inlineStr">
        <is>
          <t>linkedin.com/in/justin-pirzadeh-5195612b</t>
        </is>
      </c>
      <c r="V224" s="426" t="inlineStr"/>
      <c r="W224" s="428" t="inlineStr">
        <is>
          <t xml:space="preserve"> | 12/05/2025 | </t>
        </is>
      </c>
      <c r="X224" s="425" t="inlineStr">
        <is>
          <t>John - Investor Contacts!563</t>
        </is>
      </c>
      <c r="Y224" s="426" t="inlineStr">
        <is>
          <t>Send next follow-up with traction + CTA</t>
        </is>
      </c>
      <c r="Z224" s="425" t="n">
        <v>7</v>
      </c>
      <c r="AA224" s="425">
        <f>IF(AC224="Archived",0,ROUND((IF(N224="Tier 1",35,IF(N224="Tier 2",20,8))+IF(C224="Financial Investor",15,IF(C224="Intermediary / Banker",12,8))+IF(L224="Term Sheet / Proposal",25,IF(L224="Engaged",20,IF(L224="Meeting Requested",18,IF(L224="Meeting Held",14,IF(L224="Follow Up",10,5)))))+MIN(Q224,30)+IF(S224="DUE",15,IF(S224="Next 3 Days",8,0))),0))</f>
        <v/>
      </c>
      <c r="AB224" s="425">
        <f>IF(AND(AC224="Active",OR(N224="Tier 1",N224="Tier 2"),OR(S224="DUE",S224="Next 3 Days")),"YES","")</f>
        <v/>
      </c>
      <c r="AC224" s="425">
        <f>IF(L224="Passed","Archived","Active")</f>
        <v/>
      </c>
    </row>
    <row r="225">
      <c r="A225" s="425" t="inlineStr">
        <is>
          <t>EXOS-0224</t>
        </is>
      </c>
      <c r="B225" s="425" t="inlineStr">
        <is>
          <t>John - Investor Contacts</t>
        </is>
      </c>
      <c r="C225" s="425" t="inlineStr">
        <is>
          <t>Financial Investor</t>
        </is>
      </c>
      <c r="D225" s="425" t="inlineStr">
        <is>
          <t>Canvas Prime</t>
        </is>
      </c>
      <c r="E225" s="425" t="inlineStr">
        <is>
          <t>Rebecca Lynn</t>
        </is>
      </c>
      <c r="F225" s="425" t="inlineStr"/>
      <c r="G225" s="111" t="inlineStr">
        <is>
          <t>rebecca@canvas.vc</t>
        </is>
      </c>
      <c r="H225" s="425" t="inlineStr"/>
      <c r="I225" s="425" t="inlineStr"/>
      <c r="J225" s="425" t="inlineStr"/>
      <c r="K225" s="426" t="inlineStr">
        <is>
          <t>John Quinn</t>
        </is>
      </c>
      <c r="L225" s="426" t="inlineStr">
        <is>
          <t>Follow Up</t>
        </is>
      </c>
      <c r="M225" s="425" t="inlineStr">
        <is>
          <t>Space / Defense / Aerospace / Advanced Manufacturing</t>
        </is>
      </c>
      <c r="N225" s="426" t="inlineStr">
        <is>
          <t>Tier 2</t>
        </is>
      </c>
      <c r="O225" s="441" t="n">
        <v>45896</v>
      </c>
      <c r="P225" s="441" t="n">
        <v>45929</v>
      </c>
      <c r="Q225" s="425">
        <f>IF(P225="","",TODAY()-P225)</f>
        <v/>
      </c>
      <c r="R225" s="441">
        <f>IF(OR(L225="Passed",Z225=""),"",P225+Z225)</f>
        <v/>
      </c>
      <c r="S225" s="425">
        <f>IF(OR(R225="",L225="Passed"),"",IF(R225&lt;=TODAY(),"DUE",IF(R225&lt;=TODAY()+3,"Next 3 Days","Later")))</f>
        <v/>
      </c>
      <c r="T225" s="425" t="inlineStr"/>
      <c r="U225" s="426" t="inlineStr">
        <is>
          <t>linkedin.com/in/lynnra</t>
        </is>
      </c>
      <c r="V225" s="426" t="inlineStr"/>
      <c r="W225" s="428" t="inlineStr">
        <is>
          <t xml:space="preserve"> | 12/04/2025 | </t>
        </is>
      </c>
      <c r="X225" s="425" t="inlineStr">
        <is>
          <t>John - Investor Contacts!559</t>
        </is>
      </c>
      <c r="Y225" s="426" t="inlineStr">
        <is>
          <t>Send next follow-up with traction + CTA</t>
        </is>
      </c>
      <c r="Z225" s="425" t="n">
        <v>7</v>
      </c>
      <c r="AA225" s="425">
        <f>IF(AC225="Archived",0,ROUND((IF(N225="Tier 1",35,IF(N225="Tier 2",20,8))+IF(C225="Financial Investor",15,IF(C225="Intermediary / Banker",12,8))+IF(L225="Term Sheet / Proposal",25,IF(L225="Engaged",20,IF(L225="Meeting Requested",18,IF(L225="Meeting Held",14,IF(L225="Follow Up",10,5)))))+MIN(Q225,30)+IF(S225="DUE",15,IF(S225="Next 3 Days",8,0))),0))</f>
        <v/>
      </c>
      <c r="AB225" s="425">
        <f>IF(AND(AC225="Active",OR(N225="Tier 1",N225="Tier 2"),OR(S225="DUE",S225="Next 3 Days")),"YES","")</f>
        <v/>
      </c>
      <c r="AC225" s="425">
        <f>IF(L225="Passed","Archived","Active")</f>
        <v/>
      </c>
    </row>
    <row r="226">
      <c r="A226" s="425" t="inlineStr">
        <is>
          <t>EXOS-0225</t>
        </is>
      </c>
      <c r="B226" s="425" t="inlineStr">
        <is>
          <t>John - Investor Contacts</t>
        </is>
      </c>
      <c r="C226" s="425" t="inlineStr">
        <is>
          <t>Financial Investor</t>
        </is>
      </c>
      <c r="D226" s="425" t="inlineStr">
        <is>
          <t>Canvas Prime</t>
        </is>
      </c>
      <c r="E226" s="425" t="inlineStr">
        <is>
          <t>Xan Wood</t>
        </is>
      </c>
      <c r="F226" s="425" t="inlineStr"/>
      <c r="G226" s="111" t="inlineStr">
        <is>
          <t>xan@canvas.vc</t>
        </is>
      </c>
      <c r="H226" s="425" t="inlineStr"/>
      <c r="I226" s="425" t="inlineStr"/>
      <c r="J226" s="111" t="inlineStr">
        <is>
          <t>https://www.linkedin.com/in/xanwood/</t>
        </is>
      </c>
      <c r="K226" s="426" t="inlineStr">
        <is>
          <t>John Quinn</t>
        </is>
      </c>
      <c r="L226" s="426" t="inlineStr">
        <is>
          <t>Follow Up</t>
        </is>
      </c>
      <c r="M226" s="425" t="inlineStr">
        <is>
          <t>Space / Defense / Aerospace / Advanced Manufacturing</t>
        </is>
      </c>
      <c r="N226" s="426" t="inlineStr">
        <is>
          <t>Tier 2</t>
        </is>
      </c>
      <c r="O226" s="441" t="n">
        <v>45896</v>
      </c>
      <c r="P226" s="441" t="n">
        <v>45929</v>
      </c>
      <c r="Q226" s="425">
        <f>IF(P226="","",TODAY()-P226)</f>
        <v/>
      </c>
      <c r="R226" s="441">
        <f>IF(OR(L226="Passed",Z226=""),"",P226+Z226)</f>
        <v/>
      </c>
      <c r="S226" s="425">
        <f>IF(OR(R226="",L226="Passed"),"",IF(R226&lt;=TODAY(),"DUE",IF(R226&lt;=TODAY()+3,"Next 3 Days","Later")))</f>
        <v/>
      </c>
      <c r="T226" s="425" t="inlineStr"/>
      <c r="U226" s="426" t="inlineStr">
        <is>
          <t>https://www.linkedin.com/in/xanwood/</t>
        </is>
      </c>
      <c r="V226" s="426" t="inlineStr"/>
      <c r="W226" s="428" t="inlineStr">
        <is>
          <t xml:space="preserve"> | not a fit at this time | </t>
        </is>
      </c>
      <c r="X226" s="425" t="inlineStr">
        <is>
          <t>John - Investor Contacts!562</t>
        </is>
      </c>
      <c r="Y226" s="426" t="inlineStr">
        <is>
          <t>Send next follow-up with traction + CTA</t>
        </is>
      </c>
      <c r="Z226" s="425" t="n">
        <v>7</v>
      </c>
      <c r="AA226" s="425">
        <f>IF(AC226="Archived",0,ROUND((IF(N226="Tier 1",35,IF(N226="Tier 2",20,8))+IF(C226="Financial Investor",15,IF(C226="Intermediary / Banker",12,8))+IF(L226="Term Sheet / Proposal",25,IF(L226="Engaged",20,IF(L226="Meeting Requested",18,IF(L226="Meeting Held",14,IF(L226="Follow Up",10,5)))))+MIN(Q226,30)+IF(S226="DUE",15,IF(S226="Next 3 Days",8,0))),0))</f>
        <v/>
      </c>
      <c r="AB226" s="425">
        <f>IF(AND(AC226="Active",OR(N226="Tier 1",N226="Tier 2"),OR(S226="DUE",S226="Next 3 Days")),"YES","")</f>
        <v/>
      </c>
      <c r="AC226" s="425">
        <f>IF(L226="Passed","Archived","Active")</f>
        <v/>
      </c>
    </row>
    <row r="227">
      <c r="A227" s="425" t="inlineStr">
        <is>
          <t>EXOS-0226</t>
        </is>
      </c>
      <c r="B227" s="425" t="inlineStr">
        <is>
          <t>John - Investor Contacts</t>
        </is>
      </c>
      <c r="C227" s="425" t="inlineStr">
        <is>
          <t>Financial Investor</t>
        </is>
      </c>
      <c r="D227" s="425" t="inlineStr">
        <is>
          <t>Caprae Capital</t>
        </is>
      </c>
      <c r="E227" s="425" t="inlineStr">
        <is>
          <t>Kevin Hong</t>
        </is>
      </c>
      <c r="F227" s="425" t="inlineStr"/>
      <c r="G227" s="111" t="inlineStr">
        <is>
          <t>kevinhshong@gmail.com</t>
        </is>
      </c>
      <c r="H227" s="425" t="inlineStr"/>
      <c r="I227" s="425" t="inlineStr"/>
      <c r="J227" s="425" t="inlineStr"/>
      <c r="K227" s="426" t="inlineStr">
        <is>
          <t>John Quinn</t>
        </is>
      </c>
      <c r="L227" s="426" t="inlineStr">
        <is>
          <t>Follow Up</t>
        </is>
      </c>
      <c r="M227" s="425" t="inlineStr">
        <is>
          <t>Space / Defense / Aerospace / Advanced Manufacturing</t>
        </is>
      </c>
      <c r="N227" s="426" t="inlineStr">
        <is>
          <t>Tier 2</t>
        </is>
      </c>
      <c r="O227" s="441" t="n">
        <v>45831</v>
      </c>
      <c r="P227" s="441" t="n">
        <v>45841</v>
      </c>
      <c r="Q227" s="425">
        <f>IF(P227="","",TODAY()-P227)</f>
        <v/>
      </c>
      <c r="R227" s="441">
        <f>IF(OR(L227="Passed",Z227=""),"",P227+Z227)</f>
        <v/>
      </c>
      <c r="S227" s="425">
        <f>IF(OR(R227="",L227="Passed"),"",IF(R227&lt;=TODAY(),"DUE",IF(R227&lt;=TODAY()+3,"Next 3 Days","Later")))</f>
        <v/>
      </c>
      <c r="T227" s="425" t="inlineStr"/>
      <c r="U227" s="426" t="inlineStr">
        <is>
          <t>linkedin.com/in/kevinhshong</t>
        </is>
      </c>
      <c r="V227" s="426" t="inlineStr"/>
      <c r="W227" s="428" t="inlineStr">
        <is>
          <t xml:space="preserve"> | 12/23/2025 | </t>
        </is>
      </c>
      <c r="X227" s="425" t="inlineStr">
        <is>
          <t>John - Investor Contacts!243</t>
        </is>
      </c>
      <c r="Y227" s="426" t="inlineStr">
        <is>
          <t>Send next follow-up with traction + CTA</t>
        </is>
      </c>
      <c r="Z227" s="425" t="n">
        <v>7</v>
      </c>
      <c r="AA227" s="425">
        <f>IF(AC227="Archived",0,ROUND((IF(N227="Tier 1",35,IF(N227="Tier 2",20,8))+IF(C227="Financial Investor",15,IF(C227="Intermediary / Banker",12,8))+IF(L227="Term Sheet / Proposal",25,IF(L227="Engaged",20,IF(L227="Meeting Requested",18,IF(L227="Meeting Held",14,IF(L227="Follow Up",10,5)))))+MIN(Q227,30)+IF(S227="DUE",15,IF(S227="Next 3 Days",8,0))),0))</f>
        <v/>
      </c>
      <c r="AB227" s="425">
        <f>IF(AND(AC227="Active",OR(N227="Tier 1",N227="Tier 2"),OR(S227="DUE",S227="Next 3 Days")),"YES","")</f>
        <v/>
      </c>
      <c r="AC227" s="425">
        <f>IF(L227="Passed","Archived","Active")</f>
        <v/>
      </c>
    </row>
    <row r="228">
      <c r="A228" s="425" t="inlineStr">
        <is>
          <t>EXOS-0227</t>
        </is>
      </c>
      <c r="B228" s="425" t="inlineStr">
        <is>
          <t>John - Investor Contacts</t>
        </is>
      </c>
      <c r="C228" s="425" t="inlineStr">
        <is>
          <t>Financial Investor</t>
        </is>
      </c>
      <c r="D228" s="425" t="inlineStr">
        <is>
          <t>Caprae Capital</t>
        </is>
      </c>
      <c r="E228" s="425" t="inlineStr">
        <is>
          <t>Partners</t>
        </is>
      </c>
      <c r="F228" s="425" t="inlineStr"/>
      <c r="G228" s="111" t="inlineStr">
        <is>
          <t>partners@capraecapital.com</t>
        </is>
      </c>
      <c r="H228" s="425" t="inlineStr"/>
      <c r="I228" s="425" t="inlineStr"/>
      <c r="J228" s="425" t="inlineStr"/>
      <c r="K228" s="426" t="inlineStr">
        <is>
          <t>John Quinn</t>
        </is>
      </c>
      <c r="L228" s="426" t="inlineStr">
        <is>
          <t>Follow Up</t>
        </is>
      </c>
      <c r="M228" s="425" t="inlineStr">
        <is>
          <t>Space / Defense / Aerospace / Advanced Manufacturing</t>
        </is>
      </c>
      <c r="N228" s="426" t="inlineStr">
        <is>
          <t>Tier 2</t>
        </is>
      </c>
      <c r="O228" s="441" t="n">
        <v>45832</v>
      </c>
      <c r="P228" s="441" t="n">
        <v>45848</v>
      </c>
      <c r="Q228" s="425">
        <f>IF(P228="","",TODAY()-P228)</f>
        <v/>
      </c>
      <c r="R228" s="441">
        <f>IF(OR(L228="Passed",Z228=""),"",P228+Z228)</f>
        <v/>
      </c>
      <c r="S228" s="425">
        <f>IF(OR(R228="",L228="Passed"),"",IF(R228&lt;=TODAY(),"DUE",IF(R228&lt;=TODAY()+3,"Next 3 Days","Later")))</f>
        <v/>
      </c>
      <c r="T228" s="425" t="inlineStr"/>
      <c r="U228" s="426" t="inlineStr"/>
      <c r="V228" s="426" t="inlineStr"/>
      <c r="W228" s="428" t="inlineStr">
        <is>
          <t xml:space="preserve"> | 12/23/2025 | </t>
        </is>
      </c>
      <c r="X228" s="425" t="inlineStr">
        <is>
          <t>John - Investor Contacts!244</t>
        </is>
      </c>
      <c r="Y228" s="426" t="inlineStr">
        <is>
          <t>Send next follow-up with traction + CTA</t>
        </is>
      </c>
      <c r="Z228" s="425" t="n">
        <v>7</v>
      </c>
      <c r="AA228" s="425">
        <f>IF(AC228="Archived",0,ROUND((IF(N228="Tier 1",35,IF(N228="Tier 2",20,8))+IF(C228="Financial Investor",15,IF(C228="Intermediary / Banker",12,8))+IF(L228="Term Sheet / Proposal",25,IF(L228="Engaged",20,IF(L228="Meeting Requested",18,IF(L228="Meeting Held",14,IF(L228="Follow Up",10,5)))))+MIN(Q228,30)+IF(S228="DUE",15,IF(S228="Next 3 Days",8,0))),0))</f>
        <v/>
      </c>
      <c r="AB228" s="425">
        <f>IF(AND(AC228="Active",OR(N228="Tier 1",N228="Tier 2"),OR(S228="DUE",S228="Next 3 Days")),"YES","")</f>
        <v/>
      </c>
      <c r="AC228" s="425">
        <f>IF(L228="Passed","Archived","Active")</f>
        <v/>
      </c>
    </row>
    <row r="229">
      <c r="A229" s="425" t="inlineStr">
        <is>
          <t>EXOS-0228</t>
        </is>
      </c>
      <c r="B229" s="425" t="inlineStr">
        <is>
          <t>John - Investor Contacts</t>
        </is>
      </c>
      <c r="C229" s="425" t="inlineStr">
        <is>
          <t>Financial Investor</t>
        </is>
      </c>
      <c r="D229" s="425" t="inlineStr">
        <is>
          <t>Caprice Capital</t>
        </is>
      </c>
      <c r="E229" s="425" t="inlineStr">
        <is>
          <t>Joe Li</t>
        </is>
      </c>
      <c r="F229" s="425" t="inlineStr"/>
      <c r="G229" s="111" t="inlineStr">
        <is>
          <t>jli@capricecapital.com</t>
        </is>
      </c>
      <c r="H229" s="425" t="inlineStr"/>
      <c r="I229" s="425" t="inlineStr"/>
      <c r="J229" s="111" t="inlineStr">
        <is>
          <t>https://www.linkedin.com/in/joe-li-b3520922/</t>
        </is>
      </c>
      <c r="K229" s="426" t="inlineStr">
        <is>
          <t>John Quinn</t>
        </is>
      </c>
      <c r="L229" s="426" t="inlineStr">
        <is>
          <t>Follow Up</t>
        </is>
      </c>
      <c r="M229" s="425" t="inlineStr">
        <is>
          <t>Space / Defense / Aerospace / Advanced Manufacturing</t>
        </is>
      </c>
      <c r="N229" s="426" t="inlineStr">
        <is>
          <t>Tier 2</t>
        </is>
      </c>
      <c r="O229" s="441" t="n">
        <v>45831</v>
      </c>
      <c r="P229" s="441" t="n">
        <v>45841</v>
      </c>
      <c r="Q229" s="425">
        <f>IF(P229="","",TODAY()-P229)</f>
        <v/>
      </c>
      <c r="R229" s="441">
        <f>IF(OR(L229="Passed",Z229=""),"",P229+Z229)</f>
        <v/>
      </c>
      <c r="S229" s="425">
        <f>IF(OR(R229="",L229="Passed"),"",IF(R229&lt;=TODAY(),"DUE",IF(R229&lt;=TODAY()+3,"Next 3 Days","Later")))</f>
        <v/>
      </c>
      <c r="T229" s="425" t="inlineStr"/>
      <c r="U229" s="426" t="inlineStr">
        <is>
          <t>https://www.linkedin.com/in/joe-li-b3520922/</t>
        </is>
      </c>
      <c r="V229" s="426" t="inlineStr"/>
      <c r="W229" s="428" t="inlineStr">
        <is>
          <t xml:space="preserve"> | 12/23/2025 | </t>
        </is>
      </c>
      <c r="X229" s="425" t="inlineStr">
        <is>
          <t>John - Investor Contacts!240</t>
        </is>
      </c>
      <c r="Y229" s="426" t="inlineStr">
        <is>
          <t>Send next follow-up with traction + CTA</t>
        </is>
      </c>
      <c r="Z229" s="425" t="n">
        <v>7</v>
      </c>
      <c r="AA229" s="425">
        <f>IF(AC229="Archived",0,ROUND((IF(N229="Tier 1",35,IF(N229="Tier 2",20,8))+IF(C229="Financial Investor",15,IF(C229="Intermediary / Banker",12,8))+IF(L229="Term Sheet / Proposal",25,IF(L229="Engaged",20,IF(L229="Meeting Requested",18,IF(L229="Meeting Held",14,IF(L229="Follow Up",10,5)))))+MIN(Q229,30)+IF(S229="DUE",15,IF(S229="Next 3 Days",8,0))),0))</f>
        <v/>
      </c>
      <c r="AB229" s="425">
        <f>IF(AND(AC229="Active",OR(N229="Tier 1",N229="Tier 2"),OR(S229="DUE",S229="Next 3 Days")),"YES","")</f>
        <v/>
      </c>
      <c r="AC229" s="425">
        <f>IF(L229="Passed","Archived","Active")</f>
        <v/>
      </c>
    </row>
    <row r="230">
      <c r="A230" s="425" t="inlineStr">
        <is>
          <t>EXOS-0229</t>
        </is>
      </c>
      <c r="B230" s="425" t="inlineStr">
        <is>
          <t>John - Investor Contacts</t>
        </is>
      </c>
      <c r="C230" s="425" t="inlineStr">
        <is>
          <t>Financial Investor</t>
        </is>
      </c>
      <c r="D230" s="425" t="inlineStr">
        <is>
          <t>Caprice Capital</t>
        </is>
      </c>
      <c r="E230" s="425" t="inlineStr">
        <is>
          <t>Michael Vinci</t>
        </is>
      </c>
      <c r="F230" s="425" t="inlineStr"/>
      <c r="G230" s="111" t="inlineStr">
        <is>
          <t>mvinci@capricecapital.com</t>
        </is>
      </c>
      <c r="H230" s="425" t="inlineStr"/>
      <c r="I230" s="425" t="inlineStr"/>
      <c r="J230" s="111" t="inlineStr">
        <is>
          <t>https://www.linkedin.com/in/michael-vinci-aa8152207/</t>
        </is>
      </c>
      <c r="K230" s="426" t="inlineStr">
        <is>
          <t>John Quinn</t>
        </is>
      </c>
      <c r="L230" s="426" t="inlineStr">
        <is>
          <t>Follow Up</t>
        </is>
      </c>
      <c r="M230" s="425" t="inlineStr">
        <is>
          <t>Space / Defense / Aerospace / Advanced Manufacturing</t>
        </is>
      </c>
      <c r="N230" s="426" t="inlineStr">
        <is>
          <t>Tier 2</t>
        </is>
      </c>
      <c r="O230" s="441" t="n">
        <v>45831</v>
      </c>
      <c r="P230" s="441" t="n">
        <v>45841</v>
      </c>
      <c r="Q230" s="425">
        <f>IF(P230="","",TODAY()-P230)</f>
        <v/>
      </c>
      <c r="R230" s="441">
        <f>IF(OR(L230="Passed",Z230=""),"",P230+Z230)</f>
        <v/>
      </c>
      <c r="S230" s="425">
        <f>IF(OR(R230="",L230="Passed"),"",IF(R230&lt;=TODAY(),"DUE",IF(R230&lt;=TODAY()+3,"Next 3 Days","Later")))</f>
        <v/>
      </c>
      <c r="T230" s="425" t="inlineStr"/>
      <c r="U230" s="426" t="inlineStr">
        <is>
          <t>https://www.linkedin.com/in/michael-vinci-aa8152207/</t>
        </is>
      </c>
      <c r="V230" s="426" t="inlineStr"/>
      <c r="W230" s="428" t="inlineStr">
        <is>
          <t xml:space="preserve"> | 12/23/2025 | </t>
        </is>
      </c>
      <c r="X230" s="425" t="inlineStr">
        <is>
          <t>John - Investor Contacts!241</t>
        </is>
      </c>
      <c r="Y230" s="426" t="inlineStr">
        <is>
          <t>Send next follow-up with traction + CTA</t>
        </is>
      </c>
      <c r="Z230" s="425" t="n">
        <v>7</v>
      </c>
      <c r="AA230" s="425">
        <f>IF(AC230="Archived",0,ROUND((IF(N230="Tier 1",35,IF(N230="Tier 2",20,8))+IF(C230="Financial Investor",15,IF(C230="Intermediary / Banker",12,8))+IF(L230="Term Sheet / Proposal",25,IF(L230="Engaged",20,IF(L230="Meeting Requested",18,IF(L230="Meeting Held",14,IF(L230="Follow Up",10,5)))))+MIN(Q230,30)+IF(S230="DUE",15,IF(S230="Next 3 Days",8,0))),0))</f>
        <v/>
      </c>
      <c r="AB230" s="425">
        <f>IF(AND(AC230="Active",OR(N230="Tier 1",N230="Tier 2"),OR(S230="DUE",S230="Next 3 Days")),"YES","")</f>
        <v/>
      </c>
      <c r="AC230" s="425">
        <f>IF(L230="Passed","Archived","Active")</f>
        <v/>
      </c>
    </row>
    <row r="231">
      <c r="A231" s="425" t="inlineStr">
        <is>
          <t>EXOS-0230</t>
        </is>
      </c>
      <c r="B231" s="425" t="inlineStr">
        <is>
          <t>John - Investor Contacts</t>
        </is>
      </c>
      <c r="C231" s="425" t="inlineStr">
        <is>
          <t>Financial Investor</t>
        </is>
      </c>
      <c r="D231" s="425" t="inlineStr">
        <is>
          <t>Caprice Capital</t>
        </is>
      </c>
      <c r="E231" s="425" t="inlineStr">
        <is>
          <t>Rich Thomson</t>
        </is>
      </c>
      <c r="F231" s="425" t="inlineStr"/>
      <c r="G231" s="111" t="inlineStr">
        <is>
          <t>rthomson@capricecapital.com</t>
        </is>
      </c>
      <c r="H231" s="425" t="inlineStr"/>
      <c r="I231" s="425" t="inlineStr"/>
      <c r="J231" s="111" t="inlineStr">
        <is>
          <t>https://www.linkedin.com/in/richthomson/</t>
        </is>
      </c>
      <c r="K231" s="426" t="inlineStr">
        <is>
          <t>John Quinn</t>
        </is>
      </c>
      <c r="L231" s="426" t="inlineStr">
        <is>
          <t>Follow Up</t>
        </is>
      </c>
      <c r="M231" s="425" t="inlineStr">
        <is>
          <t>Space / Defense / Aerospace / Advanced Manufacturing</t>
        </is>
      </c>
      <c r="N231" s="426" t="inlineStr">
        <is>
          <t>Tier 2</t>
        </is>
      </c>
      <c r="O231" s="441" t="n">
        <v>45831</v>
      </c>
      <c r="P231" s="441" t="n">
        <v>45841</v>
      </c>
      <c r="Q231" s="425">
        <f>IF(P231="","",TODAY()-P231)</f>
        <v/>
      </c>
      <c r="R231" s="441">
        <f>IF(OR(L231="Passed",Z231=""),"",P231+Z231)</f>
        <v/>
      </c>
      <c r="S231" s="425">
        <f>IF(OR(R231="",L231="Passed"),"",IF(R231&lt;=TODAY(),"DUE",IF(R231&lt;=TODAY()+3,"Next 3 Days","Later")))</f>
        <v/>
      </c>
      <c r="T231" s="425" t="inlineStr"/>
      <c r="U231" s="426" t="inlineStr">
        <is>
          <t>https://www.linkedin.com/in/richthomson/</t>
        </is>
      </c>
      <c r="V231" s="426" t="inlineStr"/>
      <c r="W231" s="428" t="inlineStr">
        <is>
          <t xml:space="preserve"> | 12/23/2025 | </t>
        </is>
      </c>
      <c r="X231" s="425" t="inlineStr">
        <is>
          <t>John - Investor Contacts!239</t>
        </is>
      </c>
      <c r="Y231" s="426" t="inlineStr">
        <is>
          <t>Send next follow-up with traction + CTA</t>
        </is>
      </c>
      <c r="Z231" s="425" t="n">
        <v>7</v>
      </c>
      <c r="AA231" s="425">
        <f>IF(AC231="Archived",0,ROUND((IF(N231="Tier 1",35,IF(N231="Tier 2",20,8))+IF(C231="Financial Investor",15,IF(C231="Intermediary / Banker",12,8))+IF(L231="Term Sheet / Proposal",25,IF(L231="Engaged",20,IF(L231="Meeting Requested",18,IF(L231="Meeting Held",14,IF(L231="Follow Up",10,5)))))+MIN(Q231,30)+IF(S231="DUE",15,IF(S231="Next 3 Days",8,0))),0))</f>
        <v/>
      </c>
      <c r="AB231" s="425">
        <f>IF(AND(AC231="Active",OR(N231="Tier 1",N231="Tier 2"),OR(S231="DUE",S231="Next 3 Days")),"YES","")</f>
        <v/>
      </c>
      <c r="AC231" s="425">
        <f>IF(L231="Passed","Archived","Active")</f>
        <v/>
      </c>
    </row>
    <row r="232">
      <c r="A232" s="425" t="inlineStr">
        <is>
          <t>EXOS-0231</t>
        </is>
      </c>
      <c r="B232" s="425" t="inlineStr">
        <is>
          <t>John - Investor Contacts</t>
        </is>
      </c>
      <c r="C232" s="425" t="inlineStr">
        <is>
          <t>Financial Investor</t>
        </is>
      </c>
      <c r="D232" s="425" t="inlineStr">
        <is>
          <t>Carlyle</t>
        </is>
      </c>
      <c r="E232" s="425" t="inlineStr">
        <is>
          <t>Aaref Hilaly</t>
        </is>
      </c>
      <c r="F232" s="425" t="inlineStr"/>
      <c r="G232" s="111" t="inlineStr">
        <is>
          <t>aaref.hilaly@carlyle.com</t>
        </is>
      </c>
      <c r="H232" s="425" t="inlineStr"/>
      <c r="I232" s="425" t="inlineStr"/>
      <c r="J232" s="425" t="inlineStr"/>
      <c r="K232" s="426" t="inlineStr">
        <is>
          <t>John Quinn</t>
        </is>
      </c>
      <c r="L232" s="426" t="inlineStr">
        <is>
          <t>Follow Up</t>
        </is>
      </c>
      <c r="M232" s="425" t="inlineStr">
        <is>
          <t>Space / Defense / Aerospace / Advanced Manufacturing</t>
        </is>
      </c>
      <c r="N232" s="426" t="inlineStr">
        <is>
          <t>Tier 2</t>
        </is>
      </c>
      <c r="O232" s="441" t="n">
        <v>45968</v>
      </c>
      <c r="P232" s="441" t="n">
        <v>45986</v>
      </c>
      <c r="Q232" s="425">
        <f>IF(P232="","",TODAY()-P232)</f>
        <v/>
      </c>
      <c r="R232" s="441">
        <f>IF(OR(L232="Passed",Z232=""),"",P232+Z232)</f>
        <v/>
      </c>
      <c r="S232" s="425">
        <f>IF(OR(R232="",L232="Passed"),"",IF(R232&lt;=TODAY(),"DUE",IF(R232&lt;=TODAY()+3,"Next 3 Days","Later")))</f>
        <v/>
      </c>
      <c r="T232" s="425" t="inlineStr"/>
      <c r="U232" s="426" t="inlineStr"/>
      <c r="V232" s="426" t="inlineStr"/>
      <c r="W232" s="428" t="inlineStr">
        <is>
          <t xml:space="preserve"> | msg undeliverable | </t>
        </is>
      </c>
      <c r="X232" s="425" t="inlineStr">
        <is>
          <t>John - Investor Contacts!855</t>
        </is>
      </c>
      <c r="Y232" s="426" t="inlineStr">
        <is>
          <t>Send next follow-up with traction + CTA</t>
        </is>
      </c>
      <c r="Z232" s="425" t="n">
        <v>7</v>
      </c>
      <c r="AA232" s="425">
        <f>IF(AC232="Archived",0,ROUND((IF(N232="Tier 1",35,IF(N232="Tier 2",20,8))+IF(C232="Financial Investor",15,IF(C232="Intermediary / Banker",12,8))+IF(L232="Term Sheet / Proposal",25,IF(L232="Engaged",20,IF(L232="Meeting Requested",18,IF(L232="Meeting Held",14,IF(L232="Follow Up",10,5)))))+MIN(Q232,30)+IF(S232="DUE",15,IF(S232="Next 3 Days",8,0))),0))</f>
        <v/>
      </c>
      <c r="AB232" s="425">
        <f>IF(AND(AC232="Active",OR(N232="Tier 1",N232="Tier 2"),OR(S232="DUE",S232="Next 3 Days")),"YES","")</f>
        <v/>
      </c>
      <c r="AC232" s="425">
        <f>IF(L232="Passed","Archived","Active")</f>
        <v/>
      </c>
    </row>
    <row r="233">
      <c r="A233" s="425" t="inlineStr">
        <is>
          <t>EXOS-0232</t>
        </is>
      </c>
      <c r="B233" s="425" t="inlineStr">
        <is>
          <t>John - Investor Contacts</t>
        </is>
      </c>
      <c r="C233" s="425" t="inlineStr">
        <is>
          <t>Financial Investor</t>
        </is>
      </c>
      <c r="D233" s="425" t="inlineStr">
        <is>
          <t>Carlyle</t>
        </is>
      </c>
      <c r="E233" s="425" t="inlineStr">
        <is>
          <t>Ajay Agarwal</t>
        </is>
      </c>
      <c r="F233" s="425" t="inlineStr"/>
      <c r="G233" s="111" t="inlineStr">
        <is>
          <t>ajay.agarwal@carlyle.com</t>
        </is>
      </c>
      <c r="H233" s="425" t="inlineStr"/>
      <c r="I233" s="425" t="inlineStr"/>
      <c r="J233" s="425" t="inlineStr"/>
      <c r="K233" s="426" t="inlineStr">
        <is>
          <t>John Quinn</t>
        </is>
      </c>
      <c r="L233" s="426" t="inlineStr">
        <is>
          <t>Follow Up</t>
        </is>
      </c>
      <c r="M233" s="425" t="inlineStr">
        <is>
          <t>Space / Defense / Aerospace / Advanced Manufacturing</t>
        </is>
      </c>
      <c r="N233" s="426" t="inlineStr">
        <is>
          <t>Tier 2</t>
        </is>
      </c>
      <c r="O233" s="441" t="n">
        <v>45968</v>
      </c>
      <c r="P233" s="441" t="n">
        <v>45986</v>
      </c>
      <c r="Q233" s="425">
        <f>IF(P233="","",TODAY()-P233)</f>
        <v/>
      </c>
      <c r="R233" s="441">
        <f>IF(OR(L233="Passed",Z233=""),"",P233+Z233)</f>
        <v/>
      </c>
      <c r="S233" s="425">
        <f>IF(OR(R233="",L233="Passed"),"",IF(R233&lt;=TODAY(),"DUE",IF(R233&lt;=TODAY()+3,"Next 3 Days","Later")))</f>
        <v/>
      </c>
      <c r="T233" s="425" t="inlineStr"/>
      <c r="U233" s="426" t="inlineStr"/>
      <c r="V233" s="426" t="inlineStr"/>
      <c r="W233" s="428" t="inlineStr">
        <is>
          <t xml:space="preserve"> | msg undeliverable | </t>
        </is>
      </c>
      <c r="X233" s="425" t="inlineStr">
        <is>
          <t>John - Investor Contacts!853</t>
        </is>
      </c>
      <c r="Y233" s="426" t="inlineStr">
        <is>
          <t>Send next follow-up with traction + CTA</t>
        </is>
      </c>
      <c r="Z233" s="425" t="n">
        <v>7</v>
      </c>
      <c r="AA233" s="425">
        <f>IF(AC233="Archived",0,ROUND((IF(N233="Tier 1",35,IF(N233="Tier 2",20,8))+IF(C233="Financial Investor",15,IF(C233="Intermediary / Banker",12,8))+IF(L233="Term Sheet / Proposal",25,IF(L233="Engaged",20,IF(L233="Meeting Requested",18,IF(L233="Meeting Held",14,IF(L233="Follow Up",10,5)))))+MIN(Q233,30)+IF(S233="DUE",15,IF(S233="Next 3 Days",8,0))),0))</f>
        <v/>
      </c>
      <c r="AB233" s="425">
        <f>IF(AND(AC233="Active",OR(N233="Tier 1",N233="Tier 2"),OR(S233="DUE",S233="Next 3 Days")),"YES","")</f>
        <v/>
      </c>
      <c r="AC233" s="425">
        <f>IF(L233="Passed","Archived","Active")</f>
        <v/>
      </c>
    </row>
    <row r="234">
      <c r="A234" s="425" t="inlineStr">
        <is>
          <t>EXOS-0233</t>
        </is>
      </c>
      <c r="B234" s="425" t="inlineStr">
        <is>
          <t>John - Investor Contacts</t>
        </is>
      </c>
      <c r="C234" s="425" t="inlineStr">
        <is>
          <t>Financial Investor</t>
        </is>
      </c>
      <c r="D234" s="425" t="inlineStr">
        <is>
          <t>Carlyle</t>
        </is>
      </c>
      <c r="E234" s="425" t="inlineStr">
        <is>
          <t>Enrique Salem</t>
        </is>
      </c>
      <c r="F234" s="425" t="inlineStr"/>
      <c r="G234" s="111" t="inlineStr">
        <is>
          <t>enrique.salem@carlyle.com</t>
        </is>
      </c>
      <c r="H234" s="425" t="inlineStr"/>
      <c r="I234" s="425" t="inlineStr"/>
      <c r="J234" s="425" t="inlineStr"/>
      <c r="K234" s="426" t="inlineStr">
        <is>
          <t>John Quinn</t>
        </is>
      </c>
      <c r="L234" s="426" t="inlineStr">
        <is>
          <t>Follow Up</t>
        </is>
      </c>
      <c r="M234" s="425" t="inlineStr">
        <is>
          <t>Space / Defense / Aerospace / Advanced Manufacturing</t>
        </is>
      </c>
      <c r="N234" s="426" t="inlineStr">
        <is>
          <t>Tier 2</t>
        </is>
      </c>
      <c r="O234" s="441" t="n">
        <v>45968</v>
      </c>
      <c r="P234" s="441" t="n">
        <v>45986</v>
      </c>
      <c r="Q234" s="425">
        <f>IF(P234="","",TODAY()-P234)</f>
        <v/>
      </c>
      <c r="R234" s="441">
        <f>IF(OR(L234="Passed",Z234=""),"",P234+Z234)</f>
        <v/>
      </c>
      <c r="S234" s="425">
        <f>IF(OR(R234="",L234="Passed"),"",IF(R234&lt;=TODAY(),"DUE",IF(R234&lt;=TODAY()+3,"Next 3 Days","Later")))</f>
        <v/>
      </c>
      <c r="T234" s="425" t="inlineStr"/>
      <c r="U234" s="426" t="inlineStr"/>
      <c r="V234" s="426" t="inlineStr"/>
      <c r="W234" s="428" t="inlineStr">
        <is>
          <t xml:space="preserve"> | 01/14/2026 | </t>
        </is>
      </c>
      <c r="X234" s="425" t="inlineStr">
        <is>
          <t>John - Investor Contacts!854</t>
        </is>
      </c>
      <c r="Y234" s="426" t="inlineStr">
        <is>
          <t>Send next follow-up with traction + CTA</t>
        </is>
      </c>
      <c r="Z234" s="425" t="n">
        <v>7</v>
      </c>
      <c r="AA234" s="425">
        <f>IF(AC234="Archived",0,ROUND((IF(N234="Tier 1",35,IF(N234="Tier 2",20,8))+IF(C234="Financial Investor",15,IF(C234="Intermediary / Banker",12,8))+IF(L234="Term Sheet / Proposal",25,IF(L234="Engaged",20,IF(L234="Meeting Requested",18,IF(L234="Meeting Held",14,IF(L234="Follow Up",10,5)))))+MIN(Q234,30)+IF(S234="DUE",15,IF(S234="Next 3 Days",8,0))),0))</f>
        <v/>
      </c>
      <c r="AB234" s="425">
        <f>IF(AND(AC234="Active",OR(N234="Tier 1",N234="Tier 2"),OR(S234="DUE",S234="Next 3 Days")),"YES","")</f>
        <v/>
      </c>
      <c r="AC234" s="425">
        <f>IF(L234="Passed","Archived","Active")</f>
        <v/>
      </c>
    </row>
    <row r="235">
      <c r="A235" s="425" t="inlineStr">
        <is>
          <t>EXOS-0234</t>
        </is>
      </c>
      <c r="B235" s="425" t="inlineStr">
        <is>
          <t>John - Investor Contacts</t>
        </is>
      </c>
      <c r="C235" s="425" t="inlineStr">
        <is>
          <t>Intermediary / Banker</t>
        </is>
      </c>
      <c r="D235" s="425" t="inlineStr">
        <is>
          <t>Castle Placement</t>
        </is>
      </c>
      <c r="E235" s="425" t="inlineStr">
        <is>
          <t>Diana Ruddy</t>
        </is>
      </c>
      <c r="F235" s="425" t="inlineStr"/>
      <c r="G235" s="425" t="inlineStr"/>
      <c r="H235" s="425" t="inlineStr"/>
      <c r="I235" s="425" t="inlineStr"/>
      <c r="J235" s="111" t="inlineStr">
        <is>
          <t>https://www.linkedin.com/in/dianaruddy/</t>
        </is>
      </c>
      <c r="K235" s="426" t="inlineStr">
        <is>
          <t>John Quinn</t>
        </is>
      </c>
      <c r="L235" s="426" t="inlineStr">
        <is>
          <t>Follow Up</t>
        </is>
      </c>
      <c r="M235" s="425" t="inlineStr">
        <is>
          <t>Capital raise support / placement</t>
        </is>
      </c>
      <c r="N235" s="426" t="inlineStr">
        <is>
          <t>Tier 2</t>
        </is>
      </c>
      <c r="O235" s="441" t="n">
        <v>45804</v>
      </c>
      <c r="P235" s="441" t="n">
        <v>45821</v>
      </c>
      <c r="Q235" s="425">
        <f>IF(P235="","",TODAY()-P235)</f>
        <v/>
      </c>
      <c r="R235" s="441">
        <f>IF(OR(L235="Passed",Z235=""),"",P235+Z235)</f>
        <v/>
      </c>
      <c r="S235" s="425">
        <f>IF(OR(R235="",L235="Passed"),"",IF(R235&lt;=TODAY(),"DUE",IF(R235&lt;=TODAY()+3,"Next 3 Days","Later")))</f>
        <v/>
      </c>
      <c r="T235" s="425" t="inlineStr"/>
      <c r="U235" s="426" t="inlineStr">
        <is>
          <t>https://www.linkedin.com/in/dianaruddy/</t>
        </is>
      </c>
      <c r="V235" s="426" t="inlineStr"/>
      <c r="W235" s="428" t="inlineStr">
        <is>
          <t xml:space="preserve"> |  | </t>
        </is>
      </c>
      <c r="X235" s="425" t="inlineStr">
        <is>
          <t>John - Investor Contacts!80</t>
        </is>
      </c>
      <c r="Y235" s="426" t="inlineStr">
        <is>
          <t>Send next follow-up with traction + CTA</t>
        </is>
      </c>
      <c r="Z235" s="425" t="n">
        <v>7</v>
      </c>
      <c r="AA235" s="425">
        <f>IF(AC235="Archived",0,ROUND((IF(N235="Tier 1",35,IF(N235="Tier 2",20,8))+IF(C235="Financial Investor",15,IF(C235="Intermediary / Banker",12,8))+IF(L235="Term Sheet / Proposal",25,IF(L235="Engaged",20,IF(L235="Meeting Requested",18,IF(L235="Meeting Held",14,IF(L235="Follow Up",10,5)))))+MIN(Q235,30)+IF(S235="DUE",15,IF(S235="Next 3 Days",8,0))),0))</f>
        <v/>
      </c>
      <c r="AB235" s="425">
        <f>IF(AND(AC235="Active",OR(N235="Tier 1",N235="Tier 2"),OR(S235="DUE",S235="Next 3 Days")),"YES","")</f>
        <v/>
      </c>
      <c r="AC235" s="425">
        <f>IF(L235="Passed","Archived","Active")</f>
        <v/>
      </c>
    </row>
    <row r="236">
      <c r="A236" s="425" t="inlineStr">
        <is>
          <t>EXOS-0235</t>
        </is>
      </c>
      <c r="B236" s="425" t="inlineStr">
        <is>
          <t>John - Investor Contacts</t>
        </is>
      </c>
      <c r="C236" s="425" t="inlineStr">
        <is>
          <t>Financial Investor</t>
        </is>
      </c>
      <c r="D236" s="425" t="inlineStr">
        <is>
          <t>Catalyst Investors</t>
        </is>
      </c>
      <c r="E236" s="425" t="inlineStr">
        <is>
          <t>Brian Rich</t>
        </is>
      </c>
      <c r="F236" s="425" t="inlineStr"/>
      <c r="G236" s="111" t="inlineStr">
        <is>
          <t>brian@catalyst.com</t>
        </is>
      </c>
      <c r="H236" s="425" t="inlineStr"/>
      <c r="I236" s="425" t="inlineStr"/>
      <c r="J236" s="425" t="inlineStr"/>
      <c r="K236" s="426" t="inlineStr">
        <is>
          <t>John Quinn</t>
        </is>
      </c>
      <c r="L236" s="426" t="inlineStr">
        <is>
          <t>Follow Up</t>
        </is>
      </c>
      <c r="M236" s="425" t="inlineStr">
        <is>
          <t>Space / Defense / Aerospace / Advanced Manufacturing</t>
        </is>
      </c>
      <c r="N236" s="426" t="inlineStr">
        <is>
          <t>Tier 2</t>
        </is>
      </c>
      <c r="O236" s="441" t="n">
        <v>45894</v>
      </c>
      <c r="P236" s="441" t="n">
        <v>45924</v>
      </c>
      <c r="Q236" s="425">
        <f>IF(P236="","",TODAY()-P236)</f>
        <v/>
      </c>
      <c r="R236" s="441">
        <f>IF(OR(L236="Passed",Z236=""),"",P236+Z236)</f>
        <v/>
      </c>
      <c r="S236" s="425">
        <f>IF(OR(R236="",L236="Passed"),"",IF(R236&lt;=TODAY(),"DUE",IF(R236&lt;=TODAY()+3,"Next 3 Days","Later")))</f>
        <v/>
      </c>
      <c r="T236" s="425" t="inlineStr"/>
      <c r="U236" s="426" t="inlineStr">
        <is>
          <t>linkedin.com/in/brian-rich-b6021b4b</t>
        </is>
      </c>
      <c r="V236" s="426" t="inlineStr"/>
      <c r="W236" s="428" t="inlineStr">
        <is>
          <t xml:space="preserve"> | 12/04/2025 | </t>
        </is>
      </c>
      <c r="X236" s="425" t="inlineStr">
        <is>
          <t>John - Investor Contacts!533</t>
        </is>
      </c>
      <c r="Y236" s="426" t="inlineStr">
        <is>
          <t>Send next follow-up with traction + CTA</t>
        </is>
      </c>
      <c r="Z236" s="425" t="n">
        <v>7</v>
      </c>
      <c r="AA236" s="425">
        <f>IF(AC236="Archived",0,ROUND((IF(N236="Tier 1",35,IF(N236="Tier 2",20,8))+IF(C236="Financial Investor",15,IF(C236="Intermediary / Banker",12,8))+IF(L236="Term Sheet / Proposal",25,IF(L236="Engaged",20,IF(L236="Meeting Requested",18,IF(L236="Meeting Held",14,IF(L236="Follow Up",10,5)))))+MIN(Q236,30)+IF(S236="DUE",15,IF(S236="Next 3 Days",8,0))),0))</f>
        <v/>
      </c>
      <c r="AB236" s="425">
        <f>IF(AND(AC236="Active",OR(N236="Tier 1",N236="Tier 2"),OR(S236="DUE",S236="Next 3 Days")),"YES","")</f>
        <v/>
      </c>
      <c r="AC236" s="425">
        <f>IF(L236="Passed","Archived","Active")</f>
        <v/>
      </c>
    </row>
    <row r="237">
      <c r="A237" s="425" t="inlineStr">
        <is>
          <t>EXOS-0236</t>
        </is>
      </c>
      <c r="B237" s="425" t="inlineStr">
        <is>
          <t>John - Investor Contacts</t>
        </is>
      </c>
      <c r="C237" s="425" t="inlineStr">
        <is>
          <t>Financial Investor</t>
        </is>
      </c>
      <c r="D237" s="425" t="inlineStr">
        <is>
          <t>Catalyst Investors</t>
        </is>
      </c>
      <c r="E237" s="425" t="inlineStr">
        <is>
          <t>Tyler Newton</t>
        </is>
      </c>
      <c r="F237" s="425" t="inlineStr"/>
      <c r="G237" s="111" t="inlineStr">
        <is>
          <t>tyler@catalyst.com</t>
        </is>
      </c>
      <c r="H237" s="425" t="inlineStr"/>
      <c r="I237" s="425" t="inlineStr"/>
      <c r="J237" s="111" t="inlineStr">
        <is>
          <t>https://www.linkedin.com/in/tylercnewton/</t>
        </is>
      </c>
      <c r="K237" s="426" t="inlineStr">
        <is>
          <t>John Quinn</t>
        </is>
      </c>
      <c r="L237" s="426" t="inlineStr">
        <is>
          <t>Follow Up</t>
        </is>
      </c>
      <c r="M237" s="425" t="inlineStr">
        <is>
          <t>Space / Defense / Aerospace / Advanced Manufacturing</t>
        </is>
      </c>
      <c r="N237" s="426" t="inlineStr">
        <is>
          <t>Tier 2</t>
        </is>
      </c>
      <c r="O237" s="441" t="n">
        <v>45894</v>
      </c>
      <c r="P237" s="441" t="n">
        <v>45924</v>
      </c>
      <c r="Q237" s="425">
        <f>IF(P237="","",TODAY()-P237)</f>
        <v/>
      </c>
      <c r="R237" s="441">
        <f>IF(OR(L237="Passed",Z237=""),"",P237+Z237)</f>
        <v/>
      </c>
      <c r="S237" s="425">
        <f>IF(OR(R237="",L237="Passed"),"",IF(R237&lt;=TODAY(),"DUE",IF(R237&lt;=TODAY()+3,"Next 3 Days","Later")))</f>
        <v/>
      </c>
      <c r="T237" s="425" t="inlineStr"/>
      <c r="U237" s="426" t="inlineStr">
        <is>
          <t>https://www.linkedin.com/in/tylercnewton/</t>
        </is>
      </c>
      <c r="V237" s="426" t="inlineStr"/>
      <c r="W237" s="428" t="inlineStr">
        <is>
          <t xml:space="preserve"> | 12/04/2025 | </t>
        </is>
      </c>
      <c r="X237" s="425" t="inlineStr">
        <is>
          <t>John - Investor Contacts!534</t>
        </is>
      </c>
      <c r="Y237" s="426" t="inlineStr">
        <is>
          <t>Send next follow-up with traction + CTA</t>
        </is>
      </c>
      <c r="Z237" s="425" t="n">
        <v>7</v>
      </c>
      <c r="AA237" s="425">
        <f>IF(AC237="Archived",0,ROUND((IF(N237="Tier 1",35,IF(N237="Tier 2",20,8))+IF(C237="Financial Investor",15,IF(C237="Intermediary / Banker",12,8))+IF(L237="Term Sheet / Proposal",25,IF(L237="Engaged",20,IF(L237="Meeting Requested",18,IF(L237="Meeting Held",14,IF(L237="Follow Up",10,5)))))+MIN(Q237,30)+IF(S237="DUE",15,IF(S237="Next 3 Days",8,0))),0))</f>
        <v/>
      </c>
      <c r="AB237" s="425">
        <f>IF(AND(AC237="Active",OR(N237="Tier 1",N237="Tier 2"),OR(S237="DUE",S237="Next 3 Days")),"YES","")</f>
        <v/>
      </c>
      <c r="AC237" s="425">
        <f>IF(L237="Passed","Archived","Active")</f>
        <v/>
      </c>
    </row>
    <row r="238">
      <c r="A238" s="425" t="inlineStr">
        <is>
          <t>EXOS-0237</t>
        </is>
      </c>
      <c r="B238" s="425" t="inlineStr">
        <is>
          <t>John - Investor Contacts</t>
        </is>
      </c>
      <c r="C238" s="425" t="inlineStr">
        <is>
          <t>Financial Investor</t>
        </is>
      </c>
      <c r="D238" s="425" t="inlineStr">
        <is>
          <t>Cathay Innovation</t>
        </is>
      </c>
      <c r="E238" s="425" t="inlineStr">
        <is>
          <t>Jonathan Healy</t>
        </is>
      </c>
      <c r="F238" s="425" t="inlineStr"/>
      <c r="G238" s="111" t="inlineStr">
        <is>
          <t>jonathan.healy@cathayinnovation.com</t>
        </is>
      </c>
      <c r="H238" s="425" t="inlineStr"/>
      <c r="I238" s="425" t="inlineStr"/>
      <c r="J238" s="111" t="inlineStr">
        <is>
          <t>https://www.linkedin.com/in/jon-healy/</t>
        </is>
      </c>
      <c r="K238" s="426" t="inlineStr">
        <is>
          <t>John Quinn</t>
        </is>
      </c>
      <c r="L238" s="426" t="inlineStr">
        <is>
          <t>Follow Up</t>
        </is>
      </c>
      <c r="M238" s="425" t="inlineStr">
        <is>
          <t>Space / Defense / Aerospace / Advanced Manufacturing</t>
        </is>
      </c>
      <c r="N238" s="426" t="inlineStr">
        <is>
          <t>Tier 2</t>
        </is>
      </c>
      <c r="O238" s="441" t="n">
        <v>45912</v>
      </c>
      <c r="P238" s="441" t="n">
        <v>45973</v>
      </c>
      <c r="Q238" s="425">
        <f>IF(P238="","",TODAY()-P238)</f>
        <v/>
      </c>
      <c r="R238" s="441">
        <f>IF(OR(L238="Passed",Z238=""),"",P238+Z238)</f>
        <v/>
      </c>
      <c r="S238" s="425">
        <f>IF(OR(R238="",L238="Passed"),"",IF(R238&lt;=TODAY(),"DUE",IF(R238&lt;=TODAY()+3,"Next 3 Days","Later")))</f>
        <v/>
      </c>
      <c r="T238" s="425" t="inlineStr"/>
      <c r="U238" s="426" t="inlineStr">
        <is>
          <t>https://www.linkedin.com/in/jon-healy/</t>
        </is>
      </c>
      <c r="V238" s="426" t="inlineStr"/>
      <c r="W238" s="428" t="inlineStr">
        <is>
          <t xml:space="preserve"> | 12/19/2025 | </t>
        </is>
      </c>
      <c r="X238" s="425" t="inlineStr">
        <is>
          <t>John - Investor Contacts!687</t>
        </is>
      </c>
      <c r="Y238" s="426" t="inlineStr">
        <is>
          <t>Send next follow-up with traction + CTA</t>
        </is>
      </c>
      <c r="Z238" s="425" t="n">
        <v>7</v>
      </c>
      <c r="AA238" s="425">
        <f>IF(AC238="Archived",0,ROUND((IF(N238="Tier 1",35,IF(N238="Tier 2",20,8))+IF(C238="Financial Investor",15,IF(C238="Intermediary / Banker",12,8))+IF(L238="Term Sheet / Proposal",25,IF(L238="Engaged",20,IF(L238="Meeting Requested",18,IF(L238="Meeting Held",14,IF(L238="Follow Up",10,5)))))+MIN(Q238,30)+IF(S238="DUE",15,IF(S238="Next 3 Days",8,0))),0))</f>
        <v/>
      </c>
      <c r="AB238" s="425">
        <f>IF(AND(AC238="Active",OR(N238="Tier 1",N238="Tier 2"),OR(S238="DUE",S238="Next 3 Days")),"YES","")</f>
        <v/>
      </c>
      <c r="AC238" s="425">
        <f>IF(L238="Passed","Archived","Active")</f>
        <v/>
      </c>
    </row>
    <row r="239">
      <c r="A239" s="425" t="inlineStr">
        <is>
          <t>EXOS-0238</t>
        </is>
      </c>
      <c r="B239" s="425" t="inlineStr">
        <is>
          <t>John - Investor Contacts</t>
        </is>
      </c>
      <c r="C239" s="425" t="inlineStr">
        <is>
          <t>Financial Investor</t>
        </is>
      </c>
      <c r="D239" s="425" t="inlineStr">
        <is>
          <t>Centana Growth</t>
        </is>
      </c>
      <c r="E239" s="425" t="inlineStr">
        <is>
          <t>Ben Cukier</t>
        </is>
      </c>
      <c r="F239" s="425" t="inlineStr"/>
      <c r="G239" s="111" t="inlineStr">
        <is>
          <t>bcukier@centanagrowth.com</t>
        </is>
      </c>
      <c r="H239" s="425" t="inlineStr"/>
      <c r="I239" s="425" t="inlineStr"/>
      <c r="J239" s="111" t="inlineStr">
        <is>
          <t>https://www.linkedin.com/in/bcukier/</t>
        </is>
      </c>
      <c r="K239" s="426" t="inlineStr">
        <is>
          <t>John Quinn</t>
        </is>
      </c>
      <c r="L239" s="426" t="inlineStr">
        <is>
          <t>Follow Up</t>
        </is>
      </c>
      <c r="M239" s="425" t="inlineStr">
        <is>
          <t>Space / Defense / Aerospace / Advanced Manufacturing</t>
        </is>
      </c>
      <c r="N239" s="426" t="inlineStr">
        <is>
          <t>Tier 2</t>
        </is>
      </c>
      <c r="O239" s="441" t="n">
        <v>45860</v>
      </c>
      <c r="P239" s="441" t="n">
        <v>45878</v>
      </c>
      <c r="Q239" s="425">
        <f>IF(P239="","",TODAY()-P239)</f>
        <v/>
      </c>
      <c r="R239" s="441">
        <f>IF(OR(L239="Passed",Z239=""),"",P239+Z239)</f>
        <v/>
      </c>
      <c r="S239" s="425">
        <f>IF(OR(R239="",L239="Passed"),"",IF(R239&lt;=TODAY(),"DUE",IF(R239&lt;=TODAY()+3,"Next 3 Days","Later")))</f>
        <v/>
      </c>
      <c r="T239" s="425" t="inlineStr"/>
      <c r="U239" s="426" t="inlineStr">
        <is>
          <t>https://www.linkedin.com/in/bcukier/</t>
        </is>
      </c>
      <c r="V239" s="426" t="inlineStr"/>
      <c r="W239" s="428" t="inlineStr">
        <is>
          <t xml:space="preserve"> | 12/26/2025 | </t>
        </is>
      </c>
      <c r="X239" s="425" t="inlineStr">
        <is>
          <t>John - Investor Contacts!417</t>
        </is>
      </c>
      <c r="Y239" s="426" t="inlineStr">
        <is>
          <t>Send next follow-up with traction + CTA</t>
        </is>
      </c>
      <c r="Z239" s="425" t="n">
        <v>7</v>
      </c>
      <c r="AA239" s="425">
        <f>IF(AC239="Archived",0,ROUND((IF(N239="Tier 1",35,IF(N239="Tier 2",20,8))+IF(C239="Financial Investor",15,IF(C239="Intermediary / Banker",12,8))+IF(L239="Term Sheet / Proposal",25,IF(L239="Engaged",20,IF(L239="Meeting Requested",18,IF(L239="Meeting Held",14,IF(L239="Follow Up",10,5)))))+MIN(Q239,30)+IF(S239="DUE",15,IF(S239="Next 3 Days",8,0))),0))</f>
        <v/>
      </c>
      <c r="AB239" s="425">
        <f>IF(AND(AC239="Active",OR(N239="Tier 1",N239="Tier 2"),OR(S239="DUE",S239="Next 3 Days")),"YES","")</f>
        <v/>
      </c>
      <c r="AC239" s="425">
        <f>IF(L239="Passed","Archived","Active")</f>
        <v/>
      </c>
    </row>
    <row r="240">
      <c r="A240" s="425" t="inlineStr">
        <is>
          <t>EXOS-0239</t>
        </is>
      </c>
      <c r="B240" s="425" t="inlineStr">
        <is>
          <t>John - Investor Contacts</t>
        </is>
      </c>
      <c r="C240" s="425" t="inlineStr">
        <is>
          <t>Financial Investor</t>
        </is>
      </c>
      <c r="D240" s="425" t="inlineStr">
        <is>
          <t>Centana Growth</t>
        </is>
      </c>
      <c r="E240" s="425" t="inlineStr">
        <is>
          <t>Devi Malhotra</t>
        </is>
      </c>
      <c r="F240" s="425" t="inlineStr"/>
      <c r="G240" s="111" t="inlineStr">
        <is>
          <t>dmalhotra@centanagrowth.com</t>
        </is>
      </c>
      <c r="H240" s="425" t="inlineStr"/>
      <c r="I240" s="425" t="inlineStr"/>
      <c r="J240" s="111" t="inlineStr">
        <is>
          <t>https://www.linkedin.com/in/devi-malhotra-1638767b/</t>
        </is>
      </c>
      <c r="K240" s="426" t="inlineStr">
        <is>
          <t>John Quinn</t>
        </is>
      </c>
      <c r="L240" s="426" t="inlineStr">
        <is>
          <t>Follow Up</t>
        </is>
      </c>
      <c r="M240" s="425" t="inlineStr">
        <is>
          <t>Space / Defense / Aerospace / Advanced Manufacturing</t>
        </is>
      </c>
      <c r="N240" s="426" t="inlineStr">
        <is>
          <t>Tier 2</t>
        </is>
      </c>
      <c r="O240" s="441" t="n">
        <v>45860</v>
      </c>
      <c r="P240" s="441" t="n">
        <v>45878</v>
      </c>
      <c r="Q240" s="425">
        <f>IF(P240="","",TODAY()-P240)</f>
        <v/>
      </c>
      <c r="R240" s="441">
        <f>IF(OR(L240="Passed",Z240=""),"",P240+Z240)</f>
        <v/>
      </c>
      <c r="S240" s="425">
        <f>IF(OR(R240="",L240="Passed"),"",IF(R240&lt;=TODAY(),"DUE",IF(R240&lt;=TODAY()+3,"Next 3 Days","Later")))</f>
        <v/>
      </c>
      <c r="T240" s="425" t="inlineStr"/>
      <c r="U240" s="426" t="inlineStr">
        <is>
          <t>https://www.linkedin.com/in/devi-malhotra-1638767b/</t>
        </is>
      </c>
      <c r="V240" s="426" t="inlineStr"/>
      <c r="W240" s="428" t="inlineStr">
        <is>
          <t xml:space="preserve"> | 12/26/2025 | </t>
        </is>
      </c>
      <c r="X240" s="425" t="inlineStr">
        <is>
          <t>John - Investor Contacts!419</t>
        </is>
      </c>
      <c r="Y240" s="426" t="inlineStr">
        <is>
          <t>Send next follow-up with traction + CTA</t>
        </is>
      </c>
      <c r="Z240" s="425" t="n">
        <v>7</v>
      </c>
      <c r="AA240" s="425">
        <f>IF(AC240="Archived",0,ROUND((IF(N240="Tier 1",35,IF(N240="Tier 2",20,8))+IF(C240="Financial Investor",15,IF(C240="Intermediary / Banker",12,8))+IF(L240="Term Sheet / Proposal",25,IF(L240="Engaged",20,IF(L240="Meeting Requested",18,IF(L240="Meeting Held",14,IF(L240="Follow Up",10,5)))))+MIN(Q240,30)+IF(S240="DUE",15,IF(S240="Next 3 Days",8,0))),0))</f>
        <v/>
      </c>
      <c r="AB240" s="425">
        <f>IF(AND(AC240="Active",OR(N240="Tier 1",N240="Tier 2"),OR(S240="DUE",S240="Next 3 Days")),"YES","")</f>
        <v/>
      </c>
      <c r="AC240" s="425">
        <f>IF(L240="Passed","Archived","Active")</f>
        <v/>
      </c>
    </row>
    <row r="241">
      <c r="A241" s="425" t="inlineStr">
        <is>
          <t>EXOS-0240</t>
        </is>
      </c>
      <c r="B241" s="425" t="inlineStr">
        <is>
          <t>John - Investor Contacts</t>
        </is>
      </c>
      <c r="C241" s="425" t="inlineStr">
        <is>
          <t>Financial Investor</t>
        </is>
      </c>
      <c r="D241" s="425" t="inlineStr">
        <is>
          <t>Centana Growth</t>
        </is>
      </c>
      <c r="E241" s="425" t="inlineStr">
        <is>
          <t>Eric Byunn</t>
        </is>
      </c>
      <c r="F241" s="425" t="inlineStr"/>
      <c r="G241" s="111" t="inlineStr">
        <is>
          <t>ebyunn@centanagrowth.com</t>
        </is>
      </c>
      <c r="H241" s="425" t="inlineStr"/>
      <c r="I241" s="425" t="inlineStr"/>
      <c r="J241" s="111" t="inlineStr">
        <is>
          <t>https://www.linkedin.com/in/ericbyunn</t>
        </is>
      </c>
      <c r="K241" s="426" t="inlineStr">
        <is>
          <t>John Quinn</t>
        </is>
      </c>
      <c r="L241" s="426" t="inlineStr">
        <is>
          <t>Follow Up</t>
        </is>
      </c>
      <c r="M241" s="425" t="inlineStr">
        <is>
          <t>Space / Defense / Aerospace / Advanced Manufacturing</t>
        </is>
      </c>
      <c r="N241" s="426" t="inlineStr">
        <is>
          <t>Tier 2</t>
        </is>
      </c>
      <c r="O241" s="441" t="n">
        <v>45860</v>
      </c>
      <c r="P241" s="441" t="n">
        <v>45878</v>
      </c>
      <c r="Q241" s="425">
        <f>IF(P241="","",TODAY()-P241)</f>
        <v/>
      </c>
      <c r="R241" s="441">
        <f>IF(OR(L241="Passed",Z241=""),"",P241+Z241)</f>
        <v/>
      </c>
      <c r="S241" s="425">
        <f>IF(OR(R241="",L241="Passed"),"",IF(R241&lt;=TODAY(),"DUE",IF(R241&lt;=TODAY()+3,"Next 3 Days","Later")))</f>
        <v/>
      </c>
      <c r="T241" s="425" t="inlineStr"/>
      <c r="U241" s="426" t="inlineStr">
        <is>
          <t>https://www.linkedin.com/in/ericbyunn</t>
        </is>
      </c>
      <c r="V241" s="426" t="inlineStr"/>
      <c r="W241" s="428" t="inlineStr">
        <is>
          <t xml:space="preserve"> | 12/26/2025 | </t>
        </is>
      </c>
      <c r="X241" s="425" t="inlineStr">
        <is>
          <t>John - Investor Contacts!415</t>
        </is>
      </c>
      <c r="Y241" s="426" t="inlineStr">
        <is>
          <t>Send next follow-up with traction + CTA</t>
        </is>
      </c>
      <c r="Z241" s="425" t="n">
        <v>7</v>
      </c>
      <c r="AA241" s="425">
        <f>IF(AC241="Archived",0,ROUND((IF(N241="Tier 1",35,IF(N241="Tier 2",20,8))+IF(C241="Financial Investor",15,IF(C241="Intermediary / Banker",12,8))+IF(L241="Term Sheet / Proposal",25,IF(L241="Engaged",20,IF(L241="Meeting Requested",18,IF(L241="Meeting Held",14,IF(L241="Follow Up",10,5)))))+MIN(Q241,30)+IF(S241="DUE",15,IF(S241="Next 3 Days",8,0))),0))</f>
        <v/>
      </c>
      <c r="AB241" s="425">
        <f>IF(AND(AC241="Active",OR(N241="Tier 1",N241="Tier 2"),OR(S241="DUE",S241="Next 3 Days")),"YES","")</f>
        <v/>
      </c>
      <c r="AC241" s="425">
        <f>IF(L241="Passed","Archived","Active")</f>
        <v/>
      </c>
    </row>
    <row r="242">
      <c r="A242" s="425" t="inlineStr">
        <is>
          <t>EXOS-0241</t>
        </is>
      </c>
      <c r="B242" s="425" t="inlineStr">
        <is>
          <t>John - Investor Contacts</t>
        </is>
      </c>
      <c r="C242" s="425" t="inlineStr">
        <is>
          <t>Financial Investor</t>
        </is>
      </c>
      <c r="D242" s="425" t="inlineStr">
        <is>
          <t>Centana Growth</t>
        </is>
      </c>
      <c r="E242" s="425" t="inlineStr">
        <is>
          <t>Jack Babbush</t>
        </is>
      </c>
      <c r="F242" s="425" t="inlineStr"/>
      <c r="G242" s="111" t="inlineStr">
        <is>
          <t>jbabbush@centanagrowth.com</t>
        </is>
      </c>
      <c r="H242" s="425" t="inlineStr"/>
      <c r="I242" s="425" t="inlineStr"/>
      <c r="J242" s="111" t="inlineStr">
        <is>
          <t>https://www.linkedin.com/in/jack-babbush-3893a1105/</t>
        </is>
      </c>
      <c r="K242" s="426" t="inlineStr">
        <is>
          <t>John Quinn</t>
        </is>
      </c>
      <c r="L242" s="426" t="inlineStr">
        <is>
          <t>Follow Up</t>
        </is>
      </c>
      <c r="M242" s="425" t="inlineStr">
        <is>
          <t>Space / Defense / Aerospace / Advanced Manufacturing</t>
        </is>
      </c>
      <c r="N242" s="426" t="inlineStr">
        <is>
          <t>Tier 2</t>
        </is>
      </c>
      <c r="O242" s="441" t="n">
        <v>45860</v>
      </c>
      <c r="P242" s="441" t="n">
        <v>45878</v>
      </c>
      <c r="Q242" s="425">
        <f>IF(P242="","",TODAY()-P242)</f>
        <v/>
      </c>
      <c r="R242" s="441">
        <f>IF(OR(L242="Passed",Z242=""),"",P242+Z242)</f>
        <v/>
      </c>
      <c r="S242" s="425">
        <f>IF(OR(R242="",L242="Passed"),"",IF(R242&lt;=TODAY(),"DUE",IF(R242&lt;=TODAY()+3,"Next 3 Days","Later")))</f>
        <v/>
      </c>
      <c r="T242" s="425" t="inlineStr"/>
      <c r="U242" s="426" t="inlineStr">
        <is>
          <t>https://www.linkedin.com/in/jack-babbush-3893a1105/</t>
        </is>
      </c>
      <c r="V242" s="426" t="inlineStr"/>
      <c r="W242" s="428" t="inlineStr">
        <is>
          <t xml:space="preserve"> | 12/26/2025 | </t>
        </is>
      </c>
      <c r="X242" s="425" t="inlineStr">
        <is>
          <t>John - Investor Contacts!418</t>
        </is>
      </c>
      <c r="Y242" s="426" t="inlineStr">
        <is>
          <t>Send next follow-up with traction + CTA</t>
        </is>
      </c>
      <c r="Z242" s="425" t="n">
        <v>7</v>
      </c>
      <c r="AA242" s="425">
        <f>IF(AC242="Archived",0,ROUND((IF(N242="Tier 1",35,IF(N242="Tier 2",20,8))+IF(C242="Financial Investor",15,IF(C242="Intermediary / Banker",12,8))+IF(L242="Term Sheet / Proposal",25,IF(L242="Engaged",20,IF(L242="Meeting Requested",18,IF(L242="Meeting Held",14,IF(L242="Follow Up",10,5)))))+MIN(Q242,30)+IF(S242="DUE",15,IF(S242="Next 3 Days",8,0))),0))</f>
        <v/>
      </c>
      <c r="AB242" s="425">
        <f>IF(AND(AC242="Active",OR(N242="Tier 1",N242="Tier 2"),OR(S242="DUE",S242="Next 3 Days")),"YES","")</f>
        <v/>
      </c>
      <c r="AC242" s="425">
        <f>IF(L242="Passed","Archived","Active")</f>
        <v/>
      </c>
    </row>
    <row r="243">
      <c r="A243" s="425" t="inlineStr">
        <is>
          <t>EXOS-0242</t>
        </is>
      </c>
      <c r="B243" s="425" t="inlineStr">
        <is>
          <t>John - Investor Contacts</t>
        </is>
      </c>
      <c r="C243" s="425" t="inlineStr">
        <is>
          <t>Financial Investor</t>
        </is>
      </c>
      <c r="D243" s="425" t="inlineStr">
        <is>
          <t>Centana Growth</t>
        </is>
      </c>
      <c r="E243" s="425" t="inlineStr">
        <is>
          <t>Matthew Alfieri</t>
        </is>
      </c>
      <c r="F243" s="425" t="inlineStr"/>
      <c r="G243" s="111" t="inlineStr">
        <is>
          <t>malfieri@centanagrowth.com</t>
        </is>
      </c>
      <c r="H243" s="425" t="inlineStr"/>
      <c r="I243" s="425" t="inlineStr"/>
      <c r="J243" s="111" t="inlineStr">
        <is>
          <t>https://www.linkedin.com/in/matthew-alfieri-50555113/</t>
        </is>
      </c>
      <c r="K243" s="426" t="inlineStr">
        <is>
          <t>John Quinn</t>
        </is>
      </c>
      <c r="L243" s="426" t="inlineStr">
        <is>
          <t>Follow Up</t>
        </is>
      </c>
      <c r="M243" s="425" t="inlineStr">
        <is>
          <t>Space / Defense / Aerospace / Advanced Manufacturing</t>
        </is>
      </c>
      <c r="N243" s="426" t="inlineStr">
        <is>
          <t>Tier 2</t>
        </is>
      </c>
      <c r="O243" s="441" t="n">
        <v>45860</v>
      </c>
      <c r="P243" s="441" t="n">
        <v>45878</v>
      </c>
      <c r="Q243" s="425">
        <f>IF(P243="","",TODAY()-P243)</f>
        <v/>
      </c>
      <c r="R243" s="441">
        <f>IF(OR(L243="Passed",Z243=""),"",P243+Z243)</f>
        <v/>
      </c>
      <c r="S243" s="425">
        <f>IF(OR(R243="",L243="Passed"),"",IF(R243&lt;=TODAY(),"DUE",IF(R243&lt;=TODAY()+3,"Next 3 Days","Later")))</f>
        <v/>
      </c>
      <c r="T243" s="425" t="inlineStr"/>
      <c r="U243" s="426" t="inlineStr">
        <is>
          <t>https://www.linkedin.com/in/matthew-alfieri-50555113/</t>
        </is>
      </c>
      <c r="V243" s="426" t="inlineStr"/>
      <c r="W243" s="428" t="inlineStr">
        <is>
          <t xml:space="preserve"> | 12/26/2025 | </t>
        </is>
      </c>
      <c r="X243" s="425" t="inlineStr">
        <is>
          <t>John - Investor Contacts!416</t>
        </is>
      </c>
      <c r="Y243" s="426" t="inlineStr">
        <is>
          <t>Send next follow-up with traction + CTA</t>
        </is>
      </c>
      <c r="Z243" s="425" t="n">
        <v>7</v>
      </c>
      <c r="AA243" s="425">
        <f>IF(AC243="Archived",0,ROUND((IF(N243="Tier 1",35,IF(N243="Tier 2",20,8))+IF(C243="Financial Investor",15,IF(C243="Intermediary / Banker",12,8))+IF(L243="Term Sheet / Proposal",25,IF(L243="Engaged",20,IF(L243="Meeting Requested",18,IF(L243="Meeting Held",14,IF(L243="Follow Up",10,5)))))+MIN(Q243,30)+IF(S243="DUE",15,IF(S243="Next 3 Days",8,0))),0))</f>
        <v/>
      </c>
      <c r="AB243" s="425">
        <f>IF(AND(AC243="Active",OR(N243="Tier 1",N243="Tier 2"),OR(S243="DUE",S243="Next 3 Days")),"YES","")</f>
        <v/>
      </c>
      <c r="AC243" s="425">
        <f>IF(L243="Passed","Archived","Active")</f>
        <v/>
      </c>
    </row>
    <row r="244">
      <c r="A244" s="425" t="inlineStr">
        <is>
          <t>EXOS-0243</t>
        </is>
      </c>
      <c r="B244" s="425" t="inlineStr">
        <is>
          <t>John - Investor Contacts</t>
        </is>
      </c>
      <c r="C244" s="425" t="inlineStr">
        <is>
          <t>Financial Investor</t>
        </is>
      </c>
      <c r="D244" s="425" t="inlineStr">
        <is>
          <t>Centana Growth</t>
        </is>
      </c>
      <c r="E244" s="425" t="inlineStr">
        <is>
          <t>Sarah Kim</t>
        </is>
      </c>
      <c r="F244" s="425" t="inlineStr"/>
      <c r="G244" s="111" t="inlineStr">
        <is>
          <t>skim@centanagrowth.com</t>
        </is>
      </c>
      <c r="H244" s="425" t="inlineStr"/>
      <c r="I244" s="425" t="inlineStr"/>
      <c r="J244" s="111" t="inlineStr">
        <is>
          <t>https://www.linkedin.com/in/sarah-kim-05709025/</t>
        </is>
      </c>
      <c r="K244" s="426" t="inlineStr">
        <is>
          <t>John Quinn</t>
        </is>
      </c>
      <c r="L244" s="426" t="inlineStr">
        <is>
          <t>Follow Up</t>
        </is>
      </c>
      <c r="M244" s="425" t="inlineStr">
        <is>
          <t>Space / Defense / Aerospace / Advanced Manufacturing</t>
        </is>
      </c>
      <c r="N244" s="426" t="inlineStr">
        <is>
          <t>Tier 2</t>
        </is>
      </c>
      <c r="O244" s="441" t="n">
        <v>45860</v>
      </c>
      <c r="P244" s="441" t="n">
        <v>45878</v>
      </c>
      <c r="Q244" s="425">
        <f>IF(P244="","",TODAY()-P244)</f>
        <v/>
      </c>
      <c r="R244" s="441">
        <f>IF(OR(L244="Passed",Z244=""),"",P244+Z244)</f>
        <v/>
      </c>
      <c r="S244" s="425">
        <f>IF(OR(R244="",L244="Passed"),"",IF(R244&lt;=TODAY(),"DUE",IF(R244&lt;=TODAY()+3,"Next 3 Days","Later")))</f>
        <v/>
      </c>
      <c r="T244" s="425" t="inlineStr"/>
      <c r="U244" s="426" t="inlineStr">
        <is>
          <t>https://www.linkedin.com/in/sarah-kim-05709025/</t>
        </is>
      </c>
      <c r="V244" s="426" t="inlineStr"/>
      <c r="W244" s="428" t="inlineStr">
        <is>
          <t xml:space="preserve"> | 12/26/2025 | </t>
        </is>
      </c>
      <c r="X244" s="425" t="inlineStr">
        <is>
          <t>John - Investor Contacts!414</t>
        </is>
      </c>
      <c r="Y244" s="426" t="inlineStr">
        <is>
          <t>Send next follow-up with traction + CTA</t>
        </is>
      </c>
      <c r="Z244" s="425" t="n">
        <v>7</v>
      </c>
      <c r="AA244" s="425">
        <f>IF(AC244="Archived",0,ROUND((IF(N244="Tier 1",35,IF(N244="Tier 2",20,8))+IF(C244="Financial Investor",15,IF(C244="Intermediary / Banker",12,8))+IF(L244="Term Sheet / Proposal",25,IF(L244="Engaged",20,IF(L244="Meeting Requested",18,IF(L244="Meeting Held",14,IF(L244="Follow Up",10,5)))))+MIN(Q244,30)+IF(S244="DUE",15,IF(S244="Next 3 Days",8,0))),0))</f>
        <v/>
      </c>
      <c r="AB244" s="425">
        <f>IF(AND(AC244="Active",OR(N244="Tier 1",N244="Tier 2"),OR(S244="DUE",S244="Next 3 Days")),"YES","")</f>
        <v/>
      </c>
      <c r="AC244" s="425">
        <f>IF(L244="Passed","Archived","Active")</f>
        <v/>
      </c>
    </row>
    <row r="245">
      <c r="A245" s="425" t="inlineStr">
        <is>
          <t>EXOS-0244</t>
        </is>
      </c>
      <c r="B245" s="425" t="inlineStr">
        <is>
          <t>John - Investor Contacts</t>
        </is>
      </c>
      <c r="C245" s="425" t="inlineStr">
        <is>
          <t>Financial Investor</t>
        </is>
      </c>
      <c r="D245" s="425" t="inlineStr">
        <is>
          <t>Chairman</t>
        </is>
      </c>
      <c r="E245" s="425" t="inlineStr">
        <is>
          <t>Simon Hogan</t>
        </is>
      </c>
      <c r="F245" s="425" t="inlineStr"/>
      <c r="G245" s="111" t="inlineStr">
        <is>
          <t>simon.hogan@hydrogenonecapital.com</t>
        </is>
      </c>
      <c r="H245" s="425" t="inlineStr"/>
      <c r="I245" s="425" t="inlineStr"/>
      <c r="J245" s="111" t="inlineStr">
        <is>
          <t>https://www.linkedin.com/in/simon-hogan-94296964/</t>
        </is>
      </c>
      <c r="K245" s="426" t="inlineStr">
        <is>
          <t>John Quinn</t>
        </is>
      </c>
      <c r="L245" s="426" t="inlineStr">
        <is>
          <t>Follow Up</t>
        </is>
      </c>
      <c r="M245" s="425" t="inlineStr">
        <is>
          <t>Space / Defense / Aerospace / Advanced Manufacturing</t>
        </is>
      </c>
      <c r="N245" s="426" t="inlineStr">
        <is>
          <t>Tier 2</t>
        </is>
      </c>
      <c r="O245" s="441" t="n">
        <v>45974</v>
      </c>
      <c r="P245" s="441" t="n">
        <v>46037</v>
      </c>
      <c r="Q245" s="425">
        <f>IF(P245="","",TODAY()-P245)</f>
        <v/>
      </c>
      <c r="R245" s="441">
        <f>IF(OR(L245="Passed",Z245=""),"",P245+Z245)</f>
        <v/>
      </c>
      <c r="S245" s="425">
        <f>IF(OR(R245="",L245="Passed"),"",IF(R245&lt;=TODAY(),"DUE",IF(R245&lt;=TODAY()+3,"Next 3 Days","Later")))</f>
        <v/>
      </c>
      <c r="T245" s="425" t="inlineStr"/>
      <c r="U245" s="426" t="inlineStr">
        <is>
          <t>https://www.linkedin.com/in/simon-hogan-94296964/</t>
        </is>
      </c>
      <c r="V245" s="426" t="inlineStr"/>
      <c r="W245" s="428" t="inlineStr">
        <is>
          <t xml:space="preserve"> |  | </t>
        </is>
      </c>
      <c r="X245" s="425" t="inlineStr">
        <is>
          <t>John - Investor Contacts!728</t>
        </is>
      </c>
      <c r="Y245" s="426" t="inlineStr">
        <is>
          <t>Send next follow-up with traction + CTA</t>
        </is>
      </c>
      <c r="Z245" s="425" t="n">
        <v>7</v>
      </c>
      <c r="AA245" s="425">
        <f>IF(AC245="Archived",0,ROUND((IF(N245="Tier 1",35,IF(N245="Tier 2",20,8))+IF(C245="Financial Investor",15,IF(C245="Intermediary / Banker",12,8))+IF(L245="Term Sheet / Proposal",25,IF(L245="Engaged",20,IF(L245="Meeting Requested",18,IF(L245="Meeting Held",14,IF(L245="Follow Up",10,5)))))+MIN(Q245,30)+IF(S245="DUE",15,IF(S245="Next 3 Days",8,0))),0))</f>
        <v/>
      </c>
      <c r="AB245" s="425">
        <f>IF(AND(AC245="Active",OR(N245="Tier 1",N245="Tier 2"),OR(S245="DUE",S245="Next 3 Days")),"YES","")</f>
        <v/>
      </c>
      <c r="AC245" s="425">
        <f>IF(L245="Passed","Archived","Active")</f>
        <v/>
      </c>
    </row>
    <row r="246">
      <c r="A246" s="425" t="inlineStr">
        <is>
          <t>EXOS-0245</t>
        </is>
      </c>
      <c r="B246" s="425" t="inlineStr">
        <is>
          <t>John - Investor Contacts</t>
        </is>
      </c>
      <c r="C246" s="425" t="inlineStr">
        <is>
          <t>Financial Investor</t>
        </is>
      </c>
      <c r="D246" s="425" t="inlineStr">
        <is>
          <t>Character VC</t>
        </is>
      </c>
      <c r="E246" s="425" t="inlineStr">
        <is>
          <t>Eli Blee-Goldman</t>
        </is>
      </c>
      <c r="F246" s="425" t="inlineStr"/>
      <c r="G246" s="111" t="inlineStr">
        <is>
          <t>eli@character.vc</t>
        </is>
      </c>
      <c r="H246" s="425" t="inlineStr"/>
      <c r="I246" s="425" t="inlineStr"/>
      <c r="J246" s="111" t="inlineStr">
        <is>
          <t>https://www.linkedin.com/in/eli-blee-goldman/</t>
        </is>
      </c>
      <c r="K246" s="426" t="inlineStr">
        <is>
          <t>John Quinn</t>
        </is>
      </c>
      <c r="L246" s="426" t="inlineStr">
        <is>
          <t>Follow Up</t>
        </is>
      </c>
      <c r="M246" s="425" t="inlineStr">
        <is>
          <t>Space / Defense / Aerospace / Advanced Manufacturing</t>
        </is>
      </c>
      <c r="N246" s="426" t="inlineStr">
        <is>
          <t>Tier 2</t>
        </is>
      </c>
      <c r="O246" s="441" t="n">
        <v>45897</v>
      </c>
      <c r="P246" s="441" t="n">
        <v>45929</v>
      </c>
      <c r="Q246" s="425">
        <f>IF(P246="","",TODAY()-P246)</f>
        <v/>
      </c>
      <c r="R246" s="441">
        <f>IF(OR(L246="Passed",Z246=""),"",P246+Z246)</f>
        <v/>
      </c>
      <c r="S246" s="425">
        <f>IF(OR(R246="",L246="Passed"),"",IF(R246&lt;=TODAY(),"DUE",IF(R246&lt;=TODAY()+3,"Next 3 Days","Later")))</f>
        <v/>
      </c>
      <c r="T246" s="425" t="inlineStr"/>
      <c r="U246" s="426" t="inlineStr">
        <is>
          <t>https://www.linkedin.com/in/eli-blee-goldman/</t>
        </is>
      </c>
      <c r="V246" s="426" t="inlineStr"/>
      <c r="W246" s="428" t="inlineStr">
        <is>
          <t xml:space="preserve"> | 12/05/2025 | </t>
        </is>
      </c>
      <c r="X246" s="425" t="inlineStr">
        <is>
          <t>John - Investor Contacts!573</t>
        </is>
      </c>
      <c r="Y246" s="426" t="inlineStr">
        <is>
          <t>Send next follow-up with traction + CTA</t>
        </is>
      </c>
      <c r="Z246" s="425" t="n">
        <v>7</v>
      </c>
      <c r="AA246" s="425">
        <f>IF(AC246="Archived",0,ROUND((IF(N246="Tier 1",35,IF(N246="Tier 2",20,8))+IF(C246="Financial Investor",15,IF(C246="Intermediary / Banker",12,8))+IF(L246="Term Sheet / Proposal",25,IF(L246="Engaged",20,IF(L246="Meeting Requested",18,IF(L246="Meeting Held",14,IF(L246="Follow Up",10,5)))))+MIN(Q246,30)+IF(S246="DUE",15,IF(S246="Next 3 Days",8,0))),0))</f>
        <v/>
      </c>
      <c r="AB246" s="425">
        <f>IF(AND(AC246="Active",OR(N246="Tier 1",N246="Tier 2"),OR(S246="DUE",S246="Next 3 Days")),"YES","")</f>
        <v/>
      </c>
      <c r="AC246" s="425">
        <f>IF(L246="Passed","Archived","Active")</f>
        <v/>
      </c>
    </row>
    <row r="247">
      <c r="A247" s="425" t="inlineStr">
        <is>
          <t>EXOS-0246</t>
        </is>
      </c>
      <c r="B247" s="425" t="inlineStr">
        <is>
          <t>John - Investor Contacts</t>
        </is>
      </c>
      <c r="C247" s="425" t="inlineStr">
        <is>
          <t>Financial Investor</t>
        </is>
      </c>
      <c r="D247" s="425" t="inlineStr">
        <is>
          <t>Chicago Ventures</t>
        </is>
      </c>
      <c r="E247" s="425" t="inlineStr">
        <is>
          <t>Stuart Larkins</t>
        </is>
      </c>
      <c r="F247" s="425" t="inlineStr"/>
      <c r="G247" s="111" t="inlineStr">
        <is>
          <t>stuart@chicagoventures.com</t>
        </is>
      </c>
      <c r="H247" s="425" t="inlineStr"/>
      <c r="I247" s="425" t="inlineStr"/>
      <c r="J247" s="111" t="inlineStr">
        <is>
          <t>https://www.linkedin.com/in/stuartlarkins/</t>
        </is>
      </c>
      <c r="K247" s="426" t="inlineStr">
        <is>
          <t>John Quinn</t>
        </is>
      </c>
      <c r="L247" s="426" t="inlineStr">
        <is>
          <t>Follow Up</t>
        </is>
      </c>
      <c r="M247" s="425" t="inlineStr">
        <is>
          <t>Space / Defense / Aerospace / Advanced Manufacturing</t>
        </is>
      </c>
      <c r="N247" s="426" t="inlineStr">
        <is>
          <t>Tier 2</t>
        </is>
      </c>
      <c r="O247" s="441" t="n">
        <v>45897</v>
      </c>
      <c r="P247" s="441" t="n">
        <v>45929</v>
      </c>
      <c r="Q247" s="425">
        <f>IF(P247="","",TODAY()-P247)</f>
        <v/>
      </c>
      <c r="R247" s="441">
        <f>IF(OR(L247="Passed",Z247=""),"",P247+Z247)</f>
        <v/>
      </c>
      <c r="S247" s="425">
        <f>IF(OR(R247="",L247="Passed"),"",IF(R247&lt;=TODAY(),"DUE",IF(R247&lt;=TODAY()+3,"Next 3 Days","Later")))</f>
        <v/>
      </c>
      <c r="T247" s="425" t="inlineStr"/>
      <c r="U247" s="426" t="inlineStr">
        <is>
          <t>https://www.linkedin.com/in/stuartlarkins/</t>
        </is>
      </c>
      <c r="V247" s="426" t="inlineStr"/>
      <c r="W247" s="428" t="inlineStr">
        <is>
          <t xml:space="preserve"> | 12/05/2025 | </t>
        </is>
      </c>
      <c r="X247" s="425" t="inlineStr">
        <is>
          <t>John - Investor Contacts!574</t>
        </is>
      </c>
      <c r="Y247" s="426" t="inlineStr">
        <is>
          <t>Send next follow-up with traction + CTA</t>
        </is>
      </c>
      <c r="Z247" s="425" t="n">
        <v>7</v>
      </c>
      <c r="AA247" s="425">
        <f>IF(AC247="Archived",0,ROUND((IF(N247="Tier 1",35,IF(N247="Tier 2",20,8))+IF(C247="Financial Investor",15,IF(C247="Intermediary / Banker",12,8))+IF(L247="Term Sheet / Proposal",25,IF(L247="Engaged",20,IF(L247="Meeting Requested",18,IF(L247="Meeting Held",14,IF(L247="Follow Up",10,5)))))+MIN(Q247,30)+IF(S247="DUE",15,IF(S247="Next 3 Days",8,0))),0))</f>
        <v/>
      </c>
      <c r="AB247" s="425">
        <f>IF(AND(AC247="Active",OR(N247="Tier 1",N247="Tier 2"),OR(S247="DUE",S247="Next 3 Days")),"YES","")</f>
        <v/>
      </c>
      <c r="AC247" s="425">
        <f>IF(L247="Passed","Archived","Active")</f>
        <v/>
      </c>
    </row>
    <row r="248">
      <c r="A248" s="425" t="inlineStr">
        <is>
          <t>EXOS-0247</t>
        </is>
      </c>
      <c r="B248" s="425" t="inlineStr">
        <is>
          <t>John - Investor Contacts</t>
        </is>
      </c>
      <c r="C248" s="425" t="inlineStr">
        <is>
          <t>Financial Investor</t>
        </is>
      </c>
      <c r="D248" s="425" t="inlineStr">
        <is>
          <t>Chief Financial Officer</t>
        </is>
      </c>
      <c r="E248" s="425" t="inlineStr">
        <is>
          <t>Jeff Bauder</t>
        </is>
      </c>
      <c r="F248" s="425" t="inlineStr"/>
      <c r="G248" s="111" t="inlineStr">
        <is>
          <t>jbauder@longship.us</t>
        </is>
      </c>
      <c r="H248" s="425" t="inlineStr"/>
      <c r="I248" s="425" t="inlineStr"/>
      <c r="J248" s="425" t="inlineStr"/>
      <c r="K248" s="426" t="inlineStr">
        <is>
          <t>John Quinn</t>
        </is>
      </c>
      <c r="L248" s="426" t="inlineStr">
        <is>
          <t>Follow Up</t>
        </is>
      </c>
      <c r="M248" s="425" t="inlineStr">
        <is>
          <t>Space / Defense / Aerospace / Advanced Manufacturing</t>
        </is>
      </c>
      <c r="N248" s="426" t="inlineStr">
        <is>
          <t>Tier 2</t>
        </is>
      </c>
      <c r="O248" s="441" t="n">
        <v>45974</v>
      </c>
      <c r="P248" s="441" t="n">
        <v>46037</v>
      </c>
      <c r="Q248" s="425">
        <f>IF(P248="","",TODAY()-P248)</f>
        <v/>
      </c>
      <c r="R248" s="441">
        <f>IF(OR(L248="Passed",Z248=""),"",P248+Z248)</f>
        <v/>
      </c>
      <c r="S248" s="425">
        <f>IF(OR(R248="",L248="Passed"),"",IF(R248&lt;=TODAY(),"DUE",IF(R248&lt;=TODAY()+3,"Next 3 Days","Later")))</f>
        <v/>
      </c>
      <c r="T248" s="425" t="inlineStr"/>
      <c r="U248" s="426" t="inlineStr">
        <is>
          <t>linkedin.com/in/jeff-bauder-7a969758</t>
        </is>
      </c>
      <c r="V248" s="426" t="inlineStr"/>
      <c r="W248" s="428" t="inlineStr">
        <is>
          <t xml:space="preserve"> |  | </t>
        </is>
      </c>
      <c r="X248" s="425" t="inlineStr">
        <is>
          <t>John - Investor Contacts!725</t>
        </is>
      </c>
      <c r="Y248" s="426" t="inlineStr">
        <is>
          <t>Send next follow-up with traction + CTA</t>
        </is>
      </c>
      <c r="Z248" s="425" t="n">
        <v>7</v>
      </c>
      <c r="AA248" s="425">
        <f>IF(AC248="Archived",0,ROUND((IF(N248="Tier 1",35,IF(N248="Tier 2",20,8))+IF(C248="Financial Investor",15,IF(C248="Intermediary / Banker",12,8))+IF(L248="Term Sheet / Proposal",25,IF(L248="Engaged",20,IF(L248="Meeting Requested",18,IF(L248="Meeting Held",14,IF(L248="Follow Up",10,5)))))+MIN(Q248,30)+IF(S248="DUE",15,IF(S248="Next 3 Days",8,0))),0))</f>
        <v/>
      </c>
      <c r="AB248" s="425">
        <f>IF(AND(AC248="Active",OR(N248="Tier 1",N248="Tier 2"),OR(S248="DUE",S248="Next 3 Days")),"YES","")</f>
        <v/>
      </c>
      <c r="AC248" s="425">
        <f>IF(L248="Passed","Archived","Active")</f>
        <v/>
      </c>
    </row>
    <row r="249">
      <c r="A249" s="425" t="inlineStr">
        <is>
          <t>EXOS-0248</t>
        </is>
      </c>
      <c r="B249" s="425" t="inlineStr">
        <is>
          <t>John - Investor Contacts</t>
        </is>
      </c>
      <c r="C249" s="425" t="inlineStr">
        <is>
          <t>Financial Investor</t>
        </is>
      </c>
      <c r="D249" s="425" t="inlineStr">
        <is>
          <t>Chief Financial Officer</t>
        </is>
      </c>
      <c r="E249" s="425" t="inlineStr">
        <is>
          <t>Peter Gombert</t>
        </is>
      </c>
      <c r="F249" s="425" t="inlineStr"/>
      <c r="G249" s="111" t="inlineStr">
        <is>
          <t>gombert@seafort.de</t>
        </is>
      </c>
      <c r="H249" s="425" t="inlineStr"/>
      <c r="I249" s="425" t="inlineStr"/>
      <c r="J249" s="425" t="inlineStr"/>
      <c r="K249" s="426" t="inlineStr">
        <is>
          <t>John Quinn</t>
        </is>
      </c>
      <c r="L249" s="426" t="inlineStr">
        <is>
          <t>Follow Up</t>
        </is>
      </c>
      <c r="M249" s="425" t="inlineStr">
        <is>
          <t>Space / Defense / Aerospace / Advanced Manufacturing</t>
        </is>
      </c>
      <c r="N249" s="426" t="inlineStr">
        <is>
          <t>Tier 2</t>
        </is>
      </c>
      <c r="O249" s="441" t="n">
        <v>45974</v>
      </c>
      <c r="P249" s="441" t="n">
        <v>46037</v>
      </c>
      <c r="Q249" s="425">
        <f>IF(P249="","",TODAY()-P249)</f>
        <v/>
      </c>
      <c r="R249" s="441">
        <f>IF(OR(L249="Passed",Z249=""),"",P249+Z249)</f>
        <v/>
      </c>
      <c r="S249" s="425">
        <f>IF(OR(R249="",L249="Passed"),"",IF(R249&lt;=TODAY(),"DUE",IF(R249&lt;=TODAY()+3,"Next 3 Days","Later")))</f>
        <v/>
      </c>
      <c r="T249" s="425" t="inlineStr"/>
      <c r="U249" s="426" t="inlineStr">
        <is>
          <t>linkedin.com/in/peter-gombert-b312a74</t>
        </is>
      </c>
      <c r="V249" s="426" t="inlineStr"/>
      <c r="W249" s="428" t="inlineStr">
        <is>
          <t xml:space="preserve"> |  | </t>
        </is>
      </c>
      <c r="X249" s="425" t="inlineStr">
        <is>
          <t>John - Investor Contacts!726</t>
        </is>
      </c>
      <c r="Y249" s="426" t="inlineStr">
        <is>
          <t>Send next follow-up with traction + CTA</t>
        </is>
      </c>
      <c r="Z249" s="425" t="n">
        <v>7</v>
      </c>
      <c r="AA249" s="425">
        <f>IF(AC249="Archived",0,ROUND((IF(N249="Tier 1",35,IF(N249="Tier 2",20,8))+IF(C249="Financial Investor",15,IF(C249="Intermediary / Banker",12,8))+IF(L249="Term Sheet / Proposal",25,IF(L249="Engaged",20,IF(L249="Meeting Requested",18,IF(L249="Meeting Held",14,IF(L249="Follow Up",10,5)))))+MIN(Q249,30)+IF(S249="DUE",15,IF(S249="Next 3 Days",8,0))),0))</f>
        <v/>
      </c>
      <c r="AB249" s="425">
        <f>IF(AND(AC249="Active",OR(N249="Tier 1",N249="Tier 2"),OR(S249="DUE",S249="Next 3 Days")),"YES","")</f>
        <v/>
      </c>
      <c r="AC249" s="425">
        <f>IF(L249="Passed","Archived","Active")</f>
        <v/>
      </c>
    </row>
    <row r="250">
      <c r="A250" s="425" t="inlineStr">
        <is>
          <t>EXOS-0249</t>
        </is>
      </c>
      <c r="B250" s="425" t="inlineStr">
        <is>
          <t>John - Investor Contacts</t>
        </is>
      </c>
      <c r="C250" s="425" t="inlineStr">
        <is>
          <t>Financial Investor</t>
        </is>
      </c>
      <c r="D250" s="425" t="inlineStr">
        <is>
          <t>Chief Information Officer</t>
        </is>
      </c>
      <c r="E250" s="425" t="inlineStr">
        <is>
          <t>Maximo Bredfeldt</t>
        </is>
      </c>
      <c r="F250" s="425" t="inlineStr"/>
      <c r="G250" s="111" t="inlineStr">
        <is>
          <t>mbredfeldt@longship.us</t>
        </is>
      </c>
      <c r="H250" s="425" t="inlineStr"/>
      <c r="I250" s="425" t="inlineStr"/>
      <c r="J250" s="425" t="inlineStr"/>
      <c r="K250" s="426" t="inlineStr">
        <is>
          <t>John Quinn</t>
        </is>
      </c>
      <c r="L250" s="426" t="inlineStr">
        <is>
          <t>Follow Up</t>
        </is>
      </c>
      <c r="M250" s="425" t="inlineStr">
        <is>
          <t>Space / Defense / Aerospace / Advanced Manufacturing</t>
        </is>
      </c>
      <c r="N250" s="426" t="inlineStr">
        <is>
          <t>Tier 2</t>
        </is>
      </c>
      <c r="O250" s="441" t="n">
        <v>45974</v>
      </c>
      <c r="P250" s="441" t="n">
        <v>46037</v>
      </c>
      <c r="Q250" s="425">
        <f>IF(P250="","",TODAY()-P250)</f>
        <v/>
      </c>
      <c r="R250" s="441">
        <f>IF(OR(L250="Passed",Z250=""),"",P250+Z250)</f>
        <v/>
      </c>
      <c r="S250" s="425">
        <f>IF(OR(R250="",L250="Passed"),"",IF(R250&lt;=TODAY(),"DUE",IF(R250&lt;=TODAY()+3,"Next 3 Days","Later")))</f>
        <v/>
      </c>
      <c r="T250" s="425" t="inlineStr"/>
      <c r="U250" s="426" t="inlineStr">
        <is>
          <t>linkedin.com/in/mbredfeldt</t>
        </is>
      </c>
      <c r="V250" s="426" t="inlineStr"/>
      <c r="W250" s="428" t="inlineStr">
        <is>
          <t xml:space="preserve"> |  | </t>
        </is>
      </c>
      <c r="X250" s="425" t="inlineStr">
        <is>
          <t>John - Investor Contacts!724</t>
        </is>
      </c>
      <c r="Y250" s="426" t="inlineStr">
        <is>
          <t>Send next follow-up with traction + CTA</t>
        </is>
      </c>
      <c r="Z250" s="425" t="n">
        <v>7</v>
      </c>
      <c r="AA250" s="425">
        <f>IF(AC250="Archived",0,ROUND((IF(N250="Tier 1",35,IF(N250="Tier 2",20,8))+IF(C250="Financial Investor",15,IF(C250="Intermediary / Banker",12,8))+IF(L250="Term Sheet / Proposal",25,IF(L250="Engaged",20,IF(L250="Meeting Requested",18,IF(L250="Meeting Held",14,IF(L250="Follow Up",10,5)))))+MIN(Q250,30)+IF(S250="DUE",15,IF(S250="Next 3 Days",8,0))),0))</f>
        <v/>
      </c>
      <c r="AB250" s="425">
        <f>IF(AND(AC250="Active",OR(N250="Tier 1",N250="Tier 2"),OR(S250="DUE",S250="Next 3 Days")),"YES","")</f>
        <v/>
      </c>
      <c r="AC250" s="425">
        <f>IF(L250="Passed","Archived","Active")</f>
        <v/>
      </c>
    </row>
    <row r="251">
      <c r="A251" s="425" t="inlineStr">
        <is>
          <t>EXOS-0250</t>
        </is>
      </c>
      <c r="B251" s="425" t="inlineStr">
        <is>
          <t>John - Investor Contacts</t>
        </is>
      </c>
      <c r="C251" s="425" t="inlineStr">
        <is>
          <t>Financial Investor</t>
        </is>
      </c>
      <c r="D251" s="425" t="inlineStr">
        <is>
          <t>Chief Investment Officer of Hy24 / Senior Managing Director at Ardian</t>
        </is>
      </c>
      <c r="E251" s="425" t="inlineStr">
        <is>
          <t>Amir Sharifi</t>
        </is>
      </c>
      <c r="F251" s="425" t="inlineStr"/>
      <c r="G251" s="111" t="inlineStr">
        <is>
          <t>a.sharifi@hy24partners.com</t>
        </is>
      </c>
      <c r="H251" s="425" t="inlineStr"/>
      <c r="I251" s="425" t="inlineStr"/>
      <c r="J251" s="111" t="inlineStr">
        <is>
          <t>https://www.linkedin.com/in/amirsharifi/</t>
        </is>
      </c>
      <c r="K251" s="426" t="inlineStr">
        <is>
          <t>John Quinn</t>
        </is>
      </c>
      <c r="L251" s="426" t="inlineStr">
        <is>
          <t>Follow Up</t>
        </is>
      </c>
      <c r="M251" s="425" t="inlineStr">
        <is>
          <t>Space / Defense / Aerospace / Advanced Manufacturing</t>
        </is>
      </c>
      <c r="N251" s="426" t="inlineStr">
        <is>
          <t>Tier 2</t>
        </is>
      </c>
      <c r="O251" s="441" t="n">
        <v>45974</v>
      </c>
      <c r="P251" s="441" t="n">
        <v>46010</v>
      </c>
      <c r="Q251" s="425">
        <f>IF(P251="","",TODAY()-P251)</f>
        <v/>
      </c>
      <c r="R251" s="441">
        <f>IF(OR(L251="Passed",Z251=""),"",P251+Z251)</f>
        <v/>
      </c>
      <c r="S251" s="425">
        <f>IF(OR(R251="",L251="Passed"),"",IF(R251&lt;=TODAY(),"DUE",IF(R251&lt;=TODAY()+3,"Next 3 Days","Later")))</f>
        <v/>
      </c>
      <c r="T251" s="425" t="inlineStr"/>
      <c r="U251" s="426" t="inlineStr">
        <is>
          <t>https://www.linkedin.com/in/amirsharifi/</t>
        </is>
      </c>
      <c r="V251" s="426" t="inlineStr"/>
      <c r="W251" s="428" t="inlineStr">
        <is>
          <t xml:space="preserve"> |  | </t>
        </is>
      </c>
      <c r="X251" s="425" t="inlineStr">
        <is>
          <t>John - Investor Contacts!716</t>
        </is>
      </c>
      <c r="Y251" s="426" t="inlineStr">
        <is>
          <t>Send next follow-up with traction + CTA</t>
        </is>
      </c>
      <c r="Z251" s="425" t="n">
        <v>7</v>
      </c>
      <c r="AA251" s="425">
        <f>IF(AC251="Archived",0,ROUND((IF(N251="Tier 1",35,IF(N251="Tier 2",20,8))+IF(C251="Financial Investor",15,IF(C251="Intermediary / Banker",12,8))+IF(L251="Term Sheet / Proposal",25,IF(L251="Engaged",20,IF(L251="Meeting Requested",18,IF(L251="Meeting Held",14,IF(L251="Follow Up",10,5)))))+MIN(Q251,30)+IF(S251="DUE",15,IF(S251="Next 3 Days",8,0))),0))</f>
        <v/>
      </c>
      <c r="AB251" s="425">
        <f>IF(AND(AC251="Active",OR(N251="Tier 1",N251="Tier 2"),OR(S251="DUE",S251="Next 3 Days")),"YES","")</f>
        <v/>
      </c>
      <c r="AC251" s="425">
        <f>IF(L251="Passed","Archived","Active")</f>
        <v/>
      </c>
    </row>
    <row r="252">
      <c r="A252" s="425" t="inlineStr">
        <is>
          <t>EXOS-0251</t>
        </is>
      </c>
      <c r="B252" s="425" t="inlineStr">
        <is>
          <t>John - Investor Contacts</t>
        </is>
      </c>
      <c r="C252" s="425" t="inlineStr">
        <is>
          <t>Financial Investor</t>
        </is>
      </c>
      <c r="D252" s="425" t="inlineStr">
        <is>
          <t>Chingona Ventures</t>
        </is>
      </c>
      <c r="E252" s="425" t="inlineStr">
        <is>
          <t>Samara Hernandez</t>
        </is>
      </c>
      <c r="F252" s="425" t="inlineStr"/>
      <c r="G252" s="111" t="inlineStr">
        <is>
          <t>samara@chingona.ventures</t>
        </is>
      </c>
      <c r="H252" s="425" t="inlineStr"/>
      <c r="I252" s="425" t="inlineStr"/>
      <c r="J252" s="111" t="inlineStr">
        <is>
          <t>https://www.linkedin.com/in/samaramejia/</t>
        </is>
      </c>
      <c r="K252" s="426" t="inlineStr">
        <is>
          <t>John Quinn</t>
        </is>
      </c>
      <c r="L252" s="426" t="inlineStr">
        <is>
          <t>Follow Up</t>
        </is>
      </c>
      <c r="M252" s="425" t="inlineStr">
        <is>
          <t>Space / Defense / Aerospace / Advanced Manufacturing</t>
        </is>
      </c>
      <c r="N252" s="426" t="inlineStr">
        <is>
          <t>Tier 2</t>
        </is>
      </c>
      <c r="O252" s="441" t="n">
        <v>45897</v>
      </c>
      <c r="P252" s="441" t="n">
        <v>45929</v>
      </c>
      <c r="Q252" s="425">
        <f>IF(P252="","",TODAY()-P252)</f>
        <v/>
      </c>
      <c r="R252" s="441">
        <f>IF(OR(L252="Passed",Z252=""),"",P252+Z252)</f>
        <v/>
      </c>
      <c r="S252" s="425">
        <f>IF(OR(R252="",L252="Passed"),"",IF(R252&lt;=TODAY(),"DUE",IF(R252&lt;=TODAY()+3,"Next 3 Days","Later")))</f>
        <v/>
      </c>
      <c r="T252" s="425" t="inlineStr"/>
      <c r="U252" s="426" t="inlineStr">
        <is>
          <t>https://www.linkedin.com/in/samaramejia/</t>
        </is>
      </c>
      <c r="V252" s="426" t="inlineStr"/>
      <c r="W252" s="428" t="inlineStr">
        <is>
          <t xml:space="preserve"> | 12/05/2025 | </t>
        </is>
      </c>
      <c r="X252" s="425" t="inlineStr">
        <is>
          <t>John - Investor Contacts!575</t>
        </is>
      </c>
      <c r="Y252" s="426" t="inlineStr">
        <is>
          <t>Send next follow-up with traction + CTA</t>
        </is>
      </c>
      <c r="Z252" s="425" t="n">
        <v>7</v>
      </c>
      <c r="AA252" s="425">
        <f>IF(AC252="Archived",0,ROUND((IF(N252="Tier 1",35,IF(N252="Tier 2",20,8))+IF(C252="Financial Investor",15,IF(C252="Intermediary / Banker",12,8))+IF(L252="Term Sheet / Proposal",25,IF(L252="Engaged",20,IF(L252="Meeting Requested",18,IF(L252="Meeting Held",14,IF(L252="Follow Up",10,5)))))+MIN(Q252,30)+IF(S252="DUE",15,IF(S252="Next 3 Days",8,0))),0))</f>
        <v/>
      </c>
      <c r="AB252" s="425">
        <f>IF(AND(AC252="Active",OR(N252="Tier 1",N252="Tier 2"),OR(S252="DUE",S252="Next 3 Days")),"YES","")</f>
        <v/>
      </c>
      <c r="AC252" s="425">
        <f>IF(L252="Passed","Archived","Active")</f>
        <v/>
      </c>
    </row>
    <row r="253">
      <c r="A253" s="425" t="inlineStr">
        <is>
          <t>EXOS-0252</t>
        </is>
      </c>
      <c r="B253" s="425" t="inlineStr">
        <is>
          <t>John - Investor Contacts</t>
        </is>
      </c>
      <c r="C253" s="425" t="inlineStr">
        <is>
          <t>Financial Investor</t>
        </is>
      </c>
      <c r="D253" s="425" t="inlineStr">
        <is>
          <t>Clear Current Capital</t>
        </is>
      </c>
      <c r="E253" s="425" t="inlineStr">
        <is>
          <t>Curt Albright</t>
        </is>
      </c>
      <c r="F253" s="425" t="inlineStr"/>
      <c r="G253" s="111" t="inlineStr">
        <is>
          <t>curta@clearcurrentcapital.com</t>
        </is>
      </c>
      <c r="H253" s="425" t="inlineStr"/>
      <c r="I253" s="425" t="inlineStr"/>
      <c r="J253" s="111" t="inlineStr">
        <is>
          <t>https://www.linkedin.com/in/curt-albright-37694986/</t>
        </is>
      </c>
      <c r="K253" s="426" t="inlineStr">
        <is>
          <t>John Quinn</t>
        </is>
      </c>
      <c r="L253" s="426" t="inlineStr">
        <is>
          <t>Follow Up</t>
        </is>
      </c>
      <c r="M253" s="425" t="inlineStr">
        <is>
          <t>Space / Defense / Aerospace / Advanced Manufacturing</t>
        </is>
      </c>
      <c r="N253" s="426" t="inlineStr">
        <is>
          <t>Tier 2</t>
        </is>
      </c>
      <c r="O253" s="441" t="n">
        <v>45892</v>
      </c>
      <c r="P253" s="441" t="n">
        <v>45924</v>
      </c>
      <c r="Q253" s="425">
        <f>IF(P253="","",TODAY()-P253)</f>
        <v/>
      </c>
      <c r="R253" s="441">
        <f>IF(OR(L253="Passed",Z253=""),"",P253+Z253)</f>
        <v/>
      </c>
      <c r="S253" s="425">
        <f>IF(OR(R253="",L253="Passed"),"",IF(R253&lt;=TODAY(),"DUE",IF(R253&lt;=TODAY()+3,"Next 3 Days","Later")))</f>
        <v/>
      </c>
      <c r="T253" s="425" t="inlineStr"/>
      <c r="U253" s="426" t="inlineStr">
        <is>
          <t>https://www.linkedin.com/in/curt-albright-37694986/</t>
        </is>
      </c>
      <c r="V253" s="426" t="inlineStr"/>
      <c r="W253" s="428" t="inlineStr">
        <is>
          <t xml:space="preserve"> | 12/03/2025 | </t>
        </is>
      </c>
      <c r="X253" s="425" t="inlineStr">
        <is>
          <t>John - Investor Contacts!518</t>
        </is>
      </c>
      <c r="Y253" s="426" t="inlineStr">
        <is>
          <t>Send next follow-up with traction + CTA</t>
        </is>
      </c>
      <c r="Z253" s="425" t="n">
        <v>7</v>
      </c>
      <c r="AA253" s="425">
        <f>IF(AC253="Archived",0,ROUND((IF(N253="Tier 1",35,IF(N253="Tier 2",20,8))+IF(C253="Financial Investor",15,IF(C253="Intermediary / Banker",12,8))+IF(L253="Term Sheet / Proposal",25,IF(L253="Engaged",20,IF(L253="Meeting Requested",18,IF(L253="Meeting Held",14,IF(L253="Follow Up",10,5)))))+MIN(Q253,30)+IF(S253="DUE",15,IF(S253="Next 3 Days",8,0))),0))</f>
        <v/>
      </c>
      <c r="AB253" s="425">
        <f>IF(AND(AC253="Active",OR(N253="Tier 1",N253="Tier 2"),OR(S253="DUE",S253="Next 3 Days")),"YES","")</f>
        <v/>
      </c>
      <c r="AC253" s="425">
        <f>IF(L253="Passed","Archived","Active")</f>
        <v/>
      </c>
    </row>
    <row r="254">
      <c r="A254" s="425" t="inlineStr">
        <is>
          <t>EXOS-0253</t>
        </is>
      </c>
      <c r="B254" s="425" t="inlineStr">
        <is>
          <t>John - Investor Contacts</t>
        </is>
      </c>
      <c r="C254" s="425" t="inlineStr">
        <is>
          <t>Financial Investor</t>
        </is>
      </c>
      <c r="D254" s="425" t="inlineStr">
        <is>
          <t>Clear Current Capital</t>
        </is>
      </c>
      <c r="E254" s="425" t="inlineStr">
        <is>
          <t>Kim Flores</t>
        </is>
      </c>
      <c r="F254" s="425" t="inlineStr"/>
      <c r="G254" s="111" t="inlineStr">
        <is>
          <t>kimf@clearcurrentcapital.com</t>
        </is>
      </c>
      <c r="H254" s="425" t="inlineStr"/>
      <c r="I254" s="425" t="inlineStr"/>
      <c r="J254" s="425" t="inlineStr"/>
      <c r="K254" s="426" t="inlineStr">
        <is>
          <t>John Quinn</t>
        </is>
      </c>
      <c r="L254" s="426" t="inlineStr">
        <is>
          <t>Follow Up</t>
        </is>
      </c>
      <c r="M254" s="425" t="inlineStr">
        <is>
          <t>Space / Defense / Aerospace / Advanced Manufacturing</t>
        </is>
      </c>
      <c r="N254" s="426" t="inlineStr">
        <is>
          <t>Tier 2</t>
        </is>
      </c>
      <c r="O254" s="441" t="n">
        <v>45892</v>
      </c>
      <c r="P254" s="441" t="n">
        <v>45924</v>
      </c>
      <c r="Q254" s="425">
        <f>IF(P254="","",TODAY()-P254)</f>
        <v/>
      </c>
      <c r="R254" s="441">
        <f>IF(OR(L254="Passed",Z254=""),"",P254+Z254)</f>
        <v/>
      </c>
      <c r="S254" s="425">
        <f>IF(OR(R254="",L254="Passed"),"",IF(R254&lt;=TODAY(),"DUE",IF(R254&lt;=TODAY()+3,"Next 3 Days","Later")))</f>
        <v/>
      </c>
      <c r="T254" s="425" t="inlineStr"/>
      <c r="U254" s="426" t="inlineStr">
        <is>
          <t>linkedin.com/in/kimfloresstrategy</t>
        </is>
      </c>
      <c r="V254" s="426" t="inlineStr"/>
      <c r="W254" s="428" t="inlineStr">
        <is>
          <t xml:space="preserve"> | 12/03/2025 | </t>
        </is>
      </c>
      <c r="X254" s="425" t="inlineStr">
        <is>
          <t>John - Investor Contacts!519</t>
        </is>
      </c>
      <c r="Y254" s="426" t="inlineStr">
        <is>
          <t>Send next follow-up with traction + CTA</t>
        </is>
      </c>
      <c r="Z254" s="425" t="n">
        <v>7</v>
      </c>
      <c r="AA254" s="425">
        <f>IF(AC254="Archived",0,ROUND((IF(N254="Tier 1",35,IF(N254="Tier 2",20,8))+IF(C254="Financial Investor",15,IF(C254="Intermediary / Banker",12,8))+IF(L254="Term Sheet / Proposal",25,IF(L254="Engaged",20,IF(L254="Meeting Requested",18,IF(L254="Meeting Held",14,IF(L254="Follow Up",10,5)))))+MIN(Q254,30)+IF(S254="DUE",15,IF(S254="Next 3 Days",8,0))),0))</f>
        <v/>
      </c>
      <c r="AB254" s="425">
        <f>IF(AND(AC254="Active",OR(N254="Tier 1",N254="Tier 2"),OR(S254="DUE",S254="Next 3 Days")),"YES","")</f>
        <v/>
      </c>
      <c r="AC254" s="425">
        <f>IF(L254="Passed","Archived","Active")</f>
        <v/>
      </c>
    </row>
    <row r="255">
      <c r="A255" s="425" t="inlineStr">
        <is>
          <t>EXOS-0254</t>
        </is>
      </c>
      <c r="B255" s="425" t="inlineStr">
        <is>
          <t>John - Investor Contacts</t>
        </is>
      </c>
      <c r="C255" s="425" t="inlineStr">
        <is>
          <t>Financial Investor</t>
        </is>
      </c>
      <c r="D255" s="425" t="inlineStr">
        <is>
          <t>Cleveland Avenue</t>
        </is>
      </c>
      <c r="E255" s="425" t="inlineStr">
        <is>
          <t>Jason Mercer</t>
        </is>
      </c>
      <c r="F255" s="425" t="inlineStr"/>
      <c r="G255" s="111" t="inlineStr">
        <is>
          <t>jmercer@clevelandave.com</t>
        </is>
      </c>
      <c r="H255" s="425" t="inlineStr"/>
      <c r="I255" s="425" t="inlineStr"/>
      <c r="J255" s="111" t="inlineStr">
        <is>
          <t>https://www.linkedin.com/in/jason-mercer-4801b22b/</t>
        </is>
      </c>
      <c r="K255" s="426" t="inlineStr">
        <is>
          <t>John Quinn</t>
        </is>
      </c>
      <c r="L255" s="426" t="inlineStr">
        <is>
          <t>Follow Up</t>
        </is>
      </c>
      <c r="M255" s="425" t="inlineStr">
        <is>
          <t>Space / Defense / Aerospace / Advanced Manufacturing</t>
        </is>
      </c>
      <c r="N255" s="426" t="inlineStr">
        <is>
          <t>Tier 2</t>
        </is>
      </c>
      <c r="O255" s="441" t="n">
        <v>45897</v>
      </c>
      <c r="P255" s="441" t="n">
        <v>45929</v>
      </c>
      <c r="Q255" s="425">
        <f>IF(P255="","",TODAY()-P255)</f>
        <v/>
      </c>
      <c r="R255" s="441">
        <f>IF(OR(L255="Passed",Z255=""),"",P255+Z255)</f>
        <v/>
      </c>
      <c r="S255" s="425">
        <f>IF(OR(R255="",L255="Passed"),"",IF(R255&lt;=TODAY(),"DUE",IF(R255&lt;=TODAY()+3,"Next 3 Days","Later")))</f>
        <v/>
      </c>
      <c r="T255" s="425" t="inlineStr"/>
      <c r="U255" s="426" t="inlineStr">
        <is>
          <t>https://www.linkedin.com/in/jason-mercer-4801b22b/</t>
        </is>
      </c>
      <c r="V255" s="426" t="inlineStr"/>
      <c r="W255" s="428" t="inlineStr">
        <is>
          <t xml:space="preserve"> | 12/05/2025 | </t>
        </is>
      </c>
      <c r="X255" s="425" t="inlineStr">
        <is>
          <t>John - Investor Contacts!576</t>
        </is>
      </c>
      <c r="Y255" s="426" t="inlineStr">
        <is>
          <t>Send next follow-up with traction + CTA</t>
        </is>
      </c>
      <c r="Z255" s="425" t="n">
        <v>7</v>
      </c>
      <c r="AA255" s="425">
        <f>IF(AC255="Archived",0,ROUND((IF(N255="Tier 1",35,IF(N255="Tier 2",20,8))+IF(C255="Financial Investor",15,IF(C255="Intermediary / Banker",12,8))+IF(L255="Term Sheet / Proposal",25,IF(L255="Engaged",20,IF(L255="Meeting Requested",18,IF(L255="Meeting Held",14,IF(L255="Follow Up",10,5)))))+MIN(Q255,30)+IF(S255="DUE",15,IF(S255="Next 3 Days",8,0))),0))</f>
        <v/>
      </c>
      <c r="AB255" s="425">
        <f>IF(AND(AC255="Active",OR(N255="Tier 1",N255="Tier 2"),OR(S255="DUE",S255="Next 3 Days")),"YES","")</f>
        <v/>
      </c>
      <c r="AC255" s="425">
        <f>IF(L255="Passed","Archived","Active")</f>
        <v/>
      </c>
    </row>
    <row r="256">
      <c r="A256" s="425" t="inlineStr">
        <is>
          <t>EXOS-0255</t>
        </is>
      </c>
      <c r="B256" s="425" t="inlineStr">
        <is>
          <t>John - Investor Contacts</t>
        </is>
      </c>
      <c r="C256" s="425" t="inlineStr">
        <is>
          <t>Financial Investor</t>
        </is>
      </c>
      <c r="D256" s="425" t="inlineStr">
        <is>
          <t>Co founder and CEO of Hy24, Chairman of FiveT Hydrogen</t>
        </is>
      </c>
      <c r="E256" s="425" t="inlineStr">
        <is>
          <t>Pierre-Etienne Franc</t>
        </is>
      </c>
      <c r="F256" s="425" t="inlineStr"/>
      <c r="G256" s="111" t="inlineStr">
        <is>
          <t>pe.franc@hy24partners.com</t>
        </is>
      </c>
      <c r="H256" s="425" t="inlineStr"/>
      <c r="I256" s="425" t="inlineStr"/>
      <c r="J256" s="111" t="inlineStr">
        <is>
          <t>https://www.linkedin.com/in/pierre-etienne-franc-63a8941b/</t>
        </is>
      </c>
      <c r="K256" s="426" t="inlineStr">
        <is>
          <t>John Quinn</t>
        </is>
      </c>
      <c r="L256" s="426" t="inlineStr">
        <is>
          <t>Follow Up</t>
        </is>
      </c>
      <c r="M256" s="425" t="inlineStr">
        <is>
          <t>Space / Defense / Aerospace / Advanced Manufacturing</t>
        </is>
      </c>
      <c r="N256" s="426" t="inlineStr">
        <is>
          <t>Tier 2</t>
        </is>
      </c>
      <c r="O256" s="441" t="n">
        <v>45974</v>
      </c>
      <c r="P256" s="441" t="n">
        <v>46010</v>
      </c>
      <c r="Q256" s="425">
        <f>IF(P256="","",TODAY()-P256)</f>
        <v/>
      </c>
      <c r="R256" s="441">
        <f>IF(OR(L256="Passed",Z256=""),"",P256+Z256)</f>
        <v/>
      </c>
      <c r="S256" s="425">
        <f>IF(OR(R256="",L256="Passed"),"",IF(R256&lt;=TODAY(),"DUE",IF(R256&lt;=TODAY()+3,"Next 3 Days","Later")))</f>
        <v/>
      </c>
      <c r="T256" s="425" t="inlineStr"/>
      <c r="U256" s="426" t="inlineStr">
        <is>
          <t>https://www.linkedin.com/in/pierre-etienne-franc-63a8941b/</t>
        </is>
      </c>
      <c r="V256" s="426" t="inlineStr"/>
      <c r="W256" s="428" t="inlineStr">
        <is>
          <t xml:space="preserve"> |  | </t>
        </is>
      </c>
      <c r="X256" s="425" t="inlineStr">
        <is>
          <t>John - Investor Contacts!717</t>
        </is>
      </c>
      <c r="Y256" s="426" t="inlineStr">
        <is>
          <t>Send next follow-up with traction + CTA</t>
        </is>
      </c>
      <c r="Z256" s="425" t="n">
        <v>7</v>
      </c>
      <c r="AA256" s="425">
        <f>IF(AC256="Archived",0,ROUND((IF(N256="Tier 1",35,IF(N256="Tier 2",20,8))+IF(C256="Financial Investor",15,IF(C256="Intermediary / Banker",12,8))+IF(L256="Term Sheet / Proposal",25,IF(L256="Engaged",20,IF(L256="Meeting Requested",18,IF(L256="Meeting Held",14,IF(L256="Follow Up",10,5)))))+MIN(Q256,30)+IF(S256="DUE",15,IF(S256="Next 3 Days",8,0))),0))</f>
        <v/>
      </c>
      <c r="AB256" s="425">
        <f>IF(AND(AC256="Active",OR(N256="Tier 1",N256="Tier 2"),OR(S256="DUE",S256="Next 3 Days")),"YES","")</f>
        <v/>
      </c>
      <c r="AC256" s="425">
        <f>IF(L256="Passed","Archived","Active")</f>
        <v/>
      </c>
    </row>
    <row r="257">
      <c r="A257" s="425" t="inlineStr">
        <is>
          <t>EXOS-0256</t>
        </is>
      </c>
      <c r="B257" s="425" t="inlineStr">
        <is>
          <t>John - Investor Contacts</t>
        </is>
      </c>
      <c r="C257" s="425" t="inlineStr">
        <is>
          <t>Financial Investor</t>
        </is>
      </c>
      <c r="D257" s="425" t="inlineStr">
        <is>
          <t>Collinson Howe Venture Partners</t>
        </is>
      </c>
      <c r="E257" s="425" t="inlineStr">
        <is>
          <t>Tim Howe</t>
        </is>
      </c>
      <c r="F257" s="425" t="inlineStr"/>
      <c r="G257" s="111" t="inlineStr">
        <is>
          <t>thowe@chlmedical.com</t>
        </is>
      </c>
      <c r="H257" s="425" t="inlineStr"/>
      <c r="I257" s="425" t="inlineStr"/>
      <c r="J257" s="425" t="inlineStr"/>
      <c r="K257" s="426" t="inlineStr">
        <is>
          <t>John Quinn</t>
        </is>
      </c>
      <c r="L257" s="426" t="inlineStr">
        <is>
          <t>Follow Up</t>
        </is>
      </c>
      <c r="M257" s="425" t="inlineStr">
        <is>
          <t>Space / Defense / Aerospace / Advanced Manufacturing</t>
        </is>
      </c>
      <c r="N257" s="426" t="inlineStr">
        <is>
          <t>Tier 2</t>
        </is>
      </c>
      <c r="O257" s="441" t="n">
        <v>45828</v>
      </c>
      <c r="P257" s="441" t="n">
        <v>45841</v>
      </c>
      <c r="Q257" s="425">
        <f>IF(P257="","",TODAY()-P257)</f>
        <v/>
      </c>
      <c r="R257" s="441">
        <f>IF(OR(L257="Passed",Z257=""),"",P257+Z257)</f>
        <v/>
      </c>
      <c r="S257" s="425">
        <f>IF(OR(R257="",L257="Passed"),"",IF(R257&lt;=TODAY(),"DUE",IF(R257&lt;=TODAY()+3,"Next 3 Days","Later")))</f>
        <v/>
      </c>
      <c r="T257" s="425" t="inlineStr"/>
      <c r="U257" s="426" t="inlineStr">
        <is>
          <t>linkedin.com/in/timothy-f-howe</t>
        </is>
      </c>
      <c r="V257" s="426" t="inlineStr"/>
      <c r="W257" s="428" t="inlineStr">
        <is>
          <t xml:space="preserve"> | 12/23/2025 | </t>
        </is>
      </c>
      <c r="X257" s="425" t="inlineStr">
        <is>
          <t>John - Investor Contacts!234</t>
        </is>
      </c>
      <c r="Y257" s="426" t="inlineStr">
        <is>
          <t>Send next follow-up with traction + CTA</t>
        </is>
      </c>
      <c r="Z257" s="425" t="n">
        <v>7</v>
      </c>
      <c r="AA257" s="425">
        <f>IF(AC257="Archived",0,ROUND((IF(N257="Tier 1",35,IF(N257="Tier 2",20,8))+IF(C257="Financial Investor",15,IF(C257="Intermediary / Banker",12,8))+IF(L257="Term Sheet / Proposal",25,IF(L257="Engaged",20,IF(L257="Meeting Requested",18,IF(L257="Meeting Held",14,IF(L257="Follow Up",10,5)))))+MIN(Q257,30)+IF(S257="DUE",15,IF(S257="Next 3 Days",8,0))),0))</f>
        <v/>
      </c>
      <c r="AB257" s="425">
        <f>IF(AND(AC257="Active",OR(N257="Tier 1",N257="Tier 2"),OR(S257="DUE",S257="Next 3 Days")),"YES","")</f>
        <v/>
      </c>
      <c r="AC257" s="425">
        <f>IF(L257="Passed","Archived","Active")</f>
        <v/>
      </c>
    </row>
    <row r="258">
      <c r="A258" s="425" t="inlineStr">
        <is>
          <t>EXOS-0257</t>
        </is>
      </c>
      <c r="B258" s="425" t="inlineStr">
        <is>
          <t>John - Investor Contacts</t>
        </is>
      </c>
      <c r="C258" s="425" t="inlineStr">
        <is>
          <t>Financial Investor</t>
        </is>
      </c>
      <c r="D258" s="425" t="inlineStr">
        <is>
          <t>Comcast Ventures</t>
        </is>
      </c>
      <c r="E258" s="425" t="inlineStr">
        <is>
          <t>Allison Goldberg</t>
        </is>
      </c>
      <c r="F258" s="425" t="inlineStr"/>
      <c r="G258" s="111" t="inlineStr">
        <is>
          <t>allison_goldberg@comcast.com</t>
        </is>
      </c>
      <c r="H258" s="425" t="inlineStr"/>
      <c r="I258" s="425" t="inlineStr"/>
      <c r="J258" s="111" t="inlineStr">
        <is>
          <t>https://www.linkedin.com/in/goldbergallison/</t>
        </is>
      </c>
      <c r="K258" s="426" t="inlineStr">
        <is>
          <t>John Quinn</t>
        </is>
      </c>
      <c r="L258" s="426" t="inlineStr">
        <is>
          <t>Follow Up</t>
        </is>
      </c>
      <c r="M258" s="425" t="inlineStr">
        <is>
          <t>Space / Defense / Aerospace / Advanced Manufacturing</t>
        </is>
      </c>
      <c r="N258" s="426" t="inlineStr">
        <is>
          <t>Tier 2</t>
        </is>
      </c>
      <c r="O258" s="441" t="n">
        <v>45872</v>
      </c>
      <c r="P258" s="441" t="n">
        <v>45890</v>
      </c>
      <c r="Q258" s="425">
        <f>IF(P258="","",TODAY()-P258)</f>
        <v/>
      </c>
      <c r="R258" s="441">
        <f>IF(OR(L258="Passed",Z258=""),"",P258+Z258)</f>
        <v/>
      </c>
      <c r="S258" s="425">
        <f>IF(OR(R258="",L258="Passed"),"",IF(R258&lt;=TODAY(),"DUE",IF(R258&lt;=TODAY()+3,"Next 3 Days","Later")))</f>
        <v/>
      </c>
      <c r="T258" s="425" t="inlineStr"/>
      <c r="U258" s="426" t="inlineStr">
        <is>
          <t>https://www.linkedin.com/in/goldbergallison/</t>
        </is>
      </c>
      <c r="V258" s="426" t="inlineStr"/>
      <c r="W258" s="428" t="inlineStr">
        <is>
          <t xml:space="preserve"> | 12/29/2025 | </t>
        </is>
      </c>
      <c r="X258" s="425" t="inlineStr">
        <is>
          <t>John - Investor Contacts!437</t>
        </is>
      </c>
      <c r="Y258" s="426" t="inlineStr">
        <is>
          <t>Send next follow-up with traction + CTA</t>
        </is>
      </c>
      <c r="Z258" s="425" t="n">
        <v>7</v>
      </c>
      <c r="AA258" s="425">
        <f>IF(AC258="Archived",0,ROUND((IF(N258="Tier 1",35,IF(N258="Tier 2",20,8))+IF(C258="Financial Investor",15,IF(C258="Intermediary / Banker",12,8))+IF(L258="Term Sheet / Proposal",25,IF(L258="Engaged",20,IF(L258="Meeting Requested",18,IF(L258="Meeting Held",14,IF(L258="Follow Up",10,5)))))+MIN(Q258,30)+IF(S258="DUE",15,IF(S258="Next 3 Days",8,0))),0))</f>
        <v/>
      </c>
      <c r="AB258" s="425">
        <f>IF(AND(AC258="Active",OR(N258="Tier 1",N258="Tier 2"),OR(S258="DUE",S258="Next 3 Days")),"YES","")</f>
        <v/>
      </c>
      <c r="AC258" s="425">
        <f>IF(L258="Passed","Archived","Active")</f>
        <v/>
      </c>
    </row>
    <row r="259">
      <c r="A259" s="425" t="inlineStr">
        <is>
          <t>EXOS-0258</t>
        </is>
      </c>
      <c r="B259" s="425" t="inlineStr">
        <is>
          <t>John - Investor Contacts</t>
        </is>
      </c>
      <c r="C259" s="425" t="inlineStr">
        <is>
          <t>Financial Investor</t>
        </is>
      </c>
      <c r="D259" s="425" t="inlineStr">
        <is>
          <t>Comcast Ventures</t>
        </is>
      </c>
      <c r="E259" s="425" t="inlineStr">
        <is>
          <t>Marc Silberman</t>
        </is>
      </c>
      <c r="F259" s="425" t="inlineStr"/>
      <c r="G259" s="111" t="inlineStr">
        <is>
          <t>marc_silberman@comcast.com</t>
        </is>
      </c>
      <c r="H259" s="425" t="inlineStr"/>
      <c r="I259" s="425" t="inlineStr"/>
      <c r="J259" s="111" t="inlineStr">
        <is>
          <t>https://www.linkedin.com/in/marcsilberman/</t>
        </is>
      </c>
      <c r="K259" s="426" t="inlineStr">
        <is>
          <t>John Quinn</t>
        </is>
      </c>
      <c r="L259" s="426" t="inlineStr">
        <is>
          <t>Follow Up</t>
        </is>
      </c>
      <c r="M259" s="425" t="inlineStr">
        <is>
          <t>Space / Defense / Aerospace / Advanced Manufacturing</t>
        </is>
      </c>
      <c r="N259" s="426" t="inlineStr">
        <is>
          <t>Tier 2</t>
        </is>
      </c>
      <c r="O259" s="441" t="n">
        <v>45872</v>
      </c>
      <c r="P259" s="441" t="n">
        <v>45890</v>
      </c>
      <c r="Q259" s="425">
        <f>IF(P259="","",TODAY()-P259)</f>
        <v/>
      </c>
      <c r="R259" s="441">
        <f>IF(OR(L259="Passed",Z259=""),"",P259+Z259)</f>
        <v/>
      </c>
      <c r="S259" s="425">
        <f>IF(OR(R259="",L259="Passed"),"",IF(R259&lt;=TODAY(),"DUE",IF(R259&lt;=TODAY()+3,"Next 3 Days","Later")))</f>
        <v/>
      </c>
      <c r="T259" s="425" t="inlineStr"/>
      <c r="U259" s="426" t="inlineStr">
        <is>
          <t>https://www.linkedin.com/in/marcsilberman/</t>
        </is>
      </c>
      <c r="V259" s="426" t="inlineStr"/>
      <c r="W259" s="428" t="inlineStr">
        <is>
          <t xml:space="preserve"> | 12/29/2025 | </t>
        </is>
      </c>
      <c r="X259" s="425" t="inlineStr">
        <is>
          <t>John - Investor Contacts!436</t>
        </is>
      </c>
      <c r="Y259" s="426" t="inlineStr">
        <is>
          <t>Send next follow-up with traction + CTA</t>
        </is>
      </c>
      <c r="Z259" s="425" t="n">
        <v>7</v>
      </c>
      <c r="AA259" s="425">
        <f>IF(AC259="Archived",0,ROUND((IF(N259="Tier 1",35,IF(N259="Tier 2",20,8))+IF(C259="Financial Investor",15,IF(C259="Intermediary / Banker",12,8))+IF(L259="Term Sheet / Proposal",25,IF(L259="Engaged",20,IF(L259="Meeting Requested",18,IF(L259="Meeting Held",14,IF(L259="Follow Up",10,5)))))+MIN(Q259,30)+IF(S259="DUE",15,IF(S259="Next 3 Days",8,0))),0))</f>
        <v/>
      </c>
      <c r="AB259" s="425">
        <f>IF(AND(AC259="Active",OR(N259="Tier 1",N259="Tier 2"),OR(S259="DUE",S259="Next 3 Days")),"YES","")</f>
        <v/>
      </c>
      <c r="AC259" s="425">
        <f>IF(L259="Passed","Archived","Active")</f>
        <v/>
      </c>
    </row>
    <row r="260">
      <c r="A260" s="425" t="inlineStr">
        <is>
          <t>EXOS-0259</t>
        </is>
      </c>
      <c r="B260" s="425" t="inlineStr">
        <is>
          <t>John - Investor Contacts</t>
        </is>
      </c>
      <c r="C260" s="425" t="inlineStr">
        <is>
          <t>Financial Investor</t>
        </is>
      </c>
      <c r="D260" s="425" t="inlineStr">
        <is>
          <t>Comcast Ventures</t>
        </is>
      </c>
      <c r="E260" s="425" t="inlineStr">
        <is>
          <t>Michelle Chang</t>
        </is>
      </c>
      <c r="F260" s="425" t="inlineStr"/>
      <c r="G260" s="111" t="inlineStr">
        <is>
          <t>michelle_chang@comcast.com</t>
        </is>
      </c>
      <c r="H260" s="425" t="inlineStr"/>
      <c r="I260" s="425" t="inlineStr"/>
      <c r="J260" s="111" t="inlineStr">
        <is>
          <t>https://www.linkedin.com/in/chang-michelle</t>
        </is>
      </c>
      <c r="K260" s="426" t="inlineStr">
        <is>
          <t>John Quinn</t>
        </is>
      </c>
      <c r="L260" s="426" t="inlineStr">
        <is>
          <t>Follow Up</t>
        </is>
      </c>
      <c r="M260" s="425" t="inlineStr">
        <is>
          <t>Space / Defense / Aerospace / Advanced Manufacturing</t>
        </is>
      </c>
      <c r="N260" s="426" t="inlineStr">
        <is>
          <t>Tier 2</t>
        </is>
      </c>
      <c r="O260" s="441" t="n">
        <v>45872</v>
      </c>
      <c r="P260" s="441" t="n">
        <v>45890</v>
      </c>
      <c r="Q260" s="425">
        <f>IF(P260="","",TODAY()-P260)</f>
        <v/>
      </c>
      <c r="R260" s="441">
        <f>IF(OR(L260="Passed",Z260=""),"",P260+Z260)</f>
        <v/>
      </c>
      <c r="S260" s="425">
        <f>IF(OR(R260="",L260="Passed"),"",IF(R260&lt;=TODAY(),"DUE",IF(R260&lt;=TODAY()+3,"Next 3 Days","Later")))</f>
        <v/>
      </c>
      <c r="T260" s="425" t="inlineStr"/>
      <c r="U260" s="426" t="inlineStr">
        <is>
          <t>https://www.linkedin.com/in/chang-michelle</t>
        </is>
      </c>
      <c r="V260" s="426" t="inlineStr"/>
      <c r="W260" s="428" t="inlineStr">
        <is>
          <t xml:space="preserve"> | 12/29/2025 | </t>
        </is>
      </c>
      <c r="X260" s="425" t="inlineStr">
        <is>
          <t>John - Investor Contacts!438</t>
        </is>
      </c>
      <c r="Y260" s="426" t="inlineStr">
        <is>
          <t>Send next follow-up with traction + CTA</t>
        </is>
      </c>
      <c r="Z260" s="425" t="n">
        <v>7</v>
      </c>
      <c r="AA260" s="425">
        <f>IF(AC260="Archived",0,ROUND((IF(N260="Tier 1",35,IF(N260="Tier 2",20,8))+IF(C260="Financial Investor",15,IF(C260="Intermediary / Banker",12,8))+IF(L260="Term Sheet / Proposal",25,IF(L260="Engaged",20,IF(L260="Meeting Requested",18,IF(L260="Meeting Held",14,IF(L260="Follow Up",10,5)))))+MIN(Q260,30)+IF(S260="DUE",15,IF(S260="Next 3 Days",8,0))),0))</f>
        <v/>
      </c>
      <c r="AB260" s="425">
        <f>IF(AND(AC260="Active",OR(N260="Tier 1",N260="Tier 2"),OR(S260="DUE",S260="Next 3 Days")),"YES","")</f>
        <v/>
      </c>
      <c r="AC260" s="425">
        <f>IF(L260="Passed","Archived","Active")</f>
        <v/>
      </c>
    </row>
    <row r="261">
      <c r="A261" s="425" t="inlineStr">
        <is>
          <t>EXOS-0260</t>
        </is>
      </c>
      <c r="B261" s="425" t="inlineStr">
        <is>
          <t>John - Investor Contacts</t>
        </is>
      </c>
      <c r="C261" s="425" t="inlineStr">
        <is>
          <t>Financial Investor</t>
        </is>
      </c>
      <c r="D261" s="425" t="inlineStr">
        <is>
          <t>Comcast Ventures</t>
        </is>
      </c>
      <c r="E261" s="425" t="inlineStr">
        <is>
          <t>Ryan Lee</t>
        </is>
      </c>
      <c r="F261" s="425" t="inlineStr"/>
      <c r="G261" s="111" t="inlineStr">
        <is>
          <t>ryan_lee3@comcast.com</t>
        </is>
      </c>
      <c r="H261" s="425" t="inlineStr"/>
      <c r="I261" s="425" t="inlineStr"/>
      <c r="J261" s="111" t="inlineStr">
        <is>
          <t>https://www.linkedin.com/in/leeryanz</t>
        </is>
      </c>
      <c r="K261" s="426" t="inlineStr">
        <is>
          <t>John Quinn</t>
        </is>
      </c>
      <c r="L261" s="426" t="inlineStr">
        <is>
          <t>Follow Up</t>
        </is>
      </c>
      <c r="M261" s="425" t="inlineStr">
        <is>
          <t>Space / Defense / Aerospace / Advanced Manufacturing</t>
        </is>
      </c>
      <c r="N261" s="426" t="inlineStr">
        <is>
          <t>Tier 2</t>
        </is>
      </c>
      <c r="O261" s="441" t="n">
        <v>45872</v>
      </c>
      <c r="P261" s="441" t="n">
        <v>45890</v>
      </c>
      <c r="Q261" s="425">
        <f>IF(P261="","",TODAY()-P261)</f>
        <v/>
      </c>
      <c r="R261" s="441">
        <f>IF(OR(L261="Passed",Z261=""),"",P261+Z261)</f>
        <v/>
      </c>
      <c r="S261" s="425">
        <f>IF(OR(R261="",L261="Passed"),"",IF(R261&lt;=TODAY(),"DUE",IF(R261&lt;=TODAY()+3,"Next 3 Days","Later")))</f>
        <v/>
      </c>
      <c r="T261" s="425" t="inlineStr"/>
      <c r="U261" s="426" t="inlineStr">
        <is>
          <t>https://www.linkedin.com/in/leeryanz</t>
        </is>
      </c>
      <c r="V261" s="426" t="inlineStr"/>
      <c r="W261" s="428" t="inlineStr">
        <is>
          <t xml:space="preserve"> | 12/29/2025 | </t>
        </is>
      </c>
      <c r="X261" s="425" t="inlineStr">
        <is>
          <t>John - Investor Contacts!435</t>
        </is>
      </c>
      <c r="Y261" s="426" t="inlineStr">
        <is>
          <t>Send next follow-up with traction + CTA</t>
        </is>
      </c>
      <c r="Z261" s="425" t="n">
        <v>7</v>
      </c>
      <c r="AA261" s="425">
        <f>IF(AC261="Archived",0,ROUND((IF(N261="Tier 1",35,IF(N261="Tier 2",20,8))+IF(C261="Financial Investor",15,IF(C261="Intermediary / Banker",12,8))+IF(L261="Term Sheet / Proposal",25,IF(L261="Engaged",20,IF(L261="Meeting Requested",18,IF(L261="Meeting Held",14,IF(L261="Follow Up",10,5)))))+MIN(Q261,30)+IF(S261="DUE",15,IF(S261="Next 3 Days",8,0))),0))</f>
        <v/>
      </c>
      <c r="AB261" s="425">
        <f>IF(AND(AC261="Active",OR(N261="Tier 1",N261="Tier 2"),OR(S261="DUE",S261="Next 3 Days")),"YES","")</f>
        <v/>
      </c>
      <c r="AC261" s="425">
        <f>IF(L261="Passed","Archived","Active")</f>
        <v/>
      </c>
    </row>
    <row r="262">
      <c r="A262" s="425" t="inlineStr">
        <is>
          <t>EXOS-0261</t>
        </is>
      </c>
      <c r="B262" s="425" t="inlineStr">
        <is>
          <t>John - Investor Contacts</t>
        </is>
      </c>
      <c r="C262" s="425" t="inlineStr">
        <is>
          <t>Financial Investor</t>
        </is>
      </c>
      <c r="D262" s="425" t="inlineStr">
        <is>
          <t>Commonweal Ventures</t>
        </is>
      </c>
      <c r="E262" s="425" t="inlineStr">
        <is>
          <t>Nate Loewentheil</t>
        </is>
      </c>
      <c r="F262" s="425" t="inlineStr"/>
      <c r="G262" s="111" t="inlineStr">
        <is>
          <t>nate@commonwealventures.com</t>
        </is>
      </c>
      <c r="H262" s="425" t="inlineStr"/>
      <c r="I262" s="425" t="inlineStr"/>
      <c r="J262" s="111" t="inlineStr">
        <is>
          <t>https://www.linkedin.com/in/nate-loewentheil/</t>
        </is>
      </c>
      <c r="K262" s="426" t="inlineStr">
        <is>
          <t>John Quinn</t>
        </is>
      </c>
      <c r="L262" s="426" t="inlineStr">
        <is>
          <t>Follow Up</t>
        </is>
      </c>
      <c r="M262" s="425" t="inlineStr">
        <is>
          <t>Space / Defense / Aerospace / Advanced Manufacturing</t>
        </is>
      </c>
      <c r="N262" s="426" t="inlineStr">
        <is>
          <t>Tier 2</t>
        </is>
      </c>
      <c r="O262" s="441" t="n">
        <v>45847</v>
      </c>
      <c r="P262" s="441" t="n">
        <v>45861</v>
      </c>
      <c r="Q262" s="425">
        <f>IF(P262="","",TODAY()-P262)</f>
        <v/>
      </c>
      <c r="R262" s="441">
        <f>IF(OR(L262="Passed",Z262=""),"",P262+Z262)</f>
        <v/>
      </c>
      <c r="S262" s="425">
        <f>IF(OR(R262="",L262="Passed"),"",IF(R262&lt;=TODAY(),"DUE",IF(R262&lt;=TODAY()+3,"Next 3 Days","Later")))</f>
        <v/>
      </c>
      <c r="T262" s="425" t="inlineStr"/>
      <c r="U262" s="426" t="inlineStr">
        <is>
          <t>https://www.linkedin.com/in/nate-loewentheil/</t>
        </is>
      </c>
      <c r="V262" s="426" t="inlineStr"/>
      <c r="W262" s="428" t="inlineStr">
        <is>
          <t xml:space="preserve"> | 12/26/2025 | </t>
        </is>
      </c>
      <c r="X262" s="425" t="inlineStr">
        <is>
          <t>John - Investor Contacts!371</t>
        </is>
      </c>
      <c r="Y262" s="426" t="inlineStr">
        <is>
          <t>Send next follow-up with traction + CTA</t>
        </is>
      </c>
      <c r="Z262" s="425" t="n">
        <v>7</v>
      </c>
      <c r="AA262" s="425">
        <f>IF(AC262="Archived",0,ROUND((IF(N262="Tier 1",35,IF(N262="Tier 2",20,8))+IF(C262="Financial Investor",15,IF(C262="Intermediary / Banker",12,8))+IF(L262="Term Sheet / Proposal",25,IF(L262="Engaged",20,IF(L262="Meeting Requested",18,IF(L262="Meeting Held",14,IF(L262="Follow Up",10,5)))))+MIN(Q262,30)+IF(S262="DUE",15,IF(S262="Next 3 Days",8,0))),0))</f>
        <v/>
      </c>
      <c r="AB262" s="425">
        <f>IF(AND(AC262="Active",OR(N262="Tier 1",N262="Tier 2"),OR(S262="DUE",S262="Next 3 Days")),"YES","")</f>
        <v/>
      </c>
      <c r="AC262" s="425">
        <f>IF(L262="Passed","Archived","Active")</f>
        <v/>
      </c>
    </row>
    <row r="263">
      <c r="A263" s="425" t="inlineStr">
        <is>
          <t>EXOS-0262</t>
        </is>
      </c>
      <c r="B263" s="425" t="inlineStr">
        <is>
          <t>John - Investor Contacts</t>
        </is>
      </c>
      <c r="C263" s="425" t="inlineStr">
        <is>
          <t>Financial Investor</t>
        </is>
      </c>
      <c r="D263" s="425" t="inlineStr">
        <is>
          <t>Commonweal Ventures</t>
        </is>
      </c>
      <c r="E263" s="425" t="inlineStr">
        <is>
          <t>Ron Bloom</t>
        </is>
      </c>
      <c r="F263" s="425" t="inlineStr"/>
      <c r="G263" s="111" t="inlineStr">
        <is>
          <t>ron@commonwealventures.com</t>
        </is>
      </c>
      <c r="H263" s="425" t="inlineStr"/>
      <c r="I263" s="425" t="inlineStr"/>
      <c r="J263" s="425" t="inlineStr"/>
      <c r="K263" s="426" t="inlineStr">
        <is>
          <t>John Quinn</t>
        </is>
      </c>
      <c r="L263" s="426" t="inlineStr">
        <is>
          <t>Follow Up</t>
        </is>
      </c>
      <c r="M263" s="425" t="inlineStr">
        <is>
          <t>Space / Defense / Aerospace / Advanced Manufacturing</t>
        </is>
      </c>
      <c r="N263" s="426" t="inlineStr">
        <is>
          <t>Tier 2</t>
        </is>
      </c>
      <c r="O263" s="441" t="n">
        <v>45847</v>
      </c>
      <c r="P263" s="441" t="n">
        <v>45861</v>
      </c>
      <c r="Q263" s="425">
        <f>IF(P263="","",TODAY()-P263)</f>
        <v/>
      </c>
      <c r="R263" s="441">
        <f>IF(OR(L263="Passed",Z263=""),"",P263+Z263)</f>
        <v/>
      </c>
      <c r="S263" s="425">
        <f>IF(OR(R263="",L263="Passed"),"",IF(R263&lt;=TODAY(),"DUE",IF(R263&lt;=TODAY()+3,"Next 3 Days","Later")))</f>
        <v/>
      </c>
      <c r="T263" s="425" t="inlineStr"/>
      <c r="U263" s="426" t="inlineStr">
        <is>
          <t>linkedin.com/in/ron-bloom-6180145</t>
        </is>
      </c>
      <c r="V263" s="426" t="inlineStr"/>
      <c r="W263" s="428" t="inlineStr">
        <is>
          <t xml:space="preserve"> | 12/26/2025 | </t>
        </is>
      </c>
      <c r="X263" s="425" t="inlineStr">
        <is>
          <t>John - Investor Contacts!373</t>
        </is>
      </c>
      <c r="Y263" s="426" t="inlineStr">
        <is>
          <t>Send next follow-up with traction + CTA</t>
        </is>
      </c>
      <c r="Z263" s="425" t="n">
        <v>7</v>
      </c>
      <c r="AA263" s="425">
        <f>IF(AC263="Archived",0,ROUND((IF(N263="Tier 1",35,IF(N263="Tier 2",20,8))+IF(C263="Financial Investor",15,IF(C263="Intermediary / Banker",12,8))+IF(L263="Term Sheet / Proposal",25,IF(L263="Engaged",20,IF(L263="Meeting Requested",18,IF(L263="Meeting Held",14,IF(L263="Follow Up",10,5)))))+MIN(Q263,30)+IF(S263="DUE",15,IF(S263="Next 3 Days",8,0))),0))</f>
        <v/>
      </c>
      <c r="AB263" s="425">
        <f>IF(AND(AC263="Active",OR(N263="Tier 1",N263="Tier 2"),OR(S263="DUE",S263="Next 3 Days")),"YES","")</f>
        <v/>
      </c>
      <c r="AC263" s="425">
        <f>IF(L263="Passed","Archived","Active")</f>
        <v/>
      </c>
    </row>
    <row r="264">
      <c r="A264" s="425" t="inlineStr">
        <is>
          <t>EXOS-0263</t>
        </is>
      </c>
      <c r="B264" s="425" t="inlineStr">
        <is>
          <t>John - Investor Contacts</t>
        </is>
      </c>
      <c r="C264" s="425" t="inlineStr">
        <is>
          <t>Financial Investor</t>
        </is>
      </c>
      <c r="D264" s="425" t="inlineStr">
        <is>
          <t>Commonweal Ventures</t>
        </is>
      </c>
      <c r="E264" s="425" t="inlineStr">
        <is>
          <t>Zac Geinzer</t>
        </is>
      </c>
      <c r="F264" s="425" t="inlineStr"/>
      <c r="G264" s="111" t="inlineStr">
        <is>
          <t>zac@commonwealventures.com</t>
        </is>
      </c>
      <c r="H264" s="425" t="inlineStr"/>
      <c r="I264" s="425" t="inlineStr"/>
      <c r="J264" s="425" t="inlineStr"/>
      <c r="K264" s="426" t="inlineStr">
        <is>
          <t>John Quinn</t>
        </is>
      </c>
      <c r="L264" s="426" t="inlineStr">
        <is>
          <t>Follow Up</t>
        </is>
      </c>
      <c r="M264" s="425" t="inlineStr">
        <is>
          <t>Space / Defense / Aerospace / Advanced Manufacturing</t>
        </is>
      </c>
      <c r="N264" s="426" t="inlineStr">
        <is>
          <t>Tier 2</t>
        </is>
      </c>
      <c r="O264" s="441" t="n">
        <v>45847</v>
      </c>
      <c r="P264" s="441" t="n">
        <v>45861</v>
      </c>
      <c r="Q264" s="425">
        <f>IF(P264="","",TODAY()-P264)</f>
        <v/>
      </c>
      <c r="R264" s="441">
        <f>IF(OR(L264="Passed",Z264=""),"",P264+Z264)</f>
        <v/>
      </c>
      <c r="S264" s="425">
        <f>IF(OR(R264="",L264="Passed"),"",IF(R264&lt;=TODAY(),"DUE",IF(R264&lt;=TODAY()+3,"Next 3 Days","Later")))</f>
        <v/>
      </c>
      <c r="T264" s="425" t="inlineStr"/>
      <c r="U264" s="426" t="inlineStr">
        <is>
          <t>linkedin.com/in/zacgeinzer</t>
        </is>
      </c>
      <c r="V264" s="426" t="inlineStr"/>
      <c r="W264" s="428" t="inlineStr">
        <is>
          <t xml:space="preserve"> | not a fit | </t>
        </is>
      </c>
      <c r="X264" s="425" t="inlineStr">
        <is>
          <t>John - Investor Contacts!372</t>
        </is>
      </c>
      <c r="Y264" s="426" t="inlineStr">
        <is>
          <t>Send next follow-up with traction + CTA</t>
        </is>
      </c>
      <c r="Z264" s="425" t="n">
        <v>7</v>
      </c>
      <c r="AA264" s="425">
        <f>IF(AC264="Archived",0,ROUND((IF(N264="Tier 1",35,IF(N264="Tier 2",20,8))+IF(C264="Financial Investor",15,IF(C264="Intermediary / Banker",12,8))+IF(L264="Term Sheet / Proposal",25,IF(L264="Engaged",20,IF(L264="Meeting Requested",18,IF(L264="Meeting Held",14,IF(L264="Follow Up",10,5)))))+MIN(Q264,30)+IF(S264="DUE",15,IF(S264="Next 3 Days",8,0))),0))</f>
        <v/>
      </c>
      <c r="AB264" s="425">
        <f>IF(AND(AC264="Active",OR(N264="Tier 1",N264="Tier 2"),OR(S264="DUE",S264="Next 3 Days")),"YES","")</f>
        <v/>
      </c>
      <c r="AC264" s="425">
        <f>IF(L264="Passed","Archived","Active")</f>
        <v/>
      </c>
    </row>
    <row r="265">
      <c r="A265" s="425" t="inlineStr">
        <is>
          <t>EXOS-0264</t>
        </is>
      </c>
      <c r="B265" s="425" t="inlineStr">
        <is>
          <t>John - Investor Contacts</t>
        </is>
      </c>
      <c r="C265" s="425" t="inlineStr">
        <is>
          <t>Financial Investor</t>
        </is>
      </c>
      <c r="D265" s="425" t="inlineStr">
        <is>
          <t>Community Capital</t>
        </is>
      </c>
      <c r="E265" s="425" t="inlineStr">
        <is>
          <t>Greg Shore</t>
        </is>
      </c>
      <c r="F265" s="425" t="inlineStr"/>
      <c r="G265" s="111" t="inlineStr">
        <is>
          <t>greg@communityct.com</t>
        </is>
      </c>
      <c r="H265" s="425" t="inlineStr"/>
      <c r="I265" s="425" t="inlineStr"/>
      <c r="J265" s="111" t="inlineStr">
        <is>
          <t>https://www.linkedin.com/in/gregoryshore/</t>
        </is>
      </c>
      <c r="K265" s="426" t="inlineStr">
        <is>
          <t>John Quinn</t>
        </is>
      </c>
      <c r="L265" s="426" t="inlineStr">
        <is>
          <t>Follow Up</t>
        </is>
      </c>
      <c r="M265" s="425" t="inlineStr">
        <is>
          <t>Space / Defense / Aerospace / Advanced Manufacturing</t>
        </is>
      </c>
      <c r="N265" s="426" t="inlineStr">
        <is>
          <t>Tier 2</t>
        </is>
      </c>
      <c r="O265" s="441" t="n">
        <v>45818</v>
      </c>
      <c r="P265" s="441" t="n">
        <v>45841</v>
      </c>
      <c r="Q265" s="425">
        <f>IF(P265="","",TODAY()-P265)</f>
        <v/>
      </c>
      <c r="R265" s="441">
        <f>IF(OR(L265="Passed",Z265=""),"",P265+Z265)</f>
        <v/>
      </c>
      <c r="S265" s="425">
        <f>IF(OR(R265="",L265="Passed"),"",IF(R265&lt;=TODAY(),"DUE",IF(R265&lt;=TODAY()+3,"Next 3 Days","Later")))</f>
        <v/>
      </c>
      <c r="T265" s="425" t="inlineStr"/>
      <c r="U265" s="426" t="inlineStr">
        <is>
          <t>https://www.linkedin.com/in/gregoryshore/</t>
        </is>
      </c>
      <c r="V265" s="426" t="inlineStr"/>
      <c r="W265" s="428" t="inlineStr">
        <is>
          <t xml:space="preserve"> | 07/03/2025 | 12/22/2025</t>
        </is>
      </c>
      <c r="X265" s="425" t="inlineStr">
        <is>
          <t>John - Investor Contacts!149</t>
        </is>
      </c>
      <c r="Y265" s="426" t="inlineStr">
        <is>
          <t>Send next follow-up with traction + CTA</t>
        </is>
      </c>
      <c r="Z265" s="425" t="n">
        <v>7</v>
      </c>
      <c r="AA265" s="425">
        <f>IF(AC265="Archived",0,ROUND((IF(N265="Tier 1",35,IF(N265="Tier 2",20,8))+IF(C265="Financial Investor",15,IF(C265="Intermediary / Banker",12,8))+IF(L265="Term Sheet / Proposal",25,IF(L265="Engaged",20,IF(L265="Meeting Requested",18,IF(L265="Meeting Held",14,IF(L265="Follow Up",10,5)))))+MIN(Q265,30)+IF(S265="DUE",15,IF(S265="Next 3 Days",8,0))),0))</f>
        <v/>
      </c>
      <c r="AB265" s="425">
        <f>IF(AND(AC265="Active",OR(N265="Tier 1",N265="Tier 2"),OR(S265="DUE",S265="Next 3 Days")),"YES","")</f>
        <v/>
      </c>
      <c r="AC265" s="425">
        <f>IF(L265="Passed","Archived","Active")</f>
        <v/>
      </c>
    </row>
    <row r="266">
      <c r="A266" s="425" t="inlineStr">
        <is>
          <t>EXOS-0265</t>
        </is>
      </c>
      <c r="B266" s="425" t="inlineStr">
        <is>
          <t>John - Investor Contacts</t>
        </is>
      </c>
      <c r="C266" s="425" t="inlineStr">
        <is>
          <t>Financial Investor</t>
        </is>
      </c>
      <c r="D266" s="425" t="inlineStr">
        <is>
          <t>Core Angels</t>
        </is>
      </c>
      <c r="E266" s="425" t="inlineStr">
        <is>
          <t>Ela Zohrevandi</t>
        </is>
      </c>
      <c r="F266" s="425" t="inlineStr"/>
      <c r="G266" s="111" t="inlineStr">
        <is>
          <t>ezohrevandi@coreangels.com</t>
        </is>
      </c>
      <c r="H266" s="425" t="inlineStr"/>
      <c r="I266" s="425" t="inlineStr"/>
      <c r="J266" s="111" t="inlineStr">
        <is>
          <t>https://www.linkedin.com/in/elazohrevandi/</t>
        </is>
      </c>
      <c r="K266" s="426" t="inlineStr">
        <is>
          <t>John Quinn</t>
        </is>
      </c>
      <c r="L266" s="426" t="inlineStr">
        <is>
          <t>Follow Up</t>
        </is>
      </c>
      <c r="M266" s="425" t="inlineStr">
        <is>
          <t>Space / Defense / Aerospace / Advanced Manufacturing</t>
        </is>
      </c>
      <c r="N266" s="426" t="inlineStr">
        <is>
          <t>Tier 2</t>
        </is>
      </c>
      <c r="O266" s="441" t="n">
        <v>45848</v>
      </c>
      <c r="P266" s="441" t="n">
        <v>45861</v>
      </c>
      <c r="Q266" s="425">
        <f>IF(P266="","",TODAY()-P266)</f>
        <v/>
      </c>
      <c r="R266" s="441">
        <f>IF(OR(L266="Passed",Z266=""),"",P266+Z266)</f>
        <v/>
      </c>
      <c r="S266" s="425">
        <f>IF(OR(R266="",L266="Passed"),"",IF(R266&lt;=TODAY(),"DUE",IF(R266&lt;=TODAY()+3,"Next 3 Days","Later")))</f>
        <v/>
      </c>
      <c r="T266" s="425" t="inlineStr"/>
      <c r="U266" s="426" t="inlineStr">
        <is>
          <t>https://www.linkedin.com/in/elazohrevandi/</t>
        </is>
      </c>
      <c r="V266" s="426" t="inlineStr"/>
      <c r="W266" s="428" t="inlineStr">
        <is>
          <t xml:space="preserve"> | 12/26/2025 | </t>
        </is>
      </c>
      <c r="X266" s="425" t="inlineStr">
        <is>
          <t>John - Investor Contacts!382</t>
        </is>
      </c>
      <c r="Y266" s="426" t="inlineStr">
        <is>
          <t>Send next follow-up with traction + CTA</t>
        </is>
      </c>
      <c r="Z266" s="425" t="n">
        <v>7</v>
      </c>
      <c r="AA266" s="425">
        <f>IF(AC266="Archived",0,ROUND((IF(N266="Tier 1",35,IF(N266="Tier 2",20,8))+IF(C266="Financial Investor",15,IF(C266="Intermediary / Banker",12,8))+IF(L266="Term Sheet / Proposal",25,IF(L266="Engaged",20,IF(L266="Meeting Requested",18,IF(L266="Meeting Held",14,IF(L266="Follow Up",10,5)))))+MIN(Q266,30)+IF(S266="DUE",15,IF(S266="Next 3 Days",8,0))),0))</f>
        <v/>
      </c>
      <c r="AB266" s="425">
        <f>IF(AND(AC266="Active",OR(N266="Tier 1",N266="Tier 2"),OR(S266="DUE",S266="Next 3 Days")),"YES","")</f>
        <v/>
      </c>
      <c r="AC266" s="425">
        <f>IF(L266="Passed","Archived","Active")</f>
        <v/>
      </c>
    </row>
    <row r="267">
      <c r="A267" s="425" t="inlineStr">
        <is>
          <t>EXOS-0266</t>
        </is>
      </c>
      <c r="B267" s="425" t="inlineStr">
        <is>
          <t>John - Investor Contacts</t>
        </is>
      </c>
      <c r="C267" s="425" t="inlineStr">
        <is>
          <t>Financial Investor</t>
        </is>
      </c>
      <c r="D267" s="425" t="inlineStr">
        <is>
          <t>Core Angels</t>
        </is>
      </c>
      <c r="E267" s="425" t="inlineStr">
        <is>
          <t>Marjorie Ferro</t>
        </is>
      </c>
      <c r="F267" s="425" t="inlineStr"/>
      <c r="G267" s="111" t="inlineStr">
        <is>
          <t>mferro@coreangels.com</t>
        </is>
      </c>
      <c r="H267" s="425" t="inlineStr"/>
      <c r="I267" s="425" t="inlineStr"/>
      <c r="J267" s="111" t="inlineStr">
        <is>
          <t>https://www.linkedin.com/in/marjorie-ferro/</t>
        </is>
      </c>
      <c r="K267" s="426" t="inlineStr">
        <is>
          <t>John Quinn</t>
        </is>
      </c>
      <c r="L267" s="426" t="inlineStr">
        <is>
          <t>Follow Up</t>
        </is>
      </c>
      <c r="M267" s="425" t="inlineStr">
        <is>
          <t>Space / Defense / Aerospace / Advanced Manufacturing</t>
        </is>
      </c>
      <c r="N267" s="426" t="inlineStr">
        <is>
          <t>Tier 2</t>
        </is>
      </c>
      <c r="O267" s="441" t="n">
        <v>45848</v>
      </c>
      <c r="P267" s="441" t="n">
        <v>45861</v>
      </c>
      <c r="Q267" s="425">
        <f>IF(P267="","",TODAY()-P267)</f>
        <v/>
      </c>
      <c r="R267" s="441">
        <f>IF(OR(L267="Passed",Z267=""),"",P267+Z267)</f>
        <v/>
      </c>
      <c r="S267" s="425">
        <f>IF(OR(R267="",L267="Passed"),"",IF(R267&lt;=TODAY(),"DUE",IF(R267&lt;=TODAY()+3,"Next 3 Days","Later")))</f>
        <v/>
      </c>
      <c r="T267" s="425" t="inlineStr"/>
      <c r="U267" s="426" t="inlineStr">
        <is>
          <t>https://www.linkedin.com/in/marjorie-ferro/</t>
        </is>
      </c>
      <c r="V267" s="426" t="inlineStr"/>
      <c r="W267" s="428" t="inlineStr">
        <is>
          <t xml:space="preserve"> | 12/26/2025 | </t>
        </is>
      </c>
      <c r="X267" s="425" t="inlineStr">
        <is>
          <t>John - Investor Contacts!383</t>
        </is>
      </c>
      <c r="Y267" s="426" t="inlineStr">
        <is>
          <t>Send next follow-up with traction + CTA</t>
        </is>
      </c>
      <c r="Z267" s="425" t="n">
        <v>7</v>
      </c>
      <c r="AA267" s="425">
        <f>IF(AC267="Archived",0,ROUND((IF(N267="Tier 1",35,IF(N267="Tier 2",20,8))+IF(C267="Financial Investor",15,IF(C267="Intermediary / Banker",12,8))+IF(L267="Term Sheet / Proposal",25,IF(L267="Engaged",20,IF(L267="Meeting Requested",18,IF(L267="Meeting Held",14,IF(L267="Follow Up",10,5)))))+MIN(Q267,30)+IF(S267="DUE",15,IF(S267="Next 3 Days",8,0))),0))</f>
        <v/>
      </c>
      <c r="AB267" s="425">
        <f>IF(AND(AC267="Active",OR(N267="Tier 1",N267="Tier 2"),OR(S267="DUE",S267="Next 3 Days")),"YES","")</f>
        <v/>
      </c>
      <c r="AC267" s="425">
        <f>IF(L267="Passed","Archived","Active")</f>
        <v/>
      </c>
    </row>
    <row r="268">
      <c r="A268" s="425" t="inlineStr">
        <is>
          <t>EXOS-0267</t>
        </is>
      </c>
      <c r="B268" s="425" t="inlineStr">
        <is>
          <t>John - Investor Contacts</t>
        </is>
      </c>
      <c r="C268" s="425" t="inlineStr">
        <is>
          <t>Financial Investor</t>
        </is>
      </c>
      <c r="D268" s="425" t="inlineStr">
        <is>
          <t>Core Angels</t>
        </is>
      </c>
      <c r="E268" s="425" t="inlineStr">
        <is>
          <t>Pedro Bandeira</t>
        </is>
      </c>
      <c r="F268" s="425" t="inlineStr"/>
      <c r="G268" s="111" t="inlineStr">
        <is>
          <t>pbandeira@coreangels.com</t>
        </is>
      </c>
      <c r="H268" s="425" t="inlineStr"/>
      <c r="I268" s="425" t="inlineStr"/>
      <c r="J268" s="111" t="inlineStr">
        <is>
          <t>https://www.linkedin.com/in/pedrobandeira/</t>
        </is>
      </c>
      <c r="K268" s="426" t="inlineStr">
        <is>
          <t>John Quinn</t>
        </is>
      </c>
      <c r="L268" s="426" t="inlineStr">
        <is>
          <t>Follow Up</t>
        </is>
      </c>
      <c r="M268" s="425" t="inlineStr">
        <is>
          <t>Space / Defense / Aerospace / Advanced Manufacturing</t>
        </is>
      </c>
      <c r="N268" s="426" t="inlineStr">
        <is>
          <t>Tier 2</t>
        </is>
      </c>
      <c r="O268" s="441" t="n">
        <v>45848</v>
      </c>
      <c r="P268" s="441" t="n">
        <v>45861</v>
      </c>
      <c r="Q268" s="425">
        <f>IF(P268="","",TODAY()-P268)</f>
        <v/>
      </c>
      <c r="R268" s="441">
        <f>IF(OR(L268="Passed",Z268=""),"",P268+Z268)</f>
        <v/>
      </c>
      <c r="S268" s="425">
        <f>IF(OR(R268="",L268="Passed"),"",IF(R268&lt;=TODAY(),"DUE",IF(R268&lt;=TODAY()+3,"Next 3 Days","Later")))</f>
        <v/>
      </c>
      <c r="T268" s="425" t="inlineStr"/>
      <c r="U268" s="426" t="inlineStr">
        <is>
          <t>https://www.linkedin.com/in/pedrobandeira/</t>
        </is>
      </c>
      <c r="V268" s="426" t="inlineStr"/>
      <c r="W268" s="428" t="inlineStr">
        <is>
          <t xml:space="preserve"> | 12/26/2025 | </t>
        </is>
      </c>
      <c r="X268" s="425" t="inlineStr">
        <is>
          <t>John - Investor Contacts!381</t>
        </is>
      </c>
      <c r="Y268" s="426" t="inlineStr">
        <is>
          <t>Send next follow-up with traction + CTA</t>
        </is>
      </c>
      <c r="Z268" s="425" t="n">
        <v>7</v>
      </c>
      <c r="AA268" s="425">
        <f>IF(AC268="Archived",0,ROUND((IF(N268="Tier 1",35,IF(N268="Tier 2",20,8))+IF(C268="Financial Investor",15,IF(C268="Intermediary / Banker",12,8))+IF(L268="Term Sheet / Proposal",25,IF(L268="Engaged",20,IF(L268="Meeting Requested",18,IF(L268="Meeting Held",14,IF(L268="Follow Up",10,5)))))+MIN(Q268,30)+IF(S268="DUE",15,IF(S268="Next 3 Days",8,0))),0))</f>
        <v/>
      </c>
      <c r="AB268" s="425">
        <f>IF(AND(AC268="Active",OR(N268="Tier 1",N268="Tier 2"),OR(S268="DUE",S268="Next 3 Days")),"YES","")</f>
        <v/>
      </c>
      <c r="AC268" s="425">
        <f>IF(L268="Passed","Archived","Active")</f>
        <v/>
      </c>
    </row>
    <row r="269">
      <c r="A269" s="425" t="inlineStr">
        <is>
          <t>EXOS-0268</t>
        </is>
      </c>
      <c r="B269" s="425" t="inlineStr">
        <is>
          <t>John - Investor Contacts</t>
        </is>
      </c>
      <c r="C269" s="425" t="inlineStr">
        <is>
          <t>Financial Investor</t>
        </is>
      </c>
      <c r="D269" s="425" t="inlineStr">
        <is>
          <t>Core Angels</t>
        </is>
      </c>
      <c r="E269" s="425" t="inlineStr">
        <is>
          <t>Rui Falcão</t>
        </is>
      </c>
      <c r="F269" s="425" t="inlineStr"/>
      <c r="G269" s="111" t="inlineStr">
        <is>
          <t>rfalcao@coreangels.com</t>
        </is>
      </c>
      <c r="H269" s="425" t="inlineStr"/>
      <c r="I269" s="425" t="inlineStr"/>
      <c r="J269" s="111" t="inlineStr">
        <is>
          <t>https://www.linkedin.com/in/ruifalcao</t>
        </is>
      </c>
      <c r="K269" s="426" t="inlineStr">
        <is>
          <t>John Quinn</t>
        </is>
      </c>
      <c r="L269" s="426" t="inlineStr">
        <is>
          <t>Follow Up</t>
        </is>
      </c>
      <c r="M269" s="425" t="inlineStr">
        <is>
          <t>Space / Defense / Aerospace / Advanced Manufacturing</t>
        </is>
      </c>
      <c r="N269" s="426" t="inlineStr">
        <is>
          <t>Tier 2</t>
        </is>
      </c>
      <c r="O269" s="441" t="n">
        <v>45848</v>
      </c>
      <c r="P269" s="441" t="n">
        <v>45861</v>
      </c>
      <c r="Q269" s="425">
        <f>IF(P269="","",TODAY()-P269)</f>
        <v/>
      </c>
      <c r="R269" s="441">
        <f>IF(OR(L269="Passed",Z269=""),"",P269+Z269)</f>
        <v/>
      </c>
      <c r="S269" s="425">
        <f>IF(OR(R269="",L269="Passed"),"",IF(R269&lt;=TODAY(),"DUE",IF(R269&lt;=TODAY()+3,"Next 3 Days","Later")))</f>
        <v/>
      </c>
      <c r="T269" s="425" t="inlineStr"/>
      <c r="U269" s="426" t="inlineStr">
        <is>
          <t>https://www.linkedin.com/in/ruifalcao</t>
        </is>
      </c>
      <c r="V269" s="426" t="inlineStr"/>
      <c r="W269" s="428" t="inlineStr">
        <is>
          <t xml:space="preserve"> | 12/26/2025 | </t>
        </is>
      </c>
      <c r="X269" s="425" t="inlineStr">
        <is>
          <t>John - Investor Contacts!380</t>
        </is>
      </c>
      <c r="Y269" s="426" t="inlineStr">
        <is>
          <t>Send next follow-up with traction + CTA</t>
        </is>
      </c>
      <c r="Z269" s="425" t="n">
        <v>7</v>
      </c>
      <c r="AA269" s="425">
        <f>IF(AC269="Archived",0,ROUND((IF(N269="Tier 1",35,IF(N269="Tier 2",20,8))+IF(C269="Financial Investor",15,IF(C269="Intermediary / Banker",12,8))+IF(L269="Term Sheet / Proposal",25,IF(L269="Engaged",20,IF(L269="Meeting Requested",18,IF(L269="Meeting Held",14,IF(L269="Follow Up",10,5)))))+MIN(Q269,30)+IF(S269="DUE",15,IF(S269="Next 3 Days",8,0))),0))</f>
        <v/>
      </c>
      <c r="AB269" s="425">
        <f>IF(AND(AC269="Active",OR(N269="Tier 1",N269="Tier 2"),OR(S269="DUE",S269="Next 3 Days")),"YES","")</f>
        <v/>
      </c>
      <c r="AC269" s="425">
        <f>IF(L269="Passed","Archived","Active")</f>
        <v/>
      </c>
    </row>
    <row r="270">
      <c r="A270" s="425" t="inlineStr">
        <is>
          <t>EXOS-0269</t>
        </is>
      </c>
      <c r="B270" s="425" t="inlineStr">
        <is>
          <t>John - Investor Contacts</t>
        </is>
      </c>
      <c r="C270" s="425" t="inlineStr">
        <is>
          <t>Financial Investor</t>
        </is>
      </c>
      <c r="D270" s="425" t="inlineStr">
        <is>
          <t>Core Angels</t>
        </is>
      </c>
      <c r="E270" s="425" t="inlineStr">
        <is>
          <t>Terry Huang</t>
        </is>
      </c>
      <c r="F270" s="425" t="inlineStr"/>
      <c r="G270" s="111" t="inlineStr">
        <is>
          <t>thuang@coreangels.com</t>
        </is>
      </c>
      <c r="H270" s="425" t="inlineStr"/>
      <c r="I270" s="425" t="inlineStr"/>
      <c r="J270" s="425" t="inlineStr"/>
      <c r="K270" s="426" t="inlineStr">
        <is>
          <t>John Quinn</t>
        </is>
      </c>
      <c r="L270" s="426" t="inlineStr">
        <is>
          <t>Follow Up</t>
        </is>
      </c>
      <c r="M270" s="425" t="inlineStr">
        <is>
          <t>Space / Defense / Aerospace / Advanced Manufacturing</t>
        </is>
      </c>
      <c r="N270" s="426" t="inlineStr">
        <is>
          <t>Tier 2</t>
        </is>
      </c>
      <c r="O270" s="441" t="n">
        <v>45848</v>
      </c>
      <c r="P270" s="441" t="n">
        <v>45861</v>
      </c>
      <c r="Q270" s="425">
        <f>IF(P270="","",TODAY()-P270)</f>
        <v/>
      </c>
      <c r="R270" s="441">
        <f>IF(OR(L270="Passed",Z270=""),"",P270+Z270)</f>
        <v/>
      </c>
      <c r="S270" s="425">
        <f>IF(OR(R270="",L270="Passed"),"",IF(R270&lt;=TODAY(),"DUE",IF(R270&lt;=TODAY()+3,"Next 3 Days","Later")))</f>
        <v/>
      </c>
      <c r="T270" s="425" t="inlineStr"/>
      <c r="U270" s="426" t="inlineStr">
        <is>
          <t>linkedin.com/in/terry-huang-phd-mph-mba</t>
        </is>
      </c>
      <c r="V270" s="426" t="inlineStr"/>
      <c r="W270" s="428" t="inlineStr">
        <is>
          <t xml:space="preserve"> | 12/26/2025 | </t>
        </is>
      </c>
      <c r="X270" s="425" t="inlineStr">
        <is>
          <t>John - Investor Contacts!379</t>
        </is>
      </c>
      <c r="Y270" s="426" t="inlineStr">
        <is>
          <t>Send next follow-up with traction + CTA</t>
        </is>
      </c>
      <c r="Z270" s="425" t="n">
        <v>7</v>
      </c>
      <c r="AA270" s="425">
        <f>IF(AC270="Archived",0,ROUND((IF(N270="Tier 1",35,IF(N270="Tier 2",20,8))+IF(C270="Financial Investor",15,IF(C270="Intermediary / Banker",12,8))+IF(L270="Term Sheet / Proposal",25,IF(L270="Engaged",20,IF(L270="Meeting Requested",18,IF(L270="Meeting Held",14,IF(L270="Follow Up",10,5)))))+MIN(Q270,30)+IF(S270="DUE",15,IF(S270="Next 3 Days",8,0))),0))</f>
        <v/>
      </c>
      <c r="AB270" s="425">
        <f>IF(AND(AC270="Active",OR(N270="Tier 1",N270="Tier 2"),OR(S270="DUE",S270="Next 3 Days")),"YES","")</f>
        <v/>
      </c>
      <c r="AC270" s="425">
        <f>IF(L270="Passed","Archived","Active")</f>
        <v/>
      </c>
    </row>
    <row r="271">
      <c r="A271" s="425" t="inlineStr">
        <is>
          <t>EXOS-0270</t>
        </is>
      </c>
      <c r="B271" s="425" t="inlineStr">
        <is>
          <t>John - Investor Contacts</t>
        </is>
      </c>
      <c r="C271" s="425" t="inlineStr">
        <is>
          <t>Financial Investor</t>
        </is>
      </c>
      <c r="D271" s="425" t="inlineStr">
        <is>
          <t>Craft Ventures</t>
        </is>
      </c>
      <c r="E271" s="425" t="inlineStr">
        <is>
          <t>David Sacks</t>
        </is>
      </c>
      <c r="F271" s="425" t="inlineStr"/>
      <c r="G271" s="111" t="inlineStr">
        <is>
          <t>david@craftventures.com</t>
        </is>
      </c>
      <c r="H271" s="425" t="inlineStr"/>
      <c r="I271" s="425" t="inlineStr"/>
      <c r="J271" s="111" t="inlineStr">
        <is>
          <t>https://www.linkedin.com/in/davidoliversacks/</t>
        </is>
      </c>
      <c r="K271" s="426" t="inlineStr">
        <is>
          <t>John Quinn</t>
        </is>
      </c>
      <c r="L271" s="426" t="inlineStr">
        <is>
          <t>Follow Up</t>
        </is>
      </c>
      <c r="M271" s="425" t="inlineStr">
        <is>
          <t>Space / Defense / Aerospace / Advanced Manufacturing</t>
        </is>
      </c>
      <c r="N271" s="426" t="inlineStr">
        <is>
          <t>Tier 2</t>
        </is>
      </c>
      <c r="O271" s="441" t="n">
        <v>45966</v>
      </c>
      <c r="P271" s="441" t="n">
        <v>45985</v>
      </c>
      <c r="Q271" s="425">
        <f>IF(P271="","",TODAY()-P271)</f>
        <v/>
      </c>
      <c r="R271" s="441">
        <f>IF(OR(L271="Passed",Z271=""),"",P271+Z271)</f>
        <v/>
      </c>
      <c r="S271" s="425">
        <f>IF(OR(R271="",L271="Passed"),"",IF(R271&lt;=TODAY(),"DUE",IF(R271&lt;=TODAY()+3,"Next 3 Days","Later")))</f>
        <v/>
      </c>
      <c r="T271" s="425" t="inlineStr"/>
      <c r="U271" s="426" t="inlineStr">
        <is>
          <t>https://www.linkedin.com/in/davidoliversacks/</t>
        </is>
      </c>
      <c r="V271" s="426" t="inlineStr"/>
      <c r="W271" s="428" t="inlineStr">
        <is>
          <t xml:space="preserve"> | 01/14/2026 | </t>
        </is>
      </c>
      <c r="X271" s="425" t="inlineStr">
        <is>
          <t>John - Investor Contacts!828</t>
        </is>
      </c>
      <c r="Y271" s="426" t="inlineStr">
        <is>
          <t>Send next follow-up with traction + CTA</t>
        </is>
      </c>
      <c r="Z271" s="425" t="n">
        <v>7</v>
      </c>
      <c r="AA271" s="425">
        <f>IF(AC271="Archived",0,ROUND((IF(N271="Tier 1",35,IF(N271="Tier 2",20,8))+IF(C271="Financial Investor",15,IF(C271="Intermediary / Banker",12,8))+IF(L271="Term Sheet / Proposal",25,IF(L271="Engaged",20,IF(L271="Meeting Requested",18,IF(L271="Meeting Held",14,IF(L271="Follow Up",10,5)))))+MIN(Q271,30)+IF(S271="DUE",15,IF(S271="Next 3 Days",8,0))),0))</f>
        <v/>
      </c>
      <c r="AB271" s="425">
        <f>IF(AND(AC271="Active",OR(N271="Tier 1",N271="Tier 2"),OR(S271="DUE",S271="Next 3 Days")),"YES","")</f>
        <v/>
      </c>
      <c r="AC271" s="425">
        <f>IF(L271="Passed","Archived","Active")</f>
        <v/>
      </c>
    </row>
    <row r="272">
      <c r="A272" s="425" t="inlineStr">
        <is>
          <t>EXOS-0271</t>
        </is>
      </c>
      <c r="B272" s="425" t="inlineStr">
        <is>
          <t>John - Investor Contacts</t>
        </is>
      </c>
      <c r="C272" s="425" t="inlineStr">
        <is>
          <t>Financial Investor</t>
        </is>
      </c>
      <c r="D272" s="425" t="inlineStr">
        <is>
          <t>Craft Ventures</t>
        </is>
      </c>
      <c r="E272" s="425" t="inlineStr">
        <is>
          <t>Michael Robinson</t>
        </is>
      </c>
      <c r="F272" s="425" t="inlineStr"/>
      <c r="G272" s="111" t="inlineStr">
        <is>
          <t>mrobinson@craftventures.com</t>
        </is>
      </c>
      <c r="H272" s="425" t="inlineStr"/>
      <c r="I272" s="425" t="inlineStr"/>
      <c r="J272" s="111" t="inlineStr">
        <is>
          <t>https://www.linkedin.com/in/michael-robinson-93221659/</t>
        </is>
      </c>
      <c r="K272" s="426" t="inlineStr">
        <is>
          <t>John Quinn</t>
        </is>
      </c>
      <c r="L272" s="426" t="inlineStr">
        <is>
          <t>Follow Up</t>
        </is>
      </c>
      <c r="M272" s="425" t="inlineStr">
        <is>
          <t>Space / Defense / Aerospace / Advanced Manufacturing</t>
        </is>
      </c>
      <c r="N272" s="426" t="inlineStr">
        <is>
          <t>Tier 2</t>
        </is>
      </c>
      <c r="O272" s="441" t="n">
        <v>45966</v>
      </c>
      <c r="P272" s="441" t="n">
        <v>45985</v>
      </c>
      <c r="Q272" s="425">
        <f>IF(P272="","",TODAY()-P272)</f>
        <v/>
      </c>
      <c r="R272" s="441">
        <f>IF(OR(L272="Passed",Z272=""),"",P272+Z272)</f>
        <v/>
      </c>
      <c r="S272" s="425">
        <f>IF(OR(R272="",L272="Passed"),"",IF(R272&lt;=TODAY(),"DUE",IF(R272&lt;=TODAY()+3,"Next 3 Days","Later")))</f>
        <v/>
      </c>
      <c r="T272" s="425" t="inlineStr"/>
      <c r="U272" s="426" t="inlineStr">
        <is>
          <t>https://www.linkedin.com/in/michael-robinson-93221659/</t>
        </is>
      </c>
      <c r="V272" s="426" t="inlineStr"/>
      <c r="W272" s="428" t="inlineStr">
        <is>
          <t xml:space="preserve"> | 01/14/2026 | </t>
        </is>
      </c>
      <c r="X272" s="425" t="inlineStr">
        <is>
          <t>John - Investor Contacts!829</t>
        </is>
      </c>
      <c r="Y272" s="426" t="inlineStr">
        <is>
          <t>Send next follow-up with traction + CTA</t>
        </is>
      </c>
      <c r="Z272" s="425" t="n">
        <v>7</v>
      </c>
      <c r="AA272" s="425">
        <f>IF(AC272="Archived",0,ROUND((IF(N272="Tier 1",35,IF(N272="Tier 2",20,8))+IF(C272="Financial Investor",15,IF(C272="Intermediary / Banker",12,8))+IF(L272="Term Sheet / Proposal",25,IF(L272="Engaged",20,IF(L272="Meeting Requested",18,IF(L272="Meeting Held",14,IF(L272="Follow Up",10,5)))))+MIN(Q272,30)+IF(S272="DUE",15,IF(S272="Next 3 Days",8,0))),0))</f>
        <v/>
      </c>
      <c r="AB272" s="425">
        <f>IF(AND(AC272="Active",OR(N272="Tier 1",N272="Tier 2"),OR(S272="DUE",S272="Next 3 Days")),"YES","")</f>
        <v/>
      </c>
      <c r="AC272" s="425">
        <f>IF(L272="Passed","Archived","Active")</f>
        <v/>
      </c>
    </row>
    <row r="273">
      <c r="A273" s="425" t="inlineStr">
        <is>
          <t>EXOS-0272</t>
        </is>
      </c>
      <c r="B273" s="425" t="inlineStr">
        <is>
          <t>John - Investor Contacts</t>
        </is>
      </c>
      <c r="C273" s="425" t="inlineStr">
        <is>
          <t>Financial Investor</t>
        </is>
      </c>
      <c r="D273" s="425" t="inlineStr">
        <is>
          <t>Craft Ventures</t>
        </is>
      </c>
      <c r="E273" s="425" t="inlineStr">
        <is>
          <t>Mike Marg</t>
        </is>
      </c>
      <c r="F273" s="425" t="inlineStr"/>
      <c r="G273" s="111" t="inlineStr">
        <is>
          <t>mike@craftventures.com</t>
        </is>
      </c>
      <c r="H273" s="425" t="inlineStr"/>
      <c r="I273" s="425" t="inlineStr"/>
      <c r="J273" s="111" t="inlineStr">
        <is>
          <t>https://www.linkedin.com/in/michaelmarg/</t>
        </is>
      </c>
      <c r="K273" s="426" t="inlineStr">
        <is>
          <t>John Quinn</t>
        </is>
      </c>
      <c r="L273" s="426" t="inlineStr">
        <is>
          <t>Follow Up</t>
        </is>
      </c>
      <c r="M273" s="425" t="inlineStr">
        <is>
          <t>Space / Defense / Aerospace / Advanced Manufacturing</t>
        </is>
      </c>
      <c r="N273" s="426" t="inlineStr">
        <is>
          <t>Tier 2</t>
        </is>
      </c>
      <c r="O273" s="441" t="n">
        <v>45966</v>
      </c>
      <c r="P273" s="441" t="n">
        <v>45985</v>
      </c>
      <c r="Q273" s="425">
        <f>IF(P273="","",TODAY()-P273)</f>
        <v/>
      </c>
      <c r="R273" s="441">
        <f>IF(OR(L273="Passed",Z273=""),"",P273+Z273)</f>
        <v/>
      </c>
      <c r="S273" s="425">
        <f>IF(OR(R273="",L273="Passed"),"",IF(R273&lt;=TODAY(),"DUE",IF(R273&lt;=TODAY()+3,"Next 3 Days","Later")))</f>
        <v/>
      </c>
      <c r="T273" s="425" t="inlineStr"/>
      <c r="U273" s="426" t="inlineStr">
        <is>
          <t>https://www.linkedin.com/in/michaelmarg/</t>
        </is>
      </c>
      <c r="V273" s="426" t="inlineStr"/>
      <c r="W273" s="428" t="inlineStr">
        <is>
          <t xml:space="preserve"> | 01/14/2026 | </t>
        </is>
      </c>
      <c r="X273" s="425" t="inlineStr">
        <is>
          <t>John - Investor Contacts!830</t>
        </is>
      </c>
      <c r="Y273" s="426" t="inlineStr">
        <is>
          <t>Send next follow-up with traction + CTA</t>
        </is>
      </c>
      <c r="Z273" s="425" t="n">
        <v>7</v>
      </c>
      <c r="AA273" s="425">
        <f>IF(AC273="Archived",0,ROUND((IF(N273="Tier 1",35,IF(N273="Tier 2",20,8))+IF(C273="Financial Investor",15,IF(C273="Intermediary / Banker",12,8))+IF(L273="Term Sheet / Proposal",25,IF(L273="Engaged",20,IF(L273="Meeting Requested",18,IF(L273="Meeting Held",14,IF(L273="Follow Up",10,5)))))+MIN(Q273,30)+IF(S273="DUE",15,IF(S273="Next 3 Days",8,0))),0))</f>
        <v/>
      </c>
      <c r="AB273" s="425">
        <f>IF(AND(AC273="Active",OR(N273="Tier 1",N273="Tier 2"),OR(S273="DUE",S273="Next 3 Days")),"YES","")</f>
        <v/>
      </c>
      <c r="AC273" s="425">
        <f>IF(L273="Passed","Archived","Active")</f>
        <v/>
      </c>
    </row>
    <row r="274">
      <c r="A274" s="425" t="inlineStr">
        <is>
          <t>EXOS-0273</t>
        </is>
      </c>
      <c r="B274" s="425" t="inlineStr">
        <is>
          <t>John - Investor Contacts</t>
        </is>
      </c>
      <c r="C274" s="425" t="inlineStr">
        <is>
          <t>Financial Investor</t>
        </is>
      </c>
      <c r="D274" s="425" t="inlineStr">
        <is>
          <t>Cross Ocean Ventures</t>
        </is>
      </c>
      <c r="E274" s="425" t="inlineStr">
        <is>
          <t>Alex Altomare</t>
        </is>
      </c>
      <c r="F274" s="425" t="inlineStr"/>
      <c r="G274" s="111" t="inlineStr">
        <is>
          <t>alex.altomare@gmail.com</t>
        </is>
      </c>
      <c r="H274" s="425" t="inlineStr"/>
      <c r="I274" s="425" t="inlineStr"/>
      <c r="J274" s="111" t="inlineStr">
        <is>
          <t>https://www.linkedin.com/in/alexaltomare</t>
        </is>
      </c>
      <c r="K274" s="426" t="inlineStr">
        <is>
          <t>John Quinn</t>
        </is>
      </c>
      <c r="L274" s="426" t="inlineStr">
        <is>
          <t>Follow Up</t>
        </is>
      </c>
      <c r="M274" s="425" t="inlineStr">
        <is>
          <t>Space / Defense / Aerospace / Advanced Manufacturing</t>
        </is>
      </c>
      <c r="N274" s="426" t="inlineStr">
        <is>
          <t>Tier 2</t>
        </is>
      </c>
      <c r="O274" s="441" t="n">
        <v>45820</v>
      </c>
      <c r="P274" s="441" t="n">
        <v>45835</v>
      </c>
      <c r="Q274" s="425">
        <f>IF(P274="","",TODAY()-P274)</f>
        <v/>
      </c>
      <c r="R274" s="441">
        <f>IF(OR(L274="Passed",Z274=""),"",P274+Z274)</f>
        <v/>
      </c>
      <c r="S274" s="425">
        <f>IF(OR(R274="",L274="Passed"),"",IF(R274&lt;=TODAY(),"DUE",IF(R274&lt;=TODAY()+3,"Next 3 Days","Later")))</f>
        <v/>
      </c>
      <c r="T274" s="425" t="inlineStr"/>
      <c r="U274" s="426" t="inlineStr">
        <is>
          <t>https://www.linkedin.com/in/alexaltomare</t>
        </is>
      </c>
      <c r="V274" s="426" t="inlineStr"/>
      <c r="W274" s="428" t="inlineStr">
        <is>
          <t xml:space="preserve"> | 12/23/2025 | </t>
        </is>
      </c>
      <c r="X274" s="425" t="inlineStr">
        <is>
          <t>John - Investor Contacts!167</t>
        </is>
      </c>
      <c r="Y274" s="426" t="inlineStr">
        <is>
          <t>Send next follow-up with traction + CTA</t>
        </is>
      </c>
      <c r="Z274" s="425" t="n">
        <v>7</v>
      </c>
      <c r="AA274" s="425">
        <f>IF(AC274="Archived",0,ROUND((IF(N274="Tier 1",35,IF(N274="Tier 2",20,8))+IF(C274="Financial Investor",15,IF(C274="Intermediary / Banker",12,8))+IF(L274="Term Sheet / Proposal",25,IF(L274="Engaged",20,IF(L274="Meeting Requested",18,IF(L274="Meeting Held",14,IF(L274="Follow Up",10,5)))))+MIN(Q274,30)+IF(S274="DUE",15,IF(S274="Next 3 Days",8,0))),0))</f>
        <v/>
      </c>
      <c r="AB274" s="425">
        <f>IF(AND(AC274="Active",OR(N274="Tier 1",N274="Tier 2"),OR(S274="DUE",S274="Next 3 Days")),"YES","")</f>
        <v/>
      </c>
      <c r="AC274" s="425">
        <f>IF(L274="Passed","Archived","Active")</f>
        <v/>
      </c>
    </row>
    <row r="275">
      <c r="A275" s="425" t="inlineStr">
        <is>
          <t>EXOS-0274</t>
        </is>
      </c>
      <c r="B275" s="425" t="inlineStr">
        <is>
          <t>John - Investor Contacts</t>
        </is>
      </c>
      <c r="C275" s="425" t="inlineStr">
        <is>
          <t>Financial Investor</t>
        </is>
      </c>
      <c r="D275" s="425" t="inlineStr">
        <is>
          <t>Cross Ocean Ventures</t>
        </is>
      </c>
      <c r="E275" s="425" t="inlineStr">
        <is>
          <t>Milan Saes</t>
        </is>
      </c>
      <c r="F275" s="425" t="inlineStr"/>
      <c r="G275" s="111" t="inlineStr">
        <is>
          <t>milan@crossoceanfund.com</t>
        </is>
      </c>
      <c r="H275" s="425" t="inlineStr"/>
      <c r="I275" s="425" t="inlineStr"/>
      <c r="J275" s="111" t="inlineStr">
        <is>
          <t>https://www.linkedin.com/in/milan-saes/</t>
        </is>
      </c>
      <c r="K275" s="426" t="inlineStr">
        <is>
          <t>John Quinn</t>
        </is>
      </c>
      <c r="L275" s="426" t="inlineStr">
        <is>
          <t>Follow Up</t>
        </is>
      </c>
      <c r="M275" s="425" t="inlineStr">
        <is>
          <t>Space / Defense / Aerospace / Advanced Manufacturing</t>
        </is>
      </c>
      <c r="N275" s="426" t="inlineStr">
        <is>
          <t>Tier 2</t>
        </is>
      </c>
      <c r="O275" s="441" t="n">
        <v>45820</v>
      </c>
      <c r="P275" s="441" t="n">
        <v>45835</v>
      </c>
      <c r="Q275" s="425">
        <f>IF(P275="","",TODAY()-P275)</f>
        <v/>
      </c>
      <c r="R275" s="441">
        <f>IF(OR(L275="Passed",Z275=""),"",P275+Z275)</f>
        <v/>
      </c>
      <c r="S275" s="425">
        <f>IF(OR(R275="",L275="Passed"),"",IF(R275&lt;=TODAY(),"DUE",IF(R275&lt;=TODAY()+3,"Next 3 Days","Later")))</f>
        <v/>
      </c>
      <c r="T275" s="425" t="inlineStr"/>
      <c r="U275" s="426" t="inlineStr">
        <is>
          <t>https://www.linkedin.com/in/milan-saes/</t>
        </is>
      </c>
      <c r="V275" s="426" t="inlineStr"/>
      <c r="W275" s="428" t="inlineStr">
        <is>
          <t xml:space="preserve"> | 12/23/2025 | </t>
        </is>
      </c>
      <c r="X275" s="425" t="inlineStr">
        <is>
          <t>John - Investor Contacts!168</t>
        </is>
      </c>
      <c r="Y275" s="426" t="inlineStr">
        <is>
          <t>Send next follow-up with traction + CTA</t>
        </is>
      </c>
      <c r="Z275" s="425" t="n">
        <v>7</v>
      </c>
      <c r="AA275" s="425">
        <f>IF(AC275="Archived",0,ROUND((IF(N275="Tier 1",35,IF(N275="Tier 2",20,8))+IF(C275="Financial Investor",15,IF(C275="Intermediary / Banker",12,8))+IF(L275="Term Sheet / Proposal",25,IF(L275="Engaged",20,IF(L275="Meeting Requested",18,IF(L275="Meeting Held",14,IF(L275="Follow Up",10,5)))))+MIN(Q275,30)+IF(S275="DUE",15,IF(S275="Next 3 Days",8,0))),0))</f>
        <v/>
      </c>
      <c r="AB275" s="425">
        <f>IF(AND(AC275="Active",OR(N275="Tier 1",N275="Tier 2"),OR(S275="DUE",S275="Next 3 Days")),"YES","")</f>
        <v/>
      </c>
      <c r="AC275" s="425">
        <f>IF(L275="Passed","Archived","Active")</f>
        <v/>
      </c>
    </row>
    <row r="276">
      <c r="A276" s="425" t="inlineStr">
        <is>
          <t>EXOS-0275</t>
        </is>
      </c>
      <c r="B276" s="425" t="inlineStr">
        <is>
          <t>John - Investor Contacts</t>
        </is>
      </c>
      <c r="C276" s="425" t="inlineStr">
        <is>
          <t>Financial Investor</t>
        </is>
      </c>
      <c r="D276" s="425" t="inlineStr">
        <is>
          <t>Cross Ocean Ventures</t>
        </is>
      </c>
      <c r="E276" s="425" t="inlineStr">
        <is>
          <t>Serhat Pala</t>
        </is>
      </c>
      <c r="F276" s="425" t="inlineStr"/>
      <c r="G276" s="111" t="inlineStr">
        <is>
          <t>serhat@crossoceanfund.com</t>
        </is>
      </c>
      <c r="H276" s="425" t="inlineStr"/>
      <c r="I276" s="425" t="inlineStr"/>
      <c r="J276" s="425" t="inlineStr"/>
      <c r="K276" s="426" t="inlineStr">
        <is>
          <t>John Quinn</t>
        </is>
      </c>
      <c r="L276" s="426" t="inlineStr">
        <is>
          <t>Follow Up</t>
        </is>
      </c>
      <c r="M276" s="425" t="inlineStr">
        <is>
          <t>Space / Defense / Aerospace / Advanced Manufacturing</t>
        </is>
      </c>
      <c r="N276" s="426" t="inlineStr">
        <is>
          <t>Tier 2</t>
        </is>
      </c>
      <c r="O276" s="441" t="n">
        <v>45820</v>
      </c>
      <c r="P276" s="441" t="n">
        <v>45835</v>
      </c>
      <c r="Q276" s="425">
        <f>IF(P276="","",TODAY()-P276)</f>
        <v/>
      </c>
      <c r="R276" s="441">
        <f>IF(OR(L276="Passed",Z276=""),"",P276+Z276)</f>
        <v/>
      </c>
      <c r="S276" s="425">
        <f>IF(OR(R276="",L276="Passed"),"",IF(R276&lt;=TODAY(),"DUE",IF(R276&lt;=TODAY()+3,"Next 3 Days","Later")))</f>
        <v/>
      </c>
      <c r="T276" s="425" t="inlineStr"/>
      <c r="U276" s="426" t="inlineStr">
        <is>
          <t>linkedin.com/in/serhatpala</t>
        </is>
      </c>
      <c r="V276" s="426" t="inlineStr"/>
      <c r="W276" s="428" t="inlineStr">
        <is>
          <t xml:space="preserve"> | 12/22/2025 | </t>
        </is>
      </c>
      <c r="X276" s="425" t="inlineStr">
        <is>
          <t>John - Investor Contacts!166</t>
        </is>
      </c>
      <c r="Y276" s="426" t="inlineStr">
        <is>
          <t>Send next follow-up with traction + CTA</t>
        </is>
      </c>
      <c r="Z276" s="425" t="n">
        <v>7</v>
      </c>
      <c r="AA276" s="425">
        <f>IF(AC276="Archived",0,ROUND((IF(N276="Tier 1",35,IF(N276="Tier 2",20,8))+IF(C276="Financial Investor",15,IF(C276="Intermediary / Banker",12,8))+IF(L276="Term Sheet / Proposal",25,IF(L276="Engaged",20,IF(L276="Meeting Requested",18,IF(L276="Meeting Held",14,IF(L276="Follow Up",10,5)))))+MIN(Q276,30)+IF(S276="DUE",15,IF(S276="Next 3 Days",8,0))),0))</f>
        <v/>
      </c>
      <c r="AB276" s="425">
        <f>IF(AND(AC276="Active",OR(N276="Tier 1",N276="Tier 2"),OR(S276="DUE",S276="Next 3 Days")),"YES","")</f>
        <v/>
      </c>
      <c r="AC276" s="425">
        <f>IF(L276="Passed","Archived","Active")</f>
        <v/>
      </c>
    </row>
    <row r="277">
      <c r="A277" s="425" t="inlineStr">
        <is>
          <t>EXOS-0276</t>
        </is>
      </c>
      <c r="B277" s="425" t="inlineStr">
        <is>
          <t>John - Investor Contacts</t>
        </is>
      </c>
      <c r="C277" s="425" t="inlineStr">
        <is>
          <t>Financial Investor</t>
        </is>
      </c>
      <c r="D277" s="425" t="inlineStr">
        <is>
          <t>Cross Ocean Ventures</t>
        </is>
      </c>
      <c r="E277" s="425" t="inlineStr">
        <is>
          <t>Zeynep Ilgaz</t>
        </is>
      </c>
      <c r="F277" s="425" t="inlineStr"/>
      <c r="G277" s="111" t="inlineStr">
        <is>
          <t>zeynep@crossoceanfund.com</t>
        </is>
      </c>
      <c r="H277" s="425" t="inlineStr"/>
      <c r="I277" s="425" t="inlineStr"/>
      <c r="J277" s="111" t="inlineStr">
        <is>
          <t>https://www.linkedin.com/in/zeynep-ilgaz-78732a5/</t>
        </is>
      </c>
      <c r="K277" s="426" t="inlineStr">
        <is>
          <t>John Quinn</t>
        </is>
      </c>
      <c r="L277" s="426" t="inlineStr">
        <is>
          <t>Follow Up</t>
        </is>
      </c>
      <c r="M277" s="425" t="inlineStr">
        <is>
          <t>Space / Defense / Aerospace / Advanced Manufacturing</t>
        </is>
      </c>
      <c r="N277" s="426" t="inlineStr">
        <is>
          <t>Tier 2</t>
        </is>
      </c>
      <c r="O277" s="441" t="n">
        <v>45820</v>
      </c>
      <c r="P277" s="441" t="n">
        <v>45835</v>
      </c>
      <c r="Q277" s="425">
        <f>IF(P277="","",TODAY()-P277)</f>
        <v/>
      </c>
      <c r="R277" s="441">
        <f>IF(OR(L277="Passed",Z277=""),"",P277+Z277)</f>
        <v/>
      </c>
      <c r="S277" s="425">
        <f>IF(OR(R277="",L277="Passed"),"",IF(R277&lt;=TODAY(),"DUE",IF(R277&lt;=TODAY()+3,"Next 3 Days","Later")))</f>
        <v/>
      </c>
      <c r="T277" s="425" t="inlineStr"/>
      <c r="U277" s="426" t="inlineStr">
        <is>
          <t>https://www.linkedin.com/in/zeynep-ilgaz-78732a5/</t>
        </is>
      </c>
      <c r="V277" s="426" t="inlineStr"/>
      <c r="W277" s="428" t="inlineStr">
        <is>
          <t xml:space="preserve"> | 12/23/2025 | </t>
        </is>
      </c>
      <c r="X277" s="425" t="inlineStr">
        <is>
          <t>John - Investor Contacts!169</t>
        </is>
      </c>
      <c r="Y277" s="426" t="inlineStr">
        <is>
          <t>Send next follow-up with traction + CTA</t>
        </is>
      </c>
      <c r="Z277" s="425" t="n">
        <v>7</v>
      </c>
      <c r="AA277" s="425">
        <f>IF(AC277="Archived",0,ROUND((IF(N277="Tier 1",35,IF(N277="Tier 2",20,8))+IF(C277="Financial Investor",15,IF(C277="Intermediary / Banker",12,8))+IF(L277="Term Sheet / Proposal",25,IF(L277="Engaged",20,IF(L277="Meeting Requested",18,IF(L277="Meeting Held",14,IF(L277="Follow Up",10,5)))))+MIN(Q277,30)+IF(S277="DUE",15,IF(S277="Next 3 Days",8,0))),0))</f>
        <v/>
      </c>
      <c r="AB277" s="425">
        <f>IF(AND(AC277="Active",OR(N277="Tier 1",N277="Tier 2"),OR(S277="DUE",S277="Next 3 Days")),"YES","")</f>
        <v/>
      </c>
      <c r="AC277" s="425">
        <f>IF(L277="Passed","Archived","Active")</f>
        <v/>
      </c>
    </row>
    <row r="278">
      <c r="A278" s="425" t="inlineStr">
        <is>
          <t>EXOS-0277</t>
        </is>
      </c>
      <c r="B278" s="425" t="inlineStr">
        <is>
          <t>John - Investor Contacts</t>
        </is>
      </c>
      <c r="C278" s="425" t="inlineStr">
        <is>
          <t>Financial Investor</t>
        </is>
      </c>
      <c r="D278" s="425" t="inlineStr">
        <is>
          <t>Crosscut VC</t>
        </is>
      </c>
      <c r="E278" s="425" t="inlineStr">
        <is>
          <t>Brett Brewer</t>
        </is>
      </c>
      <c r="F278" s="425" t="inlineStr"/>
      <c r="G278" s="111" t="inlineStr">
        <is>
          <t>brett@crosscut.vc</t>
        </is>
      </c>
      <c r="H278" s="425" t="inlineStr"/>
      <c r="I278" s="425" t="inlineStr"/>
      <c r="J278" s="425" t="inlineStr"/>
      <c r="K278" s="426" t="inlineStr">
        <is>
          <t>John Quinn</t>
        </is>
      </c>
      <c r="L278" s="426" t="inlineStr">
        <is>
          <t>Follow Up</t>
        </is>
      </c>
      <c r="M278" s="425" t="inlineStr">
        <is>
          <t>Space / Defense / Aerospace / Advanced Manufacturing</t>
        </is>
      </c>
      <c r="N278" s="426" t="inlineStr">
        <is>
          <t>Tier 2</t>
        </is>
      </c>
      <c r="O278" s="441" t="n">
        <v>45908</v>
      </c>
      <c r="P278" s="441" t="n">
        <v>45972</v>
      </c>
      <c r="Q278" s="425">
        <f>IF(P278="","",TODAY()-P278)</f>
        <v/>
      </c>
      <c r="R278" s="441">
        <f>IF(OR(L278="Passed",Z278=""),"",P278+Z278)</f>
        <v/>
      </c>
      <c r="S278" s="425">
        <f>IF(OR(R278="",L278="Passed"),"",IF(R278&lt;=TODAY(),"DUE",IF(R278&lt;=TODAY()+3,"Next 3 Days","Later")))</f>
        <v/>
      </c>
      <c r="T278" s="425" t="inlineStr"/>
      <c r="U278" s="426" t="inlineStr"/>
      <c r="V278" s="426" t="inlineStr"/>
      <c r="W278" s="428" t="inlineStr">
        <is>
          <t xml:space="preserve"> | 12/05/2025 | </t>
        </is>
      </c>
      <c r="X278" s="425" t="inlineStr">
        <is>
          <t>John - Investor Contacts!626</t>
        </is>
      </c>
      <c r="Y278" s="426" t="inlineStr">
        <is>
          <t>Send next follow-up with traction + CTA</t>
        </is>
      </c>
      <c r="Z278" s="425" t="n">
        <v>7</v>
      </c>
      <c r="AA278" s="425">
        <f>IF(AC278="Archived",0,ROUND((IF(N278="Tier 1",35,IF(N278="Tier 2",20,8))+IF(C278="Financial Investor",15,IF(C278="Intermediary / Banker",12,8))+IF(L278="Term Sheet / Proposal",25,IF(L278="Engaged",20,IF(L278="Meeting Requested",18,IF(L278="Meeting Held",14,IF(L278="Follow Up",10,5)))))+MIN(Q278,30)+IF(S278="DUE",15,IF(S278="Next 3 Days",8,0))),0))</f>
        <v/>
      </c>
      <c r="AB278" s="425">
        <f>IF(AND(AC278="Active",OR(N278="Tier 1",N278="Tier 2"),OR(S278="DUE",S278="Next 3 Days")),"YES","")</f>
        <v/>
      </c>
      <c r="AC278" s="425">
        <f>IF(L278="Passed","Archived","Active")</f>
        <v/>
      </c>
    </row>
    <row r="279">
      <c r="A279" s="425" t="inlineStr">
        <is>
          <t>EXOS-0278</t>
        </is>
      </c>
      <c r="B279" s="425" t="inlineStr">
        <is>
          <t>John - Investor Contacts</t>
        </is>
      </c>
      <c r="C279" s="425" t="inlineStr">
        <is>
          <t>Financial Investor</t>
        </is>
      </c>
      <c r="D279" s="425" t="inlineStr">
        <is>
          <t>Crosscut VC</t>
        </is>
      </c>
      <c r="E279" s="425" t="inlineStr">
        <is>
          <t>Brian Garrett</t>
        </is>
      </c>
      <c r="F279" s="425" t="inlineStr"/>
      <c r="G279" s="111" t="inlineStr">
        <is>
          <t>brian@crosscut.vc</t>
        </is>
      </c>
      <c r="H279" s="425" t="inlineStr"/>
      <c r="I279" s="425" t="inlineStr"/>
      <c r="J279" s="425" t="inlineStr"/>
      <c r="K279" s="426" t="inlineStr">
        <is>
          <t>John Quinn</t>
        </is>
      </c>
      <c r="L279" s="426" t="inlineStr">
        <is>
          <t>Follow Up</t>
        </is>
      </c>
      <c r="M279" s="425" t="inlineStr">
        <is>
          <t>Space / Defense / Aerospace / Advanced Manufacturing</t>
        </is>
      </c>
      <c r="N279" s="426" t="inlineStr">
        <is>
          <t>Tier 2</t>
        </is>
      </c>
      <c r="O279" s="441" t="n">
        <v>45908</v>
      </c>
      <c r="P279" s="441" t="n">
        <v>45972</v>
      </c>
      <c r="Q279" s="425">
        <f>IF(P279="","",TODAY()-P279)</f>
        <v/>
      </c>
      <c r="R279" s="441">
        <f>IF(OR(L279="Passed",Z279=""),"",P279+Z279)</f>
        <v/>
      </c>
      <c r="S279" s="425">
        <f>IF(OR(R279="",L279="Passed"),"",IF(R279&lt;=TODAY(),"DUE",IF(R279&lt;=TODAY()+3,"Next 3 Days","Later")))</f>
        <v/>
      </c>
      <c r="T279" s="425" t="inlineStr"/>
      <c r="U279" s="426" t="inlineStr">
        <is>
          <t>linkedin.com/in/briangarrett1</t>
        </is>
      </c>
      <c r="V279" s="426" t="inlineStr"/>
      <c r="W279" s="428" t="inlineStr">
        <is>
          <t xml:space="preserve"> | 12/05/2025 | </t>
        </is>
      </c>
      <c r="X279" s="425" t="inlineStr">
        <is>
          <t>John - Investor Contacts!624</t>
        </is>
      </c>
      <c r="Y279" s="426" t="inlineStr">
        <is>
          <t>Send next follow-up with traction + CTA</t>
        </is>
      </c>
      <c r="Z279" s="425" t="n">
        <v>7</v>
      </c>
      <c r="AA279" s="425">
        <f>IF(AC279="Archived",0,ROUND((IF(N279="Tier 1",35,IF(N279="Tier 2",20,8))+IF(C279="Financial Investor",15,IF(C279="Intermediary / Banker",12,8))+IF(L279="Term Sheet / Proposal",25,IF(L279="Engaged",20,IF(L279="Meeting Requested",18,IF(L279="Meeting Held",14,IF(L279="Follow Up",10,5)))))+MIN(Q279,30)+IF(S279="DUE",15,IF(S279="Next 3 Days",8,0))),0))</f>
        <v/>
      </c>
      <c r="AB279" s="425">
        <f>IF(AND(AC279="Active",OR(N279="Tier 1",N279="Tier 2"),OR(S279="DUE",S279="Next 3 Days")),"YES","")</f>
        <v/>
      </c>
      <c r="AC279" s="425">
        <f>IF(L279="Passed","Archived","Active")</f>
        <v/>
      </c>
    </row>
    <row r="280">
      <c r="A280" s="425" t="inlineStr">
        <is>
          <t>EXOS-0279</t>
        </is>
      </c>
      <c r="B280" s="425" t="inlineStr">
        <is>
          <t>John - Investor Contacts</t>
        </is>
      </c>
      <c r="C280" s="425" t="inlineStr">
        <is>
          <t>Financial Investor</t>
        </is>
      </c>
      <c r="D280" s="425" t="inlineStr">
        <is>
          <t>Cultivation Capital</t>
        </is>
      </c>
      <c r="E280" s="425" t="inlineStr">
        <is>
          <t>Cliff Holekamp</t>
        </is>
      </c>
      <c r="F280" s="425" t="inlineStr"/>
      <c r="G280" s="111" t="inlineStr">
        <is>
          <t>cholekamp@cultivationcapital.com</t>
        </is>
      </c>
      <c r="H280" s="425" t="inlineStr"/>
      <c r="I280" s="425" t="inlineStr"/>
      <c r="J280" s="111" t="inlineStr">
        <is>
          <t>https://www.linkedin.com/in/cliffholekamp/</t>
        </is>
      </c>
      <c r="K280" s="426" t="inlineStr">
        <is>
          <t>John Quinn</t>
        </is>
      </c>
      <c r="L280" s="426" t="inlineStr">
        <is>
          <t>Follow Up</t>
        </is>
      </c>
      <c r="M280" s="425" t="inlineStr">
        <is>
          <t>Space / Defense / Aerospace / Advanced Manufacturing</t>
        </is>
      </c>
      <c r="N280" s="426" t="inlineStr">
        <is>
          <t>Tier 2</t>
        </is>
      </c>
      <c r="O280" s="441" t="n">
        <v>45897</v>
      </c>
      <c r="P280" s="441" t="n">
        <v>45929</v>
      </c>
      <c r="Q280" s="425">
        <f>IF(P280="","",TODAY()-P280)</f>
        <v/>
      </c>
      <c r="R280" s="441">
        <f>IF(OR(L280="Passed",Z280=""),"",P280+Z280)</f>
        <v/>
      </c>
      <c r="S280" s="425">
        <f>IF(OR(R280="",L280="Passed"),"",IF(R280&lt;=TODAY(),"DUE",IF(R280&lt;=TODAY()+3,"Next 3 Days","Later")))</f>
        <v/>
      </c>
      <c r="T280" s="425" t="inlineStr"/>
      <c r="U280" s="426" t="inlineStr">
        <is>
          <t>https://www.linkedin.com/in/cliffholekamp/</t>
        </is>
      </c>
      <c r="V280" s="426" t="inlineStr"/>
      <c r="W280" s="428" t="inlineStr">
        <is>
          <t xml:space="preserve"> | 12/05/2025 | </t>
        </is>
      </c>
      <c r="X280" s="425" t="inlineStr">
        <is>
          <t>John - Investor Contacts!577</t>
        </is>
      </c>
      <c r="Y280" s="426" t="inlineStr">
        <is>
          <t>Send next follow-up with traction + CTA</t>
        </is>
      </c>
      <c r="Z280" s="425" t="n">
        <v>7</v>
      </c>
      <c r="AA280" s="425">
        <f>IF(AC280="Archived",0,ROUND((IF(N280="Tier 1",35,IF(N280="Tier 2",20,8))+IF(C280="Financial Investor",15,IF(C280="Intermediary / Banker",12,8))+IF(L280="Term Sheet / Proposal",25,IF(L280="Engaged",20,IF(L280="Meeting Requested",18,IF(L280="Meeting Held",14,IF(L280="Follow Up",10,5)))))+MIN(Q280,30)+IF(S280="DUE",15,IF(S280="Next 3 Days",8,0))),0))</f>
        <v/>
      </c>
      <c r="AB280" s="425">
        <f>IF(AND(AC280="Active",OR(N280="Tier 1",N280="Tier 2"),OR(S280="DUE",S280="Next 3 Days")),"YES","")</f>
        <v/>
      </c>
      <c r="AC280" s="425">
        <f>IF(L280="Passed","Archived","Active")</f>
        <v/>
      </c>
    </row>
    <row r="281">
      <c r="A281" s="425" t="inlineStr">
        <is>
          <t>EXOS-0280</t>
        </is>
      </c>
      <c r="B281" s="425" t="inlineStr">
        <is>
          <t>John - Investor Contacts</t>
        </is>
      </c>
      <c r="C281" s="425" t="inlineStr">
        <is>
          <t>Financial Investor</t>
        </is>
      </c>
      <c r="D281" s="425" t="inlineStr">
        <is>
          <t>Cycle Capital</t>
        </is>
      </c>
      <c r="E281" s="425" t="inlineStr">
        <is>
          <t>Gerd Goette</t>
        </is>
      </c>
      <c r="F281" s="425" t="inlineStr"/>
      <c r="G281" s="111" t="inlineStr">
        <is>
          <t>ggoette@cyclecapital.com</t>
        </is>
      </c>
      <c r="H281" s="425" t="inlineStr"/>
      <c r="I281" s="425" t="inlineStr"/>
      <c r="J281" s="111" t="inlineStr">
        <is>
          <t>https://www.linkedin.com/in/gerd-goette-5167b64/</t>
        </is>
      </c>
      <c r="K281" s="426" t="inlineStr">
        <is>
          <t>John Quinn</t>
        </is>
      </c>
      <c r="L281" s="426" t="inlineStr">
        <is>
          <t>Follow Up</t>
        </is>
      </c>
      <c r="M281" s="425" t="inlineStr">
        <is>
          <t>Space / Defense / Aerospace / Advanced Manufacturing</t>
        </is>
      </c>
      <c r="N281" s="426" t="inlineStr">
        <is>
          <t>Tier 2</t>
        </is>
      </c>
      <c r="O281" s="441" t="n">
        <v>45912</v>
      </c>
      <c r="P281" s="441" t="n">
        <v>45973</v>
      </c>
      <c r="Q281" s="425">
        <f>IF(P281="","",TODAY()-P281)</f>
        <v/>
      </c>
      <c r="R281" s="441">
        <f>IF(OR(L281="Passed",Z281=""),"",P281+Z281)</f>
        <v/>
      </c>
      <c r="S281" s="425">
        <f>IF(OR(R281="",L281="Passed"),"",IF(R281&lt;=TODAY(),"DUE",IF(R281&lt;=TODAY()+3,"Next 3 Days","Later")))</f>
        <v/>
      </c>
      <c r="T281" s="425" t="inlineStr"/>
      <c r="U281" s="426" t="inlineStr">
        <is>
          <t>https://www.linkedin.com/in/gerd-goette-5167b64/</t>
        </is>
      </c>
      <c r="V281" s="426" t="inlineStr"/>
      <c r="W281" s="428" t="inlineStr">
        <is>
          <t xml:space="preserve"> |  | </t>
        </is>
      </c>
      <c r="X281" s="425" t="inlineStr">
        <is>
          <t>John - Investor Contacts!684</t>
        </is>
      </c>
      <c r="Y281" s="426" t="inlineStr">
        <is>
          <t>Send next follow-up with traction + CTA</t>
        </is>
      </c>
      <c r="Z281" s="425" t="n">
        <v>7</v>
      </c>
      <c r="AA281" s="425">
        <f>IF(AC281="Archived",0,ROUND((IF(N281="Tier 1",35,IF(N281="Tier 2",20,8))+IF(C281="Financial Investor",15,IF(C281="Intermediary / Banker",12,8))+IF(L281="Term Sheet / Proposal",25,IF(L281="Engaged",20,IF(L281="Meeting Requested",18,IF(L281="Meeting Held",14,IF(L281="Follow Up",10,5)))))+MIN(Q281,30)+IF(S281="DUE",15,IF(S281="Next 3 Days",8,0))),0))</f>
        <v/>
      </c>
      <c r="AB281" s="425">
        <f>IF(AND(AC281="Active",OR(N281="Tier 1",N281="Tier 2"),OR(S281="DUE",S281="Next 3 Days")),"YES","")</f>
        <v/>
      </c>
      <c r="AC281" s="425">
        <f>IF(L281="Passed","Archived","Active")</f>
        <v/>
      </c>
    </row>
    <row r="282">
      <c r="A282" s="425" t="inlineStr">
        <is>
          <t>EXOS-0281</t>
        </is>
      </c>
      <c r="B282" s="425" t="inlineStr">
        <is>
          <t>John - Investor Contacts</t>
        </is>
      </c>
      <c r="C282" s="425" t="inlineStr">
        <is>
          <t>Financial Investor</t>
        </is>
      </c>
      <c r="D282" s="425" t="inlineStr">
        <is>
          <t>DCVC Ventures</t>
        </is>
      </c>
      <c r="E282" s="425" t="inlineStr">
        <is>
          <t>Ali Tamaseb</t>
        </is>
      </c>
      <c r="F282" s="425" t="inlineStr"/>
      <c r="G282" s="111" t="inlineStr">
        <is>
          <t>ali@dcvc.com</t>
        </is>
      </c>
      <c r="H282" s="425" t="inlineStr"/>
      <c r="I282" s="425" t="inlineStr"/>
      <c r="J282" s="111" t="inlineStr">
        <is>
          <t>https://www.linkedin.com/in/alitamaseb/</t>
        </is>
      </c>
      <c r="K282" s="426" t="inlineStr">
        <is>
          <t>John Quinn</t>
        </is>
      </c>
      <c r="L282" s="426" t="inlineStr">
        <is>
          <t>Follow Up</t>
        </is>
      </c>
      <c r="M282" s="425" t="inlineStr">
        <is>
          <t>Space / Defense / Aerospace / Advanced Manufacturing</t>
        </is>
      </c>
      <c r="N282" s="426" t="inlineStr">
        <is>
          <t>Tier 2</t>
        </is>
      </c>
      <c r="O282" s="441" t="n">
        <v>45965</v>
      </c>
      <c r="P282" s="441" t="n">
        <v>45985</v>
      </c>
      <c r="Q282" s="425">
        <f>IF(P282="","",TODAY()-P282)</f>
        <v/>
      </c>
      <c r="R282" s="441">
        <f>IF(OR(L282="Passed",Z282=""),"",P282+Z282)</f>
        <v/>
      </c>
      <c r="S282" s="425">
        <f>IF(OR(R282="",L282="Passed"),"",IF(R282&lt;=TODAY(),"DUE",IF(R282&lt;=TODAY()+3,"Next 3 Days","Later")))</f>
        <v/>
      </c>
      <c r="T282" s="425" t="inlineStr"/>
      <c r="U282" s="426" t="inlineStr">
        <is>
          <t>https://www.linkedin.com/in/alitamaseb/</t>
        </is>
      </c>
      <c r="V282" s="426" t="inlineStr"/>
      <c r="W282" s="428" t="inlineStr">
        <is>
          <t xml:space="preserve"> | 12/30/2025 | </t>
        </is>
      </c>
      <c r="X282" s="425" t="inlineStr">
        <is>
          <t>John - Investor Contacts!813</t>
        </is>
      </c>
      <c r="Y282" s="426" t="inlineStr">
        <is>
          <t>Send next follow-up with traction + CTA</t>
        </is>
      </c>
      <c r="Z282" s="425" t="n">
        <v>7</v>
      </c>
      <c r="AA282" s="425">
        <f>IF(AC282="Archived",0,ROUND((IF(N282="Tier 1",35,IF(N282="Tier 2",20,8))+IF(C282="Financial Investor",15,IF(C282="Intermediary / Banker",12,8))+IF(L282="Term Sheet / Proposal",25,IF(L282="Engaged",20,IF(L282="Meeting Requested",18,IF(L282="Meeting Held",14,IF(L282="Follow Up",10,5)))))+MIN(Q282,30)+IF(S282="DUE",15,IF(S282="Next 3 Days",8,0))),0))</f>
        <v/>
      </c>
      <c r="AB282" s="425">
        <f>IF(AND(AC282="Active",OR(N282="Tier 1",N282="Tier 2"),OR(S282="DUE",S282="Next 3 Days")),"YES","")</f>
        <v/>
      </c>
      <c r="AC282" s="425">
        <f>IF(L282="Passed","Archived","Active")</f>
        <v/>
      </c>
    </row>
    <row r="283">
      <c r="A283" s="425" t="inlineStr">
        <is>
          <t>EXOS-0282</t>
        </is>
      </c>
      <c r="B283" s="425" t="inlineStr">
        <is>
          <t>John - Investor Contacts</t>
        </is>
      </c>
      <c r="C283" s="425" t="inlineStr">
        <is>
          <t>Financial Investor</t>
        </is>
      </c>
      <c r="D283" s="425" t="inlineStr">
        <is>
          <t>DCVC Ventures</t>
        </is>
      </c>
      <c r="E283" s="425" t="inlineStr">
        <is>
          <t>John Hamer</t>
        </is>
      </c>
      <c r="F283" s="425" t="inlineStr"/>
      <c r="G283" s="111" t="inlineStr">
        <is>
          <t>john@dcvc.com</t>
        </is>
      </c>
      <c r="H283" s="425" t="inlineStr"/>
      <c r="I283" s="425" t="inlineStr"/>
      <c r="J283" s="111" t="inlineStr">
        <is>
          <t>https://www.linkedin.com/in/johnhamer/</t>
        </is>
      </c>
      <c r="K283" s="426" t="inlineStr">
        <is>
          <t>John Quinn</t>
        </is>
      </c>
      <c r="L283" s="426" t="inlineStr">
        <is>
          <t>Follow Up</t>
        </is>
      </c>
      <c r="M283" s="425" t="inlineStr">
        <is>
          <t>Space / Defense / Aerospace / Advanced Manufacturing</t>
        </is>
      </c>
      <c r="N283" s="426" t="inlineStr">
        <is>
          <t>Tier 2</t>
        </is>
      </c>
      <c r="O283" s="441" t="n">
        <v>45965</v>
      </c>
      <c r="P283" s="441" t="n">
        <v>45985</v>
      </c>
      <c r="Q283" s="425">
        <f>IF(P283="","",TODAY()-P283)</f>
        <v/>
      </c>
      <c r="R283" s="441">
        <f>IF(OR(L283="Passed",Z283=""),"",P283+Z283)</f>
        <v/>
      </c>
      <c r="S283" s="425">
        <f>IF(OR(R283="",L283="Passed"),"",IF(R283&lt;=TODAY(),"DUE",IF(R283&lt;=TODAY()+3,"Next 3 Days","Later")))</f>
        <v/>
      </c>
      <c r="T283" s="425" t="inlineStr"/>
      <c r="U283" s="426" t="inlineStr">
        <is>
          <t>https://www.linkedin.com/in/johnhamer/</t>
        </is>
      </c>
      <c r="V283" s="426" t="inlineStr"/>
      <c r="W283" s="428" t="inlineStr">
        <is>
          <t xml:space="preserve"> | 12/30/2025 | </t>
        </is>
      </c>
      <c r="X283" s="425" t="inlineStr">
        <is>
          <t>John - Investor Contacts!812</t>
        </is>
      </c>
      <c r="Y283" s="426" t="inlineStr">
        <is>
          <t>Send next follow-up with traction + CTA</t>
        </is>
      </c>
      <c r="Z283" s="425" t="n">
        <v>7</v>
      </c>
      <c r="AA283" s="425">
        <f>IF(AC283="Archived",0,ROUND((IF(N283="Tier 1",35,IF(N283="Tier 2",20,8))+IF(C283="Financial Investor",15,IF(C283="Intermediary / Banker",12,8))+IF(L283="Term Sheet / Proposal",25,IF(L283="Engaged",20,IF(L283="Meeting Requested",18,IF(L283="Meeting Held",14,IF(L283="Follow Up",10,5)))))+MIN(Q283,30)+IF(S283="DUE",15,IF(S283="Next 3 Days",8,0))),0))</f>
        <v/>
      </c>
      <c r="AB283" s="425">
        <f>IF(AND(AC283="Active",OR(N283="Tier 1",N283="Tier 2"),OR(S283="DUE",S283="Next 3 Days")),"YES","")</f>
        <v/>
      </c>
      <c r="AC283" s="425">
        <f>IF(L283="Passed","Archived","Active")</f>
        <v/>
      </c>
    </row>
    <row r="284">
      <c r="A284" s="425" t="inlineStr">
        <is>
          <t>EXOS-0283</t>
        </is>
      </c>
      <c r="B284" s="425" t="inlineStr">
        <is>
          <t>John - Investor Contacts</t>
        </is>
      </c>
      <c r="C284" s="425" t="inlineStr">
        <is>
          <t>Financial Investor</t>
        </is>
      </c>
      <c r="D284" s="425" t="inlineStr">
        <is>
          <t>DCVC Ventures</t>
        </is>
      </c>
      <c r="E284" s="425" t="inlineStr">
        <is>
          <t>Matt Ocko</t>
        </is>
      </c>
      <c r="F284" s="425" t="inlineStr"/>
      <c r="G284" s="111" t="inlineStr">
        <is>
          <t>matt@dcvc.com</t>
        </is>
      </c>
      <c r="H284" s="425" t="inlineStr"/>
      <c r="I284" s="425" t="inlineStr"/>
      <c r="J284" s="111" t="inlineStr">
        <is>
          <t>https://www.linkedin.com/in/mattocko/</t>
        </is>
      </c>
      <c r="K284" s="426" t="inlineStr">
        <is>
          <t>John Quinn</t>
        </is>
      </c>
      <c r="L284" s="426" t="inlineStr">
        <is>
          <t>Follow Up</t>
        </is>
      </c>
      <c r="M284" s="425" t="inlineStr">
        <is>
          <t>Space / Defense / Aerospace / Advanced Manufacturing</t>
        </is>
      </c>
      <c r="N284" s="426" t="inlineStr">
        <is>
          <t>Tier 2</t>
        </is>
      </c>
      <c r="O284" s="441" t="n">
        <v>45965</v>
      </c>
      <c r="P284" s="441" t="n">
        <v>45985</v>
      </c>
      <c r="Q284" s="425">
        <f>IF(P284="","",TODAY()-P284)</f>
        <v/>
      </c>
      <c r="R284" s="441">
        <f>IF(OR(L284="Passed",Z284=""),"",P284+Z284)</f>
        <v/>
      </c>
      <c r="S284" s="425">
        <f>IF(OR(R284="",L284="Passed"),"",IF(R284&lt;=TODAY(),"DUE",IF(R284&lt;=TODAY()+3,"Next 3 Days","Later")))</f>
        <v/>
      </c>
      <c r="T284" s="425" t="inlineStr"/>
      <c r="U284" s="426" t="inlineStr">
        <is>
          <t>https://www.linkedin.com/in/mattocko/</t>
        </is>
      </c>
      <c r="V284" s="426" t="inlineStr"/>
      <c r="W284" s="428" t="inlineStr">
        <is>
          <t xml:space="preserve"> | 12/30/2025 | </t>
        </is>
      </c>
      <c r="X284" s="425" t="inlineStr">
        <is>
          <t>John - Investor Contacts!814</t>
        </is>
      </c>
      <c r="Y284" s="426" t="inlineStr">
        <is>
          <t>Send next follow-up with traction + CTA</t>
        </is>
      </c>
      <c r="Z284" s="425" t="n">
        <v>7</v>
      </c>
      <c r="AA284" s="425">
        <f>IF(AC284="Archived",0,ROUND((IF(N284="Tier 1",35,IF(N284="Tier 2",20,8))+IF(C284="Financial Investor",15,IF(C284="Intermediary / Banker",12,8))+IF(L284="Term Sheet / Proposal",25,IF(L284="Engaged",20,IF(L284="Meeting Requested",18,IF(L284="Meeting Held",14,IF(L284="Follow Up",10,5)))))+MIN(Q284,30)+IF(S284="DUE",15,IF(S284="Next 3 Days",8,0))),0))</f>
        <v/>
      </c>
      <c r="AB284" s="425">
        <f>IF(AND(AC284="Active",OR(N284="Tier 1",N284="Tier 2"),OR(S284="DUE",S284="Next 3 Days")),"YES","")</f>
        <v/>
      </c>
      <c r="AC284" s="425">
        <f>IF(L284="Passed","Archived","Active")</f>
        <v/>
      </c>
    </row>
    <row r="285">
      <c r="A285" s="425" t="inlineStr">
        <is>
          <t>EXOS-0284</t>
        </is>
      </c>
      <c r="B285" s="425" t="inlineStr">
        <is>
          <t>John - Investor Contacts</t>
        </is>
      </c>
      <c r="C285" s="425" t="inlineStr">
        <is>
          <t>Financial Investor</t>
        </is>
      </c>
      <c r="D285" s="425" t="inlineStr">
        <is>
          <t>DCVC Ventures</t>
        </is>
      </c>
      <c r="E285" s="425" t="inlineStr">
        <is>
          <t>Zachary Bogue</t>
        </is>
      </c>
      <c r="F285" s="425" t="inlineStr"/>
      <c r="G285" s="111" t="inlineStr">
        <is>
          <t>zack@dcvc.com</t>
        </is>
      </c>
      <c r="H285" s="425" t="inlineStr"/>
      <c r="I285" s="425" t="inlineStr"/>
      <c r="J285" s="111" t="inlineStr">
        <is>
          <t>https://www.linkedin.com/in/zackbogue/</t>
        </is>
      </c>
      <c r="K285" s="426" t="inlineStr">
        <is>
          <t>John Quinn</t>
        </is>
      </c>
      <c r="L285" s="426" t="inlineStr">
        <is>
          <t>Follow Up</t>
        </is>
      </c>
      <c r="M285" s="425" t="inlineStr">
        <is>
          <t>Space / Defense / Aerospace / Advanced Manufacturing</t>
        </is>
      </c>
      <c r="N285" s="426" t="inlineStr">
        <is>
          <t>Tier 2</t>
        </is>
      </c>
      <c r="O285" s="441" t="n">
        <v>45965</v>
      </c>
      <c r="P285" s="441" t="n">
        <v>45985</v>
      </c>
      <c r="Q285" s="425">
        <f>IF(P285="","",TODAY()-P285)</f>
        <v/>
      </c>
      <c r="R285" s="441">
        <f>IF(OR(L285="Passed",Z285=""),"",P285+Z285)</f>
        <v/>
      </c>
      <c r="S285" s="425">
        <f>IF(OR(R285="",L285="Passed"),"",IF(R285&lt;=TODAY(),"DUE",IF(R285&lt;=TODAY()+3,"Next 3 Days","Later")))</f>
        <v/>
      </c>
      <c r="T285" s="425" t="inlineStr"/>
      <c r="U285" s="426" t="inlineStr">
        <is>
          <t>https://www.linkedin.com/in/zackbogue/</t>
        </is>
      </c>
      <c r="V285" s="426" t="inlineStr"/>
      <c r="W285" s="428" t="inlineStr">
        <is>
          <t xml:space="preserve"> | 12/30/2025 | </t>
        </is>
      </c>
      <c r="X285" s="425" t="inlineStr">
        <is>
          <t>John - Investor Contacts!811</t>
        </is>
      </c>
      <c r="Y285" s="426" t="inlineStr">
        <is>
          <t>Send next follow-up with traction + CTA</t>
        </is>
      </c>
      <c r="Z285" s="425" t="n">
        <v>7</v>
      </c>
      <c r="AA285" s="425">
        <f>IF(AC285="Archived",0,ROUND((IF(N285="Tier 1",35,IF(N285="Tier 2",20,8))+IF(C285="Financial Investor",15,IF(C285="Intermediary / Banker",12,8))+IF(L285="Term Sheet / Proposal",25,IF(L285="Engaged",20,IF(L285="Meeting Requested",18,IF(L285="Meeting Held",14,IF(L285="Follow Up",10,5)))))+MIN(Q285,30)+IF(S285="DUE",15,IF(S285="Next 3 Days",8,0))),0))</f>
        <v/>
      </c>
      <c r="AB285" s="425">
        <f>IF(AND(AC285="Active",OR(N285="Tier 1",N285="Tier 2"),OR(S285="DUE",S285="Next 3 Days")),"YES","")</f>
        <v/>
      </c>
      <c r="AC285" s="425">
        <f>IF(L285="Passed","Archived","Active")</f>
        <v/>
      </c>
    </row>
    <row r="286">
      <c r="A286" s="425" t="inlineStr">
        <is>
          <t>EXOS-0285</t>
        </is>
      </c>
      <c r="B286" s="425" t="inlineStr">
        <is>
          <t>John - Investor Contacts</t>
        </is>
      </c>
      <c r="C286" s="425" t="inlineStr">
        <is>
          <t>Financial Investor</t>
        </is>
      </c>
      <c r="D286" s="425" t="inlineStr">
        <is>
          <t>Dallas VC</t>
        </is>
      </c>
      <c r="E286" s="425" t="inlineStr">
        <is>
          <t>Dayakar Puskoor</t>
        </is>
      </c>
      <c r="F286" s="425" t="inlineStr"/>
      <c r="G286" s="111" t="inlineStr">
        <is>
          <t>dayakar@dallasvc.com</t>
        </is>
      </c>
      <c r="H286" s="425" t="inlineStr"/>
      <c r="I286" s="425" t="inlineStr"/>
      <c r="J286" s="111" t="inlineStr">
        <is>
          <t>https://www.linkedin.com/in/dayakarp/</t>
        </is>
      </c>
      <c r="K286" s="426" t="inlineStr">
        <is>
          <t>John Quinn</t>
        </is>
      </c>
      <c r="L286" s="426" t="inlineStr">
        <is>
          <t>Follow Up</t>
        </is>
      </c>
      <c r="M286" s="425" t="inlineStr">
        <is>
          <t>Space / Defense / Aerospace / Advanced Manufacturing</t>
        </is>
      </c>
      <c r="N286" s="426" t="inlineStr">
        <is>
          <t>Tier 2</t>
        </is>
      </c>
      <c r="O286" s="441" t="n">
        <v>45910</v>
      </c>
      <c r="P286" s="441" t="n">
        <v>45973</v>
      </c>
      <c r="Q286" s="425">
        <f>IF(P286="","",TODAY()-P286)</f>
        <v/>
      </c>
      <c r="R286" s="441">
        <f>IF(OR(L286="Passed",Z286=""),"",P286+Z286)</f>
        <v/>
      </c>
      <c r="S286" s="425">
        <f>IF(OR(R286="",L286="Passed"),"",IF(R286&lt;=TODAY(),"DUE",IF(R286&lt;=TODAY()+3,"Next 3 Days","Later")))</f>
        <v/>
      </c>
      <c r="T286" s="425" t="inlineStr"/>
      <c r="U286" s="426" t="inlineStr">
        <is>
          <t>https://www.linkedin.com/in/dayakarp/</t>
        </is>
      </c>
      <c r="V286" s="426" t="inlineStr"/>
      <c r="W286" s="428" t="inlineStr">
        <is>
          <t xml:space="preserve"> | 12/15/2025 | </t>
        </is>
      </c>
      <c r="X286" s="425" t="inlineStr">
        <is>
          <t>John - Investor Contacts!654</t>
        </is>
      </c>
      <c r="Y286" s="426" t="inlineStr">
        <is>
          <t>Send next follow-up with traction + CTA</t>
        </is>
      </c>
      <c r="Z286" s="425" t="n">
        <v>7</v>
      </c>
      <c r="AA286" s="425">
        <f>IF(AC286="Archived",0,ROUND((IF(N286="Tier 1",35,IF(N286="Tier 2",20,8))+IF(C286="Financial Investor",15,IF(C286="Intermediary / Banker",12,8))+IF(L286="Term Sheet / Proposal",25,IF(L286="Engaged",20,IF(L286="Meeting Requested",18,IF(L286="Meeting Held",14,IF(L286="Follow Up",10,5)))))+MIN(Q286,30)+IF(S286="DUE",15,IF(S286="Next 3 Days",8,0))),0))</f>
        <v/>
      </c>
      <c r="AB286" s="425">
        <f>IF(AND(AC286="Active",OR(N286="Tier 1",N286="Tier 2"),OR(S286="DUE",S286="Next 3 Days")),"YES","")</f>
        <v/>
      </c>
      <c r="AC286" s="425">
        <f>IF(L286="Passed","Archived","Active")</f>
        <v/>
      </c>
    </row>
    <row r="287">
      <c r="A287" s="425" t="inlineStr">
        <is>
          <t>EXOS-0286</t>
        </is>
      </c>
      <c r="B287" s="425" t="inlineStr">
        <is>
          <t>John - Investor Contacts</t>
        </is>
      </c>
      <c r="C287" s="425" t="inlineStr">
        <is>
          <t>Financial Investor</t>
        </is>
      </c>
      <c r="D287" s="425" t="inlineStr">
        <is>
          <t>Dallas VC</t>
        </is>
      </c>
      <c r="E287" s="425" t="inlineStr">
        <is>
          <t>Romen Kuloor</t>
        </is>
      </c>
      <c r="F287" s="425" t="inlineStr"/>
      <c r="G287" s="111" t="inlineStr">
        <is>
          <t>romen@dallasvc.com</t>
        </is>
      </c>
      <c r="H287" s="425" t="inlineStr"/>
      <c r="I287" s="425" t="inlineStr"/>
      <c r="J287" s="111" t="inlineStr">
        <is>
          <t>https://www.linkedin.com/in/romen-kuloor/</t>
        </is>
      </c>
      <c r="K287" s="426" t="inlineStr">
        <is>
          <t>John Quinn</t>
        </is>
      </c>
      <c r="L287" s="426" t="inlineStr">
        <is>
          <t>Follow Up</t>
        </is>
      </c>
      <c r="M287" s="425" t="inlineStr">
        <is>
          <t>Space / Defense / Aerospace / Advanced Manufacturing</t>
        </is>
      </c>
      <c r="N287" s="426" t="inlineStr">
        <is>
          <t>Tier 2</t>
        </is>
      </c>
      <c r="O287" s="441" t="n">
        <v>45910</v>
      </c>
      <c r="P287" s="441" t="n">
        <v>45973</v>
      </c>
      <c r="Q287" s="425">
        <f>IF(P287="","",TODAY()-P287)</f>
        <v/>
      </c>
      <c r="R287" s="441">
        <f>IF(OR(L287="Passed",Z287=""),"",P287+Z287)</f>
        <v/>
      </c>
      <c r="S287" s="425">
        <f>IF(OR(R287="",L287="Passed"),"",IF(R287&lt;=TODAY(),"DUE",IF(R287&lt;=TODAY()+3,"Next 3 Days","Later")))</f>
        <v/>
      </c>
      <c r="T287" s="425" t="inlineStr"/>
      <c r="U287" s="426" t="inlineStr">
        <is>
          <t>https://www.linkedin.com/in/romen-kuloor/</t>
        </is>
      </c>
      <c r="V287" s="426" t="inlineStr"/>
      <c r="W287" s="428" t="inlineStr">
        <is>
          <t xml:space="preserve"> | 12/15/2025 | </t>
        </is>
      </c>
      <c r="X287" s="425" t="inlineStr">
        <is>
          <t>John - Investor Contacts!655</t>
        </is>
      </c>
      <c r="Y287" s="426" t="inlineStr">
        <is>
          <t>Send next follow-up with traction + CTA</t>
        </is>
      </c>
      <c r="Z287" s="425" t="n">
        <v>7</v>
      </c>
      <c r="AA287" s="425">
        <f>IF(AC287="Archived",0,ROUND((IF(N287="Tier 1",35,IF(N287="Tier 2",20,8))+IF(C287="Financial Investor",15,IF(C287="Intermediary / Banker",12,8))+IF(L287="Term Sheet / Proposal",25,IF(L287="Engaged",20,IF(L287="Meeting Requested",18,IF(L287="Meeting Held",14,IF(L287="Follow Up",10,5)))))+MIN(Q287,30)+IF(S287="DUE",15,IF(S287="Next 3 Days",8,0))),0))</f>
        <v/>
      </c>
      <c r="AB287" s="425">
        <f>IF(AND(AC287="Active",OR(N287="Tier 1",N287="Tier 2"),OR(S287="DUE",S287="Next 3 Days")),"YES","")</f>
        <v/>
      </c>
      <c r="AC287" s="425">
        <f>IF(L287="Passed","Archived","Active")</f>
        <v/>
      </c>
    </row>
    <row r="288">
      <c r="A288" s="425" t="inlineStr">
        <is>
          <t>EXOS-0287</t>
        </is>
      </c>
      <c r="B288" s="425" t="inlineStr">
        <is>
          <t>John - Investor Contacts</t>
        </is>
      </c>
      <c r="C288" s="425" t="inlineStr">
        <is>
          <t>Financial Investor</t>
        </is>
      </c>
      <c r="D288" s="425" t="inlineStr">
        <is>
          <t>Dallas VC</t>
        </is>
      </c>
      <c r="E288" s="425" t="inlineStr">
        <is>
          <t>Tariq Akbar</t>
        </is>
      </c>
      <c r="F288" s="425" t="inlineStr"/>
      <c r="G288" s="111" t="inlineStr">
        <is>
          <t>tariq@dallasvc.com</t>
        </is>
      </c>
      <c r="H288" s="425" t="inlineStr"/>
      <c r="I288" s="425" t="inlineStr"/>
      <c r="J288" s="111" t="inlineStr">
        <is>
          <t>https://www.linkedin.com/in/tariq/</t>
        </is>
      </c>
      <c r="K288" s="426" t="inlineStr">
        <is>
          <t>John Quinn</t>
        </is>
      </c>
      <c r="L288" s="426" t="inlineStr">
        <is>
          <t>Follow Up</t>
        </is>
      </c>
      <c r="M288" s="425" t="inlineStr">
        <is>
          <t>Space / Defense / Aerospace / Advanced Manufacturing</t>
        </is>
      </c>
      <c r="N288" s="426" t="inlineStr">
        <is>
          <t>Tier 2</t>
        </is>
      </c>
      <c r="O288" s="441" t="n">
        <v>45910</v>
      </c>
      <c r="P288" s="441" t="n">
        <v>45973</v>
      </c>
      <c r="Q288" s="425">
        <f>IF(P288="","",TODAY()-P288)</f>
        <v/>
      </c>
      <c r="R288" s="441">
        <f>IF(OR(L288="Passed",Z288=""),"",P288+Z288)</f>
        <v/>
      </c>
      <c r="S288" s="425">
        <f>IF(OR(R288="",L288="Passed"),"",IF(R288&lt;=TODAY(),"DUE",IF(R288&lt;=TODAY()+3,"Next 3 Days","Later")))</f>
        <v/>
      </c>
      <c r="T288" s="425" t="inlineStr"/>
      <c r="U288" s="426" t="inlineStr">
        <is>
          <t>https://www.linkedin.com/in/tariq/</t>
        </is>
      </c>
      <c r="V288" s="426" t="inlineStr"/>
      <c r="W288" s="428" t="inlineStr">
        <is>
          <t xml:space="preserve"> | 12/15/2025 | </t>
        </is>
      </c>
      <c r="X288" s="425" t="inlineStr">
        <is>
          <t>John - Investor Contacts!656</t>
        </is>
      </c>
      <c r="Y288" s="426" t="inlineStr">
        <is>
          <t>Send next follow-up with traction + CTA</t>
        </is>
      </c>
      <c r="Z288" s="425" t="n">
        <v>7</v>
      </c>
      <c r="AA288" s="425">
        <f>IF(AC288="Archived",0,ROUND((IF(N288="Tier 1",35,IF(N288="Tier 2",20,8))+IF(C288="Financial Investor",15,IF(C288="Intermediary / Banker",12,8))+IF(L288="Term Sheet / Proposal",25,IF(L288="Engaged",20,IF(L288="Meeting Requested",18,IF(L288="Meeting Held",14,IF(L288="Follow Up",10,5)))))+MIN(Q288,30)+IF(S288="DUE",15,IF(S288="Next 3 Days",8,0))),0))</f>
        <v/>
      </c>
      <c r="AB288" s="425">
        <f>IF(AND(AC288="Active",OR(N288="Tier 1",N288="Tier 2"),OR(S288="DUE",S288="Next 3 Days")),"YES","")</f>
        <v/>
      </c>
      <c r="AC288" s="425">
        <f>IF(L288="Passed","Archived","Active")</f>
        <v/>
      </c>
    </row>
    <row r="289">
      <c r="A289" s="425" t="inlineStr">
        <is>
          <t>EXOS-0288</t>
        </is>
      </c>
      <c r="B289" s="425" t="inlineStr">
        <is>
          <t>John - Investor Contacts | OSC</t>
        </is>
      </c>
      <c r="C289" s="425" t="inlineStr">
        <is>
          <t>Financial Investor</t>
        </is>
      </c>
      <c r="D289" s="425" t="inlineStr">
        <is>
          <t>Dauntless Ventures</t>
        </is>
      </c>
      <c r="E289" s="425" t="inlineStr">
        <is>
          <t>Pete Koziol</t>
        </is>
      </c>
      <c r="F289" s="425" t="inlineStr"/>
      <c r="G289" s="111" t="inlineStr">
        <is>
          <t>pete@dauntlessvc.com</t>
        </is>
      </c>
      <c r="H289" s="425" t="inlineStr"/>
      <c r="I289" s="425" t="inlineStr"/>
      <c r="J289" s="111" t="inlineStr">
        <is>
          <t>https://breakline.org/pete-koziol-co-founder-of-dauntless-ventures-investing-in-americas-future/</t>
        </is>
      </c>
      <c r="K289" s="426" t="inlineStr">
        <is>
          <t>John Quinn</t>
        </is>
      </c>
      <c r="L289" s="426" t="inlineStr">
        <is>
          <t>Follow Up</t>
        </is>
      </c>
      <c r="M289" s="425" t="inlineStr">
        <is>
          <t>Space / Defense / Aerospace / Advanced Manufacturing</t>
        </is>
      </c>
      <c r="N289" s="426" t="inlineStr">
        <is>
          <t>Tier 2</t>
        </is>
      </c>
      <c r="O289" s="441" t="n">
        <v>45814</v>
      </c>
      <c r="P289" s="441" t="n">
        <v>45922</v>
      </c>
      <c r="Q289" s="425">
        <f>IF(P289="","",TODAY()-P289)</f>
        <v/>
      </c>
      <c r="R289" s="441">
        <f>IF(OR(L289="Passed",Z289=""),"",P289+Z289)</f>
        <v/>
      </c>
      <c r="S289" s="425">
        <f>IF(OR(R289="",L289="Passed"),"",IF(R289&lt;=TODAY(),"DUE",IF(R289&lt;=TODAY()+3,"Next 3 Days","Later")))</f>
        <v/>
      </c>
      <c r="T289" s="425" t="inlineStr"/>
      <c r="U289" s="426" t="inlineStr">
        <is>
          <t>https://breakline.org/pete-koziol-co-founder-of-dauntless-ventures-investing-in-americas-future/</t>
        </is>
      </c>
      <c r="V289" s="426" t="inlineStr"/>
      <c r="W289" s="428" t="inlineStr"/>
      <c r="X289" s="425" t="inlineStr">
        <is>
          <t>John - Investor Contacts!140 | OSC!8</t>
        </is>
      </c>
      <c r="Y289" s="426" t="inlineStr">
        <is>
          <t>Send next follow-up with traction + CTA</t>
        </is>
      </c>
      <c r="Z289" s="425" t="n">
        <v>7</v>
      </c>
      <c r="AA289" s="425">
        <f>IF(AC289="Archived",0,ROUND((IF(N289="Tier 1",35,IF(N289="Tier 2",20,8))+IF(C289="Financial Investor",15,IF(C289="Intermediary / Banker",12,8))+IF(L289="Term Sheet / Proposal",25,IF(L289="Engaged",20,IF(L289="Meeting Requested",18,IF(L289="Meeting Held",14,IF(L289="Follow Up",10,5)))))+MIN(Q289,30)+IF(S289="DUE",15,IF(S289="Next 3 Days",8,0))),0))</f>
        <v/>
      </c>
      <c r="AB289" s="425">
        <f>IF(AND(AC289="Active",OR(N289="Tier 1",N289="Tier 2"),OR(S289="DUE",S289="Next 3 Days")),"YES","")</f>
        <v/>
      </c>
      <c r="AC289" s="425">
        <f>IF(L289="Passed","Archived","Active")</f>
        <v/>
      </c>
    </row>
    <row r="290">
      <c r="A290" s="425" t="inlineStr">
        <is>
          <t>EXOS-0289</t>
        </is>
      </c>
      <c r="B290" s="425" t="inlineStr">
        <is>
          <t>John - Investor Contacts</t>
        </is>
      </c>
      <c r="C290" s="425" t="inlineStr">
        <is>
          <t>Financial Investor</t>
        </is>
      </c>
      <c r="D290" s="425" t="inlineStr">
        <is>
          <t>Dcode Capital</t>
        </is>
      </c>
      <c r="E290" s="425" t="inlineStr">
        <is>
          <t>Meagan Metzger</t>
        </is>
      </c>
      <c r="F290" s="425" t="inlineStr"/>
      <c r="G290" s="111" t="inlineStr">
        <is>
          <t>meagan@dcodecapital.com</t>
        </is>
      </c>
      <c r="H290" s="425" t="inlineStr"/>
      <c r="I290" s="425" t="inlineStr"/>
      <c r="J290" s="111" t="inlineStr">
        <is>
          <t>https://www.linkedin.com/in/meaganmetzger/</t>
        </is>
      </c>
      <c r="K290" s="426" t="inlineStr">
        <is>
          <t>John Quinn</t>
        </is>
      </c>
      <c r="L290" s="426" t="inlineStr">
        <is>
          <t>Follow Up</t>
        </is>
      </c>
      <c r="M290" s="425" t="inlineStr">
        <is>
          <t>Space / Defense / Aerospace / Advanced Manufacturing</t>
        </is>
      </c>
      <c r="N290" s="426" t="inlineStr">
        <is>
          <t>Tier 2</t>
        </is>
      </c>
      <c r="O290" s="441" t="n">
        <v>45819</v>
      </c>
      <c r="P290" s="441" t="n">
        <v>45835</v>
      </c>
      <c r="Q290" s="425">
        <f>IF(P290="","",TODAY()-P290)</f>
        <v/>
      </c>
      <c r="R290" s="441">
        <f>IF(OR(L290="Passed",Z290=""),"",P290+Z290)</f>
        <v/>
      </c>
      <c r="S290" s="425">
        <f>IF(OR(R290="",L290="Passed"),"",IF(R290&lt;=TODAY(),"DUE",IF(R290&lt;=TODAY()+3,"Next 3 Days","Later")))</f>
        <v/>
      </c>
      <c r="T290" s="425" t="inlineStr"/>
      <c r="U290" s="426" t="inlineStr">
        <is>
          <t>https://www.linkedin.com/in/meaganmetzger/</t>
        </is>
      </c>
      <c r="V290" s="426" t="inlineStr"/>
      <c r="W290" s="428" t="inlineStr">
        <is>
          <t xml:space="preserve"> | 12/22/2025 | </t>
        </is>
      </c>
      <c r="X290" s="425" t="inlineStr">
        <is>
          <t>John - Investor Contacts!159</t>
        </is>
      </c>
      <c r="Y290" s="426" t="inlineStr">
        <is>
          <t>Send next follow-up with traction + CTA</t>
        </is>
      </c>
      <c r="Z290" s="425" t="n">
        <v>7</v>
      </c>
      <c r="AA290" s="425">
        <f>IF(AC290="Archived",0,ROUND((IF(N290="Tier 1",35,IF(N290="Tier 2",20,8))+IF(C290="Financial Investor",15,IF(C290="Intermediary / Banker",12,8))+IF(L290="Term Sheet / Proposal",25,IF(L290="Engaged",20,IF(L290="Meeting Requested",18,IF(L290="Meeting Held",14,IF(L290="Follow Up",10,5)))))+MIN(Q290,30)+IF(S290="DUE",15,IF(S290="Next 3 Days",8,0))),0))</f>
        <v/>
      </c>
      <c r="AB290" s="425">
        <f>IF(AND(AC290="Active",OR(N290="Tier 1",N290="Tier 2"),OR(S290="DUE",S290="Next 3 Days")),"YES","")</f>
        <v/>
      </c>
      <c r="AC290" s="425">
        <f>IF(L290="Passed","Archived","Active")</f>
        <v/>
      </c>
    </row>
    <row r="291">
      <c r="A291" s="425" t="inlineStr">
        <is>
          <t>EXOS-0290</t>
        </is>
      </c>
      <c r="B291" s="425" t="inlineStr">
        <is>
          <t>John - Investor Contacts</t>
        </is>
      </c>
      <c r="C291" s="425" t="inlineStr">
        <is>
          <t>Financial Investor</t>
        </is>
      </c>
      <c r="D291" s="425" t="inlineStr">
        <is>
          <t>Dcode Capital</t>
        </is>
      </c>
      <c r="E291" s="425" t="inlineStr">
        <is>
          <t>Meg Vorland</t>
        </is>
      </c>
      <c r="F291" s="425" t="inlineStr"/>
      <c r="G291" s="111" t="inlineStr">
        <is>
          <t>meg@dcodecapital.com</t>
        </is>
      </c>
      <c r="H291" s="425" t="inlineStr"/>
      <c r="I291" s="425" t="inlineStr"/>
      <c r="J291" s="111" t="inlineStr">
        <is>
          <t>https://www.linkedin.com/in/meganvorland/</t>
        </is>
      </c>
      <c r="K291" s="426" t="inlineStr">
        <is>
          <t>John Quinn</t>
        </is>
      </c>
      <c r="L291" s="426" t="inlineStr">
        <is>
          <t>Follow Up</t>
        </is>
      </c>
      <c r="M291" s="425" t="inlineStr">
        <is>
          <t>Space / Defense / Aerospace / Advanced Manufacturing</t>
        </is>
      </c>
      <c r="N291" s="426" t="inlineStr">
        <is>
          <t>Tier 2</t>
        </is>
      </c>
      <c r="O291" s="441" t="n">
        <v>45819</v>
      </c>
      <c r="P291" s="441" t="n">
        <v>45835</v>
      </c>
      <c r="Q291" s="425">
        <f>IF(P291="","",TODAY()-P291)</f>
        <v/>
      </c>
      <c r="R291" s="441">
        <f>IF(OR(L291="Passed",Z291=""),"",P291+Z291)</f>
        <v/>
      </c>
      <c r="S291" s="425">
        <f>IF(OR(R291="",L291="Passed"),"",IF(R291&lt;=TODAY(),"DUE",IF(R291&lt;=TODAY()+3,"Next 3 Days","Later")))</f>
        <v/>
      </c>
      <c r="T291" s="425" t="inlineStr"/>
      <c r="U291" s="426" t="inlineStr">
        <is>
          <t>https://www.linkedin.com/in/meganvorland/</t>
        </is>
      </c>
      <c r="V291" s="426" t="inlineStr"/>
      <c r="W291" s="428" t="inlineStr">
        <is>
          <t xml:space="preserve"> | "don't invest in hardware" | </t>
        </is>
      </c>
      <c r="X291" s="425" t="inlineStr">
        <is>
          <t>John - Investor Contacts!161</t>
        </is>
      </c>
      <c r="Y291" s="426" t="inlineStr">
        <is>
          <t>Send next follow-up with traction + CTA</t>
        </is>
      </c>
      <c r="Z291" s="425" t="n">
        <v>7</v>
      </c>
      <c r="AA291" s="425">
        <f>IF(AC291="Archived",0,ROUND((IF(N291="Tier 1",35,IF(N291="Tier 2",20,8))+IF(C291="Financial Investor",15,IF(C291="Intermediary / Banker",12,8))+IF(L291="Term Sheet / Proposal",25,IF(L291="Engaged",20,IF(L291="Meeting Requested",18,IF(L291="Meeting Held",14,IF(L291="Follow Up",10,5)))))+MIN(Q291,30)+IF(S291="DUE",15,IF(S291="Next 3 Days",8,0))),0))</f>
        <v/>
      </c>
      <c r="AB291" s="425">
        <f>IF(AND(AC291="Active",OR(N291="Tier 1",N291="Tier 2"),OR(S291="DUE",S291="Next 3 Days")),"YES","")</f>
        <v/>
      </c>
      <c r="AC291" s="425">
        <f>IF(L291="Passed","Archived","Active")</f>
        <v/>
      </c>
    </row>
    <row r="292">
      <c r="A292" s="425" t="inlineStr">
        <is>
          <t>EXOS-0291</t>
        </is>
      </c>
      <c r="B292" s="425" t="inlineStr">
        <is>
          <t>John - Investor Contacts</t>
        </is>
      </c>
      <c r="C292" s="425" t="inlineStr">
        <is>
          <t>Financial Investor</t>
        </is>
      </c>
      <c r="D292" s="425" t="inlineStr">
        <is>
          <t>Dcode Capital</t>
        </is>
      </c>
      <c r="E292" s="425" t="inlineStr">
        <is>
          <t>Rebecca Gevalt</t>
        </is>
      </c>
      <c r="F292" s="425" t="inlineStr"/>
      <c r="G292" s="111" t="inlineStr">
        <is>
          <t>rebecca@dcodecapital.com</t>
        </is>
      </c>
      <c r="H292" s="425" t="inlineStr"/>
      <c r="I292" s="425" t="inlineStr"/>
      <c r="J292" s="111" t="inlineStr">
        <is>
          <t>https://www.linkedin.com/in/rebecca-gevalt-9383a5112/</t>
        </is>
      </c>
      <c r="K292" s="426" t="inlineStr">
        <is>
          <t>John Quinn</t>
        </is>
      </c>
      <c r="L292" s="426" t="inlineStr">
        <is>
          <t>Follow Up</t>
        </is>
      </c>
      <c r="M292" s="425" t="inlineStr">
        <is>
          <t>Space / Defense / Aerospace / Advanced Manufacturing</t>
        </is>
      </c>
      <c r="N292" s="426" t="inlineStr">
        <is>
          <t>Tier 2</t>
        </is>
      </c>
      <c r="O292" s="441" t="n">
        <v>45819</v>
      </c>
      <c r="P292" s="441" t="n">
        <v>45835</v>
      </c>
      <c r="Q292" s="425">
        <f>IF(P292="","",TODAY()-P292)</f>
        <v/>
      </c>
      <c r="R292" s="441">
        <f>IF(OR(L292="Passed",Z292=""),"",P292+Z292)</f>
        <v/>
      </c>
      <c r="S292" s="425">
        <f>IF(OR(R292="",L292="Passed"),"",IF(R292&lt;=TODAY(),"DUE",IF(R292&lt;=TODAY()+3,"Next 3 Days","Later")))</f>
        <v/>
      </c>
      <c r="T292" s="425" t="inlineStr"/>
      <c r="U292" s="426" t="inlineStr">
        <is>
          <t>https://www.linkedin.com/in/rebecca-gevalt-9383a5112/</t>
        </is>
      </c>
      <c r="V292" s="426" t="inlineStr"/>
      <c r="W292" s="428" t="inlineStr">
        <is>
          <t xml:space="preserve"> | 12/22/2025 | </t>
        </is>
      </c>
      <c r="X292" s="425" t="inlineStr">
        <is>
          <t>John - Investor Contacts!160</t>
        </is>
      </c>
      <c r="Y292" s="426" t="inlineStr">
        <is>
          <t>Send next follow-up with traction + CTA</t>
        </is>
      </c>
      <c r="Z292" s="425" t="n">
        <v>7</v>
      </c>
      <c r="AA292" s="425">
        <f>IF(AC292="Archived",0,ROUND((IF(N292="Tier 1",35,IF(N292="Tier 2",20,8))+IF(C292="Financial Investor",15,IF(C292="Intermediary / Banker",12,8))+IF(L292="Term Sheet / Proposal",25,IF(L292="Engaged",20,IF(L292="Meeting Requested",18,IF(L292="Meeting Held",14,IF(L292="Follow Up",10,5)))))+MIN(Q292,30)+IF(S292="DUE",15,IF(S292="Next 3 Days",8,0))),0))</f>
        <v/>
      </c>
      <c r="AB292" s="425">
        <f>IF(AND(AC292="Active",OR(N292="Tier 1",N292="Tier 2"),OR(S292="DUE",S292="Next 3 Days")),"YES","")</f>
        <v/>
      </c>
      <c r="AC292" s="425">
        <f>IF(L292="Passed","Archived","Active")</f>
        <v/>
      </c>
    </row>
    <row r="293">
      <c r="A293" s="425" t="inlineStr">
        <is>
          <t>EXOS-0292</t>
        </is>
      </c>
      <c r="B293" s="425" t="inlineStr">
        <is>
          <t>John - Investor Contacts</t>
        </is>
      </c>
      <c r="C293" s="425" t="inlineStr">
        <is>
          <t>Financial Investor</t>
        </is>
      </c>
      <c r="D293" s="425" t="inlineStr">
        <is>
          <t>Decibel Ventures</t>
        </is>
      </c>
      <c r="E293" s="425" t="inlineStr">
        <is>
          <t>Jon Sakoda</t>
        </is>
      </c>
      <c r="F293" s="425" t="inlineStr"/>
      <c r="G293" s="111" t="inlineStr">
        <is>
          <t>jon@decibel.vc</t>
        </is>
      </c>
      <c r="H293" s="425" t="inlineStr"/>
      <c r="I293" s="425" t="inlineStr"/>
      <c r="J293" s="111" t="inlineStr">
        <is>
          <t>https://www.linkedin.com/in/jonsakoda/</t>
        </is>
      </c>
      <c r="K293" s="426" t="inlineStr">
        <is>
          <t>John Quinn</t>
        </is>
      </c>
      <c r="L293" s="426" t="inlineStr">
        <is>
          <t>Follow Up</t>
        </is>
      </c>
      <c r="M293" s="425" t="inlineStr">
        <is>
          <t>Space / Defense / Aerospace / Advanced Manufacturing</t>
        </is>
      </c>
      <c r="N293" s="426" t="inlineStr">
        <is>
          <t>Tier 2</t>
        </is>
      </c>
      <c r="O293" s="441" t="n">
        <v>45898</v>
      </c>
      <c r="P293" s="441" t="n">
        <v>45929</v>
      </c>
      <c r="Q293" s="425">
        <f>IF(P293="","",TODAY()-P293)</f>
        <v/>
      </c>
      <c r="R293" s="441">
        <f>IF(OR(L293="Passed",Z293=""),"",P293+Z293)</f>
        <v/>
      </c>
      <c r="S293" s="425">
        <f>IF(OR(R293="",L293="Passed"),"",IF(R293&lt;=TODAY(),"DUE",IF(R293&lt;=TODAY()+3,"Next 3 Days","Later")))</f>
        <v/>
      </c>
      <c r="T293" s="425" t="inlineStr"/>
      <c r="U293" s="426" t="inlineStr">
        <is>
          <t>https://www.linkedin.com/in/jonsakoda/</t>
        </is>
      </c>
      <c r="V293" s="426" t="inlineStr"/>
      <c r="W293" s="428" t="inlineStr">
        <is>
          <t xml:space="preserve"> | 12/05/2025 | </t>
        </is>
      </c>
      <c r="X293" s="425" t="inlineStr">
        <is>
          <t>John - Investor Contacts!578</t>
        </is>
      </c>
      <c r="Y293" s="426" t="inlineStr">
        <is>
          <t>Send next follow-up with traction + CTA</t>
        </is>
      </c>
      <c r="Z293" s="425" t="n">
        <v>7</v>
      </c>
      <c r="AA293" s="425">
        <f>IF(AC293="Archived",0,ROUND((IF(N293="Tier 1",35,IF(N293="Tier 2",20,8))+IF(C293="Financial Investor",15,IF(C293="Intermediary / Banker",12,8))+IF(L293="Term Sheet / Proposal",25,IF(L293="Engaged",20,IF(L293="Meeting Requested",18,IF(L293="Meeting Held",14,IF(L293="Follow Up",10,5)))))+MIN(Q293,30)+IF(S293="DUE",15,IF(S293="Next 3 Days",8,0))),0))</f>
        <v/>
      </c>
      <c r="AB293" s="425">
        <f>IF(AND(AC293="Active",OR(N293="Tier 1",N293="Tier 2"),OR(S293="DUE",S293="Next 3 Days")),"YES","")</f>
        <v/>
      </c>
      <c r="AC293" s="425">
        <f>IF(L293="Passed","Archived","Active")</f>
        <v/>
      </c>
    </row>
    <row r="294">
      <c r="A294" s="425" t="inlineStr">
        <is>
          <t>EXOS-0293</t>
        </is>
      </c>
      <c r="B294" s="425" t="inlineStr">
        <is>
          <t>OSC</t>
        </is>
      </c>
      <c r="C294" s="425" t="inlineStr">
        <is>
          <t>Financial Investor</t>
        </is>
      </c>
      <c r="D294" s="425" t="inlineStr">
        <is>
          <t>Decisive Point</t>
        </is>
      </c>
      <c r="E294" s="425" t="inlineStr"/>
      <c r="F294" s="425" t="inlineStr"/>
      <c r="G294" s="111" t="inlineStr">
        <is>
          <t>info@decisivepoint.com</t>
        </is>
      </c>
      <c r="H294" s="425" t="inlineStr"/>
      <c r="I294" s="425" t="inlineStr">
        <is>
          <t>845.258.0016</t>
        </is>
      </c>
      <c r="J294" s="425" t="inlineStr"/>
      <c r="K294" s="426" t="inlineStr">
        <is>
          <t>John Quinn</t>
        </is>
      </c>
      <c r="L294" s="426" t="inlineStr">
        <is>
          <t>Follow Up</t>
        </is>
      </c>
      <c r="M294" s="425" t="inlineStr">
        <is>
          <t>Space / Defense / Aerospace / Advanced Manufacturing</t>
        </is>
      </c>
      <c r="N294" s="426" t="inlineStr">
        <is>
          <t>Tier 2</t>
        </is>
      </c>
      <c r="O294" s="441" t="n">
        <v>45854</v>
      </c>
      <c r="P294" s="441" t="n">
        <v>45922</v>
      </c>
      <c r="Q294" s="425">
        <f>IF(P294="","",TODAY()-P294)</f>
        <v/>
      </c>
      <c r="R294" s="441">
        <f>IF(OR(L294="Passed",Z294=""),"",P294+Z294)</f>
        <v/>
      </c>
      <c r="S294" s="425">
        <f>IF(OR(R294="",L294="Passed"),"",IF(R294&lt;=TODAY(),"DUE",IF(R294&lt;=TODAY()+3,"Next 3 Days","Later")))</f>
        <v/>
      </c>
      <c r="T294" s="425" t="inlineStr"/>
      <c r="U294" s="426" t="inlineStr"/>
      <c r="V294" s="426" t="inlineStr"/>
      <c r="W294" s="428" t="inlineStr"/>
      <c r="X294" s="425" t="inlineStr">
        <is>
          <t>OSC!55</t>
        </is>
      </c>
      <c r="Y294" s="426" t="inlineStr">
        <is>
          <t>Send next follow-up with traction + CTA</t>
        </is>
      </c>
      <c r="Z294" s="425" t="n">
        <v>7</v>
      </c>
      <c r="AA294" s="425">
        <f>IF(AC294="Archived",0,ROUND((IF(N294="Tier 1",35,IF(N294="Tier 2",20,8))+IF(C294="Financial Investor",15,IF(C294="Intermediary / Banker",12,8))+IF(L294="Term Sheet / Proposal",25,IF(L294="Engaged",20,IF(L294="Meeting Requested",18,IF(L294="Meeting Held",14,IF(L294="Follow Up",10,5)))))+MIN(Q294,30)+IF(S294="DUE",15,IF(S294="Next 3 Days",8,0))),0))</f>
        <v/>
      </c>
      <c r="AB294" s="425">
        <f>IF(AND(AC294="Active",OR(N294="Tier 1",N294="Tier 2"),OR(S294="DUE",S294="Next 3 Days")),"YES","")</f>
        <v/>
      </c>
      <c r="AC294" s="425">
        <f>IF(L294="Passed","Archived","Active")</f>
        <v/>
      </c>
    </row>
    <row r="295">
      <c r="A295" s="425" t="inlineStr">
        <is>
          <t>EXOS-0294</t>
        </is>
      </c>
      <c r="B295" s="425" t="inlineStr">
        <is>
          <t>OSC</t>
        </is>
      </c>
      <c r="C295" s="425" t="inlineStr">
        <is>
          <t>Financial Investor</t>
        </is>
      </c>
      <c r="D295" s="425" t="inlineStr">
        <is>
          <t>Decisive Point</t>
        </is>
      </c>
      <c r="E295" s="425" t="inlineStr">
        <is>
          <t>Andrew Price</t>
        </is>
      </c>
      <c r="F295" s="425" t="inlineStr"/>
      <c r="G295" s="111" t="inlineStr">
        <is>
          <t>andrew@decisivepoint.com</t>
        </is>
      </c>
      <c r="H295" s="425" t="inlineStr"/>
      <c r="I295" s="425" t="inlineStr">
        <is>
          <t>908.285.8003</t>
        </is>
      </c>
      <c r="J295" s="425" t="inlineStr"/>
      <c r="K295" s="426" t="inlineStr">
        <is>
          <t>John Quinn</t>
        </is>
      </c>
      <c r="L295" s="426" t="inlineStr">
        <is>
          <t>Follow Up</t>
        </is>
      </c>
      <c r="M295" s="425" t="inlineStr">
        <is>
          <t>Space / Defense / Aerospace / Advanced Manufacturing</t>
        </is>
      </c>
      <c r="N295" s="426" t="inlineStr">
        <is>
          <t>Tier 2</t>
        </is>
      </c>
      <c r="O295" s="441" t="n">
        <v>45854</v>
      </c>
      <c r="P295" s="441" t="n">
        <v>45922</v>
      </c>
      <c r="Q295" s="425">
        <f>IF(P295="","",TODAY()-P295)</f>
        <v/>
      </c>
      <c r="R295" s="441">
        <f>IF(OR(L295="Passed",Z295=""),"",P295+Z295)</f>
        <v/>
      </c>
      <c r="S295" s="425">
        <f>IF(OR(R295="",L295="Passed"),"",IF(R295&lt;=TODAY(),"DUE",IF(R295&lt;=TODAY()+3,"Next 3 Days","Later")))</f>
        <v/>
      </c>
      <c r="T295" s="425" t="inlineStr"/>
      <c r="U295" s="426" t="inlineStr"/>
      <c r="V295" s="426" t="inlineStr"/>
      <c r="W295" s="428" t="inlineStr"/>
      <c r="X295" s="425" t="inlineStr">
        <is>
          <t>OSC!56</t>
        </is>
      </c>
      <c r="Y295" s="426" t="inlineStr">
        <is>
          <t>Send next follow-up with traction + CTA</t>
        </is>
      </c>
      <c r="Z295" s="425" t="n">
        <v>7</v>
      </c>
      <c r="AA295" s="425">
        <f>IF(AC295="Archived",0,ROUND((IF(N295="Tier 1",35,IF(N295="Tier 2",20,8))+IF(C295="Financial Investor",15,IF(C295="Intermediary / Banker",12,8))+IF(L295="Term Sheet / Proposal",25,IF(L295="Engaged",20,IF(L295="Meeting Requested",18,IF(L295="Meeting Held",14,IF(L295="Follow Up",10,5)))))+MIN(Q295,30)+IF(S295="DUE",15,IF(S295="Next 3 Days",8,0))),0))</f>
        <v/>
      </c>
      <c r="AB295" s="425">
        <f>IF(AND(AC295="Active",OR(N295="Tier 1",N295="Tier 2"),OR(S295="DUE",S295="Next 3 Days")),"YES","")</f>
        <v/>
      </c>
      <c r="AC295" s="425">
        <f>IF(L295="Passed","Archived","Active")</f>
        <v/>
      </c>
    </row>
    <row r="296">
      <c r="A296" s="425" t="inlineStr">
        <is>
          <t>EXOS-0295</t>
        </is>
      </c>
      <c r="B296" s="425" t="inlineStr">
        <is>
          <t>OSC</t>
        </is>
      </c>
      <c r="C296" s="425" t="inlineStr">
        <is>
          <t>Financial Investor</t>
        </is>
      </c>
      <c r="D296" s="425" t="inlineStr">
        <is>
          <t>Decisive Point</t>
        </is>
      </c>
      <c r="E296" s="425" t="inlineStr">
        <is>
          <t>Eric Horan</t>
        </is>
      </c>
      <c r="F296" s="425" t="inlineStr"/>
      <c r="G296" s="111" t="inlineStr">
        <is>
          <t>eric@decisivepoint.com</t>
        </is>
      </c>
      <c r="H296" s="425" t="inlineStr"/>
      <c r="I296" s="425" t="inlineStr">
        <is>
          <t>207.232.9483</t>
        </is>
      </c>
      <c r="J296" s="425" t="inlineStr"/>
      <c r="K296" s="426" t="inlineStr">
        <is>
          <t>John Quinn</t>
        </is>
      </c>
      <c r="L296" s="426" t="inlineStr">
        <is>
          <t>Follow Up</t>
        </is>
      </c>
      <c r="M296" s="425" t="inlineStr">
        <is>
          <t>Space / Defense / Aerospace / Advanced Manufacturing</t>
        </is>
      </c>
      <c r="N296" s="426" t="inlineStr">
        <is>
          <t>Tier 2</t>
        </is>
      </c>
      <c r="O296" s="441" t="n">
        <v>45854</v>
      </c>
      <c r="P296" s="441" t="n">
        <v>45922</v>
      </c>
      <c r="Q296" s="425">
        <f>IF(P296="","",TODAY()-P296)</f>
        <v/>
      </c>
      <c r="R296" s="441">
        <f>IF(OR(L296="Passed",Z296=""),"",P296+Z296)</f>
        <v/>
      </c>
      <c r="S296" s="425">
        <f>IF(OR(R296="",L296="Passed"),"",IF(R296&lt;=TODAY(),"DUE",IF(R296&lt;=TODAY()+3,"Next 3 Days","Later")))</f>
        <v/>
      </c>
      <c r="T296" s="425" t="inlineStr"/>
      <c r="U296" s="426" t="inlineStr"/>
      <c r="V296" s="426" t="inlineStr"/>
      <c r="W296" s="428" t="inlineStr"/>
      <c r="X296" s="425" t="inlineStr">
        <is>
          <t>OSC!57</t>
        </is>
      </c>
      <c r="Y296" s="426" t="inlineStr">
        <is>
          <t>Send next follow-up with traction + CTA</t>
        </is>
      </c>
      <c r="Z296" s="425" t="n">
        <v>7</v>
      </c>
      <c r="AA296" s="425">
        <f>IF(AC296="Archived",0,ROUND((IF(N296="Tier 1",35,IF(N296="Tier 2",20,8))+IF(C296="Financial Investor",15,IF(C296="Intermediary / Banker",12,8))+IF(L296="Term Sheet / Proposal",25,IF(L296="Engaged",20,IF(L296="Meeting Requested",18,IF(L296="Meeting Held",14,IF(L296="Follow Up",10,5)))))+MIN(Q296,30)+IF(S296="DUE",15,IF(S296="Next 3 Days",8,0))),0))</f>
        <v/>
      </c>
      <c r="AB296" s="425">
        <f>IF(AND(AC296="Active",OR(N296="Tier 1",N296="Tier 2"),OR(S296="DUE",S296="Next 3 Days")),"YES","")</f>
        <v/>
      </c>
      <c r="AC296" s="425">
        <f>IF(L296="Passed","Archived","Active")</f>
        <v/>
      </c>
    </row>
    <row r="297">
      <c r="A297" s="425" t="inlineStr">
        <is>
          <t>EXOS-0296</t>
        </is>
      </c>
      <c r="B297" s="425" t="inlineStr">
        <is>
          <t>OSC</t>
        </is>
      </c>
      <c r="C297" s="425" t="inlineStr">
        <is>
          <t>Financial Investor</t>
        </is>
      </c>
      <c r="D297" s="425" t="inlineStr">
        <is>
          <t>Decisive Point</t>
        </is>
      </c>
      <c r="E297" s="425" t="inlineStr">
        <is>
          <t>Thomas Hendrix</t>
        </is>
      </c>
      <c r="F297" s="425" t="inlineStr"/>
      <c r="G297" s="111" t="inlineStr">
        <is>
          <t>tommy@decisivepoint.com</t>
        </is>
      </c>
      <c r="H297" s="425" t="inlineStr"/>
      <c r="I297" s="425" t="inlineStr">
        <is>
          <t>909.447.0773</t>
        </is>
      </c>
      <c r="J297" s="425" t="inlineStr"/>
      <c r="K297" s="426" t="inlineStr">
        <is>
          <t>John Quinn</t>
        </is>
      </c>
      <c r="L297" s="426" t="inlineStr">
        <is>
          <t>Follow Up</t>
        </is>
      </c>
      <c r="M297" s="425" t="inlineStr">
        <is>
          <t>Space / Defense / Aerospace / Advanced Manufacturing</t>
        </is>
      </c>
      <c r="N297" s="426" t="inlineStr">
        <is>
          <t>Tier 2</t>
        </is>
      </c>
      <c r="O297" s="441" t="n">
        <v>45854</v>
      </c>
      <c r="P297" s="441" t="n">
        <v>45922</v>
      </c>
      <c r="Q297" s="425">
        <f>IF(P297="","",TODAY()-P297)</f>
        <v/>
      </c>
      <c r="R297" s="441">
        <f>IF(OR(L297="Passed",Z297=""),"",P297+Z297)</f>
        <v/>
      </c>
      <c r="S297" s="425">
        <f>IF(OR(R297="",L297="Passed"),"",IF(R297&lt;=TODAY(),"DUE",IF(R297&lt;=TODAY()+3,"Next 3 Days","Later")))</f>
        <v/>
      </c>
      <c r="T297" s="425" t="inlineStr"/>
      <c r="U297" s="426" t="inlineStr"/>
      <c r="V297" s="426" t="inlineStr"/>
      <c r="W297" s="428" t="inlineStr"/>
      <c r="X297" s="425" t="inlineStr">
        <is>
          <t>OSC!58</t>
        </is>
      </c>
      <c r="Y297" s="426" t="inlineStr">
        <is>
          <t>Send next follow-up with traction + CTA</t>
        </is>
      </c>
      <c r="Z297" s="425" t="n">
        <v>7</v>
      </c>
      <c r="AA297" s="425">
        <f>IF(AC297="Archived",0,ROUND((IF(N297="Tier 1",35,IF(N297="Tier 2",20,8))+IF(C297="Financial Investor",15,IF(C297="Intermediary / Banker",12,8))+IF(L297="Term Sheet / Proposal",25,IF(L297="Engaged",20,IF(L297="Meeting Requested",18,IF(L297="Meeting Held",14,IF(L297="Follow Up",10,5)))))+MIN(Q297,30)+IF(S297="DUE",15,IF(S297="Next 3 Days",8,0))),0))</f>
        <v/>
      </c>
      <c r="AB297" s="425">
        <f>IF(AND(AC297="Active",OR(N297="Tier 1",N297="Tier 2"),OR(S297="DUE",S297="Next 3 Days")),"YES","")</f>
        <v/>
      </c>
      <c r="AC297" s="425">
        <f>IF(L297="Passed","Archived","Active")</f>
        <v/>
      </c>
    </row>
    <row r="298">
      <c r="A298" s="425" t="inlineStr">
        <is>
          <t>EXOS-0297</t>
        </is>
      </c>
      <c r="B298" s="425" t="inlineStr">
        <is>
          <t>John - Investor Contacts</t>
        </is>
      </c>
      <c r="C298" s="425" t="inlineStr">
        <is>
          <t>Financial Investor</t>
        </is>
      </c>
      <c r="D298" s="425" t="inlineStr">
        <is>
          <t>Detroit Venture Partners</t>
        </is>
      </c>
      <c r="E298" s="425" t="inlineStr">
        <is>
          <t>Jake Cohen</t>
        </is>
      </c>
      <c r="F298" s="425" t="inlineStr"/>
      <c r="G298" s="111" t="inlineStr">
        <is>
          <t>jake@detroit.vc</t>
        </is>
      </c>
      <c r="H298" s="425" t="inlineStr"/>
      <c r="I298" s="425" t="inlineStr"/>
      <c r="J298" s="111" t="inlineStr">
        <is>
          <t>https://www.linkedin.com/in/jacobdavidcohen/</t>
        </is>
      </c>
      <c r="K298" s="426" t="inlineStr">
        <is>
          <t>John Quinn</t>
        </is>
      </c>
      <c r="L298" s="426" t="inlineStr">
        <is>
          <t>Follow Up</t>
        </is>
      </c>
      <c r="M298" s="425" t="inlineStr">
        <is>
          <t>Space / Defense / Aerospace / Advanced Manufacturing</t>
        </is>
      </c>
      <c r="N298" s="426" t="inlineStr">
        <is>
          <t>Tier 2</t>
        </is>
      </c>
      <c r="O298" s="441" t="n">
        <v>45898</v>
      </c>
      <c r="P298" s="441" t="n">
        <v>45929</v>
      </c>
      <c r="Q298" s="425">
        <f>IF(P298="","",TODAY()-P298)</f>
        <v/>
      </c>
      <c r="R298" s="441">
        <f>IF(OR(L298="Passed",Z298=""),"",P298+Z298)</f>
        <v/>
      </c>
      <c r="S298" s="425">
        <f>IF(OR(R298="",L298="Passed"),"",IF(R298&lt;=TODAY(),"DUE",IF(R298&lt;=TODAY()+3,"Next 3 Days","Later")))</f>
        <v/>
      </c>
      <c r="T298" s="425" t="inlineStr"/>
      <c r="U298" s="426" t="inlineStr">
        <is>
          <t>https://www.linkedin.com/in/jacobdavidcohen/</t>
        </is>
      </c>
      <c r="V298" s="426" t="inlineStr"/>
      <c r="W298" s="428" t="inlineStr">
        <is>
          <t xml:space="preserve"> | 12/05/2025 | </t>
        </is>
      </c>
      <c r="X298" s="425" t="inlineStr">
        <is>
          <t>John - Investor Contacts!579</t>
        </is>
      </c>
      <c r="Y298" s="426" t="inlineStr">
        <is>
          <t>Send next follow-up with traction + CTA</t>
        </is>
      </c>
      <c r="Z298" s="425" t="n">
        <v>7</v>
      </c>
      <c r="AA298" s="425">
        <f>IF(AC298="Archived",0,ROUND((IF(N298="Tier 1",35,IF(N298="Tier 2",20,8))+IF(C298="Financial Investor",15,IF(C298="Intermediary / Banker",12,8))+IF(L298="Term Sheet / Proposal",25,IF(L298="Engaged",20,IF(L298="Meeting Requested",18,IF(L298="Meeting Held",14,IF(L298="Follow Up",10,5)))))+MIN(Q298,30)+IF(S298="DUE",15,IF(S298="Next 3 Days",8,0))),0))</f>
        <v/>
      </c>
      <c r="AB298" s="425">
        <f>IF(AND(AC298="Active",OR(N298="Tier 1",N298="Tier 2"),OR(S298="DUE",S298="Next 3 Days")),"YES","")</f>
        <v/>
      </c>
      <c r="AC298" s="425">
        <f>IF(L298="Passed","Archived","Active")</f>
        <v/>
      </c>
    </row>
    <row r="299">
      <c r="A299" s="425" t="inlineStr">
        <is>
          <t>EXOS-0298</t>
        </is>
      </c>
      <c r="B299" s="425" t="inlineStr">
        <is>
          <t>John - Investor Contacts</t>
        </is>
      </c>
      <c r="C299" s="425" t="inlineStr">
        <is>
          <t>Financial Investor</t>
        </is>
      </c>
      <c r="D299" s="425" t="inlineStr">
        <is>
          <t>Differential VC</t>
        </is>
      </c>
      <c r="E299" s="425" t="inlineStr">
        <is>
          <t>David Magerman</t>
        </is>
      </c>
      <c r="F299" s="425" t="inlineStr"/>
      <c r="G299" s="111" t="inlineStr">
        <is>
          <t>david@differential.vc</t>
        </is>
      </c>
      <c r="H299" s="425" t="inlineStr"/>
      <c r="I299" s="425" t="inlineStr"/>
      <c r="J299" s="111" t="inlineStr">
        <is>
          <t>https://www.linkedin.com/in/david-magerman-954b25174/</t>
        </is>
      </c>
      <c r="K299" s="426" t="inlineStr">
        <is>
          <t>John Quinn</t>
        </is>
      </c>
      <c r="L299" s="426" t="inlineStr">
        <is>
          <t>Follow Up</t>
        </is>
      </c>
      <c r="M299" s="425" t="inlineStr">
        <is>
          <t>Space / Defense / Aerospace / Advanced Manufacturing</t>
        </is>
      </c>
      <c r="N299" s="426" t="inlineStr">
        <is>
          <t>Tier 2</t>
        </is>
      </c>
      <c r="O299" s="441" t="n">
        <v>45820</v>
      </c>
      <c r="P299" s="441" t="n">
        <v>45835</v>
      </c>
      <c r="Q299" s="425">
        <f>IF(P299="","",TODAY()-P299)</f>
        <v/>
      </c>
      <c r="R299" s="441">
        <f>IF(OR(L299="Passed",Z299=""),"",P299+Z299)</f>
        <v/>
      </c>
      <c r="S299" s="425">
        <f>IF(OR(R299="",L299="Passed"),"",IF(R299&lt;=TODAY(),"DUE",IF(R299&lt;=TODAY()+3,"Next 3 Days","Later")))</f>
        <v/>
      </c>
      <c r="T299" s="425" t="inlineStr"/>
      <c r="U299" s="426" t="inlineStr">
        <is>
          <t>https://www.linkedin.com/in/david-magerman-954b25174/</t>
        </is>
      </c>
      <c r="V299" s="426" t="inlineStr"/>
      <c r="W299" s="428" t="inlineStr">
        <is>
          <t xml:space="preserve"> | 12/22/2025 | </t>
        </is>
      </c>
      <c r="X299" s="425" t="inlineStr">
        <is>
          <t>John - Investor Contacts!164</t>
        </is>
      </c>
      <c r="Y299" s="426" t="inlineStr">
        <is>
          <t>Send next follow-up with traction + CTA</t>
        </is>
      </c>
      <c r="Z299" s="425" t="n">
        <v>7</v>
      </c>
      <c r="AA299" s="425">
        <f>IF(AC299="Archived",0,ROUND((IF(N299="Tier 1",35,IF(N299="Tier 2",20,8))+IF(C299="Financial Investor",15,IF(C299="Intermediary / Banker",12,8))+IF(L299="Term Sheet / Proposal",25,IF(L299="Engaged",20,IF(L299="Meeting Requested",18,IF(L299="Meeting Held",14,IF(L299="Follow Up",10,5)))))+MIN(Q299,30)+IF(S299="DUE",15,IF(S299="Next 3 Days",8,0))),0))</f>
        <v/>
      </c>
      <c r="AB299" s="425">
        <f>IF(AND(AC299="Active",OR(N299="Tier 1",N299="Tier 2"),OR(S299="DUE",S299="Next 3 Days")),"YES","")</f>
        <v/>
      </c>
      <c r="AC299" s="425">
        <f>IF(L299="Passed","Archived","Active")</f>
        <v/>
      </c>
    </row>
    <row r="300">
      <c r="A300" s="425" t="inlineStr">
        <is>
          <t>EXOS-0299</t>
        </is>
      </c>
      <c r="B300" s="425" t="inlineStr">
        <is>
          <t>John - Investor Contacts</t>
        </is>
      </c>
      <c r="C300" s="425" t="inlineStr">
        <is>
          <t>Financial Investor</t>
        </is>
      </c>
      <c r="D300" s="425" t="inlineStr">
        <is>
          <t>Differential VC</t>
        </is>
      </c>
      <c r="E300" s="425" t="inlineStr">
        <is>
          <t>Jeremy Kirsch</t>
        </is>
      </c>
      <c r="F300" s="425" t="inlineStr"/>
      <c r="G300" s="111" t="inlineStr">
        <is>
          <t>jeremy@differential.vc</t>
        </is>
      </c>
      <c r="H300" s="425" t="inlineStr"/>
      <c r="I300" s="425" t="inlineStr"/>
      <c r="J300" s="111" t="inlineStr">
        <is>
          <t>https://www.linkedin.com/in/jeremy-kirsch-73b15a/</t>
        </is>
      </c>
      <c r="K300" s="426" t="inlineStr">
        <is>
          <t>John Quinn</t>
        </is>
      </c>
      <c r="L300" s="426" t="inlineStr">
        <is>
          <t>Follow Up</t>
        </is>
      </c>
      <c r="M300" s="425" t="inlineStr">
        <is>
          <t>Space / Defense / Aerospace / Advanced Manufacturing</t>
        </is>
      </c>
      <c r="N300" s="426" t="inlineStr">
        <is>
          <t>Tier 2</t>
        </is>
      </c>
      <c r="O300" s="441" t="n">
        <v>45820</v>
      </c>
      <c r="P300" s="441" t="n">
        <v>45835</v>
      </c>
      <c r="Q300" s="425">
        <f>IF(P300="","",TODAY()-P300)</f>
        <v/>
      </c>
      <c r="R300" s="441">
        <f>IF(OR(L300="Passed",Z300=""),"",P300+Z300)</f>
        <v/>
      </c>
      <c r="S300" s="425">
        <f>IF(OR(R300="",L300="Passed"),"",IF(R300&lt;=TODAY(),"DUE",IF(R300&lt;=TODAY()+3,"Next 3 Days","Later")))</f>
        <v/>
      </c>
      <c r="T300" s="425" t="inlineStr"/>
      <c r="U300" s="426" t="inlineStr">
        <is>
          <t>https://www.linkedin.com/in/jeremy-kirsch-73b15a/</t>
        </is>
      </c>
      <c r="V300" s="426" t="inlineStr"/>
      <c r="W300" s="428" t="inlineStr">
        <is>
          <t xml:space="preserve"> | 12/22/2025 | </t>
        </is>
      </c>
      <c r="X300" s="425" t="inlineStr">
        <is>
          <t>John - Investor Contacts!165</t>
        </is>
      </c>
      <c r="Y300" s="426" t="inlineStr">
        <is>
          <t>Send next follow-up with traction + CTA</t>
        </is>
      </c>
      <c r="Z300" s="425" t="n">
        <v>7</v>
      </c>
      <c r="AA300" s="425">
        <f>IF(AC300="Archived",0,ROUND((IF(N300="Tier 1",35,IF(N300="Tier 2",20,8))+IF(C300="Financial Investor",15,IF(C300="Intermediary / Banker",12,8))+IF(L300="Term Sheet / Proposal",25,IF(L300="Engaged",20,IF(L300="Meeting Requested",18,IF(L300="Meeting Held",14,IF(L300="Follow Up",10,5)))))+MIN(Q300,30)+IF(S300="DUE",15,IF(S300="Next 3 Days",8,0))),0))</f>
        <v/>
      </c>
      <c r="AB300" s="425">
        <f>IF(AND(AC300="Active",OR(N300="Tier 1",N300="Tier 2"),OR(S300="DUE",S300="Next 3 Days")),"YES","")</f>
        <v/>
      </c>
      <c r="AC300" s="425">
        <f>IF(L300="Passed","Archived","Active")</f>
        <v/>
      </c>
    </row>
    <row r="301">
      <c r="A301" s="425" t="inlineStr">
        <is>
          <t>EXOS-0300</t>
        </is>
      </c>
      <c r="B301" s="425" t="inlineStr">
        <is>
          <t>John - Investor Contacts</t>
        </is>
      </c>
      <c r="C301" s="425" t="inlineStr">
        <is>
          <t>Financial Investor</t>
        </is>
      </c>
      <c r="D301" s="425" t="inlineStr">
        <is>
          <t>Differential VC</t>
        </is>
      </c>
      <c r="E301" s="425" t="inlineStr">
        <is>
          <t>Nick Adams</t>
        </is>
      </c>
      <c r="F301" s="425" t="inlineStr"/>
      <c r="G301" s="111" t="inlineStr">
        <is>
          <t>nick@differential.vc</t>
        </is>
      </c>
      <c r="H301" s="425" t="inlineStr"/>
      <c r="I301" s="425" t="inlineStr"/>
      <c r="J301" s="111" t="inlineStr">
        <is>
          <t>https://www.linkedin.com/in/nickadams11</t>
        </is>
      </c>
      <c r="K301" s="426" t="inlineStr">
        <is>
          <t>John Quinn</t>
        </is>
      </c>
      <c r="L301" s="426" t="inlineStr">
        <is>
          <t>Follow Up</t>
        </is>
      </c>
      <c r="M301" s="425" t="inlineStr">
        <is>
          <t>Space / Defense / Aerospace / Advanced Manufacturing</t>
        </is>
      </c>
      <c r="N301" s="426" t="inlineStr">
        <is>
          <t>Tier 2</t>
        </is>
      </c>
      <c r="O301" s="441" t="n">
        <v>45820</v>
      </c>
      <c r="P301" s="441" t="n">
        <v>45835</v>
      </c>
      <c r="Q301" s="425">
        <f>IF(P301="","",TODAY()-P301)</f>
        <v/>
      </c>
      <c r="R301" s="441">
        <f>IF(OR(L301="Passed",Z301=""),"",P301+Z301)</f>
        <v/>
      </c>
      <c r="S301" s="425">
        <f>IF(OR(R301="",L301="Passed"),"",IF(R301&lt;=TODAY(),"DUE",IF(R301&lt;=TODAY()+3,"Next 3 Days","Later")))</f>
        <v/>
      </c>
      <c r="T301" s="425" t="inlineStr"/>
      <c r="U301" s="426" t="inlineStr">
        <is>
          <t>https://www.linkedin.com/in/nickadams11</t>
        </is>
      </c>
      <c r="V301" s="426" t="inlineStr"/>
      <c r="W301" s="428" t="inlineStr">
        <is>
          <t xml:space="preserve"> | 12/22/2025 | </t>
        </is>
      </c>
      <c r="X301" s="425" t="inlineStr">
        <is>
          <t>John - Investor Contacts!163</t>
        </is>
      </c>
      <c r="Y301" s="426" t="inlineStr">
        <is>
          <t>Send next follow-up with traction + CTA</t>
        </is>
      </c>
      <c r="Z301" s="425" t="n">
        <v>7</v>
      </c>
      <c r="AA301" s="425">
        <f>IF(AC301="Archived",0,ROUND((IF(N301="Tier 1",35,IF(N301="Tier 2",20,8))+IF(C301="Financial Investor",15,IF(C301="Intermediary / Banker",12,8))+IF(L301="Term Sheet / Proposal",25,IF(L301="Engaged",20,IF(L301="Meeting Requested",18,IF(L301="Meeting Held",14,IF(L301="Follow Up",10,5)))))+MIN(Q301,30)+IF(S301="DUE",15,IF(S301="Next 3 Days",8,0))),0))</f>
        <v/>
      </c>
      <c r="AB301" s="425">
        <f>IF(AND(AC301="Active",OR(N301="Tier 1",N301="Tier 2"),OR(S301="DUE",S301="Next 3 Days")),"YES","")</f>
        <v/>
      </c>
      <c r="AC301" s="425">
        <f>IF(L301="Passed","Archived","Active")</f>
        <v/>
      </c>
    </row>
    <row r="302">
      <c r="A302" s="425" t="inlineStr">
        <is>
          <t>EXOS-0301</t>
        </is>
      </c>
      <c r="B302" s="425" t="inlineStr">
        <is>
          <t>John - Investor Contacts</t>
        </is>
      </c>
      <c r="C302" s="425" t="inlineStr">
        <is>
          <t>Financial Investor</t>
        </is>
      </c>
      <c r="D302" s="425" t="inlineStr">
        <is>
          <t>Digital DX Ventures</t>
        </is>
      </c>
      <c r="E302" s="425" t="inlineStr">
        <is>
          <t>David Kirk</t>
        </is>
      </c>
      <c r="F302" s="425" t="inlineStr"/>
      <c r="G302" s="111" t="inlineStr">
        <is>
          <t>david@digitaldx.com</t>
        </is>
      </c>
      <c r="H302" s="425" t="inlineStr"/>
      <c r="I302" s="425" t="inlineStr"/>
      <c r="J302" s="425" t="inlineStr"/>
      <c r="K302" s="426" t="inlineStr">
        <is>
          <t>John Quinn</t>
        </is>
      </c>
      <c r="L302" s="426" t="inlineStr">
        <is>
          <t>Follow Up</t>
        </is>
      </c>
      <c r="M302" s="425" t="inlineStr">
        <is>
          <t>Space / Defense / Aerospace / Advanced Manufacturing</t>
        </is>
      </c>
      <c r="N302" s="426" t="inlineStr">
        <is>
          <t>Tier 2</t>
        </is>
      </c>
      <c r="O302" s="441" t="n">
        <v>45860</v>
      </c>
      <c r="P302" s="441" t="n">
        <v>45878</v>
      </c>
      <c r="Q302" s="425">
        <f>IF(P302="","",TODAY()-P302)</f>
        <v/>
      </c>
      <c r="R302" s="441">
        <f>IF(OR(L302="Passed",Z302=""),"",P302+Z302)</f>
        <v/>
      </c>
      <c r="S302" s="425">
        <f>IF(OR(R302="",L302="Passed"),"",IF(R302&lt;=TODAY(),"DUE",IF(R302&lt;=TODAY()+3,"Next 3 Days","Later")))</f>
        <v/>
      </c>
      <c r="T302" s="425" t="inlineStr"/>
      <c r="U302" s="426" t="inlineStr">
        <is>
          <t>linkedin.com/in/david-kirk-057a867b</t>
        </is>
      </c>
      <c r="V302" s="426" t="inlineStr"/>
      <c r="W302" s="428" t="inlineStr">
        <is>
          <t xml:space="preserve"> |  | </t>
        </is>
      </c>
      <c r="X302" s="425" t="inlineStr">
        <is>
          <t>John - Investor Contacts!424</t>
        </is>
      </c>
      <c r="Y302" s="426" t="inlineStr">
        <is>
          <t>Send next follow-up with traction + CTA</t>
        </is>
      </c>
      <c r="Z302" s="425" t="n">
        <v>7</v>
      </c>
      <c r="AA302" s="425">
        <f>IF(AC302="Archived",0,ROUND((IF(N302="Tier 1",35,IF(N302="Tier 2",20,8))+IF(C302="Financial Investor",15,IF(C302="Intermediary / Banker",12,8))+IF(L302="Term Sheet / Proposal",25,IF(L302="Engaged",20,IF(L302="Meeting Requested",18,IF(L302="Meeting Held",14,IF(L302="Follow Up",10,5)))))+MIN(Q302,30)+IF(S302="DUE",15,IF(S302="Next 3 Days",8,0))),0))</f>
        <v/>
      </c>
      <c r="AB302" s="425">
        <f>IF(AND(AC302="Active",OR(N302="Tier 1",N302="Tier 2"),OR(S302="DUE",S302="Next 3 Days")),"YES","")</f>
        <v/>
      </c>
      <c r="AC302" s="425">
        <f>IF(L302="Passed","Archived","Active")</f>
        <v/>
      </c>
    </row>
    <row r="303">
      <c r="A303" s="425" t="inlineStr">
        <is>
          <t>EXOS-0302</t>
        </is>
      </c>
      <c r="B303" s="425" t="inlineStr">
        <is>
          <t>John - Investor Contacts</t>
        </is>
      </c>
      <c r="C303" s="425" t="inlineStr">
        <is>
          <t>Financial Investor</t>
        </is>
      </c>
      <c r="D303" s="425" t="inlineStr">
        <is>
          <t>Digital DX Ventures</t>
        </is>
      </c>
      <c r="E303" s="425" t="inlineStr">
        <is>
          <t>Eric Weiss</t>
        </is>
      </c>
      <c r="F303" s="425" t="inlineStr"/>
      <c r="G303" s="111" t="inlineStr">
        <is>
          <t>eric@digitaldx.com</t>
        </is>
      </c>
      <c r="H303" s="425" t="inlineStr"/>
      <c r="I303" s="425" t="inlineStr"/>
      <c r="J303" s="111" t="inlineStr">
        <is>
          <t>https://www.linkedin.com/in/ericweissmd/</t>
        </is>
      </c>
      <c r="K303" s="426" t="inlineStr">
        <is>
          <t>John Quinn</t>
        </is>
      </c>
      <c r="L303" s="426" t="inlineStr">
        <is>
          <t>Follow Up</t>
        </is>
      </c>
      <c r="M303" s="425" t="inlineStr">
        <is>
          <t>Space / Defense / Aerospace / Advanced Manufacturing</t>
        </is>
      </c>
      <c r="N303" s="426" t="inlineStr">
        <is>
          <t>Tier 2</t>
        </is>
      </c>
      <c r="O303" s="441" t="n">
        <v>45860</v>
      </c>
      <c r="P303" s="441" t="n">
        <v>45878</v>
      </c>
      <c r="Q303" s="425">
        <f>IF(P303="","",TODAY()-P303)</f>
        <v/>
      </c>
      <c r="R303" s="441">
        <f>IF(OR(L303="Passed",Z303=""),"",P303+Z303)</f>
        <v/>
      </c>
      <c r="S303" s="425">
        <f>IF(OR(R303="",L303="Passed"),"",IF(R303&lt;=TODAY(),"DUE",IF(R303&lt;=TODAY()+3,"Next 3 Days","Later")))</f>
        <v/>
      </c>
      <c r="T303" s="425" t="inlineStr"/>
      <c r="U303" s="426" t="inlineStr">
        <is>
          <t>https://www.linkedin.com/in/ericweissmd/</t>
        </is>
      </c>
      <c r="V303" s="426" t="inlineStr"/>
      <c r="W303" s="428" t="inlineStr">
        <is>
          <t xml:space="preserve"> |  | </t>
        </is>
      </c>
      <c r="X303" s="425" t="inlineStr">
        <is>
          <t>John - Investor Contacts!422</t>
        </is>
      </c>
      <c r="Y303" s="426" t="inlineStr">
        <is>
          <t>Send next follow-up with traction + CTA</t>
        </is>
      </c>
      <c r="Z303" s="425" t="n">
        <v>7</v>
      </c>
      <c r="AA303" s="425">
        <f>IF(AC303="Archived",0,ROUND((IF(N303="Tier 1",35,IF(N303="Tier 2",20,8))+IF(C303="Financial Investor",15,IF(C303="Intermediary / Banker",12,8))+IF(L303="Term Sheet / Proposal",25,IF(L303="Engaged",20,IF(L303="Meeting Requested",18,IF(L303="Meeting Held",14,IF(L303="Follow Up",10,5)))))+MIN(Q303,30)+IF(S303="DUE",15,IF(S303="Next 3 Days",8,0))),0))</f>
        <v/>
      </c>
      <c r="AB303" s="425">
        <f>IF(AND(AC303="Active",OR(N303="Tier 1",N303="Tier 2"),OR(S303="DUE",S303="Next 3 Days")),"YES","")</f>
        <v/>
      </c>
      <c r="AC303" s="425">
        <f>IF(L303="Passed","Archived","Active")</f>
        <v/>
      </c>
    </row>
    <row r="304">
      <c r="A304" s="425" t="inlineStr">
        <is>
          <t>EXOS-0303</t>
        </is>
      </c>
      <c r="B304" s="425" t="inlineStr">
        <is>
          <t>John - Investor Contacts</t>
        </is>
      </c>
      <c r="C304" s="425" t="inlineStr">
        <is>
          <t>Financial Investor</t>
        </is>
      </c>
      <c r="D304" s="425" t="inlineStr">
        <is>
          <t>Digital DX Ventures</t>
        </is>
      </c>
      <c r="E304" s="425" t="inlineStr">
        <is>
          <t>Maureen Downey</t>
        </is>
      </c>
      <c r="F304" s="425" t="inlineStr"/>
      <c r="G304" s="111" t="inlineStr">
        <is>
          <t>maureen@digitaldx.com</t>
        </is>
      </c>
      <c r="H304" s="425" t="inlineStr"/>
      <c r="I304" s="425" t="inlineStr"/>
      <c r="J304" s="111" t="inlineStr">
        <is>
          <t>https://www.linkedin.com/in/maureensdowney/</t>
        </is>
      </c>
      <c r="K304" s="426" t="inlineStr">
        <is>
          <t>John Quinn</t>
        </is>
      </c>
      <c r="L304" s="426" t="inlineStr">
        <is>
          <t>Follow Up</t>
        </is>
      </c>
      <c r="M304" s="425" t="inlineStr">
        <is>
          <t>Space / Defense / Aerospace / Advanced Manufacturing</t>
        </is>
      </c>
      <c r="N304" s="426" t="inlineStr">
        <is>
          <t>Tier 2</t>
        </is>
      </c>
      <c r="O304" s="441" t="n">
        <v>45860</v>
      </c>
      <c r="P304" s="441" t="n">
        <v>45878</v>
      </c>
      <c r="Q304" s="425">
        <f>IF(P304="","",TODAY()-P304)</f>
        <v/>
      </c>
      <c r="R304" s="441">
        <f>IF(OR(L304="Passed",Z304=""),"",P304+Z304)</f>
        <v/>
      </c>
      <c r="S304" s="425">
        <f>IF(OR(R304="",L304="Passed"),"",IF(R304&lt;=TODAY(),"DUE",IF(R304&lt;=TODAY()+3,"Next 3 Days","Later")))</f>
        <v/>
      </c>
      <c r="T304" s="425" t="inlineStr"/>
      <c r="U304" s="426" t="inlineStr">
        <is>
          <t>https://www.linkedin.com/in/maureensdowney/</t>
        </is>
      </c>
      <c r="V304" s="426" t="inlineStr"/>
      <c r="W304" s="428" t="inlineStr">
        <is>
          <t xml:space="preserve"> |  | </t>
        </is>
      </c>
      <c r="X304" s="425" t="inlineStr">
        <is>
          <t>John - Investor Contacts!425</t>
        </is>
      </c>
      <c r="Y304" s="426" t="inlineStr">
        <is>
          <t>Send next follow-up with traction + CTA</t>
        </is>
      </c>
      <c r="Z304" s="425" t="n">
        <v>7</v>
      </c>
      <c r="AA304" s="425">
        <f>IF(AC304="Archived",0,ROUND((IF(N304="Tier 1",35,IF(N304="Tier 2",20,8))+IF(C304="Financial Investor",15,IF(C304="Intermediary / Banker",12,8))+IF(L304="Term Sheet / Proposal",25,IF(L304="Engaged",20,IF(L304="Meeting Requested",18,IF(L304="Meeting Held",14,IF(L304="Follow Up",10,5)))))+MIN(Q304,30)+IF(S304="DUE",15,IF(S304="Next 3 Days",8,0))),0))</f>
        <v/>
      </c>
      <c r="AB304" s="425">
        <f>IF(AND(AC304="Active",OR(N304="Tier 1",N304="Tier 2"),OR(S304="DUE",S304="Next 3 Days")),"YES","")</f>
        <v/>
      </c>
      <c r="AC304" s="425">
        <f>IF(L304="Passed","Archived","Active")</f>
        <v/>
      </c>
    </row>
    <row r="305">
      <c r="A305" s="425" t="inlineStr">
        <is>
          <t>EXOS-0304</t>
        </is>
      </c>
      <c r="B305" s="425" t="inlineStr">
        <is>
          <t>John - Investor Contacts</t>
        </is>
      </c>
      <c r="C305" s="425" t="inlineStr">
        <is>
          <t>Financial Investor</t>
        </is>
      </c>
      <c r="D305" s="425" t="inlineStr">
        <is>
          <t>Digital DX Ventures</t>
        </is>
      </c>
      <c r="E305" s="425" t="inlineStr">
        <is>
          <t>Melody Po</t>
        </is>
      </c>
      <c r="F305" s="425" t="inlineStr"/>
      <c r="G305" s="111" t="inlineStr">
        <is>
          <t>melody@digitaldx.com</t>
        </is>
      </c>
      <c r="H305" s="425" t="inlineStr"/>
      <c r="I305" s="425" t="inlineStr"/>
      <c r="J305" s="111" t="inlineStr">
        <is>
          <t>https://www.linkedin.com/in/melodypo/</t>
        </is>
      </c>
      <c r="K305" s="426" t="inlineStr">
        <is>
          <t>John Quinn</t>
        </is>
      </c>
      <c r="L305" s="426" t="inlineStr">
        <is>
          <t>Follow Up</t>
        </is>
      </c>
      <c r="M305" s="425" t="inlineStr">
        <is>
          <t>Space / Defense / Aerospace / Advanced Manufacturing</t>
        </is>
      </c>
      <c r="N305" s="426" t="inlineStr">
        <is>
          <t>Tier 2</t>
        </is>
      </c>
      <c r="O305" s="441" t="n">
        <v>45860</v>
      </c>
      <c r="P305" s="441" t="n">
        <v>45878</v>
      </c>
      <c r="Q305" s="425">
        <f>IF(P305="","",TODAY()-P305)</f>
        <v/>
      </c>
      <c r="R305" s="441">
        <f>IF(OR(L305="Passed",Z305=""),"",P305+Z305)</f>
        <v/>
      </c>
      <c r="S305" s="425">
        <f>IF(OR(R305="",L305="Passed"),"",IF(R305&lt;=TODAY(),"DUE",IF(R305&lt;=TODAY()+3,"Next 3 Days","Later")))</f>
        <v/>
      </c>
      <c r="T305" s="425" t="inlineStr"/>
      <c r="U305" s="426" t="inlineStr">
        <is>
          <t>https://www.linkedin.com/in/melodypo/</t>
        </is>
      </c>
      <c r="V305" s="426" t="inlineStr"/>
      <c r="W305" s="428" t="inlineStr">
        <is>
          <t xml:space="preserve"> |  | </t>
        </is>
      </c>
      <c r="X305" s="425" t="inlineStr">
        <is>
          <t>John - Investor Contacts!421</t>
        </is>
      </c>
      <c r="Y305" s="426" t="inlineStr">
        <is>
          <t>Send next follow-up with traction + CTA</t>
        </is>
      </c>
      <c r="Z305" s="425" t="n">
        <v>7</v>
      </c>
      <c r="AA305" s="425">
        <f>IF(AC305="Archived",0,ROUND((IF(N305="Tier 1",35,IF(N305="Tier 2",20,8))+IF(C305="Financial Investor",15,IF(C305="Intermediary / Banker",12,8))+IF(L305="Term Sheet / Proposal",25,IF(L305="Engaged",20,IF(L305="Meeting Requested",18,IF(L305="Meeting Held",14,IF(L305="Follow Up",10,5)))))+MIN(Q305,30)+IF(S305="DUE",15,IF(S305="Next 3 Days",8,0))),0))</f>
        <v/>
      </c>
      <c r="AB305" s="425">
        <f>IF(AND(AC305="Active",OR(N305="Tier 1",N305="Tier 2"),OR(S305="DUE",S305="Next 3 Days")),"YES","")</f>
        <v/>
      </c>
      <c r="AC305" s="425">
        <f>IF(L305="Passed","Archived","Active")</f>
        <v/>
      </c>
    </row>
    <row r="306">
      <c r="A306" s="425" t="inlineStr">
        <is>
          <t>EXOS-0305</t>
        </is>
      </c>
      <c r="B306" s="425" t="inlineStr">
        <is>
          <t>John - Investor Contacts</t>
        </is>
      </c>
      <c r="C306" s="425" t="inlineStr">
        <is>
          <t>Financial Investor</t>
        </is>
      </c>
      <c r="D306" s="425" t="inlineStr">
        <is>
          <t>Digital DX Ventures</t>
        </is>
      </c>
      <c r="E306" s="425" t="inlineStr">
        <is>
          <t>Michele Colucci</t>
        </is>
      </c>
      <c r="F306" s="425" t="inlineStr"/>
      <c r="G306" s="111" t="inlineStr">
        <is>
          <t>michele@digitaldx.com</t>
        </is>
      </c>
      <c r="H306" s="425" t="inlineStr"/>
      <c r="I306" s="425" t="inlineStr"/>
      <c r="J306" s="111" t="inlineStr">
        <is>
          <t>https://www.linkedin.com/in/michelecolucciesq/</t>
        </is>
      </c>
      <c r="K306" s="426" t="inlineStr">
        <is>
          <t>John Quinn</t>
        </is>
      </c>
      <c r="L306" s="426" t="inlineStr">
        <is>
          <t>Follow Up</t>
        </is>
      </c>
      <c r="M306" s="425" t="inlineStr">
        <is>
          <t>Space / Defense / Aerospace / Advanced Manufacturing</t>
        </is>
      </c>
      <c r="N306" s="426" t="inlineStr">
        <is>
          <t>Tier 2</t>
        </is>
      </c>
      <c r="O306" s="441" t="n">
        <v>45860</v>
      </c>
      <c r="P306" s="441" t="n">
        <v>45878</v>
      </c>
      <c r="Q306" s="425">
        <f>IF(P306="","",TODAY()-P306)</f>
        <v/>
      </c>
      <c r="R306" s="441">
        <f>IF(OR(L306="Passed",Z306=""),"",P306+Z306)</f>
        <v/>
      </c>
      <c r="S306" s="425">
        <f>IF(OR(R306="",L306="Passed"),"",IF(R306&lt;=TODAY(),"DUE",IF(R306&lt;=TODAY()+3,"Next 3 Days","Later")))</f>
        <v/>
      </c>
      <c r="T306" s="425" t="inlineStr"/>
      <c r="U306" s="426" t="inlineStr">
        <is>
          <t>https://www.linkedin.com/in/michelecolucciesq/</t>
        </is>
      </c>
      <c r="V306" s="426" t="inlineStr"/>
      <c r="W306" s="428" t="inlineStr">
        <is>
          <t xml:space="preserve"> |  | </t>
        </is>
      </c>
      <c r="X306" s="425" t="inlineStr">
        <is>
          <t>John - Investor Contacts!423</t>
        </is>
      </c>
      <c r="Y306" s="426" t="inlineStr">
        <is>
          <t>Send next follow-up with traction + CTA</t>
        </is>
      </c>
      <c r="Z306" s="425" t="n">
        <v>7</v>
      </c>
      <c r="AA306" s="425">
        <f>IF(AC306="Archived",0,ROUND((IF(N306="Tier 1",35,IF(N306="Tier 2",20,8))+IF(C306="Financial Investor",15,IF(C306="Intermediary / Banker",12,8))+IF(L306="Term Sheet / Proposal",25,IF(L306="Engaged",20,IF(L306="Meeting Requested",18,IF(L306="Meeting Held",14,IF(L306="Follow Up",10,5)))))+MIN(Q306,30)+IF(S306="DUE",15,IF(S306="Next 3 Days",8,0))),0))</f>
        <v/>
      </c>
      <c r="AB306" s="425">
        <f>IF(AND(AC306="Active",OR(N306="Tier 1",N306="Tier 2"),OR(S306="DUE",S306="Next 3 Days")),"YES","")</f>
        <v/>
      </c>
      <c r="AC306" s="425">
        <f>IF(L306="Passed","Archived","Active")</f>
        <v/>
      </c>
    </row>
    <row r="307">
      <c r="A307" s="425" t="inlineStr">
        <is>
          <t>EXOS-0306</t>
        </is>
      </c>
      <c r="B307" s="425" t="inlineStr">
        <is>
          <t>John - Investor Contacts</t>
        </is>
      </c>
      <c r="C307" s="425" t="inlineStr">
        <is>
          <t>Financial Investor</t>
        </is>
      </c>
      <c r="D307" s="425" t="inlineStr">
        <is>
          <t>Digital DX Ventures</t>
        </is>
      </c>
      <c r="E307" s="425" t="inlineStr">
        <is>
          <t>Valerie Kozak</t>
        </is>
      </c>
      <c r="F307" s="425" t="inlineStr"/>
      <c r="G307" s="111" t="inlineStr">
        <is>
          <t>valerie@digitaldx.com</t>
        </is>
      </c>
      <c r="H307" s="425" t="inlineStr"/>
      <c r="I307" s="425" t="inlineStr"/>
      <c r="J307" s="111" t="inlineStr">
        <is>
          <t>https://www.linkedin.com/in/valeriekozak/</t>
        </is>
      </c>
      <c r="K307" s="426" t="inlineStr">
        <is>
          <t>John Quinn</t>
        </is>
      </c>
      <c r="L307" s="426" t="inlineStr">
        <is>
          <t>Follow Up</t>
        </is>
      </c>
      <c r="M307" s="425" t="inlineStr">
        <is>
          <t>Space / Defense / Aerospace / Advanced Manufacturing</t>
        </is>
      </c>
      <c r="N307" s="426" t="inlineStr">
        <is>
          <t>Tier 2</t>
        </is>
      </c>
      <c r="O307" s="441" t="n">
        <v>45860</v>
      </c>
      <c r="P307" s="441" t="n">
        <v>45878</v>
      </c>
      <c r="Q307" s="425">
        <f>IF(P307="","",TODAY()-P307)</f>
        <v/>
      </c>
      <c r="R307" s="441">
        <f>IF(OR(L307="Passed",Z307=""),"",P307+Z307)</f>
        <v/>
      </c>
      <c r="S307" s="425">
        <f>IF(OR(R307="",L307="Passed"),"",IF(R307&lt;=TODAY(),"DUE",IF(R307&lt;=TODAY()+3,"Next 3 Days","Later")))</f>
        <v/>
      </c>
      <c r="T307" s="425" t="inlineStr"/>
      <c r="U307" s="426" t="inlineStr">
        <is>
          <t>https://www.linkedin.com/in/valeriekozak/</t>
        </is>
      </c>
      <c r="V307" s="426" t="inlineStr"/>
      <c r="W307" s="428" t="inlineStr">
        <is>
          <t xml:space="preserve"> |  | </t>
        </is>
      </c>
      <c r="X307" s="425" t="inlineStr">
        <is>
          <t>John - Investor Contacts!420</t>
        </is>
      </c>
      <c r="Y307" s="426" t="inlineStr">
        <is>
          <t>Send next follow-up with traction + CTA</t>
        </is>
      </c>
      <c r="Z307" s="425" t="n">
        <v>7</v>
      </c>
      <c r="AA307" s="425">
        <f>IF(AC307="Archived",0,ROUND((IF(N307="Tier 1",35,IF(N307="Tier 2",20,8))+IF(C307="Financial Investor",15,IF(C307="Intermediary / Banker",12,8))+IF(L307="Term Sheet / Proposal",25,IF(L307="Engaged",20,IF(L307="Meeting Requested",18,IF(L307="Meeting Held",14,IF(L307="Follow Up",10,5)))))+MIN(Q307,30)+IF(S307="DUE",15,IF(S307="Next 3 Days",8,0))),0))</f>
        <v/>
      </c>
      <c r="AB307" s="425">
        <f>IF(AND(AC307="Active",OR(N307="Tier 1",N307="Tier 2"),OR(S307="DUE",S307="Next 3 Days")),"YES","")</f>
        <v/>
      </c>
      <c r="AC307" s="425">
        <f>IF(L307="Passed","Archived","Active")</f>
        <v/>
      </c>
    </row>
    <row r="308">
      <c r="A308" s="425" t="inlineStr">
        <is>
          <t>EXOS-0307</t>
        </is>
      </c>
      <c r="B308" s="425" t="inlineStr">
        <is>
          <t>John - Investor Contacts</t>
        </is>
      </c>
      <c r="C308" s="425" t="inlineStr">
        <is>
          <t>Financial Investor</t>
        </is>
      </c>
      <c r="D308" s="425" t="inlineStr">
        <is>
          <t>Dipalo Ventures</t>
        </is>
      </c>
      <c r="E308" s="425" t="inlineStr">
        <is>
          <t>Rafiq Ahmed</t>
        </is>
      </c>
      <c r="F308" s="425" t="inlineStr"/>
      <c r="G308" s="111" t="inlineStr">
        <is>
          <t>rafiq@dipaloventures.com</t>
        </is>
      </c>
      <c r="H308" s="425" t="inlineStr"/>
      <c r="I308" s="425" t="inlineStr"/>
      <c r="J308" s="111" t="inlineStr">
        <is>
          <t>https://www.linkedin.com/in/ahmedrafiq/</t>
        </is>
      </c>
      <c r="K308" s="426" t="inlineStr">
        <is>
          <t>John Quinn</t>
        </is>
      </c>
      <c r="L308" s="426" t="inlineStr">
        <is>
          <t>Follow Up</t>
        </is>
      </c>
      <c r="M308" s="425" t="inlineStr">
        <is>
          <t>Space / Defense / Aerospace / Advanced Manufacturing</t>
        </is>
      </c>
      <c r="N308" s="426" t="inlineStr">
        <is>
          <t>Tier 2</t>
        </is>
      </c>
      <c r="O308" s="441" t="n">
        <v>45898</v>
      </c>
      <c r="P308" s="441" t="n">
        <v>45929</v>
      </c>
      <c r="Q308" s="425">
        <f>IF(P308="","",TODAY()-P308)</f>
        <v/>
      </c>
      <c r="R308" s="441">
        <f>IF(OR(L308="Passed",Z308=""),"",P308+Z308)</f>
        <v/>
      </c>
      <c r="S308" s="425">
        <f>IF(OR(R308="",L308="Passed"),"",IF(R308&lt;=TODAY(),"DUE",IF(R308&lt;=TODAY()+3,"Next 3 Days","Later")))</f>
        <v/>
      </c>
      <c r="T308" s="425" t="inlineStr"/>
      <c r="U308" s="426" t="inlineStr">
        <is>
          <t>https://www.linkedin.com/in/ahmedrafiq/</t>
        </is>
      </c>
      <c r="V308" s="426" t="inlineStr"/>
      <c r="W308" s="428" t="inlineStr">
        <is>
          <t xml:space="preserve"> | 12/05/2025 | </t>
        </is>
      </c>
      <c r="X308" s="425" t="inlineStr">
        <is>
          <t>John - Investor Contacts!580</t>
        </is>
      </c>
      <c r="Y308" s="426" t="inlineStr">
        <is>
          <t>Send next follow-up with traction + CTA</t>
        </is>
      </c>
      <c r="Z308" s="425" t="n">
        <v>7</v>
      </c>
      <c r="AA308" s="425">
        <f>IF(AC308="Archived",0,ROUND((IF(N308="Tier 1",35,IF(N308="Tier 2",20,8))+IF(C308="Financial Investor",15,IF(C308="Intermediary / Banker",12,8))+IF(L308="Term Sheet / Proposal",25,IF(L308="Engaged",20,IF(L308="Meeting Requested",18,IF(L308="Meeting Held",14,IF(L308="Follow Up",10,5)))))+MIN(Q308,30)+IF(S308="DUE",15,IF(S308="Next 3 Days",8,0))),0))</f>
        <v/>
      </c>
      <c r="AB308" s="425">
        <f>IF(AND(AC308="Active",OR(N308="Tier 1",N308="Tier 2"),OR(S308="DUE",S308="Next 3 Days")),"YES","")</f>
        <v/>
      </c>
      <c r="AC308" s="425">
        <f>IF(L308="Passed","Archived","Active")</f>
        <v/>
      </c>
    </row>
    <row r="309">
      <c r="A309" s="425" t="inlineStr">
        <is>
          <t>EXOS-0308</t>
        </is>
      </c>
      <c r="B309" s="425" t="inlineStr">
        <is>
          <t>John - Investor Contacts</t>
        </is>
      </c>
      <c r="C309" s="425" t="inlineStr">
        <is>
          <t>Financial Investor</t>
        </is>
      </c>
      <c r="D309" s="425" t="inlineStr">
        <is>
          <t>Draper Associates</t>
        </is>
      </c>
      <c r="E309" s="425" t="inlineStr">
        <is>
          <t>Andy Tang</t>
        </is>
      </c>
      <c r="F309" s="425" t="inlineStr"/>
      <c r="G309" s="111" t="inlineStr">
        <is>
          <t>andy@draper.vc</t>
        </is>
      </c>
      <c r="H309" s="425" t="inlineStr"/>
      <c r="I309" s="425" t="inlineStr"/>
      <c r="J309" s="111" t="inlineStr">
        <is>
          <t>https://www.linkedin.com/in/andytangvc/</t>
        </is>
      </c>
      <c r="K309" s="426" t="inlineStr">
        <is>
          <t>John Quinn</t>
        </is>
      </c>
      <c r="L309" s="426" t="inlineStr">
        <is>
          <t>Follow Up</t>
        </is>
      </c>
      <c r="M309" s="425" t="inlineStr">
        <is>
          <t>Space / Defense / Aerospace / Advanced Manufacturing</t>
        </is>
      </c>
      <c r="N309" s="426" t="inlineStr">
        <is>
          <t>Tier 2</t>
        </is>
      </c>
      <c r="O309" s="441" t="n">
        <v>45821</v>
      </c>
      <c r="P309" s="441" t="n">
        <v>45835</v>
      </c>
      <c r="Q309" s="425">
        <f>IF(P309="","",TODAY()-P309)</f>
        <v/>
      </c>
      <c r="R309" s="441">
        <f>IF(OR(L309="Passed",Z309=""),"",P309+Z309)</f>
        <v/>
      </c>
      <c r="S309" s="425">
        <f>IF(OR(R309="",L309="Passed"),"",IF(R309&lt;=TODAY(),"DUE",IF(R309&lt;=TODAY()+3,"Next 3 Days","Later")))</f>
        <v/>
      </c>
      <c r="T309" s="425" t="inlineStr"/>
      <c r="U309" s="426" t="inlineStr">
        <is>
          <t>https://www.linkedin.com/in/andytangvc/</t>
        </is>
      </c>
      <c r="V309" s="426" t="inlineStr"/>
      <c r="W309" s="428" t="inlineStr">
        <is>
          <t xml:space="preserve"> | 12/23/2025 | you can email a pitch to draper: plans@draper.vc</t>
        </is>
      </c>
      <c r="X309" s="425" t="inlineStr">
        <is>
          <t>John - Investor Contacts!198</t>
        </is>
      </c>
      <c r="Y309" s="426" t="inlineStr">
        <is>
          <t>Send next follow-up with traction + CTA</t>
        </is>
      </c>
      <c r="Z309" s="425" t="n">
        <v>7</v>
      </c>
      <c r="AA309" s="425">
        <f>IF(AC309="Archived",0,ROUND((IF(N309="Tier 1",35,IF(N309="Tier 2",20,8))+IF(C309="Financial Investor",15,IF(C309="Intermediary / Banker",12,8))+IF(L309="Term Sheet / Proposal",25,IF(L309="Engaged",20,IF(L309="Meeting Requested",18,IF(L309="Meeting Held",14,IF(L309="Follow Up",10,5)))))+MIN(Q309,30)+IF(S309="DUE",15,IF(S309="Next 3 Days",8,0))),0))</f>
        <v/>
      </c>
      <c r="AB309" s="425">
        <f>IF(AND(AC309="Active",OR(N309="Tier 1",N309="Tier 2"),OR(S309="DUE",S309="Next 3 Days")),"YES","")</f>
        <v/>
      </c>
      <c r="AC309" s="425">
        <f>IF(L309="Passed","Archived","Active")</f>
        <v/>
      </c>
    </row>
    <row r="310">
      <c r="A310" s="425" t="inlineStr">
        <is>
          <t>EXOS-0309</t>
        </is>
      </c>
      <c r="B310" s="425" t="inlineStr">
        <is>
          <t>John - Investor Contacts</t>
        </is>
      </c>
      <c r="C310" s="425" t="inlineStr">
        <is>
          <t>Financial Investor</t>
        </is>
      </c>
      <c r="D310" s="425" t="inlineStr">
        <is>
          <t>Draper Associates</t>
        </is>
      </c>
      <c r="E310" s="425" t="inlineStr">
        <is>
          <t>James Walker</t>
        </is>
      </c>
      <c r="F310" s="425" t="inlineStr"/>
      <c r="G310" s="111" t="inlineStr">
        <is>
          <t>james@draper.vc</t>
        </is>
      </c>
      <c r="H310" s="425" t="inlineStr"/>
      <c r="I310" s="425" t="inlineStr"/>
      <c r="J310" s="425" t="inlineStr"/>
      <c r="K310" s="426" t="inlineStr">
        <is>
          <t>John Quinn</t>
        </is>
      </c>
      <c r="L310" s="426" t="inlineStr">
        <is>
          <t>Follow Up</t>
        </is>
      </c>
      <c r="M310" s="425" t="inlineStr">
        <is>
          <t>Space / Defense / Aerospace / Advanced Manufacturing</t>
        </is>
      </c>
      <c r="N310" s="426" t="inlineStr">
        <is>
          <t>Tier 2</t>
        </is>
      </c>
      <c r="O310" s="441" t="n">
        <v>45821</v>
      </c>
      <c r="P310" s="441" t="n">
        <v>45835</v>
      </c>
      <c r="Q310" s="425">
        <f>IF(P310="","",TODAY()-P310)</f>
        <v/>
      </c>
      <c r="R310" s="441">
        <f>IF(OR(L310="Passed",Z310=""),"",P310+Z310)</f>
        <v/>
      </c>
      <c r="S310" s="425">
        <f>IF(OR(R310="",L310="Passed"),"",IF(R310&lt;=TODAY(),"DUE",IF(R310&lt;=TODAY()+3,"Next 3 Days","Later")))</f>
        <v/>
      </c>
      <c r="T310" s="425" t="inlineStr"/>
      <c r="U310" s="426" t="inlineStr">
        <is>
          <t>linkedin.com/in/jamespatrickwalker</t>
        </is>
      </c>
      <c r="V310" s="426" t="inlineStr"/>
      <c r="W310" s="428" t="inlineStr">
        <is>
          <t xml:space="preserve"> | 12/23/2025 | </t>
        </is>
      </c>
      <c r="X310" s="425" t="inlineStr">
        <is>
          <t>John - Investor Contacts!200</t>
        </is>
      </c>
      <c r="Y310" s="426" t="inlineStr">
        <is>
          <t>Send next follow-up with traction + CTA</t>
        </is>
      </c>
      <c r="Z310" s="425" t="n">
        <v>7</v>
      </c>
      <c r="AA310" s="425">
        <f>IF(AC310="Archived",0,ROUND((IF(N310="Tier 1",35,IF(N310="Tier 2",20,8))+IF(C310="Financial Investor",15,IF(C310="Intermediary / Banker",12,8))+IF(L310="Term Sheet / Proposal",25,IF(L310="Engaged",20,IF(L310="Meeting Requested",18,IF(L310="Meeting Held",14,IF(L310="Follow Up",10,5)))))+MIN(Q310,30)+IF(S310="DUE",15,IF(S310="Next 3 Days",8,0))),0))</f>
        <v/>
      </c>
      <c r="AB310" s="425">
        <f>IF(AND(AC310="Active",OR(N310="Tier 1",N310="Tier 2"),OR(S310="DUE",S310="Next 3 Days")),"YES","")</f>
        <v/>
      </c>
      <c r="AC310" s="425">
        <f>IF(L310="Passed","Archived","Active")</f>
        <v/>
      </c>
    </row>
    <row r="311">
      <c r="A311" s="425" t="inlineStr">
        <is>
          <t>EXOS-0310</t>
        </is>
      </c>
      <c r="B311" s="425" t="inlineStr">
        <is>
          <t>John - Investor Contacts</t>
        </is>
      </c>
      <c r="C311" s="425" t="inlineStr">
        <is>
          <t>Financial Investor</t>
        </is>
      </c>
      <c r="D311" s="425" t="inlineStr">
        <is>
          <t>Draper Associates</t>
        </is>
      </c>
      <c r="E311" s="425" t="inlineStr">
        <is>
          <t>Maxime Bucaille</t>
        </is>
      </c>
      <c r="F311" s="425" t="inlineStr"/>
      <c r="G311" s="111" t="inlineStr">
        <is>
          <t>maxime@draper.vc</t>
        </is>
      </c>
      <c r="H311" s="425" t="inlineStr"/>
      <c r="I311" s="425" t="inlineStr"/>
      <c r="J311" s="111" t="inlineStr">
        <is>
          <t>https://www.linkedin.com/in/maxime-bucaille-60a91a93/</t>
        </is>
      </c>
      <c r="K311" s="426" t="inlineStr">
        <is>
          <t>John Quinn</t>
        </is>
      </c>
      <c r="L311" s="426" t="inlineStr">
        <is>
          <t>Follow Up</t>
        </is>
      </c>
      <c r="M311" s="425" t="inlineStr">
        <is>
          <t>Space / Defense / Aerospace / Advanced Manufacturing</t>
        </is>
      </c>
      <c r="N311" s="426" t="inlineStr">
        <is>
          <t>Tier 2</t>
        </is>
      </c>
      <c r="O311" s="441" t="n">
        <v>45821</v>
      </c>
      <c r="P311" s="441" t="n">
        <v>45835</v>
      </c>
      <c r="Q311" s="425">
        <f>IF(P311="","",TODAY()-P311)</f>
        <v/>
      </c>
      <c r="R311" s="441">
        <f>IF(OR(L311="Passed",Z311=""),"",P311+Z311)</f>
        <v/>
      </c>
      <c r="S311" s="425">
        <f>IF(OR(R311="",L311="Passed"),"",IF(R311&lt;=TODAY(),"DUE",IF(R311&lt;=TODAY()+3,"Next 3 Days","Later")))</f>
        <v/>
      </c>
      <c r="T311" s="425" t="inlineStr"/>
      <c r="U311" s="426" t="inlineStr">
        <is>
          <t>https://www.linkedin.com/in/maxime-bucaille-60a91a93/</t>
        </is>
      </c>
      <c r="V311" s="426" t="inlineStr"/>
      <c r="W311" s="428" t="inlineStr">
        <is>
          <t xml:space="preserve"> | 12/23/2025 | </t>
        </is>
      </c>
      <c r="X311" s="425" t="inlineStr">
        <is>
          <t>John - Investor Contacts!201</t>
        </is>
      </c>
      <c r="Y311" s="426" t="inlineStr">
        <is>
          <t>Send next follow-up with traction + CTA</t>
        </is>
      </c>
      <c r="Z311" s="425" t="n">
        <v>7</v>
      </c>
      <c r="AA311" s="425">
        <f>IF(AC311="Archived",0,ROUND((IF(N311="Tier 1",35,IF(N311="Tier 2",20,8))+IF(C311="Financial Investor",15,IF(C311="Intermediary / Banker",12,8))+IF(L311="Term Sheet / Proposal",25,IF(L311="Engaged",20,IF(L311="Meeting Requested",18,IF(L311="Meeting Held",14,IF(L311="Follow Up",10,5)))))+MIN(Q311,30)+IF(S311="DUE",15,IF(S311="Next 3 Days",8,0))),0))</f>
        <v/>
      </c>
      <c r="AB311" s="425">
        <f>IF(AND(AC311="Active",OR(N311="Tier 1",N311="Tier 2"),OR(S311="DUE",S311="Next 3 Days")),"YES","")</f>
        <v/>
      </c>
      <c r="AC311" s="425">
        <f>IF(L311="Passed","Archived","Active")</f>
        <v/>
      </c>
    </row>
    <row r="312">
      <c r="A312" s="425" t="inlineStr">
        <is>
          <t>EXOS-0311</t>
        </is>
      </c>
      <c r="B312" s="425" t="inlineStr">
        <is>
          <t>John - Investor Contacts</t>
        </is>
      </c>
      <c r="C312" s="425" t="inlineStr">
        <is>
          <t>Financial Investor</t>
        </is>
      </c>
      <c r="D312" s="425" t="inlineStr">
        <is>
          <t>Draper Associates</t>
        </is>
      </c>
      <c r="E312" s="425" t="inlineStr">
        <is>
          <t>Tim Draper</t>
        </is>
      </c>
      <c r="F312" s="425" t="inlineStr"/>
      <c r="G312" s="111" t="inlineStr">
        <is>
          <t>tim@draper.vc</t>
        </is>
      </c>
      <c r="H312" s="425" t="inlineStr"/>
      <c r="I312" s="425" t="inlineStr"/>
      <c r="J312" s="111" t="inlineStr">
        <is>
          <t>https://www.linkedin.com/in/timothydraper/</t>
        </is>
      </c>
      <c r="K312" s="426" t="inlineStr">
        <is>
          <t>John Quinn</t>
        </is>
      </c>
      <c r="L312" s="426" t="inlineStr">
        <is>
          <t>Follow Up</t>
        </is>
      </c>
      <c r="M312" s="425" t="inlineStr">
        <is>
          <t>Space / Defense / Aerospace / Advanced Manufacturing</t>
        </is>
      </c>
      <c r="N312" s="426" t="inlineStr">
        <is>
          <t>Tier 2</t>
        </is>
      </c>
      <c r="O312" s="441" t="n">
        <v>45821</v>
      </c>
      <c r="P312" s="441" t="n">
        <v>45835</v>
      </c>
      <c r="Q312" s="425">
        <f>IF(P312="","",TODAY()-P312)</f>
        <v/>
      </c>
      <c r="R312" s="441">
        <f>IF(OR(L312="Passed",Z312=""),"",P312+Z312)</f>
        <v/>
      </c>
      <c r="S312" s="425">
        <f>IF(OR(R312="",L312="Passed"),"",IF(R312&lt;=TODAY(),"DUE",IF(R312&lt;=TODAY()+3,"Next 3 Days","Later")))</f>
        <v/>
      </c>
      <c r="T312" s="425" t="inlineStr"/>
      <c r="U312" s="426" t="inlineStr">
        <is>
          <t>https://www.linkedin.com/in/timothydraper/</t>
        </is>
      </c>
      <c r="V312" s="426" t="inlineStr"/>
      <c r="W312" s="428" t="inlineStr">
        <is>
          <t xml:space="preserve"> | 12/23/2025 | </t>
        </is>
      </c>
      <c r="X312" s="425" t="inlineStr">
        <is>
          <t>John - Investor Contacts!199</t>
        </is>
      </c>
      <c r="Y312" s="426" t="inlineStr">
        <is>
          <t>Send next follow-up with traction + CTA</t>
        </is>
      </c>
      <c r="Z312" s="425" t="n">
        <v>7</v>
      </c>
      <c r="AA312" s="425">
        <f>IF(AC312="Archived",0,ROUND((IF(N312="Tier 1",35,IF(N312="Tier 2",20,8))+IF(C312="Financial Investor",15,IF(C312="Intermediary / Banker",12,8))+IF(L312="Term Sheet / Proposal",25,IF(L312="Engaged",20,IF(L312="Meeting Requested",18,IF(L312="Meeting Held",14,IF(L312="Follow Up",10,5)))))+MIN(Q312,30)+IF(S312="DUE",15,IF(S312="Next 3 Days",8,0))),0))</f>
        <v/>
      </c>
      <c r="AB312" s="425">
        <f>IF(AND(AC312="Active",OR(N312="Tier 1",N312="Tier 2"),OR(S312="DUE",S312="Next 3 Days")),"YES","")</f>
        <v/>
      </c>
      <c r="AC312" s="425">
        <f>IF(L312="Passed","Archived","Active")</f>
        <v/>
      </c>
    </row>
    <row r="313">
      <c r="A313" s="425" t="inlineStr">
        <is>
          <t>EXOS-0312</t>
        </is>
      </c>
      <c r="B313" s="425" t="inlineStr">
        <is>
          <t>John - Investor Contacts</t>
        </is>
      </c>
      <c r="C313" s="425" t="inlineStr">
        <is>
          <t>Financial Investor</t>
        </is>
      </c>
      <c r="D313" s="425" t="inlineStr">
        <is>
          <t>Draper Associates</t>
        </is>
      </c>
      <c r="E313" s="425" t="inlineStr">
        <is>
          <t>Tyrone Lee</t>
        </is>
      </c>
      <c r="F313" s="425" t="inlineStr"/>
      <c r="G313" s="111" t="inlineStr">
        <is>
          <t>tyrone@draper.vc</t>
        </is>
      </c>
      <c r="H313" s="425" t="inlineStr"/>
      <c r="I313" s="425" t="inlineStr"/>
      <c r="J313" s="425" t="inlineStr"/>
      <c r="K313" s="426" t="inlineStr">
        <is>
          <t>John Quinn</t>
        </is>
      </c>
      <c r="L313" s="426" t="inlineStr">
        <is>
          <t>Follow Up</t>
        </is>
      </c>
      <c r="M313" s="425" t="inlineStr">
        <is>
          <t>Space / Defense / Aerospace / Advanced Manufacturing</t>
        </is>
      </c>
      <c r="N313" s="426" t="inlineStr">
        <is>
          <t>Tier 2</t>
        </is>
      </c>
      <c r="O313" s="441" t="n">
        <v>45908</v>
      </c>
      <c r="P313" s="441" t="n">
        <v>45972</v>
      </c>
      <c r="Q313" s="425">
        <f>IF(P313="","",TODAY()-P313)</f>
        <v/>
      </c>
      <c r="R313" s="441">
        <f>IF(OR(L313="Passed",Z313=""),"",P313+Z313)</f>
        <v/>
      </c>
      <c r="S313" s="425">
        <f>IF(OR(R313="",L313="Passed"),"",IF(R313&lt;=TODAY(),"DUE",IF(R313&lt;=TODAY()+3,"Next 3 Days","Later")))</f>
        <v/>
      </c>
      <c r="T313" s="425" t="inlineStr"/>
      <c r="U313" s="426" t="inlineStr"/>
      <c r="V313" s="426" t="inlineStr"/>
      <c r="W313" s="428" t="inlineStr">
        <is>
          <t xml:space="preserve"> | 12/05/2025 | </t>
        </is>
      </c>
      <c r="X313" s="425" t="inlineStr">
        <is>
          <t>John - Investor Contacts!633</t>
        </is>
      </c>
      <c r="Y313" s="426" t="inlineStr">
        <is>
          <t>Send next follow-up with traction + CTA</t>
        </is>
      </c>
      <c r="Z313" s="425" t="n">
        <v>7</v>
      </c>
      <c r="AA313" s="425">
        <f>IF(AC313="Archived",0,ROUND((IF(N313="Tier 1",35,IF(N313="Tier 2",20,8))+IF(C313="Financial Investor",15,IF(C313="Intermediary / Banker",12,8))+IF(L313="Term Sheet / Proposal",25,IF(L313="Engaged",20,IF(L313="Meeting Requested",18,IF(L313="Meeting Held",14,IF(L313="Follow Up",10,5)))))+MIN(Q313,30)+IF(S313="DUE",15,IF(S313="Next 3 Days",8,0))),0))</f>
        <v/>
      </c>
      <c r="AB313" s="425">
        <f>IF(AND(AC313="Active",OR(N313="Tier 1",N313="Tier 2"),OR(S313="DUE",S313="Next 3 Days")),"YES","")</f>
        <v/>
      </c>
      <c r="AC313" s="425">
        <f>IF(L313="Passed","Archived","Active")</f>
        <v/>
      </c>
    </row>
    <row r="314">
      <c r="A314" s="425" t="inlineStr">
        <is>
          <t>EXOS-0313</t>
        </is>
      </c>
      <c r="B314" s="425" t="inlineStr">
        <is>
          <t>John - Investor Contacts</t>
        </is>
      </c>
      <c r="C314" s="425" t="inlineStr">
        <is>
          <t>Financial Investor</t>
        </is>
      </c>
      <c r="D314" s="425" t="inlineStr">
        <is>
          <t>Draper Dragon</t>
        </is>
      </c>
      <c r="E314" s="425" t="inlineStr">
        <is>
          <t>Frank Miaw</t>
        </is>
      </c>
      <c r="F314" s="425" t="inlineStr"/>
      <c r="G314" s="111" t="inlineStr">
        <is>
          <t>frank@draperdragon.com</t>
        </is>
      </c>
      <c r="H314" s="425" t="inlineStr"/>
      <c r="I314" s="425" t="inlineStr"/>
      <c r="J314" s="111" t="inlineStr">
        <is>
          <t>https://www.linkedin.com/in/s-frank-miaw-550a253/</t>
        </is>
      </c>
      <c r="K314" s="426" t="inlineStr">
        <is>
          <t>John Quinn</t>
        </is>
      </c>
      <c r="L314" s="426" t="inlineStr">
        <is>
          <t>Follow Up</t>
        </is>
      </c>
      <c r="M314" s="425" t="inlineStr">
        <is>
          <t>Space / Defense / Aerospace / Advanced Manufacturing</t>
        </is>
      </c>
      <c r="N314" s="426" t="inlineStr">
        <is>
          <t>Tier 2</t>
        </is>
      </c>
      <c r="O314" s="441" t="n">
        <v>45822</v>
      </c>
      <c r="P314" s="441" t="n">
        <v>45835</v>
      </c>
      <c r="Q314" s="425">
        <f>IF(P314="","",TODAY()-P314)</f>
        <v/>
      </c>
      <c r="R314" s="441">
        <f>IF(OR(L314="Passed",Z314=""),"",P314+Z314)</f>
        <v/>
      </c>
      <c r="S314" s="425">
        <f>IF(OR(R314="",L314="Passed"),"",IF(R314&lt;=TODAY(),"DUE",IF(R314&lt;=TODAY()+3,"Next 3 Days","Later")))</f>
        <v/>
      </c>
      <c r="T314" s="425" t="inlineStr"/>
      <c r="U314" s="426" t="inlineStr">
        <is>
          <t>https://www.linkedin.com/in/s-frank-miaw-550a253/</t>
        </is>
      </c>
      <c r="V314" s="426" t="inlineStr"/>
      <c r="W314" s="428" t="inlineStr">
        <is>
          <t xml:space="preserve"> | 12/23/2025 | online application: https://draperdragon.com/contact</t>
        </is>
      </c>
      <c r="X314" s="425" t="inlineStr">
        <is>
          <t>John - Investor Contacts!212</t>
        </is>
      </c>
      <c r="Y314" s="426" t="inlineStr">
        <is>
          <t>Send next follow-up with traction + CTA</t>
        </is>
      </c>
      <c r="Z314" s="425" t="n">
        <v>7</v>
      </c>
      <c r="AA314" s="425">
        <f>IF(AC314="Archived",0,ROUND((IF(N314="Tier 1",35,IF(N314="Tier 2",20,8))+IF(C314="Financial Investor",15,IF(C314="Intermediary / Banker",12,8))+IF(L314="Term Sheet / Proposal",25,IF(L314="Engaged",20,IF(L314="Meeting Requested",18,IF(L314="Meeting Held",14,IF(L314="Follow Up",10,5)))))+MIN(Q314,30)+IF(S314="DUE",15,IF(S314="Next 3 Days",8,0))),0))</f>
        <v/>
      </c>
      <c r="AB314" s="425">
        <f>IF(AND(AC314="Active",OR(N314="Tier 1",N314="Tier 2"),OR(S314="DUE",S314="Next 3 Days")),"YES","")</f>
        <v/>
      </c>
      <c r="AC314" s="425">
        <f>IF(L314="Passed","Archived","Active")</f>
        <v/>
      </c>
    </row>
    <row r="315">
      <c r="A315" s="425" t="inlineStr">
        <is>
          <t>EXOS-0314</t>
        </is>
      </c>
      <c r="B315" s="425" t="inlineStr">
        <is>
          <t>John - Investor Contacts</t>
        </is>
      </c>
      <c r="C315" s="425" t="inlineStr">
        <is>
          <t>Financial Investor</t>
        </is>
      </c>
      <c r="D315" s="425" t="inlineStr">
        <is>
          <t>Draper Dragon</t>
        </is>
      </c>
      <c r="E315" s="425" t="inlineStr">
        <is>
          <t>Hiro Kakiya</t>
        </is>
      </c>
      <c r="F315" s="425" t="inlineStr"/>
      <c r="G315" s="111" t="inlineStr">
        <is>
          <t>hiro@draperdragon.com</t>
        </is>
      </c>
      <c r="H315" s="425" t="inlineStr"/>
      <c r="I315" s="425" t="inlineStr"/>
      <c r="J315" s="425" t="inlineStr"/>
      <c r="K315" s="426" t="inlineStr">
        <is>
          <t>John Quinn</t>
        </is>
      </c>
      <c r="L315" s="426" t="inlineStr">
        <is>
          <t>Follow Up</t>
        </is>
      </c>
      <c r="M315" s="425" t="inlineStr">
        <is>
          <t>Space / Defense / Aerospace / Advanced Manufacturing</t>
        </is>
      </c>
      <c r="N315" s="426" t="inlineStr">
        <is>
          <t>Tier 2</t>
        </is>
      </c>
      <c r="O315" s="441" t="n">
        <v>45822</v>
      </c>
      <c r="P315" s="441" t="n">
        <v>45835</v>
      </c>
      <c r="Q315" s="425">
        <f>IF(P315="","",TODAY()-P315)</f>
        <v/>
      </c>
      <c r="R315" s="441">
        <f>IF(OR(L315="Passed",Z315=""),"",P315+Z315)</f>
        <v/>
      </c>
      <c r="S315" s="425">
        <f>IF(OR(R315="",L315="Passed"),"",IF(R315&lt;=TODAY(),"DUE",IF(R315&lt;=TODAY()+3,"Next 3 Days","Later")))</f>
        <v/>
      </c>
      <c r="T315" s="425" t="inlineStr"/>
      <c r="U315" s="426" t="inlineStr"/>
      <c r="V315" s="426" t="inlineStr"/>
      <c r="W315" s="428" t="inlineStr">
        <is>
          <t xml:space="preserve"> | 12/23/2025 | </t>
        </is>
      </c>
      <c r="X315" s="425" t="inlineStr">
        <is>
          <t>John - Investor Contacts!216</t>
        </is>
      </c>
      <c r="Y315" s="426" t="inlineStr">
        <is>
          <t>Send next follow-up with traction + CTA</t>
        </is>
      </c>
      <c r="Z315" s="425" t="n">
        <v>7</v>
      </c>
      <c r="AA315" s="425">
        <f>IF(AC315="Archived",0,ROUND((IF(N315="Tier 1",35,IF(N315="Tier 2",20,8))+IF(C315="Financial Investor",15,IF(C315="Intermediary / Banker",12,8))+IF(L315="Term Sheet / Proposal",25,IF(L315="Engaged",20,IF(L315="Meeting Requested",18,IF(L315="Meeting Held",14,IF(L315="Follow Up",10,5)))))+MIN(Q315,30)+IF(S315="DUE",15,IF(S315="Next 3 Days",8,0))),0))</f>
        <v/>
      </c>
      <c r="AB315" s="425">
        <f>IF(AND(AC315="Active",OR(N315="Tier 1",N315="Tier 2"),OR(S315="DUE",S315="Next 3 Days")),"YES","")</f>
        <v/>
      </c>
      <c r="AC315" s="425">
        <f>IF(L315="Passed","Archived","Active")</f>
        <v/>
      </c>
    </row>
    <row r="316">
      <c r="A316" s="425" t="inlineStr">
        <is>
          <t>EXOS-0315</t>
        </is>
      </c>
      <c r="B316" s="425" t="inlineStr">
        <is>
          <t>John - Investor Contacts</t>
        </is>
      </c>
      <c r="C316" s="425" t="inlineStr">
        <is>
          <t>Financial Investor</t>
        </is>
      </c>
      <c r="D316" s="425" t="inlineStr">
        <is>
          <t>Draper Dragon</t>
        </is>
      </c>
      <c r="E316" s="425" t="inlineStr">
        <is>
          <t>James Cantre</t>
        </is>
      </c>
      <c r="F316" s="425" t="inlineStr"/>
      <c r="G316" s="111" t="inlineStr">
        <is>
          <t>james@draperdragon.com</t>
        </is>
      </c>
      <c r="H316" s="425" t="inlineStr"/>
      <c r="I316" s="425" t="inlineStr"/>
      <c r="J316" s="111" t="inlineStr">
        <is>
          <t>http://linkedin.com/in/james-r-cantre/</t>
        </is>
      </c>
      <c r="K316" s="426" t="inlineStr">
        <is>
          <t>John Quinn</t>
        </is>
      </c>
      <c r="L316" s="426" t="inlineStr">
        <is>
          <t>Follow Up</t>
        </is>
      </c>
      <c r="M316" s="425" t="inlineStr">
        <is>
          <t>Space / Defense / Aerospace / Advanced Manufacturing</t>
        </is>
      </c>
      <c r="N316" s="426" t="inlineStr">
        <is>
          <t>Tier 2</t>
        </is>
      </c>
      <c r="O316" s="441" t="n">
        <v>45822</v>
      </c>
      <c r="P316" s="441" t="n">
        <v>45835</v>
      </c>
      <c r="Q316" s="425">
        <f>IF(P316="","",TODAY()-P316)</f>
        <v/>
      </c>
      <c r="R316" s="441">
        <f>IF(OR(L316="Passed",Z316=""),"",P316+Z316)</f>
        <v/>
      </c>
      <c r="S316" s="425">
        <f>IF(OR(R316="",L316="Passed"),"",IF(R316&lt;=TODAY(),"DUE",IF(R316&lt;=TODAY()+3,"Next 3 Days","Later")))</f>
        <v/>
      </c>
      <c r="T316" s="425" t="inlineStr"/>
      <c r="U316" s="426" t="inlineStr">
        <is>
          <t>http://linkedin.com/in/james-r-cantre/</t>
        </is>
      </c>
      <c r="V316" s="426" t="inlineStr"/>
      <c r="W316" s="428" t="inlineStr">
        <is>
          <t xml:space="preserve"> | 12/23/2025 | </t>
        </is>
      </c>
      <c r="X316" s="425" t="inlineStr">
        <is>
          <t>John - Investor Contacts!214</t>
        </is>
      </c>
      <c r="Y316" s="426" t="inlineStr">
        <is>
          <t>Send next follow-up with traction + CTA</t>
        </is>
      </c>
      <c r="Z316" s="425" t="n">
        <v>7</v>
      </c>
      <c r="AA316" s="425">
        <f>IF(AC316="Archived",0,ROUND((IF(N316="Tier 1",35,IF(N316="Tier 2",20,8))+IF(C316="Financial Investor",15,IF(C316="Intermediary / Banker",12,8))+IF(L316="Term Sheet / Proposal",25,IF(L316="Engaged",20,IF(L316="Meeting Requested",18,IF(L316="Meeting Held",14,IF(L316="Follow Up",10,5)))))+MIN(Q316,30)+IF(S316="DUE",15,IF(S316="Next 3 Days",8,0))),0))</f>
        <v/>
      </c>
      <c r="AB316" s="425">
        <f>IF(AND(AC316="Active",OR(N316="Tier 1",N316="Tier 2"),OR(S316="DUE",S316="Next 3 Days")),"YES","")</f>
        <v/>
      </c>
      <c r="AC316" s="425">
        <f>IF(L316="Passed","Archived","Active")</f>
        <v/>
      </c>
    </row>
    <row r="317">
      <c r="A317" s="425" t="inlineStr">
        <is>
          <t>EXOS-0316</t>
        </is>
      </c>
      <c r="B317" s="425" t="inlineStr">
        <is>
          <t>John - Investor Contacts</t>
        </is>
      </c>
      <c r="C317" s="425" t="inlineStr">
        <is>
          <t>Financial Investor</t>
        </is>
      </c>
      <c r="D317" s="425" t="inlineStr">
        <is>
          <t>Draper Dragon</t>
        </is>
      </c>
      <c r="E317" s="425" t="inlineStr">
        <is>
          <t>Kavan Canekeratne</t>
        </is>
      </c>
      <c r="F317" s="425" t="inlineStr"/>
      <c r="G317" s="111" t="inlineStr">
        <is>
          <t>kavan@draperdragon.com</t>
        </is>
      </c>
      <c r="H317" s="425" t="inlineStr"/>
      <c r="I317" s="425" t="inlineStr"/>
      <c r="J317" s="111" t="inlineStr">
        <is>
          <t>https://www.linkedin.com/in/kavan-canekeratne-111854132/</t>
        </is>
      </c>
      <c r="K317" s="426" t="inlineStr">
        <is>
          <t>John Quinn</t>
        </is>
      </c>
      <c r="L317" s="426" t="inlineStr">
        <is>
          <t>Follow Up</t>
        </is>
      </c>
      <c r="M317" s="425" t="inlineStr">
        <is>
          <t>Space / Defense / Aerospace / Advanced Manufacturing</t>
        </is>
      </c>
      <c r="N317" s="426" t="inlineStr">
        <is>
          <t>Tier 2</t>
        </is>
      </c>
      <c r="O317" s="441" t="n">
        <v>45822</v>
      </c>
      <c r="P317" s="441" t="n">
        <v>45835</v>
      </c>
      <c r="Q317" s="425">
        <f>IF(P317="","",TODAY()-P317)</f>
        <v/>
      </c>
      <c r="R317" s="441">
        <f>IF(OR(L317="Passed",Z317=""),"",P317+Z317)</f>
        <v/>
      </c>
      <c r="S317" s="425">
        <f>IF(OR(R317="",L317="Passed"),"",IF(R317&lt;=TODAY(),"DUE",IF(R317&lt;=TODAY()+3,"Next 3 Days","Later")))</f>
        <v/>
      </c>
      <c r="T317" s="425" t="inlineStr"/>
      <c r="U317" s="426" t="inlineStr">
        <is>
          <t>https://www.linkedin.com/in/kavan-canekeratne-111854132/</t>
        </is>
      </c>
      <c r="V317" s="426" t="inlineStr"/>
      <c r="W317" s="428" t="inlineStr">
        <is>
          <t xml:space="preserve"> | 12/23/2025 | </t>
        </is>
      </c>
      <c r="X317" s="425" t="inlineStr">
        <is>
          <t>John - Investor Contacts!218</t>
        </is>
      </c>
      <c r="Y317" s="426" t="inlineStr">
        <is>
          <t>Send next follow-up with traction + CTA</t>
        </is>
      </c>
      <c r="Z317" s="425" t="n">
        <v>7</v>
      </c>
      <c r="AA317" s="425">
        <f>IF(AC317="Archived",0,ROUND((IF(N317="Tier 1",35,IF(N317="Tier 2",20,8))+IF(C317="Financial Investor",15,IF(C317="Intermediary / Banker",12,8))+IF(L317="Term Sheet / Proposal",25,IF(L317="Engaged",20,IF(L317="Meeting Requested",18,IF(L317="Meeting Held",14,IF(L317="Follow Up",10,5)))))+MIN(Q317,30)+IF(S317="DUE",15,IF(S317="Next 3 Days",8,0))),0))</f>
        <v/>
      </c>
      <c r="AB317" s="425">
        <f>IF(AND(AC317="Active",OR(N317="Tier 1",N317="Tier 2"),OR(S317="DUE",S317="Next 3 Days")),"YES","")</f>
        <v/>
      </c>
      <c r="AC317" s="425">
        <f>IF(L317="Passed","Archived","Active")</f>
        <v/>
      </c>
    </row>
    <row r="318">
      <c r="A318" s="425" t="inlineStr">
        <is>
          <t>EXOS-0317</t>
        </is>
      </c>
      <c r="B318" s="425" t="inlineStr">
        <is>
          <t>John - Investor Contacts</t>
        </is>
      </c>
      <c r="C318" s="425" t="inlineStr">
        <is>
          <t>Financial Investor</t>
        </is>
      </c>
      <c r="D318" s="425" t="inlineStr">
        <is>
          <t>Draper Dragon</t>
        </is>
      </c>
      <c r="E318" s="425" t="inlineStr">
        <is>
          <t>Larry Li</t>
        </is>
      </c>
      <c r="F318" s="425" t="inlineStr"/>
      <c r="G318" s="111" t="inlineStr">
        <is>
          <t>larry@draperdragon.com</t>
        </is>
      </c>
      <c r="H318" s="425" t="inlineStr"/>
      <c r="I318" s="425" t="inlineStr"/>
      <c r="J318" s="425" t="inlineStr"/>
      <c r="K318" s="426" t="inlineStr">
        <is>
          <t>John Quinn</t>
        </is>
      </c>
      <c r="L318" s="426" t="inlineStr">
        <is>
          <t>Follow Up</t>
        </is>
      </c>
      <c r="M318" s="425" t="inlineStr">
        <is>
          <t>Space / Defense / Aerospace / Advanced Manufacturing</t>
        </is>
      </c>
      <c r="N318" s="426" t="inlineStr">
        <is>
          <t>Tier 2</t>
        </is>
      </c>
      <c r="O318" s="441" t="n">
        <v>45822</v>
      </c>
      <c r="P318" s="441" t="n">
        <v>45835</v>
      </c>
      <c r="Q318" s="425">
        <f>IF(P318="","",TODAY()-P318)</f>
        <v/>
      </c>
      <c r="R318" s="441">
        <f>IF(OR(L318="Passed",Z318=""),"",P318+Z318)</f>
        <v/>
      </c>
      <c r="S318" s="425">
        <f>IF(OR(R318="",L318="Passed"),"",IF(R318&lt;=TODAY(),"DUE",IF(R318&lt;=TODAY()+3,"Next 3 Days","Later")))</f>
        <v/>
      </c>
      <c r="T318" s="425" t="inlineStr"/>
      <c r="U318" s="426" t="inlineStr"/>
      <c r="V318" s="426" t="inlineStr"/>
      <c r="W318" s="428" t="inlineStr">
        <is>
          <t xml:space="preserve"> | 12/23/2025 | </t>
        </is>
      </c>
      <c r="X318" s="425" t="inlineStr">
        <is>
          <t>John - Investor Contacts!215</t>
        </is>
      </c>
      <c r="Y318" s="426" t="inlineStr">
        <is>
          <t>Send next follow-up with traction + CTA</t>
        </is>
      </c>
      <c r="Z318" s="425" t="n">
        <v>7</v>
      </c>
      <c r="AA318" s="425">
        <f>IF(AC318="Archived",0,ROUND((IF(N318="Tier 1",35,IF(N318="Tier 2",20,8))+IF(C318="Financial Investor",15,IF(C318="Intermediary / Banker",12,8))+IF(L318="Term Sheet / Proposal",25,IF(L318="Engaged",20,IF(L318="Meeting Requested",18,IF(L318="Meeting Held",14,IF(L318="Follow Up",10,5)))))+MIN(Q318,30)+IF(S318="DUE",15,IF(S318="Next 3 Days",8,0))),0))</f>
        <v/>
      </c>
      <c r="AB318" s="425">
        <f>IF(AND(AC318="Active",OR(N318="Tier 1",N318="Tier 2"),OR(S318="DUE",S318="Next 3 Days")),"YES","")</f>
        <v/>
      </c>
      <c r="AC318" s="425">
        <f>IF(L318="Passed","Archived","Active")</f>
        <v/>
      </c>
    </row>
    <row r="319">
      <c r="A319" s="425" t="inlineStr">
        <is>
          <t>EXOS-0318</t>
        </is>
      </c>
      <c r="B319" s="425" t="inlineStr">
        <is>
          <t>John - Investor Contacts</t>
        </is>
      </c>
      <c r="C319" s="425" t="inlineStr">
        <is>
          <t>Financial Investor</t>
        </is>
      </c>
      <c r="D319" s="425" t="inlineStr">
        <is>
          <t>Draper Dragon</t>
        </is>
      </c>
      <c r="E319" s="425" t="inlineStr">
        <is>
          <t>Matt Huang</t>
        </is>
      </c>
      <c r="F319" s="425" t="inlineStr"/>
      <c r="G319" s="111" t="inlineStr">
        <is>
          <t>matt@draperdragon.com</t>
        </is>
      </c>
      <c r="H319" s="425" t="inlineStr"/>
      <c r="I319" s="425" t="inlineStr"/>
      <c r="J319" s="111" t="inlineStr">
        <is>
          <t>https://www.linkedin.com/in/matthuangusa/</t>
        </is>
      </c>
      <c r="K319" s="426" t="inlineStr">
        <is>
          <t>John Quinn</t>
        </is>
      </c>
      <c r="L319" s="426" t="inlineStr">
        <is>
          <t>Follow Up</t>
        </is>
      </c>
      <c r="M319" s="425" t="inlineStr">
        <is>
          <t>Space / Defense / Aerospace / Advanced Manufacturing</t>
        </is>
      </c>
      <c r="N319" s="426" t="inlineStr">
        <is>
          <t>Tier 2</t>
        </is>
      </c>
      <c r="O319" s="441" t="n">
        <v>45822</v>
      </c>
      <c r="P319" s="441" t="n">
        <v>45835</v>
      </c>
      <c r="Q319" s="425">
        <f>IF(P319="","",TODAY()-P319)</f>
        <v/>
      </c>
      <c r="R319" s="441">
        <f>IF(OR(L319="Passed",Z319=""),"",P319+Z319)</f>
        <v/>
      </c>
      <c r="S319" s="425">
        <f>IF(OR(R319="",L319="Passed"),"",IF(R319&lt;=TODAY(),"DUE",IF(R319&lt;=TODAY()+3,"Next 3 Days","Later")))</f>
        <v/>
      </c>
      <c r="T319" s="425" t="inlineStr"/>
      <c r="U319" s="426" t="inlineStr">
        <is>
          <t>https://www.linkedin.com/in/matthuangusa/</t>
        </is>
      </c>
      <c r="V319" s="426" t="inlineStr"/>
      <c r="W319" s="428" t="inlineStr">
        <is>
          <t xml:space="preserve"> | 12/23/2025 | </t>
        </is>
      </c>
      <c r="X319" s="425" t="inlineStr">
        <is>
          <t>John - Investor Contacts!217</t>
        </is>
      </c>
      <c r="Y319" s="426" t="inlineStr">
        <is>
          <t>Send next follow-up with traction + CTA</t>
        </is>
      </c>
      <c r="Z319" s="425" t="n">
        <v>7</v>
      </c>
      <c r="AA319" s="425">
        <f>IF(AC319="Archived",0,ROUND((IF(N319="Tier 1",35,IF(N319="Tier 2",20,8))+IF(C319="Financial Investor",15,IF(C319="Intermediary / Banker",12,8))+IF(L319="Term Sheet / Proposal",25,IF(L319="Engaged",20,IF(L319="Meeting Requested",18,IF(L319="Meeting Held",14,IF(L319="Follow Up",10,5)))))+MIN(Q319,30)+IF(S319="DUE",15,IF(S319="Next 3 Days",8,0))),0))</f>
        <v/>
      </c>
      <c r="AB319" s="425">
        <f>IF(AND(AC319="Active",OR(N319="Tier 1",N319="Tier 2"),OR(S319="DUE",S319="Next 3 Days")),"YES","")</f>
        <v/>
      </c>
      <c r="AC319" s="425">
        <f>IF(L319="Passed","Archived","Active")</f>
        <v/>
      </c>
    </row>
    <row r="320">
      <c r="A320" s="425" t="inlineStr">
        <is>
          <t>EXOS-0319</t>
        </is>
      </c>
      <c r="B320" s="425" t="inlineStr">
        <is>
          <t>John - Investor Contacts</t>
        </is>
      </c>
      <c r="C320" s="425" t="inlineStr">
        <is>
          <t>Financial Investor</t>
        </is>
      </c>
      <c r="D320" s="425" t="inlineStr">
        <is>
          <t>Draper Dragon</t>
        </is>
      </c>
      <c r="E320" s="425" t="inlineStr">
        <is>
          <t>Yiming Hu</t>
        </is>
      </c>
      <c r="F320" s="425" t="inlineStr"/>
      <c r="G320" s="111" t="inlineStr">
        <is>
          <t>yiming@draperdragon.com</t>
        </is>
      </c>
      <c r="H320" s="425" t="inlineStr"/>
      <c r="I320" s="425" t="inlineStr"/>
      <c r="J320" s="111" t="inlineStr">
        <is>
          <t>https://www.linkedin.com/in/yiming-hu-07a12b104/</t>
        </is>
      </c>
      <c r="K320" s="426" t="inlineStr">
        <is>
          <t>John Quinn</t>
        </is>
      </c>
      <c r="L320" s="426" t="inlineStr">
        <is>
          <t>Follow Up</t>
        </is>
      </c>
      <c r="M320" s="425" t="inlineStr">
        <is>
          <t>Space / Defense / Aerospace / Advanced Manufacturing</t>
        </is>
      </c>
      <c r="N320" s="426" t="inlineStr">
        <is>
          <t>Tier 2</t>
        </is>
      </c>
      <c r="O320" s="441" t="n">
        <v>45822</v>
      </c>
      <c r="P320" s="441" t="n">
        <v>45835</v>
      </c>
      <c r="Q320" s="425">
        <f>IF(P320="","",TODAY()-P320)</f>
        <v/>
      </c>
      <c r="R320" s="441">
        <f>IF(OR(L320="Passed",Z320=""),"",P320+Z320)</f>
        <v/>
      </c>
      <c r="S320" s="425">
        <f>IF(OR(R320="",L320="Passed"),"",IF(R320&lt;=TODAY(),"DUE",IF(R320&lt;=TODAY()+3,"Next 3 Days","Later")))</f>
        <v/>
      </c>
      <c r="T320" s="425" t="inlineStr"/>
      <c r="U320" s="426" t="inlineStr">
        <is>
          <t>https://www.linkedin.com/in/yiming-hu-07a12b104/</t>
        </is>
      </c>
      <c r="V320" s="426" t="inlineStr"/>
      <c r="W320" s="428" t="inlineStr">
        <is>
          <t xml:space="preserve"> | 12/23/2025 | </t>
        </is>
      </c>
      <c r="X320" s="425" t="inlineStr">
        <is>
          <t>John - Investor Contacts!213</t>
        </is>
      </c>
      <c r="Y320" s="426" t="inlineStr">
        <is>
          <t>Send next follow-up with traction + CTA</t>
        </is>
      </c>
      <c r="Z320" s="425" t="n">
        <v>7</v>
      </c>
      <c r="AA320" s="425">
        <f>IF(AC320="Archived",0,ROUND((IF(N320="Tier 1",35,IF(N320="Tier 2",20,8))+IF(C320="Financial Investor",15,IF(C320="Intermediary / Banker",12,8))+IF(L320="Term Sheet / Proposal",25,IF(L320="Engaged",20,IF(L320="Meeting Requested",18,IF(L320="Meeting Held",14,IF(L320="Follow Up",10,5)))))+MIN(Q320,30)+IF(S320="DUE",15,IF(S320="Next 3 Days",8,0))),0))</f>
        <v/>
      </c>
      <c r="AB320" s="425">
        <f>IF(AND(AC320="Active",OR(N320="Tier 1",N320="Tier 2"),OR(S320="DUE",S320="Next 3 Days")),"YES","")</f>
        <v/>
      </c>
      <c r="AC320" s="425">
        <f>IF(L320="Passed","Archived","Active")</f>
        <v/>
      </c>
    </row>
    <row r="321">
      <c r="A321" s="425" t="inlineStr">
        <is>
          <t>EXOS-0320</t>
        </is>
      </c>
      <c r="B321" s="425" t="inlineStr">
        <is>
          <t>John - Investor Contacts</t>
        </is>
      </c>
      <c r="C321" s="425" t="inlineStr">
        <is>
          <t>Financial Investor</t>
        </is>
      </c>
      <c r="D321" s="425" t="inlineStr">
        <is>
          <t>Dual Use Ventures</t>
        </is>
      </c>
      <c r="E321" s="425" t="inlineStr">
        <is>
          <t>Rahul Singh - Kipton intro</t>
        </is>
      </c>
      <c r="F321" s="425" t="inlineStr"/>
      <c r="G321" s="111" t="inlineStr">
        <is>
          <t>rsingh@dualuseventures.com</t>
        </is>
      </c>
      <c r="H321" s="425" t="inlineStr"/>
      <c r="I321" s="425" t="inlineStr"/>
      <c r="J321" s="111" t="inlineStr">
        <is>
          <t>https://www.linkedin.com/in/rahulasingh/</t>
        </is>
      </c>
      <c r="K321" s="426" t="inlineStr">
        <is>
          <t>John Quinn</t>
        </is>
      </c>
      <c r="L321" s="426" t="inlineStr">
        <is>
          <t>Follow Up</t>
        </is>
      </c>
      <c r="M321" s="425" t="inlineStr">
        <is>
          <t>Space / Defense / Aerospace / Advanced Manufacturing</t>
        </is>
      </c>
      <c r="N321" s="426" t="inlineStr">
        <is>
          <t>Tier 2</t>
        </is>
      </c>
      <c r="O321" s="441" t="n">
        <v>45835</v>
      </c>
      <c r="P321" s="441" t="n">
        <v>45985</v>
      </c>
      <c r="Q321" s="425">
        <f>IF(P321="","",TODAY()-P321)</f>
        <v/>
      </c>
      <c r="R321" s="441">
        <f>IF(OR(L321="Passed",Z321=""),"",P321+Z321)</f>
        <v/>
      </c>
      <c r="S321" s="425">
        <f>IF(OR(R321="",L321="Passed"),"",IF(R321&lt;=TODAY(),"DUE",IF(R321&lt;=TODAY()+3,"Next 3 Days","Later")))</f>
        <v/>
      </c>
      <c r="T321" s="425" t="inlineStr"/>
      <c r="U321" s="426" t="inlineStr">
        <is>
          <t>https://www.linkedin.com/in/rahulasingh/</t>
        </is>
      </c>
      <c r="V321" s="426" t="inlineStr"/>
      <c r="W321" s="428" t="inlineStr">
        <is>
          <t>12/24/2025 | sent on pager 7/23</t>
        </is>
      </c>
      <c r="X321" s="425" t="inlineStr">
        <is>
          <t>John - Investor Contacts!270 | John - Investor Contacts!802</t>
        </is>
      </c>
      <c r="Y321" s="426" t="inlineStr">
        <is>
          <t>Send next follow-up with traction + CTA</t>
        </is>
      </c>
      <c r="Z321" s="425" t="n">
        <v>7</v>
      </c>
      <c r="AA321" s="425">
        <f>IF(AC321="Archived",0,ROUND((IF(N321="Tier 1",35,IF(N321="Tier 2",20,8))+IF(C321="Financial Investor",15,IF(C321="Intermediary / Banker",12,8))+IF(L321="Term Sheet / Proposal",25,IF(L321="Engaged",20,IF(L321="Meeting Requested",18,IF(L321="Meeting Held",14,IF(L321="Follow Up",10,5)))))+MIN(Q321,30)+IF(S321="DUE",15,IF(S321="Next 3 Days",8,0))),0))</f>
        <v/>
      </c>
      <c r="AB321" s="425">
        <f>IF(AND(AC321="Active",OR(N321="Tier 1",N321="Tier 2"),OR(S321="DUE",S321="Next 3 Days")),"YES","")</f>
        <v/>
      </c>
      <c r="AC321" s="425">
        <f>IF(L321="Passed","Archived","Active")</f>
        <v/>
      </c>
    </row>
    <row r="322">
      <c r="A322" s="425" t="inlineStr">
        <is>
          <t>EXOS-0321</t>
        </is>
      </c>
      <c r="B322" s="425" t="inlineStr">
        <is>
          <t>John - Investor Contacts</t>
        </is>
      </c>
      <c r="C322" s="425" t="inlineStr">
        <is>
          <t>Financial Investor</t>
        </is>
      </c>
      <c r="D322" s="425" t="inlineStr">
        <is>
          <t>Dundee Venture Capital</t>
        </is>
      </c>
      <c r="E322" s="425" t="inlineStr">
        <is>
          <t>Catherine Williams</t>
        </is>
      </c>
      <c r="F322" s="425" t="inlineStr"/>
      <c r="G322" s="111" t="inlineStr">
        <is>
          <t>catherine@dundeevc.com</t>
        </is>
      </c>
      <c r="H322" s="425" t="inlineStr"/>
      <c r="I322" s="425" t="inlineStr"/>
      <c r="J322" s="111" t="inlineStr">
        <is>
          <t>https://www.linkedin.com/in/cwilliams0801/</t>
        </is>
      </c>
      <c r="K322" s="426" t="inlineStr">
        <is>
          <t>John Quinn</t>
        </is>
      </c>
      <c r="L322" s="426" t="inlineStr">
        <is>
          <t>Follow Up</t>
        </is>
      </c>
      <c r="M322" s="425" t="inlineStr">
        <is>
          <t>Space / Defense / Aerospace / Advanced Manufacturing</t>
        </is>
      </c>
      <c r="N322" s="426" t="inlineStr">
        <is>
          <t>Tier 2</t>
        </is>
      </c>
      <c r="O322" s="441" t="n">
        <v>45898</v>
      </c>
      <c r="P322" s="441" t="n">
        <v>45929</v>
      </c>
      <c r="Q322" s="425">
        <f>IF(P322="","",TODAY()-P322)</f>
        <v/>
      </c>
      <c r="R322" s="441">
        <f>IF(OR(L322="Passed",Z322=""),"",P322+Z322)</f>
        <v/>
      </c>
      <c r="S322" s="425">
        <f>IF(OR(R322="",L322="Passed"),"",IF(R322&lt;=TODAY(),"DUE",IF(R322&lt;=TODAY()+3,"Next 3 Days","Later")))</f>
        <v/>
      </c>
      <c r="T322" s="425" t="inlineStr"/>
      <c r="U322" s="426" t="inlineStr">
        <is>
          <t>https://www.linkedin.com/in/cwilliams0801/</t>
        </is>
      </c>
      <c r="V322" s="426" t="inlineStr"/>
      <c r="W322" s="428" t="inlineStr">
        <is>
          <t xml:space="preserve"> | 12/05/2025 | </t>
        </is>
      </c>
      <c r="X322" s="425" t="inlineStr">
        <is>
          <t>John - Investor Contacts!582</t>
        </is>
      </c>
      <c r="Y322" s="426" t="inlineStr">
        <is>
          <t>Send next follow-up with traction + CTA</t>
        </is>
      </c>
      <c r="Z322" s="425" t="n">
        <v>7</v>
      </c>
      <c r="AA322" s="425">
        <f>IF(AC322="Archived",0,ROUND((IF(N322="Tier 1",35,IF(N322="Tier 2",20,8))+IF(C322="Financial Investor",15,IF(C322="Intermediary / Banker",12,8))+IF(L322="Term Sheet / Proposal",25,IF(L322="Engaged",20,IF(L322="Meeting Requested",18,IF(L322="Meeting Held",14,IF(L322="Follow Up",10,5)))))+MIN(Q322,30)+IF(S322="DUE",15,IF(S322="Next 3 Days",8,0))),0))</f>
        <v/>
      </c>
      <c r="AB322" s="425">
        <f>IF(AND(AC322="Active",OR(N322="Tier 1",N322="Tier 2"),OR(S322="DUE",S322="Next 3 Days")),"YES","")</f>
        <v/>
      </c>
      <c r="AC322" s="425">
        <f>IF(L322="Passed","Archived","Active")</f>
        <v/>
      </c>
    </row>
    <row r="323">
      <c r="A323" s="425" t="inlineStr">
        <is>
          <t>EXOS-0322</t>
        </is>
      </c>
      <c r="B323" s="425" t="inlineStr">
        <is>
          <t>John - Investor Contacts</t>
        </is>
      </c>
      <c r="C323" s="425" t="inlineStr">
        <is>
          <t>Financial Investor</t>
        </is>
      </c>
      <c r="D323" s="425" t="inlineStr">
        <is>
          <t>Dynabrand Ventures</t>
        </is>
      </c>
      <c r="E323" s="425" t="inlineStr">
        <is>
          <t>Carla Stanmyre McDonald</t>
        </is>
      </c>
      <c r="F323" s="425" t="inlineStr"/>
      <c r="G323" s="111" t="inlineStr">
        <is>
          <t>carlamcdonald@dynabrand.com</t>
        </is>
      </c>
      <c r="H323" s="425" t="inlineStr"/>
      <c r="I323" s="425" t="inlineStr"/>
      <c r="J323" s="111" t="inlineStr">
        <is>
          <t>https://www.linkedin.com/in/carlastanmyremcdonald/</t>
        </is>
      </c>
      <c r="K323" s="426" t="inlineStr">
        <is>
          <t>John Quinn</t>
        </is>
      </c>
      <c r="L323" s="426" t="inlineStr">
        <is>
          <t>Follow Up</t>
        </is>
      </c>
      <c r="M323" s="425" t="inlineStr">
        <is>
          <t>Space / Defense / Aerospace / Advanced Manufacturing</t>
        </is>
      </c>
      <c r="N323" s="426" t="inlineStr">
        <is>
          <t>Tier 2</t>
        </is>
      </c>
      <c r="O323" s="441" t="n">
        <v>45813</v>
      </c>
      <c r="P323" s="441" t="n">
        <v>45841</v>
      </c>
      <c r="Q323" s="425">
        <f>IF(P323="","",TODAY()-P323)</f>
        <v/>
      </c>
      <c r="R323" s="441">
        <f>IF(OR(L323="Passed",Z323=""),"",P323+Z323)</f>
        <v/>
      </c>
      <c r="S323" s="425">
        <f>IF(OR(R323="",L323="Passed"),"",IF(R323&lt;=TODAY(),"DUE",IF(R323&lt;=TODAY()+3,"Next 3 Days","Later")))</f>
        <v/>
      </c>
      <c r="T323" s="425" t="inlineStr"/>
      <c r="U323" s="426" t="inlineStr">
        <is>
          <t>https://www.linkedin.com/in/carlastanmyremcdonald/</t>
        </is>
      </c>
      <c r="V323" s="426" t="inlineStr"/>
      <c r="W323" s="428" t="inlineStr">
        <is>
          <t xml:space="preserve"> | contact form on website | I submitted an email through the website as well on 6/5</t>
        </is>
      </c>
      <c r="X323" s="425" t="inlineStr">
        <is>
          <t>John - Investor Contacts!123</t>
        </is>
      </c>
      <c r="Y323" s="426" t="inlineStr">
        <is>
          <t>Send next follow-up with traction + CTA</t>
        </is>
      </c>
      <c r="Z323" s="425" t="n">
        <v>7</v>
      </c>
      <c r="AA323" s="425">
        <f>IF(AC323="Archived",0,ROUND((IF(N323="Tier 1",35,IF(N323="Tier 2",20,8))+IF(C323="Financial Investor",15,IF(C323="Intermediary / Banker",12,8))+IF(L323="Term Sheet / Proposal",25,IF(L323="Engaged",20,IF(L323="Meeting Requested",18,IF(L323="Meeting Held",14,IF(L323="Follow Up",10,5)))))+MIN(Q323,30)+IF(S323="DUE",15,IF(S323="Next 3 Days",8,0))),0))</f>
        <v/>
      </c>
      <c r="AB323" s="425">
        <f>IF(AND(AC323="Active",OR(N323="Tier 1",N323="Tier 2"),OR(S323="DUE",S323="Next 3 Days")),"YES","")</f>
        <v/>
      </c>
      <c r="AC323" s="425">
        <f>IF(L323="Passed","Archived","Active")</f>
        <v/>
      </c>
    </row>
    <row r="324">
      <c r="A324" s="425" t="inlineStr">
        <is>
          <t>EXOS-0323</t>
        </is>
      </c>
      <c r="B324" s="425" t="inlineStr">
        <is>
          <t>John - Investor Contacts</t>
        </is>
      </c>
      <c r="C324" s="425" t="inlineStr">
        <is>
          <t>Financial Investor</t>
        </is>
      </c>
      <c r="D324" s="425" t="inlineStr">
        <is>
          <t>Earl Grey Capital</t>
        </is>
      </c>
      <c r="E324" s="425" t="inlineStr">
        <is>
          <t>Amit Vasudev</t>
        </is>
      </c>
      <c r="F324" s="425" t="inlineStr"/>
      <c r="G324" s="111" t="inlineStr">
        <is>
          <t>avasudev@gmail.com</t>
        </is>
      </c>
      <c r="H324" s="425" t="inlineStr"/>
      <c r="I324" s="425" t="inlineStr"/>
      <c r="J324" s="111" t="inlineStr">
        <is>
          <t>https://www.linkedin.com/in/amitpvasudev/</t>
        </is>
      </c>
      <c r="K324" s="426" t="inlineStr">
        <is>
          <t>John Quinn</t>
        </is>
      </c>
      <c r="L324" s="426" t="inlineStr">
        <is>
          <t>Follow Up</t>
        </is>
      </c>
      <c r="M324" s="425" t="inlineStr">
        <is>
          <t>Space / Defense / Aerospace / Advanced Manufacturing</t>
        </is>
      </c>
      <c r="N324" s="426" t="inlineStr">
        <is>
          <t>Tier 2</t>
        </is>
      </c>
      <c r="O324" s="441" t="n">
        <v>45813</v>
      </c>
      <c r="P324" s="441" t="n">
        <v>45841</v>
      </c>
      <c r="Q324" s="425">
        <f>IF(P324="","",TODAY()-P324)</f>
        <v/>
      </c>
      <c r="R324" s="441">
        <f>IF(OR(L324="Passed",Z324=""),"",P324+Z324)</f>
        <v/>
      </c>
      <c r="S324" s="425">
        <f>IF(OR(R324="",L324="Passed"),"",IF(R324&lt;=TODAY(),"DUE",IF(R324&lt;=TODAY()+3,"Next 3 Days","Later")))</f>
        <v/>
      </c>
      <c r="T324" s="425" t="inlineStr"/>
      <c r="U324" s="426" t="inlineStr">
        <is>
          <t>https://www.linkedin.com/in/amitpvasudev/</t>
        </is>
      </c>
      <c r="V324" s="426" t="inlineStr"/>
      <c r="W324" s="428" t="inlineStr">
        <is>
          <t xml:space="preserve"> |  | </t>
        </is>
      </c>
      <c r="X324" s="425" t="inlineStr">
        <is>
          <t>John - Investor Contacts!128</t>
        </is>
      </c>
      <c r="Y324" s="426" t="inlineStr">
        <is>
          <t>Send next follow-up with traction + CTA</t>
        </is>
      </c>
      <c r="Z324" s="425" t="n">
        <v>7</v>
      </c>
      <c r="AA324" s="425">
        <f>IF(AC324="Archived",0,ROUND((IF(N324="Tier 1",35,IF(N324="Tier 2",20,8))+IF(C324="Financial Investor",15,IF(C324="Intermediary / Banker",12,8))+IF(L324="Term Sheet / Proposal",25,IF(L324="Engaged",20,IF(L324="Meeting Requested",18,IF(L324="Meeting Held",14,IF(L324="Follow Up",10,5)))))+MIN(Q324,30)+IF(S324="DUE",15,IF(S324="Next 3 Days",8,0))),0))</f>
        <v/>
      </c>
      <c r="AB324" s="425">
        <f>IF(AND(AC324="Active",OR(N324="Tier 1",N324="Tier 2"),OR(S324="DUE",S324="Next 3 Days")),"YES","")</f>
        <v/>
      </c>
      <c r="AC324" s="425">
        <f>IF(L324="Passed","Archived","Active")</f>
        <v/>
      </c>
    </row>
    <row r="325">
      <c r="A325" s="425" t="inlineStr">
        <is>
          <t>EXOS-0324</t>
        </is>
      </c>
      <c r="B325" s="425" t="inlineStr">
        <is>
          <t>John - Investor Contacts</t>
        </is>
      </c>
      <c r="C325" s="425" t="inlineStr">
        <is>
          <t>Financial Investor</t>
        </is>
      </c>
      <c r="D325" s="425" t="inlineStr">
        <is>
          <t>Earl Grey Capital</t>
        </is>
      </c>
      <c r="E325" s="425" t="inlineStr">
        <is>
          <t>Matt Sornson</t>
        </is>
      </c>
      <c r="F325" s="425" t="inlineStr"/>
      <c r="G325" s="111" t="inlineStr">
        <is>
          <t>matt@earlgrey.capital</t>
        </is>
      </c>
      <c r="H325" s="425" t="inlineStr">
        <is>
          <t>mattsornson@gmail.com</t>
        </is>
      </c>
      <c r="I325" s="425" t="inlineStr"/>
      <c r="J325" s="111" t="inlineStr">
        <is>
          <t>https://www.linkedin.com/in/mattsornson/</t>
        </is>
      </c>
      <c r="K325" s="426" t="inlineStr">
        <is>
          <t>John Quinn</t>
        </is>
      </c>
      <c r="L325" s="426" t="inlineStr">
        <is>
          <t>Follow Up</t>
        </is>
      </c>
      <c r="M325" s="425" t="inlineStr">
        <is>
          <t>Space / Defense / Aerospace / Advanced Manufacturing</t>
        </is>
      </c>
      <c r="N325" s="426" t="inlineStr">
        <is>
          <t>Tier 2</t>
        </is>
      </c>
      <c r="O325" s="441" t="n">
        <v>45813</v>
      </c>
      <c r="P325" s="441" t="n">
        <v>45841</v>
      </c>
      <c r="Q325" s="425">
        <f>IF(P325="","",TODAY()-P325)</f>
        <v/>
      </c>
      <c r="R325" s="441">
        <f>IF(OR(L325="Passed",Z325=""),"",P325+Z325)</f>
        <v/>
      </c>
      <c r="S325" s="425">
        <f>IF(OR(R325="",L325="Passed"),"",IF(R325&lt;=TODAY(),"DUE",IF(R325&lt;=TODAY()+3,"Next 3 Days","Later")))</f>
        <v/>
      </c>
      <c r="T325" s="425" t="inlineStr"/>
      <c r="U325" s="426" t="inlineStr">
        <is>
          <t>https://www.linkedin.com/in/mattsornson/</t>
        </is>
      </c>
      <c r="V325" s="426" t="inlineStr"/>
      <c r="W325" s="428" t="inlineStr">
        <is>
          <t xml:space="preserve"> |  | </t>
        </is>
      </c>
      <c r="X325" s="425" t="inlineStr">
        <is>
          <t>John - Investor Contacts!127</t>
        </is>
      </c>
      <c r="Y325" s="426" t="inlineStr">
        <is>
          <t>Send next follow-up with traction + CTA</t>
        </is>
      </c>
      <c r="Z325" s="425" t="n">
        <v>7</v>
      </c>
      <c r="AA325" s="425">
        <f>IF(AC325="Archived",0,ROUND((IF(N325="Tier 1",35,IF(N325="Tier 2",20,8))+IF(C325="Financial Investor",15,IF(C325="Intermediary / Banker",12,8))+IF(L325="Term Sheet / Proposal",25,IF(L325="Engaged",20,IF(L325="Meeting Requested",18,IF(L325="Meeting Held",14,IF(L325="Follow Up",10,5)))))+MIN(Q325,30)+IF(S325="DUE",15,IF(S325="Next 3 Days",8,0))),0))</f>
        <v/>
      </c>
      <c r="AB325" s="425">
        <f>IF(AND(AC325="Active",OR(N325="Tier 1",N325="Tier 2"),OR(S325="DUE",S325="Next 3 Days")),"YES","")</f>
        <v/>
      </c>
      <c r="AC325" s="425">
        <f>IF(L325="Passed","Archived","Active")</f>
        <v/>
      </c>
    </row>
    <row r="326">
      <c r="A326" s="425" t="inlineStr">
        <is>
          <t>EXOS-0325</t>
        </is>
      </c>
      <c r="B326" s="425" t="inlineStr">
        <is>
          <t>John - Investor Contacts</t>
        </is>
      </c>
      <c r="C326" s="425" t="inlineStr">
        <is>
          <t>Financial Investor</t>
        </is>
      </c>
      <c r="D326" s="425" t="inlineStr">
        <is>
          <t>Earl Grey Capital</t>
        </is>
      </c>
      <c r="E326" s="425" t="inlineStr">
        <is>
          <t>whole team</t>
        </is>
      </c>
      <c r="F326" s="425" t="inlineStr"/>
      <c r="G326" s="111" t="inlineStr">
        <is>
          <t>team@earlgrey.capital</t>
        </is>
      </c>
      <c r="H326" s="425" t="inlineStr"/>
      <c r="I326" s="425" t="inlineStr"/>
      <c r="J326" s="425" t="inlineStr"/>
      <c r="K326" s="426" t="inlineStr">
        <is>
          <t>John Quinn</t>
        </is>
      </c>
      <c r="L326" s="426" t="inlineStr">
        <is>
          <t>Follow Up</t>
        </is>
      </c>
      <c r="M326" s="425" t="inlineStr">
        <is>
          <t>Space / Defense / Aerospace / Advanced Manufacturing</t>
        </is>
      </c>
      <c r="N326" s="426" t="inlineStr">
        <is>
          <t>Tier 2</t>
        </is>
      </c>
      <c r="O326" s="441" t="n">
        <v>45813</v>
      </c>
      <c r="P326" s="441" t="n">
        <v>45828</v>
      </c>
      <c r="Q326" s="425">
        <f>IF(P326="","",TODAY()-P326)</f>
        <v/>
      </c>
      <c r="R326" s="441">
        <f>IF(OR(L326="Passed",Z326=""),"",P326+Z326)</f>
        <v/>
      </c>
      <c r="S326" s="425">
        <f>IF(OR(R326="",L326="Passed"),"",IF(R326&lt;=TODAY(),"DUE",IF(R326&lt;=TODAY()+3,"Next 3 Days","Later")))</f>
        <v/>
      </c>
      <c r="T326" s="425" t="inlineStr"/>
      <c r="U326" s="426" t="inlineStr"/>
      <c r="V326" s="426" t="inlineStr"/>
      <c r="W326" s="428" t="inlineStr">
        <is>
          <t xml:space="preserve"> |  | </t>
        </is>
      </c>
      <c r="X326" s="425" t="inlineStr">
        <is>
          <t>John - Investor Contacts!126</t>
        </is>
      </c>
      <c r="Y326" s="426" t="inlineStr">
        <is>
          <t>Send next follow-up with traction + CTA</t>
        </is>
      </c>
      <c r="Z326" s="425" t="n">
        <v>7</v>
      </c>
      <c r="AA326" s="425">
        <f>IF(AC326="Archived",0,ROUND((IF(N326="Tier 1",35,IF(N326="Tier 2",20,8))+IF(C326="Financial Investor",15,IF(C326="Intermediary / Banker",12,8))+IF(L326="Term Sheet / Proposal",25,IF(L326="Engaged",20,IF(L326="Meeting Requested",18,IF(L326="Meeting Held",14,IF(L326="Follow Up",10,5)))))+MIN(Q326,30)+IF(S326="DUE",15,IF(S326="Next 3 Days",8,0))),0))</f>
        <v/>
      </c>
      <c r="AB326" s="425">
        <f>IF(AND(AC326="Active",OR(N326="Tier 1",N326="Tier 2"),OR(S326="DUE",S326="Next 3 Days")),"YES","")</f>
        <v/>
      </c>
      <c r="AC326" s="425">
        <f>IF(L326="Passed","Archived","Active")</f>
        <v/>
      </c>
    </row>
    <row r="327">
      <c r="A327" s="425" t="inlineStr">
        <is>
          <t>EXOS-0326</t>
        </is>
      </c>
      <c r="B327" s="425" t="inlineStr">
        <is>
          <t>John - Investor Contacts</t>
        </is>
      </c>
      <c r="C327" s="425" t="inlineStr">
        <is>
          <t>Financial Investor</t>
        </is>
      </c>
      <c r="D327" s="425" t="inlineStr">
        <is>
          <t>Earthshot Ventures</t>
        </is>
      </c>
      <c r="E327" s="425" t="inlineStr">
        <is>
          <t>Ramsay Siegal</t>
        </is>
      </c>
      <c r="F327" s="425" t="inlineStr"/>
      <c r="G327" s="111" t="inlineStr">
        <is>
          <t>ramsay@earthshot.vc</t>
        </is>
      </c>
      <c r="H327" s="425" t="inlineStr"/>
      <c r="I327" s="425" t="inlineStr"/>
      <c r="J327" s="111" t="inlineStr">
        <is>
          <t>https://www.linkedin.com/in/ramsaysiegal/</t>
        </is>
      </c>
      <c r="K327" s="426" t="inlineStr">
        <is>
          <t>John Quinn</t>
        </is>
      </c>
      <c r="L327" s="426" t="inlineStr">
        <is>
          <t>Follow Up</t>
        </is>
      </c>
      <c r="M327" s="425" t="inlineStr">
        <is>
          <t>Space / Defense / Aerospace / Advanced Manufacturing</t>
        </is>
      </c>
      <c r="N327" s="426" t="inlineStr">
        <is>
          <t>Tier 2</t>
        </is>
      </c>
      <c r="O327" s="441" t="n">
        <v>45994</v>
      </c>
      <c r="P327" s="441" t="n">
        <v>46036</v>
      </c>
      <c r="Q327" s="425">
        <f>IF(P327="","",TODAY()-P327)</f>
        <v/>
      </c>
      <c r="R327" s="441">
        <f>IF(OR(L327="Passed",Z327=""),"",P327+Z327)</f>
        <v/>
      </c>
      <c r="S327" s="425">
        <f>IF(OR(R327="",L327="Passed"),"",IF(R327&lt;=TODAY(),"DUE",IF(R327&lt;=TODAY()+3,"Next 3 Days","Later")))</f>
        <v/>
      </c>
      <c r="T327" s="425" t="inlineStr"/>
      <c r="U327" s="426" t="inlineStr">
        <is>
          <t>https://www.linkedin.com/in/ramsaysiegal/</t>
        </is>
      </c>
      <c r="V327" s="426" t="inlineStr"/>
      <c r="W327" s="428" t="inlineStr">
        <is>
          <t xml:space="preserve"> |  | </t>
        </is>
      </c>
      <c r="X327" s="425" t="inlineStr">
        <is>
          <t>John - Investor Contacts!706</t>
        </is>
      </c>
      <c r="Y327" s="426" t="inlineStr">
        <is>
          <t>Send next follow-up with traction + CTA</t>
        </is>
      </c>
      <c r="Z327" s="425" t="n">
        <v>7</v>
      </c>
      <c r="AA327" s="425">
        <f>IF(AC327="Archived",0,ROUND((IF(N327="Tier 1",35,IF(N327="Tier 2",20,8))+IF(C327="Financial Investor",15,IF(C327="Intermediary / Banker",12,8))+IF(L327="Term Sheet / Proposal",25,IF(L327="Engaged",20,IF(L327="Meeting Requested",18,IF(L327="Meeting Held",14,IF(L327="Follow Up",10,5)))))+MIN(Q327,30)+IF(S327="DUE",15,IF(S327="Next 3 Days",8,0))),0))</f>
        <v/>
      </c>
      <c r="AB327" s="425">
        <f>IF(AND(AC327="Active",OR(N327="Tier 1",N327="Tier 2"),OR(S327="DUE",S327="Next 3 Days")),"YES","")</f>
        <v/>
      </c>
      <c r="AC327" s="425">
        <f>IF(L327="Passed","Archived","Active")</f>
        <v/>
      </c>
    </row>
    <row r="328">
      <c r="A328" s="425" t="inlineStr">
        <is>
          <t>EXOS-0327</t>
        </is>
      </c>
      <c r="B328" s="425" t="inlineStr">
        <is>
          <t>John - Investor Contacts</t>
        </is>
      </c>
      <c r="C328" s="425" t="inlineStr">
        <is>
          <t>Financial Investor</t>
        </is>
      </c>
      <c r="D328" s="425" t="inlineStr">
        <is>
          <t>Eclipse Ventures</t>
        </is>
      </c>
      <c r="E328" s="425" t="inlineStr">
        <is>
          <t>Aidan Madigan-Curtis</t>
        </is>
      </c>
      <c r="F328" s="425" t="inlineStr"/>
      <c r="G328" s="111" t="inlineStr">
        <is>
          <t>aidan@eclipse.vc</t>
        </is>
      </c>
      <c r="H328" s="425" t="inlineStr"/>
      <c r="I328" s="425" t="inlineStr"/>
      <c r="J328" s="111" t="inlineStr">
        <is>
          <t>https://www.linkedin.com/in/aidan-madigan-curtis</t>
        </is>
      </c>
      <c r="K328" s="426" t="inlineStr">
        <is>
          <t>John Quinn</t>
        </is>
      </c>
      <c r="L328" s="426" t="inlineStr">
        <is>
          <t>Follow Up</t>
        </is>
      </c>
      <c r="M328" s="425" t="inlineStr">
        <is>
          <t>Space / Defense / Aerospace / Advanced Manufacturing</t>
        </is>
      </c>
      <c r="N328" s="426" t="inlineStr">
        <is>
          <t>Tier 2</t>
        </is>
      </c>
      <c r="O328" s="441" t="n">
        <v>45909</v>
      </c>
      <c r="P328" s="441" t="n">
        <v>45972</v>
      </c>
      <c r="Q328" s="425">
        <f>IF(P328="","",TODAY()-P328)</f>
        <v/>
      </c>
      <c r="R328" s="441">
        <f>IF(OR(L328="Passed",Z328=""),"",P328+Z328)</f>
        <v/>
      </c>
      <c r="S328" s="425">
        <f>IF(OR(R328="",L328="Passed"),"",IF(R328&lt;=TODAY(),"DUE",IF(R328&lt;=TODAY()+3,"Next 3 Days","Later")))</f>
        <v/>
      </c>
      <c r="T328" s="425" t="inlineStr"/>
      <c r="U328" s="426" t="inlineStr">
        <is>
          <t>https://www.linkedin.com/in/aidan-madigan-curtis</t>
        </is>
      </c>
      <c r="V328" s="426" t="inlineStr"/>
      <c r="W328" s="428" t="inlineStr">
        <is>
          <t xml:space="preserve"> | 12/05/2025 | </t>
        </is>
      </c>
      <c r="X328" s="425" t="inlineStr">
        <is>
          <t>John - Investor Contacts!634</t>
        </is>
      </c>
      <c r="Y328" s="426" t="inlineStr">
        <is>
          <t>Send next follow-up with traction + CTA</t>
        </is>
      </c>
      <c r="Z328" s="425" t="n">
        <v>7</v>
      </c>
      <c r="AA328" s="425">
        <f>IF(AC328="Archived",0,ROUND((IF(N328="Tier 1",35,IF(N328="Tier 2",20,8))+IF(C328="Financial Investor",15,IF(C328="Intermediary / Banker",12,8))+IF(L328="Term Sheet / Proposal",25,IF(L328="Engaged",20,IF(L328="Meeting Requested",18,IF(L328="Meeting Held",14,IF(L328="Follow Up",10,5)))))+MIN(Q328,30)+IF(S328="DUE",15,IF(S328="Next 3 Days",8,0))),0))</f>
        <v/>
      </c>
      <c r="AB328" s="425">
        <f>IF(AND(AC328="Active",OR(N328="Tier 1",N328="Tier 2"),OR(S328="DUE",S328="Next 3 Days")),"YES","")</f>
        <v/>
      </c>
      <c r="AC328" s="425">
        <f>IF(L328="Passed","Archived","Active")</f>
        <v/>
      </c>
    </row>
    <row r="329">
      <c r="A329" s="425" t="inlineStr">
        <is>
          <t>EXOS-0328</t>
        </is>
      </c>
      <c r="B329" s="425" t="inlineStr">
        <is>
          <t>John - Investor Contacts</t>
        </is>
      </c>
      <c r="C329" s="425" t="inlineStr">
        <is>
          <t>Financial Investor</t>
        </is>
      </c>
      <c r="D329" s="425" t="inlineStr">
        <is>
          <t>Eclipse Ventures</t>
        </is>
      </c>
      <c r="E329" s="425" t="inlineStr">
        <is>
          <t>Justin Butler</t>
        </is>
      </c>
      <c r="F329" s="425" t="inlineStr"/>
      <c r="G329" s="111" t="inlineStr">
        <is>
          <t>justin@eclipse.vc</t>
        </is>
      </c>
      <c r="H329" s="425" t="inlineStr"/>
      <c r="I329" s="425" t="inlineStr"/>
      <c r="J329" s="111" t="inlineStr">
        <is>
          <t>https://www.linkedin.com/in/justinwbutler/</t>
        </is>
      </c>
      <c r="K329" s="426" t="inlineStr">
        <is>
          <t>John Quinn</t>
        </is>
      </c>
      <c r="L329" s="426" t="inlineStr">
        <is>
          <t>Follow Up</t>
        </is>
      </c>
      <c r="M329" s="425" t="inlineStr">
        <is>
          <t>Space / Defense / Aerospace / Advanced Manufacturing</t>
        </is>
      </c>
      <c r="N329" s="426" t="inlineStr">
        <is>
          <t>Tier 2</t>
        </is>
      </c>
      <c r="O329" s="441" t="n">
        <v>45909</v>
      </c>
      <c r="P329" s="441" t="n">
        <v>45972</v>
      </c>
      <c r="Q329" s="425">
        <f>IF(P329="","",TODAY()-P329)</f>
        <v/>
      </c>
      <c r="R329" s="441">
        <f>IF(OR(L329="Passed",Z329=""),"",P329+Z329)</f>
        <v/>
      </c>
      <c r="S329" s="425">
        <f>IF(OR(R329="",L329="Passed"),"",IF(R329&lt;=TODAY(),"DUE",IF(R329&lt;=TODAY()+3,"Next 3 Days","Later")))</f>
        <v/>
      </c>
      <c r="T329" s="425" t="inlineStr"/>
      <c r="U329" s="426" t="inlineStr">
        <is>
          <t>https://www.linkedin.com/in/justinwbutler/</t>
        </is>
      </c>
      <c r="V329" s="426" t="inlineStr"/>
      <c r="W329" s="428" t="inlineStr">
        <is>
          <t xml:space="preserve"> | 12/05/2025 | </t>
        </is>
      </c>
      <c r="X329" s="425" t="inlineStr">
        <is>
          <t>John - Investor Contacts!636</t>
        </is>
      </c>
      <c r="Y329" s="426" t="inlineStr">
        <is>
          <t>Send next follow-up with traction + CTA</t>
        </is>
      </c>
      <c r="Z329" s="425" t="n">
        <v>7</v>
      </c>
      <c r="AA329" s="425">
        <f>IF(AC329="Archived",0,ROUND((IF(N329="Tier 1",35,IF(N329="Tier 2",20,8))+IF(C329="Financial Investor",15,IF(C329="Intermediary / Banker",12,8))+IF(L329="Term Sheet / Proposal",25,IF(L329="Engaged",20,IF(L329="Meeting Requested",18,IF(L329="Meeting Held",14,IF(L329="Follow Up",10,5)))))+MIN(Q329,30)+IF(S329="DUE",15,IF(S329="Next 3 Days",8,0))),0))</f>
        <v/>
      </c>
      <c r="AB329" s="425">
        <f>IF(AND(AC329="Active",OR(N329="Tier 1",N329="Tier 2"),OR(S329="DUE",S329="Next 3 Days")),"YES","")</f>
        <v/>
      </c>
      <c r="AC329" s="425">
        <f>IF(L329="Passed","Archived","Active")</f>
        <v/>
      </c>
    </row>
    <row r="330">
      <c r="A330" s="425" t="inlineStr">
        <is>
          <t>EXOS-0329</t>
        </is>
      </c>
      <c r="B330" s="425" t="inlineStr">
        <is>
          <t>John - Investor Contacts</t>
        </is>
      </c>
      <c r="C330" s="425" t="inlineStr">
        <is>
          <t>Financial Investor</t>
        </is>
      </c>
      <c r="D330" s="425" t="inlineStr">
        <is>
          <t>Eclipse Ventures</t>
        </is>
      </c>
      <c r="E330" s="425" t="inlineStr">
        <is>
          <t>Lior Susan</t>
        </is>
      </c>
      <c r="F330" s="425" t="inlineStr"/>
      <c r="G330" s="111" t="inlineStr">
        <is>
          <t>lior@eclipse.vc</t>
        </is>
      </c>
      <c r="H330" s="425" t="inlineStr"/>
      <c r="I330" s="425" t="inlineStr"/>
      <c r="J330" s="111" t="inlineStr">
        <is>
          <t>https://www.linkedin.com/in/liorsusan</t>
        </is>
      </c>
      <c r="K330" s="426" t="inlineStr">
        <is>
          <t>John Quinn</t>
        </is>
      </c>
      <c r="L330" s="426" t="inlineStr">
        <is>
          <t>Follow Up</t>
        </is>
      </c>
      <c r="M330" s="425" t="inlineStr">
        <is>
          <t>Space / Defense / Aerospace / Advanced Manufacturing</t>
        </is>
      </c>
      <c r="N330" s="426" t="inlineStr">
        <is>
          <t>Tier 2</t>
        </is>
      </c>
      <c r="O330" s="441" t="n">
        <v>45909</v>
      </c>
      <c r="P330" s="441" t="n">
        <v>45972</v>
      </c>
      <c r="Q330" s="425">
        <f>IF(P330="","",TODAY()-P330)</f>
        <v/>
      </c>
      <c r="R330" s="441">
        <f>IF(OR(L330="Passed",Z330=""),"",P330+Z330)</f>
        <v/>
      </c>
      <c r="S330" s="425">
        <f>IF(OR(R330="",L330="Passed"),"",IF(R330&lt;=TODAY(),"DUE",IF(R330&lt;=TODAY()+3,"Next 3 Days","Later")))</f>
        <v/>
      </c>
      <c r="T330" s="425" t="inlineStr"/>
      <c r="U330" s="426" t="inlineStr">
        <is>
          <t>https://www.linkedin.com/in/liorsusan</t>
        </is>
      </c>
      <c r="V330" s="426" t="inlineStr"/>
      <c r="W330" s="428" t="inlineStr">
        <is>
          <t xml:space="preserve"> | 12/05/2025 | </t>
        </is>
      </c>
      <c r="X330" s="425" t="inlineStr">
        <is>
          <t>John - Investor Contacts!635</t>
        </is>
      </c>
      <c r="Y330" s="426" t="inlineStr">
        <is>
          <t>Send next follow-up with traction + CTA</t>
        </is>
      </c>
      <c r="Z330" s="425" t="n">
        <v>7</v>
      </c>
      <c r="AA330" s="425">
        <f>IF(AC330="Archived",0,ROUND((IF(N330="Tier 1",35,IF(N330="Tier 2",20,8))+IF(C330="Financial Investor",15,IF(C330="Intermediary / Banker",12,8))+IF(L330="Term Sheet / Proposal",25,IF(L330="Engaged",20,IF(L330="Meeting Requested",18,IF(L330="Meeting Held",14,IF(L330="Follow Up",10,5)))))+MIN(Q330,30)+IF(S330="DUE",15,IF(S330="Next 3 Days",8,0))),0))</f>
        <v/>
      </c>
      <c r="AB330" s="425">
        <f>IF(AND(AC330="Active",OR(N330="Tier 1",N330="Tier 2"),OR(S330="DUE",S330="Next 3 Days")),"YES","")</f>
        <v/>
      </c>
      <c r="AC330" s="425">
        <f>IF(L330="Passed","Archived","Active")</f>
        <v/>
      </c>
    </row>
    <row r="331">
      <c r="A331" s="425" t="inlineStr">
        <is>
          <t>EXOS-0330</t>
        </is>
      </c>
      <c r="B331" s="425" t="inlineStr">
        <is>
          <t>John - Investor Contacts</t>
        </is>
      </c>
      <c r="C331" s="425" t="inlineStr">
        <is>
          <t>Financial Investor</t>
        </is>
      </c>
      <c r="D331" s="425" t="inlineStr">
        <is>
          <t>Eclipse Ventures</t>
        </is>
      </c>
      <c r="E331" s="425" t="inlineStr">
        <is>
          <t>Seth Winterroth</t>
        </is>
      </c>
      <c r="F331" s="425" t="inlineStr"/>
      <c r="G331" s="111" t="inlineStr">
        <is>
          <t>seth@eclipse.vc</t>
        </is>
      </c>
      <c r="H331" s="425" t="inlineStr"/>
      <c r="I331" s="425" t="inlineStr"/>
      <c r="J331" s="111" t="inlineStr">
        <is>
          <t>https://www.linkedin.com/in/sethwinterroth/</t>
        </is>
      </c>
      <c r="K331" s="426" t="inlineStr">
        <is>
          <t>John Quinn</t>
        </is>
      </c>
      <c r="L331" s="426" t="inlineStr">
        <is>
          <t>Follow Up</t>
        </is>
      </c>
      <c r="M331" s="425" t="inlineStr">
        <is>
          <t>Space / Defense / Aerospace / Advanced Manufacturing</t>
        </is>
      </c>
      <c r="N331" s="426" t="inlineStr">
        <is>
          <t>Tier 2</t>
        </is>
      </c>
      <c r="O331" s="441" t="n">
        <v>45909</v>
      </c>
      <c r="P331" s="441" t="n">
        <v>45972</v>
      </c>
      <c r="Q331" s="425">
        <f>IF(P331="","",TODAY()-P331)</f>
        <v/>
      </c>
      <c r="R331" s="441">
        <f>IF(OR(L331="Passed",Z331=""),"",P331+Z331)</f>
        <v/>
      </c>
      <c r="S331" s="425">
        <f>IF(OR(R331="",L331="Passed"),"",IF(R331&lt;=TODAY(),"DUE",IF(R331&lt;=TODAY()+3,"Next 3 Days","Later")))</f>
        <v/>
      </c>
      <c r="T331" s="425" t="inlineStr"/>
      <c r="U331" s="426" t="inlineStr">
        <is>
          <t>https://www.linkedin.com/in/sethwinterroth/</t>
        </is>
      </c>
      <c r="V331" s="426" t="inlineStr"/>
      <c r="W331" s="428" t="inlineStr">
        <is>
          <t xml:space="preserve"> | 12/05/2025 | </t>
        </is>
      </c>
      <c r="X331" s="425" t="inlineStr">
        <is>
          <t>John - Investor Contacts!637</t>
        </is>
      </c>
      <c r="Y331" s="426" t="inlineStr">
        <is>
          <t>Send next follow-up with traction + CTA</t>
        </is>
      </c>
      <c r="Z331" s="425" t="n">
        <v>7</v>
      </c>
      <c r="AA331" s="425">
        <f>IF(AC331="Archived",0,ROUND((IF(N331="Tier 1",35,IF(N331="Tier 2",20,8))+IF(C331="Financial Investor",15,IF(C331="Intermediary / Banker",12,8))+IF(L331="Term Sheet / Proposal",25,IF(L331="Engaged",20,IF(L331="Meeting Requested",18,IF(L331="Meeting Held",14,IF(L331="Follow Up",10,5)))))+MIN(Q331,30)+IF(S331="DUE",15,IF(S331="Next 3 Days",8,0))),0))</f>
        <v/>
      </c>
      <c r="AB331" s="425">
        <f>IF(AND(AC331="Active",OR(N331="Tier 1",N331="Tier 2"),OR(S331="DUE",S331="Next 3 Days")),"YES","")</f>
        <v/>
      </c>
      <c r="AC331" s="425">
        <f>IF(L331="Passed","Archived","Active")</f>
        <v/>
      </c>
    </row>
    <row r="332">
      <c r="A332" s="425" t="inlineStr">
        <is>
          <t>EXOS-0331</t>
        </is>
      </c>
      <c r="B332" s="425" t="inlineStr">
        <is>
          <t>John - Investor Contacts | OSC</t>
        </is>
      </c>
      <c r="C332" s="425" t="inlineStr">
        <is>
          <t>Financial Investor</t>
        </is>
      </c>
      <c r="D332" s="425" t="inlineStr">
        <is>
          <t>Embedded Ventures</t>
        </is>
      </c>
      <c r="E332" s="425" t="inlineStr">
        <is>
          <t>Bill Cramsie</t>
        </is>
      </c>
      <c r="F332" s="425" t="inlineStr"/>
      <c r="G332" s="111" t="inlineStr">
        <is>
          <t>william@embedded.ventures</t>
        </is>
      </c>
      <c r="H332" s="425" t="inlineStr"/>
      <c r="I332" s="425" t="inlineStr">
        <is>
          <t>813.323.7010</t>
        </is>
      </c>
      <c r="J332" s="111" t="inlineStr">
        <is>
          <t>https://www.linkedin.com/in/williamcramsie/</t>
        </is>
      </c>
      <c r="K332" s="426" t="inlineStr">
        <is>
          <t>John Quinn</t>
        </is>
      </c>
      <c r="L332" s="426" t="inlineStr">
        <is>
          <t>Follow Up</t>
        </is>
      </c>
      <c r="M332" s="425" t="inlineStr">
        <is>
          <t>Space / Defense / Aerospace / Advanced Manufacturing</t>
        </is>
      </c>
      <c r="N332" s="426" t="inlineStr">
        <is>
          <t>Tier 2</t>
        </is>
      </c>
      <c r="O332" s="441" t="n">
        <v>45854</v>
      </c>
      <c r="P332" s="441" t="n">
        <v>45994</v>
      </c>
      <c r="Q332" s="425">
        <f>IF(P332="","",TODAY()-P332)</f>
        <v/>
      </c>
      <c r="R332" s="441">
        <f>IF(OR(L332="Passed",Z332=""),"",P332+Z332)</f>
        <v/>
      </c>
      <c r="S332" s="425">
        <f>IF(OR(R332="",L332="Passed"),"",IF(R332&lt;=TODAY(),"DUE",IF(R332&lt;=TODAY()+3,"Next 3 Days","Later")))</f>
        <v/>
      </c>
      <c r="T332" s="425" t="inlineStr"/>
      <c r="U332" s="426" t="inlineStr">
        <is>
          <t>https://www.linkedin.com/in/williamcramsie/</t>
        </is>
      </c>
      <c r="V332" s="426" t="inlineStr"/>
      <c r="W332" s="428" t="inlineStr">
        <is>
          <t>12/30/2025</t>
        </is>
      </c>
      <c r="X332" s="425" t="inlineStr">
        <is>
          <t>John - Investor Contacts!476 | OSC!61</t>
        </is>
      </c>
      <c r="Y332" s="426" t="inlineStr">
        <is>
          <t>Send next follow-up with traction + CTA</t>
        </is>
      </c>
      <c r="Z332" s="425" t="n">
        <v>7</v>
      </c>
      <c r="AA332" s="425">
        <f>IF(AC332="Archived",0,ROUND((IF(N332="Tier 1",35,IF(N332="Tier 2",20,8))+IF(C332="Financial Investor",15,IF(C332="Intermediary / Banker",12,8))+IF(L332="Term Sheet / Proposal",25,IF(L332="Engaged",20,IF(L332="Meeting Requested",18,IF(L332="Meeting Held",14,IF(L332="Follow Up",10,5)))))+MIN(Q332,30)+IF(S332="DUE",15,IF(S332="Next 3 Days",8,0))),0))</f>
        <v/>
      </c>
      <c r="AB332" s="425">
        <f>IF(AND(AC332="Active",OR(N332="Tier 1",N332="Tier 2"),OR(S332="DUE",S332="Next 3 Days")),"YES","")</f>
        <v/>
      </c>
      <c r="AC332" s="425">
        <f>IF(L332="Passed","Archived","Active")</f>
        <v/>
      </c>
    </row>
    <row r="333">
      <c r="A333" s="425" t="inlineStr">
        <is>
          <t>EXOS-0332</t>
        </is>
      </c>
      <c r="B333" s="425" t="inlineStr">
        <is>
          <t>John - Investor Contacts | Lizi - Investor Contacts | OSC</t>
        </is>
      </c>
      <c r="C333" s="425" t="inlineStr">
        <is>
          <t>Financial Investor</t>
        </is>
      </c>
      <c r="D333" s="425" t="inlineStr">
        <is>
          <t>Embedded Ventures</t>
        </is>
      </c>
      <c r="E333" s="425" t="inlineStr">
        <is>
          <t>Farah Ali</t>
        </is>
      </c>
      <c r="F333" s="425" t="inlineStr"/>
      <c r="G333" s="111" t="inlineStr">
        <is>
          <t>farah@embedded.ventures</t>
        </is>
      </c>
      <c r="H333" s="425" t="inlineStr"/>
      <c r="I333" s="425" t="inlineStr">
        <is>
          <t>206.739.9055</t>
        </is>
      </c>
      <c r="J333" s="111" t="inlineStr">
        <is>
          <t>https://www.linkedin.com/in/farahmali/</t>
        </is>
      </c>
      <c r="K333" s="426" t="inlineStr">
        <is>
          <t>John Quinn</t>
        </is>
      </c>
      <c r="L333" s="426" t="inlineStr">
        <is>
          <t>Follow Up</t>
        </is>
      </c>
      <c r="M333" s="425" t="inlineStr">
        <is>
          <t>Space / Defense / Aerospace / Advanced Manufacturing</t>
        </is>
      </c>
      <c r="N333" s="426" t="inlineStr">
        <is>
          <t>Tier 2</t>
        </is>
      </c>
      <c r="O333" s="441" t="n">
        <v>45779</v>
      </c>
      <c r="P333" s="441" t="n">
        <v>45994</v>
      </c>
      <c r="Q333" s="425">
        <f>IF(P333="","",TODAY()-P333)</f>
        <v/>
      </c>
      <c r="R333" s="441">
        <f>IF(OR(L333="Passed",Z333=""),"",P333+Z333)</f>
        <v/>
      </c>
      <c r="S333" s="425">
        <f>IF(OR(R333="",L333="Passed"),"",IF(R333&lt;=TODAY(),"DUE",IF(R333&lt;=TODAY()+3,"Next 3 Days","Later")))</f>
        <v/>
      </c>
      <c r="T333" s="425" t="inlineStr"/>
      <c r="U333" s="426" t="inlineStr">
        <is>
          <t>https://www.linkedin.com/in/farahmali/</t>
        </is>
      </c>
      <c r="V333" s="426" t="inlineStr"/>
      <c r="W333" s="428" t="inlineStr">
        <is>
          <t>12/30/2025</t>
        </is>
      </c>
      <c r="X333" s="425" t="inlineStr">
        <is>
          <t>John - Investor Contacts!474 | Lizi - Investor Contacts!2 | OSC!59</t>
        </is>
      </c>
      <c r="Y333" s="426" t="inlineStr">
        <is>
          <t>Send next follow-up with traction + CTA</t>
        </is>
      </c>
      <c r="Z333" s="425" t="n">
        <v>7</v>
      </c>
      <c r="AA333" s="425">
        <f>IF(AC333="Archived",0,ROUND((IF(N333="Tier 1",35,IF(N333="Tier 2",20,8))+IF(C333="Financial Investor",15,IF(C333="Intermediary / Banker",12,8))+IF(L333="Term Sheet / Proposal",25,IF(L333="Engaged",20,IF(L333="Meeting Requested",18,IF(L333="Meeting Held",14,IF(L333="Follow Up",10,5)))))+MIN(Q333,30)+IF(S333="DUE",15,IF(S333="Next 3 Days",8,0))),0))</f>
        <v/>
      </c>
      <c r="AB333" s="425">
        <f>IF(AND(AC333="Active",OR(N333="Tier 1",N333="Tier 2"),OR(S333="DUE",S333="Next 3 Days")),"YES","")</f>
        <v/>
      </c>
      <c r="AC333" s="425">
        <f>IF(L333="Passed","Archived","Active")</f>
        <v/>
      </c>
    </row>
    <row r="334">
      <c r="A334" s="425" t="inlineStr">
        <is>
          <t>EXOS-0333</t>
        </is>
      </c>
      <c r="B334" s="425" t="inlineStr">
        <is>
          <t>John - Investor Contacts | Lizi - Investor Contacts | OSC</t>
        </is>
      </c>
      <c r="C334" s="425" t="inlineStr">
        <is>
          <t>Financial Investor</t>
        </is>
      </c>
      <c r="D334" s="425" t="inlineStr">
        <is>
          <t>Embedded Ventures</t>
        </is>
      </c>
      <c r="E334" s="425" t="inlineStr">
        <is>
          <t>Jenna Bryant</t>
        </is>
      </c>
      <c r="F334" s="425" t="inlineStr"/>
      <c r="G334" s="111" t="inlineStr">
        <is>
          <t>jenna@embedded.ventures</t>
        </is>
      </c>
      <c r="H334" s="425" t="inlineStr"/>
      <c r="I334" s="425" t="inlineStr">
        <is>
          <t>205.222.6014 (m) and (323.741.4658)</t>
        </is>
      </c>
      <c r="J334" s="111" t="inlineStr">
        <is>
          <t>https://www.linkedin.com/in/jennabryant/</t>
        </is>
      </c>
      <c r="K334" s="426" t="inlineStr">
        <is>
          <t>John Quinn</t>
        </is>
      </c>
      <c r="L334" s="426" t="inlineStr">
        <is>
          <t>Follow Up</t>
        </is>
      </c>
      <c r="M334" s="425" t="inlineStr">
        <is>
          <t>Space / Defense / Aerospace / Advanced Manufacturing</t>
        </is>
      </c>
      <c r="N334" s="426" t="inlineStr">
        <is>
          <t>Tier 2</t>
        </is>
      </c>
      <c r="O334" s="441" t="n">
        <v>45779</v>
      </c>
      <c r="P334" s="441" t="n">
        <v>45994</v>
      </c>
      <c r="Q334" s="425">
        <f>IF(P334="","",TODAY()-P334)</f>
        <v/>
      </c>
      <c r="R334" s="441">
        <f>IF(OR(L334="Passed",Z334=""),"",P334+Z334)</f>
        <v/>
      </c>
      <c r="S334" s="425">
        <f>IF(OR(R334="",L334="Passed"),"",IF(R334&lt;=TODAY(),"DUE",IF(R334&lt;=TODAY()+3,"Next 3 Days","Later")))</f>
        <v/>
      </c>
      <c r="T334" s="425" t="inlineStr"/>
      <c r="U334" s="426" t="inlineStr">
        <is>
          <t>linkedin.com/in/jennabryant</t>
        </is>
      </c>
      <c r="V334" s="426" t="inlineStr"/>
      <c r="W334" s="428" t="inlineStr">
        <is>
          <t>12/30/2025</t>
        </is>
      </c>
      <c r="X334" s="425" t="inlineStr">
        <is>
          <t>John - Investor Contacts!475 | Lizi - Investor Contacts!5 | OSC!60</t>
        </is>
      </c>
      <c r="Y334" s="426" t="inlineStr">
        <is>
          <t>Send next follow-up with traction + CTA</t>
        </is>
      </c>
      <c r="Z334" s="425" t="n">
        <v>7</v>
      </c>
      <c r="AA334" s="425">
        <f>IF(AC334="Archived",0,ROUND((IF(N334="Tier 1",35,IF(N334="Tier 2",20,8))+IF(C334="Financial Investor",15,IF(C334="Intermediary / Banker",12,8))+IF(L334="Term Sheet / Proposal",25,IF(L334="Engaged",20,IF(L334="Meeting Requested",18,IF(L334="Meeting Held",14,IF(L334="Follow Up",10,5)))))+MIN(Q334,30)+IF(S334="DUE",15,IF(S334="Next 3 Days",8,0))),0))</f>
        <v/>
      </c>
      <c r="AB334" s="425">
        <f>IF(AND(AC334="Active",OR(N334="Tier 1",N334="Tier 2"),OR(S334="DUE",S334="Next 3 Days")),"YES","")</f>
        <v/>
      </c>
      <c r="AC334" s="425">
        <f>IF(L334="Passed","Archived","Active")</f>
        <v/>
      </c>
    </row>
    <row r="335">
      <c r="A335" s="425" t="inlineStr">
        <is>
          <t>EXOS-0334</t>
        </is>
      </c>
      <c r="B335" s="425" t="inlineStr">
        <is>
          <t>John - Investor Contacts | Lizi - Investor Contacts | OSC</t>
        </is>
      </c>
      <c r="C335" s="425" t="inlineStr">
        <is>
          <t>Financial Investor</t>
        </is>
      </c>
      <c r="D335" s="425" t="inlineStr">
        <is>
          <t>Embedded Ventures</t>
        </is>
      </c>
      <c r="E335" s="425" t="inlineStr">
        <is>
          <t>Jordan Noone</t>
        </is>
      </c>
      <c r="F335" s="425" t="inlineStr"/>
      <c r="G335" s="111" t="inlineStr">
        <is>
          <t>jordan@embedded.ventures</t>
        </is>
      </c>
      <c r="H335" s="425" t="inlineStr"/>
      <c r="I335" s="425" t="inlineStr">
        <is>
          <t>415.349.1193</t>
        </is>
      </c>
      <c r="J335" s="111" t="inlineStr">
        <is>
          <t>https://www.linkedin.com/in/jordan-noone/</t>
        </is>
      </c>
      <c r="K335" s="426" t="inlineStr">
        <is>
          <t>John Quinn</t>
        </is>
      </c>
      <c r="L335" s="426" t="inlineStr">
        <is>
          <t>Follow Up</t>
        </is>
      </c>
      <c r="M335" s="425" t="inlineStr">
        <is>
          <t>Space / Defense / Aerospace / Advanced Manufacturing</t>
        </is>
      </c>
      <c r="N335" s="426" t="inlineStr">
        <is>
          <t>Tier 2</t>
        </is>
      </c>
      <c r="O335" s="441" t="n">
        <v>45779</v>
      </c>
      <c r="P335" s="441" t="n">
        <v>45994</v>
      </c>
      <c r="Q335" s="425">
        <f>IF(P335="","",TODAY()-P335)</f>
        <v/>
      </c>
      <c r="R335" s="441">
        <f>IF(OR(L335="Passed",Z335=""),"",P335+Z335)</f>
        <v/>
      </c>
      <c r="S335" s="425">
        <f>IF(OR(R335="",L335="Passed"),"",IF(R335&lt;=TODAY(),"DUE",IF(R335&lt;=TODAY()+3,"Next 3 Days","Later")))</f>
        <v/>
      </c>
      <c r="T335" s="425" t="inlineStr"/>
      <c r="U335" s="426" t="inlineStr">
        <is>
          <t>linkedin.com/in/jordan-noone</t>
        </is>
      </c>
      <c r="V335" s="426" t="inlineStr"/>
      <c r="W335" s="428" t="inlineStr">
        <is>
          <t>12/30/2025</t>
        </is>
      </c>
      <c r="X335" s="425" t="inlineStr">
        <is>
          <t>John - Investor Contacts!477 | Lizi - Investor Contacts!3 | OSC!62</t>
        </is>
      </c>
      <c r="Y335" s="426" t="inlineStr">
        <is>
          <t>Send next follow-up with traction + CTA</t>
        </is>
      </c>
      <c r="Z335" s="425" t="n">
        <v>7</v>
      </c>
      <c r="AA335" s="425">
        <f>IF(AC335="Archived",0,ROUND((IF(N335="Tier 1",35,IF(N335="Tier 2",20,8))+IF(C335="Financial Investor",15,IF(C335="Intermediary / Banker",12,8))+IF(L335="Term Sheet / Proposal",25,IF(L335="Engaged",20,IF(L335="Meeting Requested",18,IF(L335="Meeting Held",14,IF(L335="Follow Up",10,5)))))+MIN(Q335,30)+IF(S335="DUE",15,IF(S335="Next 3 Days",8,0))),0))</f>
        <v/>
      </c>
      <c r="AB335" s="425">
        <f>IF(AND(AC335="Active",OR(N335="Tier 1",N335="Tier 2"),OR(S335="DUE",S335="Next 3 Days")),"YES","")</f>
        <v/>
      </c>
      <c r="AC335" s="425">
        <f>IF(L335="Passed","Archived","Active")</f>
        <v/>
      </c>
    </row>
    <row r="336">
      <c r="A336" s="425" t="inlineStr">
        <is>
          <t>EXOS-0335</t>
        </is>
      </c>
      <c r="B336" s="425" t="inlineStr">
        <is>
          <t>John - Investor Contacts</t>
        </is>
      </c>
      <c r="C336" s="425" t="inlineStr">
        <is>
          <t>Financial Investor</t>
        </is>
      </c>
      <c r="D336" s="425" t="inlineStr">
        <is>
          <t>Enlightenment Capital</t>
        </is>
      </c>
      <c r="E336" s="425" t="inlineStr">
        <is>
          <t>Devin Talbott</t>
        </is>
      </c>
      <c r="F336" s="425" t="inlineStr"/>
      <c r="G336" s="111" t="inlineStr">
        <is>
          <t>dltalbott@enlightenment-cap.com</t>
        </is>
      </c>
      <c r="H336" s="425" t="inlineStr"/>
      <c r="I336" s="425" t="inlineStr"/>
      <c r="J336" s="111" t="inlineStr">
        <is>
          <t>https://www.linkedin.com/in/devin-talbott-444711/</t>
        </is>
      </c>
      <c r="K336" s="426" t="inlineStr">
        <is>
          <t>John Quinn</t>
        </is>
      </c>
      <c r="L336" s="426" t="inlineStr">
        <is>
          <t>Follow Up</t>
        </is>
      </c>
      <c r="M336" s="425" t="inlineStr">
        <is>
          <t>Space / Defense / Aerospace / Advanced Manufacturing</t>
        </is>
      </c>
      <c r="N336" s="426" t="inlineStr">
        <is>
          <t>Tier 2</t>
        </is>
      </c>
      <c r="O336" s="441" t="n">
        <v>45968</v>
      </c>
      <c r="P336" s="441" t="n">
        <v>45986</v>
      </c>
      <c r="Q336" s="425">
        <f>IF(P336="","",TODAY()-P336)</f>
        <v/>
      </c>
      <c r="R336" s="441">
        <f>IF(OR(L336="Passed",Z336=""),"",P336+Z336)</f>
        <v/>
      </c>
      <c r="S336" s="425">
        <f>IF(OR(R336="",L336="Passed"),"",IF(R336&lt;=TODAY(),"DUE",IF(R336&lt;=TODAY()+3,"Next 3 Days","Later")))</f>
        <v/>
      </c>
      <c r="T336" s="425" t="inlineStr"/>
      <c r="U336" s="426" t="inlineStr">
        <is>
          <t>https://www.linkedin.com/in/devin-talbott-444711/</t>
        </is>
      </c>
      <c r="V336" s="426" t="inlineStr"/>
      <c r="W336" s="428" t="inlineStr">
        <is>
          <t xml:space="preserve"> | 01/14/2026 | </t>
        </is>
      </c>
      <c r="X336" s="425" t="inlineStr">
        <is>
          <t>John - Investor Contacts!858</t>
        </is>
      </c>
      <c r="Y336" s="426" t="inlineStr">
        <is>
          <t>Send next follow-up with traction + CTA</t>
        </is>
      </c>
      <c r="Z336" s="425" t="n">
        <v>7</v>
      </c>
      <c r="AA336" s="425">
        <f>IF(AC336="Archived",0,ROUND((IF(N336="Tier 1",35,IF(N336="Tier 2",20,8))+IF(C336="Financial Investor",15,IF(C336="Intermediary / Banker",12,8))+IF(L336="Term Sheet / Proposal",25,IF(L336="Engaged",20,IF(L336="Meeting Requested",18,IF(L336="Meeting Held",14,IF(L336="Follow Up",10,5)))))+MIN(Q336,30)+IF(S336="DUE",15,IF(S336="Next 3 Days",8,0))),0))</f>
        <v/>
      </c>
      <c r="AB336" s="425">
        <f>IF(AND(AC336="Active",OR(N336="Tier 1",N336="Tier 2"),OR(S336="DUE",S336="Next 3 Days")),"YES","")</f>
        <v/>
      </c>
      <c r="AC336" s="425">
        <f>IF(L336="Passed","Archived","Active")</f>
        <v/>
      </c>
    </row>
    <row r="337">
      <c r="A337" s="425" t="inlineStr">
        <is>
          <t>EXOS-0336</t>
        </is>
      </c>
      <c r="B337" s="425" t="inlineStr">
        <is>
          <t>John - Investor Contacts</t>
        </is>
      </c>
      <c r="C337" s="425" t="inlineStr">
        <is>
          <t>Financial Investor</t>
        </is>
      </c>
      <c r="D337" s="425" t="inlineStr">
        <is>
          <t>Enlightenment Capital</t>
        </is>
      </c>
      <c r="E337" s="425" t="inlineStr">
        <is>
          <t>Jeff Guffey</t>
        </is>
      </c>
      <c r="F337" s="425" t="inlineStr"/>
      <c r="G337" s="111" t="inlineStr">
        <is>
          <t>jsguffey@enlightenment-cap.com</t>
        </is>
      </c>
      <c r="H337" s="425" t="inlineStr"/>
      <c r="I337" s="425" t="inlineStr"/>
      <c r="J337" s="111" t="inlineStr">
        <is>
          <t>https://www.linkedin.com/in/jeff-guffey-43aa6a52/</t>
        </is>
      </c>
      <c r="K337" s="426" t="inlineStr">
        <is>
          <t>John Quinn</t>
        </is>
      </c>
      <c r="L337" s="426" t="inlineStr">
        <is>
          <t>Follow Up</t>
        </is>
      </c>
      <c r="M337" s="425" t="inlineStr">
        <is>
          <t>Space / Defense / Aerospace / Advanced Manufacturing</t>
        </is>
      </c>
      <c r="N337" s="426" t="inlineStr">
        <is>
          <t>Tier 2</t>
        </is>
      </c>
      <c r="O337" s="441" t="n">
        <v>45968</v>
      </c>
      <c r="P337" s="441" t="n">
        <v>45986</v>
      </c>
      <c r="Q337" s="425">
        <f>IF(P337="","",TODAY()-P337)</f>
        <v/>
      </c>
      <c r="R337" s="441">
        <f>IF(OR(L337="Passed",Z337=""),"",P337+Z337)</f>
        <v/>
      </c>
      <c r="S337" s="425">
        <f>IF(OR(R337="",L337="Passed"),"",IF(R337&lt;=TODAY(),"DUE",IF(R337&lt;=TODAY()+3,"Next 3 Days","Later")))</f>
        <v/>
      </c>
      <c r="T337" s="425" t="inlineStr"/>
      <c r="U337" s="426" t="inlineStr">
        <is>
          <t>https://www.linkedin.com/in/jeff-guffey-43aa6a52/</t>
        </is>
      </c>
      <c r="V337" s="426" t="inlineStr"/>
      <c r="W337" s="428" t="inlineStr">
        <is>
          <t xml:space="preserve"> | 01/14/2026 | </t>
        </is>
      </c>
      <c r="X337" s="425" t="inlineStr">
        <is>
          <t>John - Investor Contacts!860</t>
        </is>
      </c>
      <c r="Y337" s="426" t="inlineStr">
        <is>
          <t>Send next follow-up with traction + CTA</t>
        </is>
      </c>
      <c r="Z337" s="425" t="n">
        <v>7</v>
      </c>
      <c r="AA337" s="425">
        <f>IF(AC337="Archived",0,ROUND((IF(N337="Tier 1",35,IF(N337="Tier 2",20,8))+IF(C337="Financial Investor",15,IF(C337="Intermediary / Banker",12,8))+IF(L337="Term Sheet / Proposal",25,IF(L337="Engaged",20,IF(L337="Meeting Requested",18,IF(L337="Meeting Held",14,IF(L337="Follow Up",10,5)))))+MIN(Q337,30)+IF(S337="DUE",15,IF(S337="Next 3 Days",8,0))),0))</f>
        <v/>
      </c>
      <c r="AB337" s="425">
        <f>IF(AND(AC337="Active",OR(N337="Tier 1",N337="Tier 2"),OR(S337="DUE",S337="Next 3 Days")),"YES","")</f>
        <v/>
      </c>
      <c r="AC337" s="425">
        <f>IF(L337="Passed","Archived","Active")</f>
        <v/>
      </c>
    </row>
    <row r="338">
      <c r="A338" s="425" t="inlineStr">
        <is>
          <t>EXOS-0337</t>
        </is>
      </c>
      <c r="B338" s="425" t="inlineStr">
        <is>
          <t>John - Investor Contacts</t>
        </is>
      </c>
      <c r="C338" s="425" t="inlineStr">
        <is>
          <t>Financial Investor</t>
        </is>
      </c>
      <c r="D338" s="425" t="inlineStr">
        <is>
          <t>Enlightenment Capital</t>
        </is>
      </c>
      <c r="E338" s="425" t="inlineStr">
        <is>
          <t>Thomas Young</t>
        </is>
      </c>
      <c r="F338" s="425" t="inlineStr"/>
      <c r="G338" s="111" t="inlineStr">
        <is>
          <t>tbyoung@enlightenment-cap.com</t>
        </is>
      </c>
      <c r="H338" s="425" t="inlineStr"/>
      <c r="I338" s="425" t="inlineStr"/>
      <c r="J338" s="425" t="inlineStr"/>
      <c r="K338" s="426" t="inlineStr">
        <is>
          <t>John Quinn</t>
        </is>
      </c>
      <c r="L338" s="426" t="inlineStr">
        <is>
          <t>Follow Up</t>
        </is>
      </c>
      <c r="M338" s="425" t="inlineStr">
        <is>
          <t>Space / Defense / Aerospace / Advanced Manufacturing</t>
        </is>
      </c>
      <c r="N338" s="426" t="inlineStr">
        <is>
          <t>Tier 2</t>
        </is>
      </c>
      <c r="O338" s="441" t="n">
        <v>45968</v>
      </c>
      <c r="P338" s="441" t="n">
        <v>45986</v>
      </c>
      <c r="Q338" s="425">
        <f>IF(P338="","",TODAY()-P338)</f>
        <v/>
      </c>
      <c r="R338" s="441">
        <f>IF(OR(L338="Passed",Z338=""),"",P338+Z338)</f>
        <v/>
      </c>
      <c r="S338" s="425">
        <f>IF(OR(R338="",L338="Passed"),"",IF(R338&lt;=TODAY(),"DUE",IF(R338&lt;=TODAY()+3,"Next 3 Days","Later")))</f>
        <v/>
      </c>
      <c r="T338" s="425" t="inlineStr"/>
      <c r="U338" s="426" t="inlineStr">
        <is>
          <t>linkedin.com/in/thomas-b-young</t>
        </is>
      </c>
      <c r="V338" s="426" t="inlineStr"/>
      <c r="W338" s="428" t="inlineStr">
        <is>
          <t xml:space="preserve"> | asked for one pager / 1/14 follow up | </t>
        </is>
      </c>
      <c r="X338" s="425" t="inlineStr">
        <is>
          <t>John - Investor Contacts!859</t>
        </is>
      </c>
      <c r="Y338" s="426" t="inlineStr">
        <is>
          <t>Send next follow-up with traction + CTA</t>
        </is>
      </c>
      <c r="Z338" s="425" t="n">
        <v>7</v>
      </c>
      <c r="AA338" s="425">
        <f>IF(AC338="Archived",0,ROUND((IF(N338="Tier 1",35,IF(N338="Tier 2",20,8))+IF(C338="Financial Investor",15,IF(C338="Intermediary / Banker",12,8))+IF(L338="Term Sheet / Proposal",25,IF(L338="Engaged",20,IF(L338="Meeting Requested",18,IF(L338="Meeting Held",14,IF(L338="Follow Up",10,5)))))+MIN(Q338,30)+IF(S338="DUE",15,IF(S338="Next 3 Days",8,0))),0))</f>
        <v/>
      </c>
      <c r="AB338" s="425">
        <f>IF(AND(AC338="Active",OR(N338="Tier 1",N338="Tier 2"),OR(S338="DUE",S338="Next 3 Days")),"YES","")</f>
        <v/>
      </c>
      <c r="AC338" s="425">
        <f>IF(L338="Passed","Archived","Active")</f>
        <v/>
      </c>
    </row>
    <row r="339">
      <c r="A339" s="425" t="inlineStr">
        <is>
          <t>EXOS-0338</t>
        </is>
      </c>
      <c r="B339" s="425" t="inlineStr">
        <is>
          <t>John - Investor Contacts</t>
        </is>
      </c>
      <c r="C339" s="425" t="inlineStr">
        <is>
          <t>Financial Investor</t>
        </is>
      </c>
      <c r="D339" s="425" t="inlineStr">
        <is>
          <t>Eunike Ventures</t>
        </is>
      </c>
      <c r="E339" s="425" t="inlineStr">
        <is>
          <t>Amy Henry</t>
        </is>
      </c>
      <c r="F339" s="425" t="inlineStr"/>
      <c r="G339" s="111" t="inlineStr">
        <is>
          <t>amy.henry@eunikeventures.com</t>
        </is>
      </c>
      <c r="H339" s="425" t="inlineStr"/>
      <c r="I339" s="425" t="inlineStr"/>
      <c r="J339" s="111" t="inlineStr">
        <is>
          <t>https://www.linkedin.com/in/amyhenry/</t>
        </is>
      </c>
      <c r="K339" s="426" t="inlineStr">
        <is>
          <t>John Quinn</t>
        </is>
      </c>
      <c r="L339" s="426" t="inlineStr">
        <is>
          <t>Follow Up</t>
        </is>
      </c>
      <c r="M339" s="425" t="inlineStr">
        <is>
          <t>Space / Defense / Aerospace / Advanced Manufacturing</t>
        </is>
      </c>
      <c r="N339" s="426" t="inlineStr">
        <is>
          <t>Tier 2</t>
        </is>
      </c>
      <c r="O339" s="441" t="n">
        <v>45824</v>
      </c>
      <c r="P339" s="441" t="n">
        <v>45841</v>
      </c>
      <c r="Q339" s="425">
        <f>IF(P339="","",TODAY()-P339)</f>
        <v/>
      </c>
      <c r="R339" s="441">
        <f>IF(OR(L339="Passed",Z339=""),"",P339+Z339)</f>
        <v/>
      </c>
      <c r="S339" s="425">
        <f>IF(OR(R339="",L339="Passed"),"",IF(R339&lt;=TODAY(),"DUE",IF(R339&lt;=TODAY()+3,"Next 3 Days","Later")))</f>
        <v/>
      </c>
      <c r="T339" s="425" t="inlineStr"/>
      <c r="U339" s="426" t="inlineStr">
        <is>
          <t>https://www.linkedin.com/in/amyhenry/</t>
        </is>
      </c>
      <c r="V339" s="426" t="inlineStr"/>
      <c r="W339" s="428" t="inlineStr">
        <is>
          <t xml:space="preserve"> | 12/23/2025 | </t>
        </is>
      </c>
      <c r="X339" s="425" t="inlineStr">
        <is>
          <t>John - Investor Contacts!220</t>
        </is>
      </c>
      <c r="Y339" s="426" t="inlineStr">
        <is>
          <t>Send next follow-up with traction + CTA</t>
        </is>
      </c>
      <c r="Z339" s="425" t="n">
        <v>7</v>
      </c>
      <c r="AA339" s="425">
        <f>IF(AC339="Archived",0,ROUND((IF(N339="Tier 1",35,IF(N339="Tier 2",20,8))+IF(C339="Financial Investor",15,IF(C339="Intermediary / Banker",12,8))+IF(L339="Term Sheet / Proposal",25,IF(L339="Engaged",20,IF(L339="Meeting Requested",18,IF(L339="Meeting Held",14,IF(L339="Follow Up",10,5)))))+MIN(Q339,30)+IF(S339="DUE",15,IF(S339="Next 3 Days",8,0))),0))</f>
        <v/>
      </c>
      <c r="AB339" s="425">
        <f>IF(AND(AC339="Active",OR(N339="Tier 1",N339="Tier 2"),OR(S339="DUE",S339="Next 3 Days")),"YES","")</f>
        <v/>
      </c>
      <c r="AC339" s="425">
        <f>IF(L339="Passed","Archived","Active")</f>
        <v/>
      </c>
    </row>
    <row r="340">
      <c r="A340" s="425" t="inlineStr">
        <is>
          <t>EXOS-0339</t>
        </is>
      </c>
      <c r="B340" s="425" t="inlineStr">
        <is>
          <t>John - Investor Contacts</t>
        </is>
      </c>
      <c r="C340" s="425" t="inlineStr">
        <is>
          <t>Financial Investor</t>
        </is>
      </c>
      <c r="D340" s="425" t="inlineStr">
        <is>
          <t>Eunike Ventures</t>
        </is>
      </c>
      <c r="E340" s="425" t="inlineStr">
        <is>
          <t>Thomas Henry</t>
        </is>
      </c>
      <c r="F340" s="425" t="inlineStr"/>
      <c r="G340" s="111" t="inlineStr">
        <is>
          <t>thomas.henry@eunikeventures.com</t>
        </is>
      </c>
      <c r="H340" s="425" t="inlineStr"/>
      <c r="I340" s="425" t="inlineStr"/>
      <c r="J340" s="425" t="inlineStr"/>
      <c r="K340" s="426" t="inlineStr">
        <is>
          <t>John Quinn</t>
        </is>
      </c>
      <c r="L340" s="426" t="inlineStr">
        <is>
          <t>Follow Up</t>
        </is>
      </c>
      <c r="M340" s="425" t="inlineStr">
        <is>
          <t>Space / Defense / Aerospace / Advanced Manufacturing</t>
        </is>
      </c>
      <c r="N340" s="426" t="inlineStr">
        <is>
          <t>Tier 2</t>
        </is>
      </c>
      <c r="O340" s="441" t="n">
        <v>45824</v>
      </c>
      <c r="P340" s="441" t="n">
        <v>45841</v>
      </c>
      <c r="Q340" s="425">
        <f>IF(P340="","",TODAY()-P340)</f>
        <v/>
      </c>
      <c r="R340" s="441">
        <f>IF(OR(L340="Passed",Z340=""),"",P340+Z340)</f>
        <v/>
      </c>
      <c r="S340" s="425">
        <f>IF(OR(R340="",L340="Passed"),"",IF(R340&lt;=TODAY(),"DUE",IF(R340&lt;=TODAY()+3,"Next 3 Days","Later")))</f>
        <v/>
      </c>
      <c r="T340" s="425" t="inlineStr"/>
      <c r="U340" s="426" t="inlineStr">
        <is>
          <t>linkedin.com/in/thomasbhenry</t>
        </is>
      </c>
      <c r="V340" s="426" t="inlineStr"/>
      <c r="W340" s="428" t="inlineStr">
        <is>
          <t xml:space="preserve"> | 12/23/2025 | </t>
        </is>
      </c>
      <c r="X340" s="425" t="inlineStr">
        <is>
          <t>John - Investor Contacts!221</t>
        </is>
      </c>
      <c r="Y340" s="426" t="inlineStr">
        <is>
          <t>Send next follow-up with traction + CTA</t>
        </is>
      </c>
      <c r="Z340" s="425" t="n">
        <v>7</v>
      </c>
      <c r="AA340" s="425">
        <f>IF(AC340="Archived",0,ROUND((IF(N340="Tier 1",35,IF(N340="Tier 2",20,8))+IF(C340="Financial Investor",15,IF(C340="Intermediary / Banker",12,8))+IF(L340="Term Sheet / Proposal",25,IF(L340="Engaged",20,IF(L340="Meeting Requested",18,IF(L340="Meeting Held",14,IF(L340="Follow Up",10,5)))))+MIN(Q340,30)+IF(S340="DUE",15,IF(S340="Next 3 Days",8,0))),0))</f>
        <v/>
      </c>
      <c r="AB340" s="425">
        <f>IF(AND(AC340="Active",OR(N340="Tier 1",N340="Tier 2"),OR(S340="DUE",S340="Next 3 Days")),"YES","")</f>
        <v/>
      </c>
      <c r="AC340" s="425">
        <f>IF(L340="Passed","Archived","Active")</f>
        <v/>
      </c>
    </row>
    <row r="341">
      <c r="A341" s="425" t="inlineStr">
        <is>
          <t>EXOS-0340</t>
        </is>
      </c>
      <c r="B341" s="425" t="inlineStr">
        <is>
          <t>John - Investor Contacts</t>
        </is>
      </c>
      <c r="C341" s="425" t="inlineStr">
        <is>
          <t>Financial Investor</t>
        </is>
      </c>
      <c r="D341" s="425" t="inlineStr">
        <is>
          <t>Eunike Ventures</t>
        </is>
      </c>
      <c r="E341" s="425" t="inlineStr">
        <is>
          <t>William Frazier</t>
        </is>
      </c>
      <c r="F341" s="425" t="inlineStr"/>
      <c r="G341" s="111" t="inlineStr">
        <is>
          <t>william.fraizer@eunikeventures.com</t>
        </is>
      </c>
      <c r="H341" s="425" t="inlineStr"/>
      <c r="I341" s="425" t="inlineStr"/>
      <c r="J341" s="111" t="inlineStr">
        <is>
          <t>https://www.linkedin.com/in/william-fraizer-energy2016/</t>
        </is>
      </c>
      <c r="K341" s="426" t="inlineStr">
        <is>
          <t>John Quinn</t>
        </is>
      </c>
      <c r="L341" s="426" t="inlineStr">
        <is>
          <t>Follow Up</t>
        </is>
      </c>
      <c r="M341" s="425" t="inlineStr">
        <is>
          <t>Space / Defense / Aerospace / Advanced Manufacturing</t>
        </is>
      </c>
      <c r="N341" s="426" t="inlineStr">
        <is>
          <t>Tier 2</t>
        </is>
      </c>
      <c r="O341" s="441" t="n">
        <v>45824</v>
      </c>
      <c r="P341" s="441" t="n">
        <v>45841</v>
      </c>
      <c r="Q341" s="425">
        <f>IF(P341="","",TODAY()-P341)</f>
        <v/>
      </c>
      <c r="R341" s="441">
        <f>IF(OR(L341="Passed",Z341=""),"",P341+Z341)</f>
        <v/>
      </c>
      <c r="S341" s="425">
        <f>IF(OR(R341="",L341="Passed"),"",IF(R341&lt;=TODAY(),"DUE",IF(R341&lt;=TODAY()+3,"Next 3 Days","Later")))</f>
        <v/>
      </c>
      <c r="T341" s="425" t="inlineStr"/>
      <c r="U341" s="426" t="inlineStr">
        <is>
          <t>https://www.linkedin.com/in/william-fraizer-energy2016/</t>
        </is>
      </c>
      <c r="V341" s="426" t="inlineStr"/>
      <c r="W341" s="428" t="inlineStr">
        <is>
          <t xml:space="preserve"> | 12/23/2025 | </t>
        </is>
      </c>
      <c r="X341" s="425" t="inlineStr">
        <is>
          <t>John - Investor Contacts!222</t>
        </is>
      </c>
      <c r="Y341" s="426" t="inlineStr">
        <is>
          <t>Send next follow-up with traction + CTA</t>
        </is>
      </c>
      <c r="Z341" s="425" t="n">
        <v>7</v>
      </c>
      <c r="AA341" s="425">
        <f>IF(AC341="Archived",0,ROUND((IF(N341="Tier 1",35,IF(N341="Tier 2",20,8))+IF(C341="Financial Investor",15,IF(C341="Intermediary / Banker",12,8))+IF(L341="Term Sheet / Proposal",25,IF(L341="Engaged",20,IF(L341="Meeting Requested",18,IF(L341="Meeting Held",14,IF(L341="Follow Up",10,5)))))+MIN(Q341,30)+IF(S341="DUE",15,IF(S341="Next 3 Days",8,0))),0))</f>
        <v/>
      </c>
      <c r="AB341" s="425">
        <f>IF(AND(AC341="Active",OR(N341="Tier 1",N341="Tier 2"),OR(S341="DUE",S341="Next 3 Days")),"YES","")</f>
        <v/>
      </c>
      <c r="AC341" s="425">
        <f>IF(L341="Passed","Archived","Active")</f>
        <v/>
      </c>
    </row>
    <row r="342">
      <c r="A342" s="425" t="inlineStr">
        <is>
          <t>EXOS-0341</t>
        </is>
      </c>
      <c r="B342" s="425" t="inlineStr">
        <is>
          <t>John - Investor Contacts</t>
        </is>
      </c>
      <c r="C342" s="425" t="inlineStr">
        <is>
          <t>Financial Investor</t>
        </is>
      </c>
      <c r="D342" s="425" t="inlineStr">
        <is>
          <t>Evolito</t>
        </is>
      </c>
      <c r="E342" s="425" t="inlineStr">
        <is>
          <t>Mukesh Patel</t>
        </is>
      </c>
      <c r="F342" s="425" t="inlineStr"/>
      <c r="G342" s="111" t="inlineStr">
        <is>
          <t>mukesh.patel@evolito.aero</t>
        </is>
      </c>
      <c r="H342" s="425" t="inlineStr"/>
      <c r="I342" s="425" t="inlineStr"/>
      <c r="J342" s="111" t="inlineStr">
        <is>
          <t>https://www.linkedin.com/in/mukesh--patel/</t>
        </is>
      </c>
      <c r="K342" s="426" t="inlineStr">
        <is>
          <t>John Quinn</t>
        </is>
      </c>
      <c r="L342" s="426" t="inlineStr">
        <is>
          <t>Follow Up</t>
        </is>
      </c>
      <c r="M342" s="425" t="inlineStr">
        <is>
          <t>Space / Defense / Aerospace / Advanced Manufacturing</t>
        </is>
      </c>
      <c r="N342" s="426" t="inlineStr">
        <is>
          <t>Tier 2</t>
        </is>
      </c>
      <c r="O342" s="441" t="n">
        <v>45805</v>
      </c>
      <c r="P342" s="441" t="n">
        <v>45841</v>
      </c>
      <c r="Q342" s="425">
        <f>IF(P342="","",TODAY()-P342)</f>
        <v/>
      </c>
      <c r="R342" s="441">
        <f>IF(OR(L342="Passed",Z342=""),"",P342+Z342)</f>
        <v/>
      </c>
      <c r="S342" s="425">
        <f>IF(OR(R342="",L342="Passed"),"",IF(R342&lt;=TODAY(),"DUE",IF(R342&lt;=TODAY()+3,"Next 3 Days","Later")))</f>
        <v/>
      </c>
      <c r="T342" s="425" t="inlineStr"/>
      <c r="U342" s="426" t="inlineStr">
        <is>
          <t>https://www.linkedin.com/in/mukesh--patel/</t>
        </is>
      </c>
      <c r="V342" s="426" t="inlineStr"/>
      <c r="W342" s="428" t="inlineStr">
        <is>
          <t xml:space="preserve"> |  | </t>
        </is>
      </c>
      <c r="X342" s="425" t="inlineStr">
        <is>
          <t>John - Investor Contacts!87</t>
        </is>
      </c>
      <c r="Y342" s="426" t="inlineStr">
        <is>
          <t>Send next follow-up with traction + CTA</t>
        </is>
      </c>
      <c r="Z342" s="425" t="n">
        <v>7</v>
      </c>
      <c r="AA342" s="425">
        <f>IF(AC342="Archived",0,ROUND((IF(N342="Tier 1",35,IF(N342="Tier 2",20,8))+IF(C342="Financial Investor",15,IF(C342="Intermediary / Banker",12,8))+IF(L342="Term Sheet / Proposal",25,IF(L342="Engaged",20,IF(L342="Meeting Requested",18,IF(L342="Meeting Held",14,IF(L342="Follow Up",10,5)))))+MIN(Q342,30)+IF(S342="DUE",15,IF(S342="Next 3 Days",8,0))),0))</f>
        <v/>
      </c>
      <c r="AB342" s="425">
        <f>IF(AND(AC342="Active",OR(N342="Tier 1",N342="Tier 2"),OR(S342="DUE",S342="Next 3 Days")),"YES","")</f>
        <v/>
      </c>
      <c r="AC342" s="425">
        <f>IF(L342="Passed","Archived","Active")</f>
        <v/>
      </c>
    </row>
    <row r="343">
      <c r="A343" s="425" t="inlineStr">
        <is>
          <t>EXOS-0342</t>
        </is>
      </c>
      <c r="B343" s="425" t="inlineStr">
        <is>
          <t>John - Investor Contacts</t>
        </is>
      </c>
      <c r="C343" s="425" t="inlineStr">
        <is>
          <t>Financial Investor</t>
        </is>
      </c>
      <c r="D343" s="425" t="inlineStr">
        <is>
          <t>Feld Ventures</t>
        </is>
      </c>
      <c r="E343" s="425" t="inlineStr">
        <is>
          <t>Adam Liposky</t>
        </is>
      </c>
      <c r="F343" s="425" t="inlineStr"/>
      <c r="G343" s="111" t="inlineStr">
        <is>
          <t>adam@feldventures.com</t>
        </is>
      </c>
      <c r="H343" s="425" t="inlineStr"/>
      <c r="I343" s="425" t="inlineStr"/>
      <c r="J343" s="425" t="inlineStr"/>
      <c r="K343" s="426" t="inlineStr">
        <is>
          <t>John Quinn</t>
        </is>
      </c>
      <c r="L343" s="426" t="inlineStr">
        <is>
          <t>Follow Up</t>
        </is>
      </c>
      <c r="M343" s="425" t="inlineStr">
        <is>
          <t>Space / Defense / Aerospace / Advanced Manufacturing</t>
        </is>
      </c>
      <c r="N343" s="426" t="inlineStr">
        <is>
          <t>Tier 2</t>
        </is>
      </c>
      <c r="O343" s="441" t="n">
        <v>45840</v>
      </c>
      <c r="P343" s="441" t="n">
        <v>45861</v>
      </c>
      <c r="Q343" s="425">
        <f>IF(P343="","",TODAY()-P343)</f>
        <v/>
      </c>
      <c r="R343" s="441">
        <f>IF(OR(L343="Passed",Z343=""),"",P343+Z343)</f>
        <v/>
      </c>
      <c r="S343" s="425">
        <f>IF(OR(R343="",L343="Passed"),"",IF(R343&lt;=TODAY(),"DUE",IF(R343&lt;=TODAY()+3,"Next 3 Days","Later")))</f>
        <v/>
      </c>
      <c r="T343" s="425" t="inlineStr"/>
      <c r="U343" s="426" t="inlineStr">
        <is>
          <t>linkedin.com/in/adamliposky</t>
        </is>
      </c>
      <c r="V343" s="426" t="inlineStr"/>
      <c r="W343" s="428" t="inlineStr">
        <is>
          <t xml:space="preserve"> | 12/26/2025 | </t>
        </is>
      </c>
      <c r="X343" s="425" t="inlineStr">
        <is>
          <t>John - Investor Contacts!325</t>
        </is>
      </c>
      <c r="Y343" s="426" t="inlineStr">
        <is>
          <t>Send next follow-up with traction + CTA</t>
        </is>
      </c>
      <c r="Z343" s="425" t="n">
        <v>7</v>
      </c>
      <c r="AA343" s="425">
        <f>IF(AC343="Archived",0,ROUND((IF(N343="Tier 1",35,IF(N343="Tier 2",20,8))+IF(C343="Financial Investor",15,IF(C343="Intermediary / Banker",12,8))+IF(L343="Term Sheet / Proposal",25,IF(L343="Engaged",20,IF(L343="Meeting Requested",18,IF(L343="Meeting Held",14,IF(L343="Follow Up",10,5)))))+MIN(Q343,30)+IF(S343="DUE",15,IF(S343="Next 3 Days",8,0))),0))</f>
        <v/>
      </c>
      <c r="AB343" s="425">
        <f>IF(AND(AC343="Active",OR(N343="Tier 1",N343="Tier 2"),OR(S343="DUE",S343="Next 3 Days")),"YES","")</f>
        <v/>
      </c>
      <c r="AC343" s="425">
        <f>IF(L343="Passed","Archived","Active")</f>
        <v/>
      </c>
    </row>
    <row r="344">
      <c r="A344" s="425" t="inlineStr">
        <is>
          <t>EXOS-0343</t>
        </is>
      </c>
      <c r="B344" s="425" t="inlineStr">
        <is>
          <t>John - Investor Contacts</t>
        </is>
      </c>
      <c r="C344" s="425" t="inlineStr">
        <is>
          <t>Financial Investor</t>
        </is>
      </c>
      <c r="D344" s="425" t="inlineStr">
        <is>
          <t>Feld Ventures</t>
        </is>
      </c>
      <c r="E344" s="425" t="inlineStr">
        <is>
          <t>John Lema</t>
        </is>
      </c>
      <c r="F344" s="425" t="inlineStr"/>
      <c r="G344" s="111" t="inlineStr">
        <is>
          <t>john@feldventures.com</t>
        </is>
      </c>
      <c r="H344" s="425" t="inlineStr"/>
      <c r="I344" s="425" t="inlineStr"/>
      <c r="J344" s="425" t="inlineStr"/>
      <c r="K344" s="426" t="inlineStr">
        <is>
          <t>John Quinn</t>
        </is>
      </c>
      <c r="L344" s="426" t="inlineStr">
        <is>
          <t>Follow Up</t>
        </is>
      </c>
      <c r="M344" s="425" t="inlineStr">
        <is>
          <t>Space / Defense / Aerospace / Advanced Manufacturing</t>
        </is>
      </c>
      <c r="N344" s="426" t="inlineStr">
        <is>
          <t>Tier 2</t>
        </is>
      </c>
      <c r="O344" s="441" t="n">
        <v>45840</v>
      </c>
      <c r="P344" s="441" t="n">
        <v>45861</v>
      </c>
      <c r="Q344" s="425">
        <f>IF(P344="","",TODAY()-P344)</f>
        <v/>
      </c>
      <c r="R344" s="441">
        <f>IF(OR(L344="Passed",Z344=""),"",P344+Z344)</f>
        <v/>
      </c>
      <c r="S344" s="425">
        <f>IF(OR(R344="",L344="Passed"),"",IF(R344&lt;=TODAY(),"DUE",IF(R344&lt;=TODAY()+3,"Next 3 Days","Later")))</f>
        <v/>
      </c>
      <c r="T344" s="425" t="inlineStr"/>
      <c r="U344" s="426" t="inlineStr">
        <is>
          <t>linkedin.com/in/johnlema</t>
        </is>
      </c>
      <c r="V344" s="426" t="inlineStr"/>
      <c r="W344" s="428" t="inlineStr">
        <is>
          <t xml:space="preserve"> | 12/26/2025 | </t>
        </is>
      </c>
      <c r="X344" s="425" t="inlineStr">
        <is>
          <t>John - Investor Contacts!326</t>
        </is>
      </c>
      <c r="Y344" s="426" t="inlineStr">
        <is>
          <t>Send next follow-up with traction + CTA</t>
        </is>
      </c>
      <c r="Z344" s="425" t="n">
        <v>7</v>
      </c>
      <c r="AA344" s="425">
        <f>IF(AC344="Archived",0,ROUND((IF(N344="Tier 1",35,IF(N344="Tier 2",20,8))+IF(C344="Financial Investor",15,IF(C344="Intermediary / Banker",12,8))+IF(L344="Term Sheet / Proposal",25,IF(L344="Engaged",20,IF(L344="Meeting Requested",18,IF(L344="Meeting Held",14,IF(L344="Follow Up",10,5)))))+MIN(Q344,30)+IF(S344="DUE",15,IF(S344="Next 3 Days",8,0))),0))</f>
        <v/>
      </c>
      <c r="AB344" s="425">
        <f>IF(AND(AC344="Active",OR(N344="Tier 1",N344="Tier 2"),OR(S344="DUE",S344="Next 3 Days")),"YES","")</f>
        <v/>
      </c>
      <c r="AC344" s="425">
        <f>IF(L344="Passed","Archived","Active")</f>
        <v/>
      </c>
    </row>
    <row r="345">
      <c r="A345" s="425" t="inlineStr">
        <is>
          <t>EXOS-0344</t>
        </is>
      </c>
      <c r="B345" s="425" t="inlineStr">
        <is>
          <t>John - Investor Contacts</t>
        </is>
      </c>
      <c r="C345" s="425" t="inlineStr">
        <is>
          <t>Financial Investor</t>
        </is>
      </c>
      <c r="D345" s="425" t="inlineStr">
        <is>
          <t>Feld Ventures</t>
        </is>
      </c>
      <c r="E345" s="425" t="inlineStr">
        <is>
          <t>Shane Feldberg</t>
        </is>
      </c>
      <c r="F345" s="425" t="inlineStr"/>
      <c r="G345" s="111" t="inlineStr">
        <is>
          <t>shane@feldventures.com</t>
        </is>
      </c>
      <c r="H345" s="425" t="inlineStr"/>
      <c r="I345" s="425" t="inlineStr"/>
      <c r="J345" s="111" t="inlineStr">
        <is>
          <t>https://www.linkedin.com/in/shane-feldberg-4b6966b6/</t>
        </is>
      </c>
      <c r="K345" s="426" t="inlineStr">
        <is>
          <t>John Quinn</t>
        </is>
      </c>
      <c r="L345" s="426" t="inlineStr">
        <is>
          <t>Follow Up</t>
        </is>
      </c>
      <c r="M345" s="425" t="inlineStr">
        <is>
          <t>Space / Defense / Aerospace / Advanced Manufacturing</t>
        </is>
      </c>
      <c r="N345" s="426" t="inlineStr">
        <is>
          <t>Tier 2</t>
        </is>
      </c>
      <c r="O345" s="441" t="n">
        <v>45840</v>
      </c>
      <c r="P345" s="441" t="n">
        <v>45861</v>
      </c>
      <c r="Q345" s="425">
        <f>IF(P345="","",TODAY()-P345)</f>
        <v/>
      </c>
      <c r="R345" s="441">
        <f>IF(OR(L345="Passed",Z345=""),"",P345+Z345)</f>
        <v/>
      </c>
      <c r="S345" s="425">
        <f>IF(OR(R345="",L345="Passed"),"",IF(R345&lt;=TODAY(),"DUE",IF(R345&lt;=TODAY()+3,"Next 3 Days","Later")))</f>
        <v/>
      </c>
      <c r="T345" s="425" t="inlineStr"/>
      <c r="U345" s="426" t="inlineStr">
        <is>
          <t>https://www.linkedin.com/in/shane-feldberg-4b6966b6/</t>
        </is>
      </c>
      <c r="V345" s="426" t="inlineStr"/>
      <c r="W345" s="428" t="inlineStr">
        <is>
          <t xml:space="preserve"> | 12/26/2025 | online application: https://feldventures.com/contact-us/</t>
        </is>
      </c>
      <c r="X345" s="425" t="inlineStr">
        <is>
          <t>John - Investor Contacts!324</t>
        </is>
      </c>
      <c r="Y345" s="426" t="inlineStr">
        <is>
          <t>Send next follow-up with traction + CTA</t>
        </is>
      </c>
      <c r="Z345" s="425" t="n">
        <v>7</v>
      </c>
      <c r="AA345" s="425">
        <f>IF(AC345="Archived",0,ROUND((IF(N345="Tier 1",35,IF(N345="Tier 2",20,8))+IF(C345="Financial Investor",15,IF(C345="Intermediary / Banker",12,8))+IF(L345="Term Sheet / Proposal",25,IF(L345="Engaged",20,IF(L345="Meeting Requested",18,IF(L345="Meeting Held",14,IF(L345="Follow Up",10,5)))))+MIN(Q345,30)+IF(S345="DUE",15,IF(S345="Next 3 Days",8,0))),0))</f>
        <v/>
      </c>
      <c r="AB345" s="425">
        <f>IF(AND(AC345="Active",OR(N345="Tier 1",N345="Tier 2"),OR(S345="DUE",S345="Next 3 Days")),"YES","")</f>
        <v/>
      </c>
      <c r="AC345" s="425">
        <f>IF(L345="Passed","Archived","Active")</f>
        <v/>
      </c>
    </row>
    <row r="346">
      <c r="A346" s="425" t="inlineStr">
        <is>
          <t>EXOS-0345</t>
        </is>
      </c>
      <c r="B346" s="425" t="inlineStr">
        <is>
          <t>John - Investor Contacts</t>
        </is>
      </c>
      <c r="C346" s="425" t="inlineStr">
        <is>
          <t>Financial Investor</t>
        </is>
      </c>
      <c r="D346" s="425" t="inlineStr">
        <is>
          <t>Felicis Ventures</t>
        </is>
      </c>
      <c r="E346" s="425" t="inlineStr">
        <is>
          <t>Astasia Myers</t>
        </is>
      </c>
      <c r="F346" s="425" t="inlineStr"/>
      <c r="G346" s="111" t="inlineStr">
        <is>
          <t>astasia@felicis.com</t>
        </is>
      </c>
      <c r="H346" s="425" t="inlineStr"/>
      <c r="I346" s="425" t="inlineStr"/>
      <c r="J346" s="111" t="inlineStr">
        <is>
          <t>https://www.linkedin.com/in/astasiamyers/</t>
        </is>
      </c>
      <c r="K346" s="426" t="inlineStr">
        <is>
          <t>John Quinn</t>
        </is>
      </c>
      <c r="L346" s="426" t="inlineStr">
        <is>
          <t>Follow Up</t>
        </is>
      </c>
      <c r="M346" s="425" t="inlineStr">
        <is>
          <t>Space / Defense / Aerospace / Advanced Manufacturing</t>
        </is>
      </c>
      <c r="N346" s="426" t="inlineStr">
        <is>
          <t>Tier 2</t>
        </is>
      </c>
      <c r="O346" s="441" t="n">
        <v>45792</v>
      </c>
      <c r="P346" s="441" t="n">
        <v>45841</v>
      </c>
      <c r="Q346" s="425">
        <f>IF(P346="","",TODAY()-P346)</f>
        <v/>
      </c>
      <c r="R346" s="441">
        <f>IF(OR(L346="Passed",Z346=""),"",P346+Z346)</f>
        <v/>
      </c>
      <c r="S346" s="425">
        <f>IF(OR(R346="",L346="Passed"),"",IF(R346&lt;=TODAY(),"DUE",IF(R346&lt;=TODAY()+3,"Next 3 Days","Later")))</f>
        <v/>
      </c>
      <c r="T346" s="425" t="inlineStr"/>
      <c r="U346" s="426" t="inlineStr">
        <is>
          <t>https://www.linkedin.com/in/astasiamyers/</t>
        </is>
      </c>
      <c r="V346" s="426" t="inlineStr"/>
      <c r="W346" s="428" t="inlineStr">
        <is>
          <t xml:space="preserve"> |  | </t>
        </is>
      </c>
      <c r="X346" s="425" t="inlineStr">
        <is>
          <t>John - Investor Contacts!41</t>
        </is>
      </c>
      <c r="Y346" s="426" t="inlineStr">
        <is>
          <t>Send next follow-up with traction + CTA</t>
        </is>
      </c>
      <c r="Z346" s="425" t="n">
        <v>7</v>
      </c>
      <c r="AA346" s="425">
        <f>IF(AC346="Archived",0,ROUND((IF(N346="Tier 1",35,IF(N346="Tier 2",20,8))+IF(C346="Financial Investor",15,IF(C346="Intermediary / Banker",12,8))+IF(L346="Term Sheet / Proposal",25,IF(L346="Engaged",20,IF(L346="Meeting Requested",18,IF(L346="Meeting Held",14,IF(L346="Follow Up",10,5)))))+MIN(Q346,30)+IF(S346="DUE",15,IF(S346="Next 3 Days",8,0))),0))</f>
        <v/>
      </c>
      <c r="AB346" s="425">
        <f>IF(AND(AC346="Active",OR(N346="Tier 1",N346="Tier 2"),OR(S346="DUE",S346="Next 3 Days")),"YES","")</f>
        <v/>
      </c>
      <c r="AC346" s="425">
        <f>IF(L346="Passed","Archived","Active")</f>
        <v/>
      </c>
    </row>
    <row r="347">
      <c r="A347" s="425" t="inlineStr">
        <is>
          <t>EXOS-0346</t>
        </is>
      </c>
      <c r="B347" s="425" t="inlineStr">
        <is>
          <t>John - Investor Contacts</t>
        </is>
      </c>
      <c r="C347" s="425" t="inlineStr">
        <is>
          <t>Financial Investor</t>
        </is>
      </c>
      <c r="D347" s="425" t="inlineStr">
        <is>
          <t>Felicis Ventures</t>
        </is>
      </c>
      <c r="E347" s="425" t="inlineStr">
        <is>
          <t>Aydin Senkut</t>
        </is>
      </c>
      <c r="F347" s="425" t="inlineStr"/>
      <c r="G347" s="111" t="inlineStr">
        <is>
          <t>aydin@felicis.com</t>
        </is>
      </c>
      <c r="H347" s="425" t="inlineStr"/>
      <c r="I347" s="425" t="inlineStr"/>
      <c r="J347" s="111" t="inlineStr">
        <is>
          <t>https://www.linkedin.com/in/aydins/</t>
        </is>
      </c>
      <c r="K347" s="426" t="inlineStr">
        <is>
          <t>John Quinn</t>
        </is>
      </c>
      <c r="L347" s="426" t="inlineStr">
        <is>
          <t>Follow Up</t>
        </is>
      </c>
      <c r="M347" s="425" t="inlineStr">
        <is>
          <t>Space / Defense / Aerospace / Advanced Manufacturing</t>
        </is>
      </c>
      <c r="N347" s="426" t="inlineStr">
        <is>
          <t>Tier 2</t>
        </is>
      </c>
      <c r="O347" s="441" t="n">
        <v>45792</v>
      </c>
      <c r="P347" s="441" t="n">
        <v>45841</v>
      </c>
      <c r="Q347" s="425">
        <f>IF(P347="","",TODAY()-P347)</f>
        <v/>
      </c>
      <c r="R347" s="441">
        <f>IF(OR(L347="Passed",Z347=""),"",P347+Z347)</f>
        <v/>
      </c>
      <c r="S347" s="425">
        <f>IF(OR(R347="",L347="Passed"),"",IF(R347&lt;=TODAY(),"DUE",IF(R347&lt;=TODAY()+3,"Next 3 Days","Later")))</f>
        <v/>
      </c>
      <c r="T347" s="425" t="inlineStr"/>
      <c r="U347" s="426" t="inlineStr">
        <is>
          <t>https://www.linkedin.com/in/aydins/</t>
        </is>
      </c>
      <c r="V347" s="426" t="inlineStr"/>
      <c r="W347" s="428" t="inlineStr">
        <is>
          <t xml:space="preserve"> |  | </t>
        </is>
      </c>
      <c r="X347" s="425" t="inlineStr">
        <is>
          <t>John - Investor Contacts!39</t>
        </is>
      </c>
      <c r="Y347" s="426" t="inlineStr">
        <is>
          <t>Send next follow-up with traction + CTA</t>
        </is>
      </c>
      <c r="Z347" s="425" t="n">
        <v>7</v>
      </c>
      <c r="AA347" s="425">
        <f>IF(AC347="Archived",0,ROUND((IF(N347="Tier 1",35,IF(N347="Tier 2",20,8))+IF(C347="Financial Investor",15,IF(C347="Intermediary / Banker",12,8))+IF(L347="Term Sheet / Proposal",25,IF(L347="Engaged",20,IF(L347="Meeting Requested",18,IF(L347="Meeting Held",14,IF(L347="Follow Up",10,5)))))+MIN(Q347,30)+IF(S347="DUE",15,IF(S347="Next 3 Days",8,0))),0))</f>
        <v/>
      </c>
      <c r="AB347" s="425">
        <f>IF(AND(AC347="Active",OR(N347="Tier 1",N347="Tier 2"),OR(S347="DUE",S347="Next 3 Days")),"YES","")</f>
        <v/>
      </c>
      <c r="AC347" s="425">
        <f>IF(L347="Passed","Archived","Active")</f>
        <v/>
      </c>
    </row>
    <row r="348">
      <c r="A348" s="425" t="inlineStr">
        <is>
          <t>EXOS-0347</t>
        </is>
      </c>
      <c r="B348" s="425" t="inlineStr">
        <is>
          <t>John - Investor Contacts</t>
        </is>
      </c>
      <c r="C348" s="425" t="inlineStr">
        <is>
          <t>Financial Investor</t>
        </is>
      </c>
      <c r="D348" s="425" t="inlineStr">
        <is>
          <t>Felicis Ventures</t>
        </is>
      </c>
      <c r="E348" s="425" t="inlineStr">
        <is>
          <t>Nancy Wang</t>
        </is>
      </c>
      <c r="F348" s="425" t="inlineStr"/>
      <c r="G348" s="111" t="inlineStr">
        <is>
          <t>nancy@felicis.com</t>
        </is>
      </c>
      <c r="H348" s="425" t="inlineStr"/>
      <c r="I348" s="425" t="inlineStr"/>
      <c r="J348" s="111" t="inlineStr">
        <is>
          <t>https://www.linkedin.com/in/wangnancy/</t>
        </is>
      </c>
      <c r="K348" s="426" t="inlineStr">
        <is>
          <t>John Quinn</t>
        </is>
      </c>
      <c r="L348" s="426" t="inlineStr">
        <is>
          <t>Follow Up</t>
        </is>
      </c>
      <c r="M348" s="425" t="inlineStr">
        <is>
          <t>Space / Defense / Aerospace / Advanced Manufacturing</t>
        </is>
      </c>
      <c r="N348" s="426" t="inlineStr">
        <is>
          <t>Tier 2</t>
        </is>
      </c>
      <c r="O348" s="441" t="n">
        <v>45792</v>
      </c>
      <c r="P348" s="441" t="n">
        <v>46036</v>
      </c>
      <c r="Q348" s="425">
        <f>IF(P348="","",TODAY()-P348)</f>
        <v/>
      </c>
      <c r="R348" s="441">
        <f>IF(OR(L348="Passed",Z348=""),"",P348+Z348)</f>
        <v/>
      </c>
      <c r="S348" s="425">
        <f>IF(OR(R348="",L348="Passed"),"",IF(R348&lt;=TODAY(),"DUE",IF(R348&lt;=TODAY()+3,"Next 3 Days","Later")))</f>
        <v/>
      </c>
      <c r="T348" s="425" t="inlineStr"/>
      <c r="U348" s="426" t="inlineStr">
        <is>
          <t>https://www.linkedin.com/in/wangnancy/ | linkedin.com/in/wangnancy</t>
        </is>
      </c>
      <c r="V348" s="426" t="inlineStr"/>
      <c r="W348" s="428" t="inlineStr"/>
      <c r="X348" s="425" t="inlineStr">
        <is>
          <t>John - Investor Contacts!40 | John - Investor Contacts!711</t>
        </is>
      </c>
      <c r="Y348" s="426" t="inlineStr">
        <is>
          <t>Send next follow-up with traction + CTA</t>
        </is>
      </c>
      <c r="Z348" s="425" t="n">
        <v>7</v>
      </c>
      <c r="AA348" s="425">
        <f>IF(AC348="Archived",0,ROUND((IF(N348="Tier 1",35,IF(N348="Tier 2",20,8))+IF(C348="Financial Investor",15,IF(C348="Intermediary / Banker",12,8))+IF(L348="Term Sheet / Proposal",25,IF(L348="Engaged",20,IF(L348="Meeting Requested",18,IF(L348="Meeting Held",14,IF(L348="Follow Up",10,5)))))+MIN(Q348,30)+IF(S348="DUE",15,IF(S348="Next 3 Days",8,0))),0))</f>
        <v/>
      </c>
      <c r="AB348" s="425">
        <f>IF(AND(AC348="Active",OR(N348="Tier 1",N348="Tier 2"),OR(S348="DUE",S348="Next 3 Days")),"YES","")</f>
        <v/>
      </c>
      <c r="AC348" s="425">
        <f>IF(L348="Passed","Archived","Active")</f>
        <v/>
      </c>
    </row>
    <row r="349">
      <c r="A349" s="425" t="inlineStr">
        <is>
          <t>EXOS-0348</t>
        </is>
      </c>
      <c r="B349" s="425" t="inlineStr">
        <is>
          <t>John - Investor Contacts</t>
        </is>
      </c>
      <c r="C349" s="425" t="inlineStr">
        <is>
          <t>Financial Investor</t>
        </is>
      </c>
      <c r="D349" s="425" t="inlineStr">
        <is>
          <t>Felicis Ventures</t>
        </is>
      </c>
      <c r="E349" s="425" t="inlineStr">
        <is>
          <t>Viviana Faga</t>
        </is>
      </c>
      <c r="F349" s="425" t="inlineStr"/>
      <c r="G349" s="111" t="inlineStr">
        <is>
          <t>viviana@felicis.com</t>
        </is>
      </c>
      <c r="H349" s="425" t="inlineStr"/>
      <c r="I349" s="425" t="inlineStr"/>
      <c r="J349" s="111" t="inlineStr">
        <is>
          <t>https://www.linkedin.com/in/vivianafaga/</t>
        </is>
      </c>
      <c r="K349" s="426" t="inlineStr">
        <is>
          <t>John Quinn</t>
        </is>
      </c>
      <c r="L349" s="426" t="inlineStr">
        <is>
          <t>Follow Up</t>
        </is>
      </c>
      <c r="M349" s="425" t="inlineStr">
        <is>
          <t>Space / Defense / Aerospace / Advanced Manufacturing</t>
        </is>
      </c>
      <c r="N349" s="426" t="inlineStr">
        <is>
          <t>Tier 2</t>
        </is>
      </c>
      <c r="O349" s="441" t="n">
        <v>45792</v>
      </c>
      <c r="P349" s="441" t="n">
        <v>45841</v>
      </c>
      <c r="Q349" s="425">
        <f>IF(P349="","",TODAY()-P349)</f>
        <v/>
      </c>
      <c r="R349" s="441">
        <f>IF(OR(L349="Passed",Z349=""),"",P349+Z349)</f>
        <v/>
      </c>
      <c r="S349" s="425">
        <f>IF(OR(R349="",L349="Passed"),"",IF(R349&lt;=TODAY(),"DUE",IF(R349&lt;=TODAY()+3,"Next 3 Days","Later")))</f>
        <v/>
      </c>
      <c r="T349" s="425" t="inlineStr"/>
      <c r="U349" s="426" t="inlineStr">
        <is>
          <t>https://www.linkedin.com/in/vivianafaga/</t>
        </is>
      </c>
      <c r="V349" s="426" t="inlineStr"/>
      <c r="W349" s="428" t="inlineStr">
        <is>
          <t xml:space="preserve"> |  | </t>
        </is>
      </c>
      <c r="X349" s="425" t="inlineStr">
        <is>
          <t>John - Investor Contacts!38</t>
        </is>
      </c>
      <c r="Y349" s="426" t="inlineStr">
        <is>
          <t>Send next follow-up with traction + CTA</t>
        </is>
      </c>
      <c r="Z349" s="425" t="n">
        <v>7</v>
      </c>
      <c r="AA349" s="425">
        <f>IF(AC349="Archived",0,ROUND((IF(N349="Tier 1",35,IF(N349="Tier 2",20,8))+IF(C349="Financial Investor",15,IF(C349="Intermediary / Banker",12,8))+IF(L349="Term Sheet / Proposal",25,IF(L349="Engaged",20,IF(L349="Meeting Requested",18,IF(L349="Meeting Held",14,IF(L349="Follow Up",10,5)))))+MIN(Q349,30)+IF(S349="DUE",15,IF(S349="Next 3 Days",8,0))),0))</f>
        <v/>
      </c>
      <c r="AB349" s="425">
        <f>IF(AND(AC349="Active",OR(N349="Tier 1",N349="Tier 2"),OR(S349="DUE",S349="Next 3 Days")),"YES","")</f>
        <v/>
      </c>
      <c r="AC349" s="425">
        <f>IF(L349="Passed","Archived","Active")</f>
        <v/>
      </c>
    </row>
    <row r="350">
      <c r="A350" s="425" t="inlineStr">
        <is>
          <t>EXOS-0349</t>
        </is>
      </c>
      <c r="B350" s="425" t="inlineStr">
        <is>
          <t>John - Investor Contacts</t>
        </is>
      </c>
      <c r="C350" s="425" t="inlineStr">
        <is>
          <t>Financial Investor</t>
        </is>
      </c>
      <c r="D350" s="425" t="inlineStr">
        <is>
          <t>Fine Structure Ventures</t>
        </is>
      </c>
      <c r="E350" s="425" t="inlineStr">
        <is>
          <t>David Needell</t>
        </is>
      </c>
      <c r="F350" s="425" t="inlineStr"/>
      <c r="G350" s="111" t="inlineStr">
        <is>
          <t>david@finestructure.vc</t>
        </is>
      </c>
      <c r="H350" s="425" t="inlineStr"/>
      <c r="I350" s="425" t="inlineStr"/>
      <c r="J350" s="111" t="inlineStr">
        <is>
          <t>https://www.linkedin.com/in/davidrneedell/</t>
        </is>
      </c>
      <c r="K350" s="426" t="inlineStr">
        <is>
          <t>John Quinn</t>
        </is>
      </c>
      <c r="L350" s="426" t="inlineStr">
        <is>
          <t>Follow Up</t>
        </is>
      </c>
      <c r="M350" s="425" t="inlineStr">
        <is>
          <t>Space / Defense / Aerospace / Advanced Manufacturing</t>
        </is>
      </c>
      <c r="N350" s="426" t="inlineStr">
        <is>
          <t>Tier 2</t>
        </is>
      </c>
      <c r="O350" s="441" t="n">
        <v>45824</v>
      </c>
      <c r="P350" s="441" t="n">
        <v>45841</v>
      </c>
      <c r="Q350" s="425">
        <f>IF(P350="","",TODAY()-P350)</f>
        <v/>
      </c>
      <c r="R350" s="441">
        <f>IF(OR(L350="Passed",Z350=""),"",P350+Z350)</f>
        <v/>
      </c>
      <c r="S350" s="425">
        <f>IF(OR(R350="",L350="Passed"),"",IF(R350&lt;=TODAY(),"DUE",IF(R350&lt;=TODAY()+3,"Next 3 Days","Later")))</f>
        <v/>
      </c>
      <c r="T350" s="425" t="inlineStr"/>
      <c r="U350" s="426" t="inlineStr">
        <is>
          <t>https://www.linkedin.com/in/davidrneedell/</t>
        </is>
      </c>
      <c r="V350" s="426" t="inlineStr"/>
      <c r="W350" s="428" t="inlineStr">
        <is>
          <t xml:space="preserve"> | 12/23/2025 | </t>
        </is>
      </c>
      <c r="X350" s="425" t="inlineStr">
        <is>
          <t>John - Investor Contacts!225</t>
        </is>
      </c>
      <c r="Y350" s="426" t="inlineStr">
        <is>
          <t>Send next follow-up with traction + CTA</t>
        </is>
      </c>
      <c r="Z350" s="425" t="n">
        <v>7</v>
      </c>
      <c r="AA350" s="425">
        <f>IF(AC350="Archived",0,ROUND((IF(N350="Tier 1",35,IF(N350="Tier 2",20,8))+IF(C350="Financial Investor",15,IF(C350="Intermediary / Banker",12,8))+IF(L350="Term Sheet / Proposal",25,IF(L350="Engaged",20,IF(L350="Meeting Requested",18,IF(L350="Meeting Held",14,IF(L350="Follow Up",10,5)))))+MIN(Q350,30)+IF(S350="DUE",15,IF(S350="Next 3 Days",8,0))),0))</f>
        <v/>
      </c>
      <c r="AB350" s="425">
        <f>IF(AND(AC350="Active",OR(N350="Tier 1",N350="Tier 2"),OR(S350="DUE",S350="Next 3 Days")),"YES","")</f>
        <v/>
      </c>
      <c r="AC350" s="425">
        <f>IF(L350="Passed","Archived","Active")</f>
        <v/>
      </c>
    </row>
    <row r="351">
      <c r="A351" s="425" t="inlineStr">
        <is>
          <t>EXOS-0350</t>
        </is>
      </c>
      <c r="B351" s="425" t="inlineStr">
        <is>
          <t>John - Investor Contacts</t>
        </is>
      </c>
      <c r="C351" s="425" t="inlineStr">
        <is>
          <t>Financial Investor</t>
        </is>
      </c>
      <c r="D351" s="425" t="inlineStr">
        <is>
          <t>Fine Structure Ventures</t>
        </is>
      </c>
      <c r="E351" s="425" t="inlineStr">
        <is>
          <t>Jennifer Uhrig</t>
        </is>
      </c>
      <c r="F351" s="425" t="inlineStr"/>
      <c r="G351" s="111" t="inlineStr">
        <is>
          <t>jennifer@finestructure.vc</t>
        </is>
      </c>
      <c r="H351" s="425" t="inlineStr"/>
      <c r="I351" s="425" t="inlineStr"/>
      <c r="J351" s="111" t="inlineStr">
        <is>
          <t>https://www.linkedin.com/in/jennifer-uhrig-3b876812/</t>
        </is>
      </c>
      <c r="K351" s="426" t="inlineStr">
        <is>
          <t>John Quinn</t>
        </is>
      </c>
      <c r="L351" s="426" t="inlineStr">
        <is>
          <t>Follow Up</t>
        </is>
      </c>
      <c r="M351" s="425" t="inlineStr">
        <is>
          <t>Space / Defense / Aerospace / Advanced Manufacturing</t>
        </is>
      </c>
      <c r="N351" s="426" t="inlineStr">
        <is>
          <t>Tier 2</t>
        </is>
      </c>
      <c r="O351" s="441" t="n">
        <v>45824</v>
      </c>
      <c r="P351" s="441" t="n">
        <v>45841</v>
      </c>
      <c r="Q351" s="425">
        <f>IF(P351="","",TODAY()-P351)</f>
        <v/>
      </c>
      <c r="R351" s="441">
        <f>IF(OR(L351="Passed",Z351=""),"",P351+Z351)</f>
        <v/>
      </c>
      <c r="S351" s="425">
        <f>IF(OR(R351="",L351="Passed"),"",IF(R351&lt;=TODAY(),"DUE",IF(R351&lt;=TODAY()+3,"Next 3 Days","Later")))</f>
        <v/>
      </c>
      <c r="T351" s="425" t="inlineStr"/>
      <c r="U351" s="426" t="inlineStr">
        <is>
          <t>https://www.linkedin.com/in/jennifer-uhrig-3b876812/</t>
        </is>
      </c>
      <c r="V351" s="426" t="inlineStr"/>
      <c r="W351" s="428" t="inlineStr">
        <is>
          <t xml:space="preserve"> | 12/23/2025 | </t>
        </is>
      </c>
      <c r="X351" s="425" t="inlineStr">
        <is>
          <t>John - Investor Contacts!224</t>
        </is>
      </c>
      <c r="Y351" s="426" t="inlineStr">
        <is>
          <t>Send next follow-up with traction + CTA</t>
        </is>
      </c>
      <c r="Z351" s="425" t="n">
        <v>7</v>
      </c>
      <c r="AA351" s="425">
        <f>IF(AC351="Archived",0,ROUND((IF(N351="Tier 1",35,IF(N351="Tier 2",20,8))+IF(C351="Financial Investor",15,IF(C351="Intermediary / Banker",12,8))+IF(L351="Term Sheet / Proposal",25,IF(L351="Engaged",20,IF(L351="Meeting Requested",18,IF(L351="Meeting Held",14,IF(L351="Follow Up",10,5)))))+MIN(Q351,30)+IF(S351="DUE",15,IF(S351="Next 3 Days",8,0))),0))</f>
        <v/>
      </c>
      <c r="AB351" s="425">
        <f>IF(AND(AC351="Active",OR(N351="Tier 1",N351="Tier 2"),OR(S351="DUE",S351="Next 3 Days")),"YES","")</f>
        <v/>
      </c>
      <c r="AC351" s="425">
        <f>IF(L351="Passed","Archived","Active")</f>
        <v/>
      </c>
    </row>
    <row r="352">
      <c r="A352" s="425" t="inlineStr">
        <is>
          <t>EXOS-0351</t>
        </is>
      </c>
      <c r="B352" s="425" t="inlineStr">
        <is>
          <t>John - Investor Contacts</t>
        </is>
      </c>
      <c r="C352" s="425" t="inlineStr">
        <is>
          <t>Financial Investor</t>
        </is>
      </c>
      <c r="D352" s="425" t="inlineStr">
        <is>
          <t>Fine Structure Ventures</t>
        </is>
      </c>
      <c r="E352" s="425" t="inlineStr">
        <is>
          <t>Shyam Kamadolli</t>
        </is>
      </c>
      <c r="F352" s="425" t="inlineStr"/>
      <c r="G352" s="111" t="inlineStr">
        <is>
          <t>shyam@finestructure.vc</t>
        </is>
      </c>
      <c r="H352" s="425" t="inlineStr"/>
      <c r="I352" s="425" t="inlineStr"/>
      <c r="J352" s="111" t="inlineStr">
        <is>
          <t>https://www.linkedin.com/in/shyam/</t>
        </is>
      </c>
      <c r="K352" s="426" t="inlineStr">
        <is>
          <t>John Quinn</t>
        </is>
      </c>
      <c r="L352" s="426" t="inlineStr">
        <is>
          <t>Follow Up</t>
        </is>
      </c>
      <c r="M352" s="425" t="inlineStr">
        <is>
          <t>Space / Defense / Aerospace / Advanced Manufacturing</t>
        </is>
      </c>
      <c r="N352" s="426" t="inlineStr">
        <is>
          <t>Tier 2</t>
        </is>
      </c>
      <c r="O352" s="441" t="n">
        <v>45824</v>
      </c>
      <c r="P352" s="441" t="n">
        <v>45841</v>
      </c>
      <c r="Q352" s="425">
        <f>IF(P352="","",TODAY()-P352)</f>
        <v/>
      </c>
      <c r="R352" s="441">
        <f>IF(OR(L352="Passed",Z352=""),"",P352+Z352)</f>
        <v/>
      </c>
      <c r="S352" s="425">
        <f>IF(OR(R352="",L352="Passed"),"",IF(R352&lt;=TODAY(),"DUE",IF(R352&lt;=TODAY()+3,"Next 3 Days","Later")))</f>
        <v/>
      </c>
      <c r="T352" s="425" t="inlineStr"/>
      <c r="U352" s="426" t="inlineStr">
        <is>
          <t>https://www.linkedin.com/in/shyam/</t>
        </is>
      </c>
      <c r="V352" s="426" t="inlineStr"/>
      <c r="W352" s="428" t="inlineStr">
        <is>
          <t xml:space="preserve"> | 12/23/2025 | </t>
        </is>
      </c>
      <c r="X352" s="425" t="inlineStr">
        <is>
          <t>John - Investor Contacts!223</t>
        </is>
      </c>
      <c r="Y352" s="426" t="inlineStr">
        <is>
          <t>Send next follow-up with traction + CTA</t>
        </is>
      </c>
      <c r="Z352" s="425" t="n">
        <v>7</v>
      </c>
      <c r="AA352" s="425">
        <f>IF(AC352="Archived",0,ROUND((IF(N352="Tier 1",35,IF(N352="Tier 2",20,8))+IF(C352="Financial Investor",15,IF(C352="Intermediary / Banker",12,8))+IF(L352="Term Sheet / Proposal",25,IF(L352="Engaged",20,IF(L352="Meeting Requested",18,IF(L352="Meeting Held",14,IF(L352="Follow Up",10,5)))))+MIN(Q352,30)+IF(S352="DUE",15,IF(S352="Next 3 Days",8,0))),0))</f>
        <v/>
      </c>
      <c r="AB352" s="425">
        <f>IF(AND(AC352="Active",OR(N352="Tier 1",N352="Tier 2"),OR(S352="DUE",S352="Next 3 Days")),"YES","")</f>
        <v/>
      </c>
      <c r="AC352" s="425">
        <f>IF(L352="Passed","Archived","Active")</f>
        <v/>
      </c>
    </row>
    <row r="353">
      <c r="A353" s="425" t="inlineStr">
        <is>
          <t>EXOS-0352</t>
        </is>
      </c>
      <c r="B353" s="425" t="inlineStr">
        <is>
          <t>John - Investor Contacts</t>
        </is>
      </c>
      <c r="C353" s="425" t="inlineStr">
        <is>
          <t>Financial Investor</t>
        </is>
      </c>
      <c r="D353" s="425" t="inlineStr">
        <is>
          <t>First Bight Ventures</t>
        </is>
      </c>
      <c r="E353" s="425" t="inlineStr">
        <is>
          <t>Veronica Wu</t>
        </is>
      </c>
      <c r="F353" s="425" t="inlineStr"/>
      <c r="G353" s="111" t="inlineStr">
        <is>
          <t>veronica@firstbight.com</t>
        </is>
      </c>
      <c r="H353" s="425" t="inlineStr"/>
      <c r="I353" s="425" t="inlineStr"/>
      <c r="J353" s="111" t="inlineStr">
        <is>
          <t>https://www.linkedin.com/in/wuveronica/</t>
        </is>
      </c>
      <c r="K353" s="426" t="inlineStr">
        <is>
          <t>John Quinn</t>
        </is>
      </c>
      <c r="L353" s="426" t="inlineStr">
        <is>
          <t>Follow Up</t>
        </is>
      </c>
      <c r="M353" s="425" t="inlineStr">
        <is>
          <t>Space / Defense / Aerospace / Advanced Manufacturing</t>
        </is>
      </c>
      <c r="N353" s="426" t="inlineStr">
        <is>
          <t>Tier 2</t>
        </is>
      </c>
      <c r="O353" s="441" t="n">
        <v>45994</v>
      </c>
      <c r="P353" s="441" t="n">
        <v>46036</v>
      </c>
      <c r="Q353" s="425">
        <f>IF(P353="","",TODAY()-P353)</f>
        <v/>
      </c>
      <c r="R353" s="441">
        <f>IF(OR(L353="Passed",Z353=""),"",P353+Z353)</f>
        <v/>
      </c>
      <c r="S353" s="425">
        <f>IF(OR(R353="",L353="Passed"),"",IF(R353&lt;=TODAY(),"DUE",IF(R353&lt;=TODAY()+3,"Next 3 Days","Later")))</f>
        <v/>
      </c>
      <c r="T353" s="425" t="inlineStr"/>
      <c r="U353" s="426" t="inlineStr">
        <is>
          <t>https://www.linkedin.com/in/wuveronica/</t>
        </is>
      </c>
      <c r="V353" s="426" t="inlineStr"/>
      <c r="W353" s="428" t="inlineStr">
        <is>
          <t xml:space="preserve"> |  | </t>
        </is>
      </c>
      <c r="X353" s="425" t="inlineStr">
        <is>
          <t>John - Investor Contacts!712</t>
        </is>
      </c>
      <c r="Y353" s="426" t="inlineStr">
        <is>
          <t>Send next follow-up with traction + CTA</t>
        </is>
      </c>
      <c r="Z353" s="425" t="n">
        <v>7</v>
      </c>
      <c r="AA353" s="425">
        <f>IF(AC353="Archived",0,ROUND((IF(N353="Tier 1",35,IF(N353="Tier 2",20,8))+IF(C353="Financial Investor",15,IF(C353="Intermediary / Banker",12,8))+IF(L353="Term Sheet / Proposal",25,IF(L353="Engaged",20,IF(L353="Meeting Requested",18,IF(L353="Meeting Held",14,IF(L353="Follow Up",10,5)))))+MIN(Q353,30)+IF(S353="DUE",15,IF(S353="Next 3 Days",8,0))),0))</f>
        <v/>
      </c>
      <c r="AB353" s="425">
        <f>IF(AND(AC353="Active",OR(N353="Tier 1",N353="Tier 2"),OR(S353="DUE",S353="Next 3 Days")),"YES","")</f>
        <v/>
      </c>
      <c r="AC353" s="425">
        <f>IF(L353="Passed","Archived","Active")</f>
        <v/>
      </c>
    </row>
    <row r="354">
      <c r="A354" s="425" t="inlineStr">
        <is>
          <t>EXOS-0353</t>
        </is>
      </c>
      <c r="B354" s="425" t="inlineStr">
        <is>
          <t>John - Investor Contacts</t>
        </is>
      </c>
      <c r="C354" s="425" t="inlineStr">
        <is>
          <t>Financial Investor</t>
        </is>
      </c>
      <c r="D354" s="425" t="inlineStr">
        <is>
          <t>First Mark</t>
        </is>
      </c>
      <c r="E354" s="425" t="inlineStr">
        <is>
          <t>Adam Nelson</t>
        </is>
      </c>
      <c r="F354" s="425" t="inlineStr"/>
      <c r="G354" s="111" t="inlineStr">
        <is>
          <t>adam@firstmark.com</t>
        </is>
      </c>
      <c r="H354" s="425" t="inlineStr"/>
      <c r="I354" s="425" t="inlineStr"/>
      <c r="J354" s="425" t="inlineStr"/>
      <c r="K354" s="426" t="inlineStr">
        <is>
          <t>John Quinn</t>
        </is>
      </c>
      <c r="L354" s="426" t="inlineStr">
        <is>
          <t>Follow Up</t>
        </is>
      </c>
      <c r="M354" s="425" t="inlineStr">
        <is>
          <t>Space / Defense / Aerospace / Advanced Manufacturing</t>
        </is>
      </c>
      <c r="N354" s="426" t="inlineStr">
        <is>
          <t>Tier 2</t>
        </is>
      </c>
      <c r="O354" s="441" t="n">
        <v>45792</v>
      </c>
      <c r="P354" s="441" t="n">
        <v>45841</v>
      </c>
      <c r="Q354" s="425">
        <f>IF(P354="","",TODAY()-P354)</f>
        <v/>
      </c>
      <c r="R354" s="441">
        <f>IF(OR(L354="Passed",Z354=""),"",P354+Z354)</f>
        <v/>
      </c>
      <c r="S354" s="425">
        <f>IF(OR(R354="",L354="Passed"),"",IF(R354&lt;=TODAY(),"DUE",IF(R354&lt;=TODAY()+3,"Next 3 Days","Later")))</f>
        <v/>
      </c>
      <c r="T354" s="425" t="inlineStr"/>
      <c r="U354" s="426" t="inlineStr"/>
      <c r="V354" s="426" t="inlineStr"/>
      <c r="W354" s="428" t="inlineStr">
        <is>
          <t xml:space="preserve"> |  | </t>
        </is>
      </c>
      <c r="X354" s="425" t="inlineStr">
        <is>
          <t>John - Investor Contacts!37</t>
        </is>
      </c>
      <c r="Y354" s="426" t="inlineStr">
        <is>
          <t>Send next follow-up with traction + CTA</t>
        </is>
      </c>
      <c r="Z354" s="425" t="n">
        <v>7</v>
      </c>
      <c r="AA354" s="425">
        <f>IF(AC354="Archived",0,ROUND((IF(N354="Tier 1",35,IF(N354="Tier 2",20,8))+IF(C354="Financial Investor",15,IF(C354="Intermediary / Banker",12,8))+IF(L354="Term Sheet / Proposal",25,IF(L354="Engaged",20,IF(L354="Meeting Requested",18,IF(L354="Meeting Held",14,IF(L354="Follow Up",10,5)))))+MIN(Q354,30)+IF(S354="DUE",15,IF(S354="Next 3 Days",8,0))),0))</f>
        <v/>
      </c>
      <c r="AB354" s="425">
        <f>IF(AND(AC354="Active",OR(N354="Tier 1",N354="Tier 2"),OR(S354="DUE",S354="Next 3 Days")),"YES","")</f>
        <v/>
      </c>
      <c r="AC354" s="425">
        <f>IF(L354="Passed","Archived","Active")</f>
        <v/>
      </c>
    </row>
    <row r="355">
      <c r="A355" s="425" t="inlineStr">
        <is>
          <t>EXOS-0354</t>
        </is>
      </c>
      <c r="B355" s="425" t="inlineStr">
        <is>
          <t>John - Investor Contacts</t>
        </is>
      </c>
      <c r="C355" s="425" t="inlineStr">
        <is>
          <t>Financial Investor</t>
        </is>
      </c>
      <c r="D355" s="425" t="inlineStr">
        <is>
          <t>First Mark</t>
        </is>
      </c>
      <c r="E355" s="425" t="inlineStr">
        <is>
          <t>Amish Jani</t>
        </is>
      </c>
      <c r="F355" s="425" t="inlineStr"/>
      <c r="G355" s="111" t="inlineStr">
        <is>
          <t>amish@firstmark.com</t>
        </is>
      </c>
      <c r="H355" s="425" t="inlineStr"/>
      <c r="I355" s="425" t="inlineStr"/>
      <c r="J355" s="425" t="inlineStr"/>
      <c r="K355" s="426" t="inlineStr">
        <is>
          <t>John Quinn</t>
        </is>
      </c>
      <c r="L355" s="426" t="inlineStr">
        <is>
          <t>Follow Up</t>
        </is>
      </c>
      <c r="M355" s="425" t="inlineStr">
        <is>
          <t>Space / Defense / Aerospace / Advanced Manufacturing</t>
        </is>
      </c>
      <c r="N355" s="426" t="inlineStr">
        <is>
          <t>Tier 2</t>
        </is>
      </c>
      <c r="O355" s="441" t="n">
        <v>45792</v>
      </c>
      <c r="P355" s="441" t="n">
        <v>45841</v>
      </c>
      <c r="Q355" s="425">
        <f>IF(P355="","",TODAY()-P355)</f>
        <v/>
      </c>
      <c r="R355" s="441">
        <f>IF(OR(L355="Passed",Z355=""),"",P355+Z355)</f>
        <v/>
      </c>
      <c r="S355" s="425">
        <f>IF(OR(R355="",L355="Passed"),"",IF(R355&lt;=TODAY(),"DUE",IF(R355&lt;=TODAY()+3,"Next 3 Days","Later")))</f>
        <v/>
      </c>
      <c r="T355" s="425" t="inlineStr"/>
      <c r="U355" s="426" t="inlineStr"/>
      <c r="V355" s="426" t="inlineStr"/>
      <c r="W355" s="428" t="inlineStr">
        <is>
          <t xml:space="preserve"> |  | </t>
        </is>
      </c>
      <c r="X355" s="425" t="inlineStr">
        <is>
          <t>John - Investor Contacts!35</t>
        </is>
      </c>
      <c r="Y355" s="426" t="inlineStr">
        <is>
          <t>Send next follow-up with traction + CTA</t>
        </is>
      </c>
      <c r="Z355" s="425" t="n">
        <v>7</v>
      </c>
      <c r="AA355" s="425">
        <f>IF(AC355="Archived",0,ROUND((IF(N355="Tier 1",35,IF(N355="Tier 2",20,8))+IF(C355="Financial Investor",15,IF(C355="Intermediary / Banker",12,8))+IF(L355="Term Sheet / Proposal",25,IF(L355="Engaged",20,IF(L355="Meeting Requested",18,IF(L355="Meeting Held",14,IF(L355="Follow Up",10,5)))))+MIN(Q355,30)+IF(S355="DUE",15,IF(S355="Next 3 Days",8,0))),0))</f>
        <v/>
      </c>
      <c r="AB355" s="425">
        <f>IF(AND(AC355="Active",OR(N355="Tier 1",N355="Tier 2"),OR(S355="DUE",S355="Next 3 Days")),"YES","")</f>
        <v/>
      </c>
      <c r="AC355" s="425">
        <f>IF(L355="Passed","Archived","Active")</f>
        <v/>
      </c>
    </row>
    <row r="356">
      <c r="A356" s="425" t="inlineStr">
        <is>
          <t>EXOS-0355</t>
        </is>
      </c>
      <c r="B356" s="425" t="inlineStr">
        <is>
          <t>John - Investor Contacts</t>
        </is>
      </c>
      <c r="C356" s="425" t="inlineStr">
        <is>
          <t>Financial Investor</t>
        </is>
      </c>
      <c r="D356" s="425" t="inlineStr">
        <is>
          <t>First Mark</t>
        </is>
      </c>
      <c r="E356" s="425" t="inlineStr">
        <is>
          <t>Matt Turck</t>
        </is>
      </c>
      <c r="F356" s="425" t="inlineStr"/>
      <c r="G356" s="111" t="inlineStr">
        <is>
          <t>matt@firstmark.com</t>
        </is>
      </c>
      <c r="H356" s="425" t="inlineStr"/>
      <c r="I356" s="425" t="inlineStr"/>
      <c r="J356" s="425" t="inlineStr"/>
      <c r="K356" s="426" t="inlineStr">
        <is>
          <t>John Quinn</t>
        </is>
      </c>
      <c r="L356" s="426" t="inlineStr">
        <is>
          <t>Follow Up</t>
        </is>
      </c>
      <c r="M356" s="425" t="inlineStr">
        <is>
          <t>Space / Defense / Aerospace / Advanced Manufacturing</t>
        </is>
      </c>
      <c r="N356" s="426" t="inlineStr">
        <is>
          <t>Tier 2</t>
        </is>
      </c>
      <c r="O356" s="441" t="n">
        <v>45792</v>
      </c>
      <c r="P356" s="441" t="n">
        <v>45841</v>
      </c>
      <c r="Q356" s="425">
        <f>IF(P356="","",TODAY()-P356)</f>
        <v/>
      </c>
      <c r="R356" s="441">
        <f>IF(OR(L356="Passed",Z356=""),"",P356+Z356)</f>
        <v/>
      </c>
      <c r="S356" s="425">
        <f>IF(OR(R356="",L356="Passed"),"",IF(R356&lt;=TODAY(),"DUE",IF(R356&lt;=TODAY()+3,"Next 3 Days","Later")))</f>
        <v/>
      </c>
      <c r="T356" s="425" t="inlineStr"/>
      <c r="U356" s="426" t="inlineStr"/>
      <c r="V356" s="426" t="inlineStr"/>
      <c r="W356" s="428" t="inlineStr">
        <is>
          <t xml:space="preserve"> |  | </t>
        </is>
      </c>
      <c r="X356" s="425" t="inlineStr">
        <is>
          <t>John - Investor Contacts!36</t>
        </is>
      </c>
      <c r="Y356" s="426" t="inlineStr">
        <is>
          <t>Send next follow-up with traction + CTA</t>
        </is>
      </c>
      <c r="Z356" s="425" t="n">
        <v>7</v>
      </c>
      <c r="AA356" s="425">
        <f>IF(AC356="Archived",0,ROUND((IF(N356="Tier 1",35,IF(N356="Tier 2",20,8))+IF(C356="Financial Investor",15,IF(C356="Intermediary / Banker",12,8))+IF(L356="Term Sheet / Proposal",25,IF(L356="Engaged",20,IF(L356="Meeting Requested",18,IF(L356="Meeting Held",14,IF(L356="Follow Up",10,5)))))+MIN(Q356,30)+IF(S356="DUE",15,IF(S356="Next 3 Days",8,0))),0))</f>
        <v/>
      </c>
      <c r="AB356" s="425">
        <f>IF(AND(AC356="Active",OR(N356="Tier 1",N356="Tier 2"),OR(S356="DUE",S356="Next 3 Days")),"YES","")</f>
        <v/>
      </c>
      <c r="AC356" s="425">
        <f>IF(L356="Passed","Archived","Active")</f>
        <v/>
      </c>
    </row>
    <row r="357">
      <c r="A357" s="425" t="inlineStr">
        <is>
          <t>EXOS-0356</t>
        </is>
      </c>
      <c r="B357" s="425" t="inlineStr">
        <is>
          <t>John - Investor Contacts</t>
        </is>
      </c>
      <c r="C357" s="425" t="inlineStr">
        <is>
          <t>Financial Investor</t>
        </is>
      </c>
      <c r="D357" s="425" t="inlineStr">
        <is>
          <t>First Mark</t>
        </is>
      </c>
      <c r="E357" s="425" t="inlineStr">
        <is>
          <t>Rick Heitzmann</t>
        </is>
      </c>
      <c r="F357" s="425" t="inlineStr"/>
      <c r="G357" s="111" t="inlineStr">
        <is>
          <t>rick@firstmark.com</t>
        </is>
      </c>
      <c r="H357" s="425" t="inlineStr"/>
      <c r="I357" s="425" t="inlineStr"/>
      <c r="J357" s="425" t="inlineStr"/>
      <c r="K357" s="426" t="inlineStr">
        <is>
          <t>John Quinn</t>
        </is>
      </c>
      <c r="L357" s="426" t="inlineStr">
        <is>
          <t>Follow Up</t>
        </is>
      </c>
      <c r="M357" s="425" t="inlineStr">
        <is>
          <t>Space / Defense / Aerospace / Advanced Manufacturing</t>
        </is>
      </c>
      <c r="N357" s="426" t="inlineStr">
        <is>
          <t>Tier 2</t>
        </is>
      </c>
      <c r="O357" s="441" t="n">
        <v>45792</v>
      </c>
      <c r="P357" s="441" t="n">
        <v>45841</v>
      </c>
      <c r="Q357" s="425">
        <f>IF(P357="","",TODAY()-P357)</f>
        <v/>
      </c>
      <c r="R357" s="441">
        <f>IF(OR(L357="Passed",Z357=""),"",P357+Z357)</f>
        <v/>
      </c>
      <c r="S357" s="425">
        <f>IF(OR(R357="",L357="Passed"),"",IF(R357&lt;=TODAY(),"DUE",IF(R357&lt;=TODAY()+3,"Next 3 Days","Later")))</f>
        <v/>
      </c>
      <c r="T357" s="425" t="inlineStr"/>
      <c r="U357" s="426" t="inlineStr"/>
      <c r="V357" s="426" t="inlineStr"/>
      <c r="W357" s="428" t="inlineStr">
        <is>
          <t xml:space="preserve"> |  | </t>
        </is>
      </c>
      <c r="X357" s="425" t="inlineStr">
        <is>
          <t>John - Investor Contacts!34</t>
        </is>
      </c>
      <c r="Y357" s="426" t="inlineStr">
        <is>
          <t>Send next follow-up with traction + CTA</t>
        </is>
      </c>
      <c r="Z357" s="425" t="n">
        <v>7</v>
      </c>
      <c r="AA357" s="425">
        <f>IF(AC357="Archived",0,ROUND((IF(N357="Tier 1",35,IF(N357="Tier 2",20,8))+IF(C357="Financial Investor",15,IF(C357="Intermediary / Banker",12,8))+IF(L357="Term Sheet / Proposal",25,IF(L357="Engaged",20,IF(L357="Meeting Requested",18,IF(L357="Meeting Held",14,IF(L357="Follow Up",10,5)))))+MIN(Q357,30)+IF(S357="DUE",15,IF(S357="Next 3 Days",8,0))),0))</f>
        <v/>
      </c>
      <c r="AB357" s="425">
        <f>IF(AND(AC357="Active",OR(N357="Tier 1",N357="Tier 2"),OR(S357="DUE",S357="Next 3 Days")),"YES","")</f>
        <v/>
      </c>
      <c r="AC357" s="425">
        <f>IF(L357="Passed","Archived","Active")</f>
        <v/>
      </c>
    </row>
    <row r="358">
      <c r="A358" s="425" t="inlineStr">
        <is>
          <t>EXOS-0357</t>
        </is>
      </c>
      <c r="B358" s="425" t="inlineStr">
        <is>
          <t>John - Investor Contacts | OSC</t>
        </is>
      </c>
      <c r="C358" s="425" t="inlineStr">
        <is>
          <t>Financial Investor</t>
        </is>
      </c>
      <c r="D358" s="425" t="inlineStr">
        <is>
          <t>First Park Ventures</t>
        </is>
      </c>
      <c r="E358" s="425" t="inlineStr">
        <is>
          <t>info</t>
        </is>
      </c>
      <c r="F358" s="425" t="inlineStr"/>
      <c r="G358" s="111" t="inlineStr">
        <is>
          <t>info@firstsparkventures.com</t>
        </is>
      </c>
      <c r="H358" s="425" t="inlineStr"/>
      <c r="I358" s="425" t="inlineStr">
        <is>
          <t>917.744.0645</t>
        </is>
      </c>
      <c r="J358" s="425" t="inlineStr"/>
      <c r="K358" s="426" t="inlineStr">
        <is>
          <t>John Quinn</t>
        </is>
      </c>
      <c r="L358" s="426" t="inlineStr">
        <is>
          <t>Follow Up</t>
        </is>
      </c>
      <c r="M358" s="425" t="inlineStr">
        <is>
          <t>Space / Defense / Aerospace / Advanced Manufacturing</t>
        </is>
      </c>
      <c r="N358" s="426" t="inlineStr">
        <is>
          <t>Tier 2</t>
        </is>
      </c>
      <c r="O358" s="441" t="n">
        <v>45814</v>
      </c>
      <c r="P358" s="441" t="n">
        <v>45922</v>
      </c>
      <c r="Q358" s="425">
        <f>IF(P358="","",TODAY()-P358)</f>
        <v/>
      </c>
      <c r="R358" s="441">
        <f>IF(OR(L358="Passed",Z358=""),"",P358+Z358)</f>
        <v/>
      </c>
      <c r="S358" s="425">
        <f>IF(OR(R358="",L358="Passed"),"",IF(R358&lt;=TODAY(),"DUE",IF(R358&lt;=TODAY()+3,"Next 3 Days","Later")))</f>
        <v/>
      </c>
      <c r="T358" s="425" t="inlineStr"/>
      <c r="U358" s="426" t="inlineStr"/>
      <c r="V358" s="426" t="inlineStr"/>
      <c r="W358" s="428" t="inlineStr"/>
      <c r="X358" s="425" t="inlineStr">
        <is>
          <t>John - Investor Contacts!134 | OSC!3</t>
        </is>
      </c>
      <c r="Y358" s="426" t="inlineStr">
        <is>
          <t>Send next follow-up with traction + CTA</t>
        </is>
      </c>
      <c r="Z358" s="425" t="n">
        <v>7</v>
      </c>
      <c r="AA358" s="425">
        <f>IF(AC358="Archived",0,ROUND((IF(N358="Tier 1",35,IF(N358="Tier 2",20,8))+IF(C358="Financial Investor",15,IF(C358="Intermediary / Banker",12,8))+IF(L358="Term Sheet / Proposal",25,IF(L358="Engaged",20,IF(L358="Meeting Requested",18,IF(L358="Meeting Held",14,IF(L358="Follow Up",10,5)))))+MIN(Q358,30)+IF(S358="DUE",15,IF(S358="Next 3 Days",8,0))),0))</f>
        <v/>
      </c>
      <c r="AB358" s="425">
        <f>IF(AND(AC358="Active",OR(N358="Tier 1",N358="Tier 2"),OR(S358="DUE",S358="Next 3 Days")),"YES","")</f>
        <v/>
      </c>
      <c r="AC358" s="425">
        <f>IF(L358="Passed","Archived","Active")</f>
        <v/>
      </c>
    </row>
    <row r="359">
      <c r="A359" s="425" t="inlineStr">
        <is>
          <t>EXOS-0358</t>
        </is>
      </c>
      <c r="B359" s="425" t="inlineStr">
        <is>
          <t>John - Investor Contacts | OSC</t>
        </is>
      </c>
      <c r="C359" s="425" t="inlineStr">
        <is>
          <t>Financial Investor</t>
        </is>
      </c>
      <c r="D359" s="425" t="inlineStr">
        <is>
          <t>First Spark Ventures</t>
        </is>
      </c>
      <c r="E359" s="425" t="inlineStr">
        <is>
          <t>Aaron Sisto</t>
        </is>
      </c>
      <c r="F359" s="425" t="inlineStr"/>
      <c r="G359" s="111" t="inlineStr">
        <is>
          <t>aaron@firstsparkventures.com</t>
        </is>
      </c>
      <c r="H359" s="425" t="inlineStr"/>
      <c r="I359" s="425" t="inlineStr">
        <is>
          <t>219.775.7810</t>
        </is>
      </c>
      <c r="J359" s="111" t="inlineStr">
        <is>
          <t>https://www.linkedin.com/in/aaronsisto/</t>
        </is>
      </c>
      <c r="K359" s="426" t="inlineStr">
        <is>
          <t>John Quinn</t>
        </is>
      </c>
      <c r="L359" s="426" t="inlineStr">
        <is>
          <t>Follow Up</t>
        </is>
      </c>
      <c r="M359" s="425" t="inlineStr">
        <is>
          <t>Space / Defense / Aerospace / Advanced Manufacturing</t>
        </is>
      </c>
      <c r="N359" s="426" t="inlineStr">
        <is>
          <t>Tier 2</t>
        </is>
      </c>
      <c r="O359" s="441" t="n">
        <v>45853</v>
      </c>
      <c r="P359" s="441" t="n">
        <v>45994</v>
      </c>
      <c r="Q359" s="425">
        <f>IF(P359="","",TODAY()-P359)</f>
        <v/>
      </c>
      <c r="R359" s="441">
        <f>IF(OR(L359="Passed",Z359=""),"",P359+Z359)</f>
        <v/>
      </c>
      <c r="S359" s="425">
        <f>IF(OR(R359="",L359="Passed"),"",IF(R359&lt;=TODAY(),"DUE",IF(R359&lt;=TODAY()+3,"Next 3 Days","Later")))</f>
        <v/>
      </c>
      <c r="T359" s="425" t="inlineStr"/>
      <c r="U359" s="426" t="inlineStr">
        <is>
          <t>https://www.linkedin.com/in/aaronsisto/</t>
        </is>
      </c>
      <c r="V359" s="426" t="inlineStr"/>
      <c r="W359" s="428" t="inlineStr">
        <is>
          <t>12/30/2025</t>
        </is>
      </c>
      <c r="X359" s="425" t="inlineStr">
        <is>
          <t>John - Investor Contacts!489 | OSC!17</t>
        </is>
      </c>
      <c r="Y359" s="426" t="inlineStr">
        <is>
          <t>Send next follow-up with traction + CTA</t>
        </is>
      </c>
      <c r="Z359" s="425" t="n">
        <v>7</v>
      </c>
      <c r="AA359" s="425">
        <f>IF(AC359="Archived",0,ROUND((IF(N359="Tier 1",35,IF(N359="Tier 2",20,8))+IF(C359="Financial Investor",15,IF(C359="Intermediary / Banker",12,8))+IF(L359="Term Sheet / Proposal",25,IF(L359="Engaged",20,IF(L359="Meeting Requested",18,IF(L359="Meeting Held",14,IF(L359="Follow Up",10,5)))))+MIN(Q359,30)+IF(S359="DUE",15,IF(S359="Next 3 Days",8,0))),0))</f>
        <v/>
      </c>
      <c r="AB359" s="425">
        <f>IF(AND(AC359="Active",OR(N359="Tier 1",N359="Tier 2"),OR(S359="DUE",S359="Next 3 Days")),"YES","")</f>
        <v/>
      </c>
      <c r="AC359" s="425">
        <f>IF(L359="Passed","Archived","Active")</f>
        <v/>
      </c>
    </row>
    <row r="360">
      <c r="A360" s="425" t="inlineStr">
        <is>
          <t>EXOS-0359</t>
        </is>
      </c>
      <c r="B360" s="425" t="inlineStr">
        <is>
          <t>John - Investor Contacts | OSC</t>
        </is>
      </c>
      <c r="C360" s="425" t="inlineStr">
        <is>
          <t>Financial Investor</t>
        </is>
      </c>
      <c r="D360" s="425" t="inlineStr">
        <is>
          <t>First Spark Ventures</t>
        </is>
      </c>
      <c r="E360" s="425" t="inlineStr">
        <is>
          <t>Danny Chen</t>
        </is>
      </c>
      <c r="F360" s="425" t="inlineStr"/>
      <c r="G360" s="111" t="inlineStr">
        <is>
          <t>danny@firstsparkventures.com</t>
        </is>
      </c>
      <c r="H360" s="425" t="inlineStr"/>
      <c r="I360" s="425" t="inlineStr"/>
      <c r="J360" s="111" t="inlineStr">
        <is>
          <t>https://www.linkedin.com/in/danny-chen-177671177/</t>
        </is>
      </c>
      <c r="K360" s="426" t="inlineStr">
        <is>
          <t>John Quinn</t>
        </is>
      </c>
      <c r="L360" s="426" t="inlineStr">
        <is>
          <t>Follow Up</t>
        </is>
      </c>
      <c r="M360" s="425" t="inlineStr">
        <is>
          <t>Space / Defense / Aerospace / Advanced Manufacturing</t>
        </is>
      </c>
      <c r="N360" s="426" t="inlineStr">
        <is>
          <t>Tier 2</t>
        </is>
      </c>
      <c r="O360" s="441" t="n">
        <v>45853</v>
      </c>
      <c r="P360" s="441" t="n">
        <v>45994</v>
      </c>
      <c r="Q360" s="425">
        <f>IF(P360="","",TODAY()-P360)</f>
        <v/>
      </c>
      <c r="R360" s="441">
        <f>IF(OR(L360="Passed",Z360=""),"",P360+Z360)</f>
        <v/>
      </c>
      <c r="S360" s="425">
        <f>IF(OR(R360="",L360="Passed"),"",IF(R360&lt;=TODAY(),"DUE",IF(R360&lt;=TODAY()+3,"Next 3 Days","Later")))</f>
        <v/>
      </c>
      <c r="T360" s="425" t="inlineStr"/>
      <c r="U360" s="426" t="inlineStr">
        <is>
          <t>https://www.linkedin.com/in/danny-chen-177671177/</t>
        </is>
      </c>
      <c r="V360" s="426" t="inlineStr"/>
      <c r="W360" s="428" t="inlineStr">
        <is>
          <t>12/30/2025</t>
        </is>
      </c>
      <c r="X360" s="425" t="inlineStr">
        <is>
          <t>John - Investor Contacts!494 | OSC!22</t>
        </is>
      </c>
      <c r="Y360" s="426" t="inlineStr">
        <is>
          <t>Send next follow-up with traction + CTA</t>
        </is>
      </c>
      <c r="Z360" s="425" t="n">
        <v>7</v>
      </c>
      <c r="AA360" s="425">
        <f>IF(AC360="Archived",0,ROUND((IF(N360="Tier 1",35,IF(N360="Tier 2",20,8))+IF(C360="Financial Investor",15,IF(C360="Intermediary / Banker",12,8))+IF(L360="Term Sheet / Proposal",25,IF(L360="Engaged",20,IF(L360="Meeting Requested",18,IF(L360="Meeting Held",14,IF(L360="Follow Up",10,5)))))+MIN(Q360,30)+IF(S360="DUE",15,IF(S360="Next 3 Days",8,0))),0))</f>
        <v/>
      </c>
      <c r="AB360" s="425">
        <f>IF(AND(AC360="Active",OR(N360="Tier 1",N360="Tier 2"),OR(S360="DUE",S360="Next 3 Days")),"YES","")</f>
        <v/>
      </c>
      <c r="AC360" s="425">
        <f>IF(L360="Passed","Archived","Active")</f>
        <v/>
      </c>
    </row>
    <row r="361">
      <c r="A361" s="425" t="inlineStr">
        <is>
          <t>EXOS-0360</t>
        </is>
      </c>
      <c r="B361" s="425" t="inlineStr">
        <is>
          <t>John - Investor Contacts | OSC</t>
        </is>
      </c>
      <c r="C361" s="425" t="inlineStr">
        <is>
          <t>Financial Investor</t>
        </is>
      </c>
      <c r="D361" s="425" t="inlineStr">
        <is>
          <t>First Spark Ventures</t>
        </is>
      </c>
      <c r="E361" s="425" t="inlineStr">
        <is>
          <t>Gal Treger</t>
        </is>
      </c>
      <c r="F361" s="425" t="inlineStr"/>
      <c r="G361" s="111" t="inlineStr">
        <is>
          <t>gt@firstsparkventures.com</t>
        </is>
      </c>
      <c r="H361" s="425" t="inlineStr"/>
      <c r="I361" s="425" t="inlineStr">
        <is>
          <t>347.572.4728</t>
        </is>
      </c>
      <c r="J361" s="111" t="inlineStr">
        <is>
          <t>https://www.linkedin.com/in/gal-treger-b12714a5/</t>
        </is>
      </c>
      <c r="K361" s="426" t="inlineStr">
        <is>
          <t>John Quinn</t>
        </is>
      </c>
      <c r="L361" s="426" t="inlineStr">
        <is>
          <t>Follow Up</t>
        </is>
      </c>
      <c r="M361" s="425" t="inlineStr">
        <is>
          <t>Space / Defense / Aerospace / Advanced Manufacturing</t>
        </is>
      </c>
      <c r="N361" s="426" t="inlineStr">
        <is>
          <t>Tier 2</t>
        </is>
      </c>
      <c r="O361" s="441" t="n">
        <v>45853</v>
      </c>
      <c r="P361" s="441" t="n">
        <v>45994</v>
      </c>
      <c r="Q361" s="425">
        <f>IF(P361="","",TODAY()-P361)</f>
        <v/>
      </c>
      <c r="R361" s="441">
        <f>IF(OR(L361="Passed",Z361=""),"",P361+Z361)</f>
        <v/>
      </c>
      <c r="S361" s="425">
        <f>IF(OR(R361="",L361="Passed"),"",IF(R361&lt;=TODAY(),"DUE",IF(R361&lt;=TODAY()+3,"Next 3 Days","Later")))</f>
        <v/>
      </c>
      <c r="T361" s="425" t="inlineStr"/>
      <c r="U361" s="426" t="inlineStr">
        <is>
          <t>https://www.linkedin.com/in/gal-treger-b12714a5/</t>
        </is>
      </c>
      <c r="V361" s="426" t="inlineStr"/>
      <c r="W361" s="428" t="inlineStr">
        <is>
          <t>12/30/2025</t>
        </is>
      </c>
      <c r="X361" s="425" t="inlineStr">
        <is>
          <t>John - Investor Contacts!493 | OSC!21</t>
        </is>
      </c>
      <c r="Y361" s="426" t="inlineStr">
        <is>
          <t>Send next follow-up with traction + CTA</t>
        </is>
      </c>
      <c r="Z361" s="425" t="n">
        <v>7</v>
      </c>
      <c r="AA361" s="425">
        <f>IF(AC361="Archived",0,ROUND((IF(N361="Tier 1",35,IF(N361="Tier 2",20,8))+IF(C361="Financial Investor",15,IF(C361="Intermediary / Banker",12,8))+IF(L361="Term Sheet / Proposal",25,IF(L361="Engaged",20,IF(L361="Meeting Requested",18,IF(L361="Meeting Held",14,IF(L361="Follow Up",10,5)))))+MIN(Q361,30)+IF(S361="DUE",15,IF(S361="Next 3 Days",8,0))),0))</f>
        <v/>
      </c>
      <c r="AB361" s="425">
        <f>IF(AND(AC361="Active",OR(N361="Tier 1",N361="Tier 2"),OR(S361="DUE",S361="Next 3 Days")),"YES","")</f>
        <v/>
      </c>
      <c r="AC361" s="425">
        <f>IF(L361="Passed","Archived","Active")</f>
        <v/>
      </c>
    </row>
    <row r="362">
      <c r="A362" s="425" t="inlineStr">
        <is>
          <t>EXOS-0361</t>
        </is>
      </c>
      <c r="B362" s="425" t="inlineStr">
        <is>
          <t>John - Investor Contacts | OSC</t>
        </is>
      </c>
      <c r="C362" s="425" t="inlineStr">
        <is>
          <t>Financial Investor</t>
        </is>
      </c>
      <c r="D362" s="425" t="inlineStr">
        <is>
          <t>First Spark Ventures</t>
        </is>
      </c>
      <c r="E362" s="425" t="inlineStr">
        <is>
          <t>Haitao Zhu</t>
        </is>
      </c>
      <c r="F362" s="425" t="inlineStr"/>
      <c r="G362" s="111" t="inlineStr">
        <is>
          <t>haitao@firstsparkventures.com</t>
        </is>
      </c>
      <c r="H362" s="425" t="inlineStr"/>
      <c r="I362" s="425" t="inlineStr">
        <is>
          <t>650.283.7729</t>
        </is>
      </c>
      <c r="J362" s="425" t="inlineStr"/>
      <c r="K362" s="426" t="inlineStr">
        <is>
          <t>John Quinn</t>
        </is>
      </c>
      <c r="L362" s="426" t="inlineStr">
        <is>
          <t>Follow Up</t>
        </is>
      </c>
      <c r="M362" s="425" t="inlineStr">
        <is>
          <t>Space / Defense / Aerospace / Advanced Manufacturing</t>
        </is>
      </c>
      <c r="N362" s="426" t="inlineStr">
        <is>
          <t>Tier 2</t>
        </is>
      </c>
      <c r="O362" s="441" t="n">
        <v>45853</v>
      </c>
      <c r="P362" s="441" t="n">
        <v>45994</v>
      </c>
      <c r="Q362" s="425">
        <f>IF(P362="","",TODAY()-P362)</f>
        <v/>
      </c>
      <c r="R362" s="441">
        <f>IF(OR(L362="Passed",Z362=""),"",P362+Z362)</f>
        <v/>
      </c>
      <c r="S362" s="425">
        <f>IF(OR(R362="",L362="Passed"),"",IF(R362&lt;=TODAY(),"DUE",IF(R362&lt;=TODAY()+3,"Next 3 Days","Later")))</f>
        <v/>
      </c>
      <c r="T362" s="425" t="inlineStr"/>
      <c r="U362" s="426" t="inlineStr">
        <is>
          <t>linkedin.com/in/haitao-zhu-08672920</t>
        </is>
      </c>
      <c r="V362" s="426" t="inlineStr"/>
      <c r="W362" s="428" t="inlineStr">
        <is>
          <t>12/30/2025</t>
        </is>
      </c>
      <c r="X362" s="425" t="inlineStr">
        <is>
          <t>John - Investor Contacts!492 | OSC!20</t>
        </is>
      </c>
      <c r="Y362" s="426" t="inlineStr">
        <is>
          <t>Send next follow-up with traction + CTA</t>
        </is>
      </c>
      <c r="Z362" s="425" t="n">
        <v>7</v>
      </c>
      <c r="AA362" s="425">
        <f>IF(AC362="Archived",0,ROUND((IF(N362="Tier 1",35,IF(N362="Tier 2",20,8))+IF(C362="Financial Investor",15,IF(C362="Intermediary / Banker",12,8))+IF(L362="Term Sheet / Proposal",25,IF(L362="Engaged",20,IF(L362="Meeting Requested",18,IF(L362="Meeting Held",14,IF(L362="Follow Up",10,5)))))+MIN(Q362,30)+IF(S362="DUE",15,IF(S362="Next 3 Days",8,0))),0))</f>
        <v/>
      </c>
      <c r="AB362" s="425">
        <f>IF(AND(AC362="Active",OR(N362="Tier 1",N362="Tier 2"),OR(S362="DUE",S362="Next 3 Days")),"YES","")</f>
        <v/>
      </c>
      <c r="AC362" s="425">
        <f>IF(L362="Passed","Archived","Active")</f>
        <v/>
      </c>
    </row>
    <row r="363">
      <c r="A363" s="425" t="inlineStr">
        <is>
          <t>EXOS-0362</t>
        </is>
      </c>
      <c r="B363" s="425" t="inlineStr">
        <is>
          <t>John - Investor Contacts | OSC</t>
        </is>
      </c>
      <c r="C363" s="425" t="inlineStr">
        <is>
          <t>Financial Investor</t>
        </is>
      </c>
      <c r="D363" s="425" t="inlineStr">
        <is>
          <t>First Spark Ventures</t>
        </is>
      </c>
      <c r="E363" s="425" t="inlineStr">
        <is>
          <t>Peter Olcott</t>
        </is>
      </c>
      <c r="F363" s="425" t="inlineStr"/>
      <c r="G363" s="111" t="inlineStr">
        <is>
          <t>polcott@firstsparkventures.com</t>
        </is>
      </c>
      <c r="H363" s="425" t="inlineStr"/>
      <c r="I363" s="425" t="inlineStr">
        <is>
          <t>650.489.5277</t>
        </is>
      </c>
      <c r="J363" s="425" t="inlineStr"/>
      <c r="K363" s="426" t="inlineStr">
        <is>
          <t>John Quinn</t>
        </is>
      </c>
      <c r="L363" s="426" t="inlineStr">
        <is>
          <t>Follow Up</t>
        </is>
      </c>
      <c r="M363" s="425" t="inlineStr">
        <is>
          <t>Space / Defense / Aerospace / Advanced Manufacturing</t>
        </is>
      </c>
      <c r="N363" s="426" t="inlineStr">
        <is>
          <t>Tier 2</t>
        </is>
      </c>
      <c r="O363" s="441" t="n">
        <v>45853</v>
      </c>
      <c r="P363" s="441" t="n">
        <v>45994</v>
      </c>
      <c r="Q363" s="425">
        <f>IF(P363="","",TODAY()-P363)</f>
        <v/>
      </c>
      <c r="R363" s="441">
        <f>IF(OR(L363="Passed",Z363=""),"",P363+Z363)</f>
        <v/>
      </c>
      <c r="S363" s="425">
        <f>IF(OR(R363="",L363="Passed"),"",IF(R363&lt;=TODAY(),"DUE",IF(R363&lt;=TODAY()+3,"Next 3 Days","Later")))</f>
        <v/>
      </c>
      <c r="T363" s="425" t="inlineStr"/>
      <c r="U363" s="426" t="inlineStr">
        <is>
          <t>linkedin.com/in/drpeterolcott</t>
        </is>
      </c>
      <c r="V363" s="426" t="inlineStr"/>
      <c r="W363" s="428" t="inlineStr">
        <is>
          <t>12/30/2025</t>
        </is>
      </c>
      <c r="X363" s="425" t="inlineStr">
        <is>
          <t>John - Investor Contacts!491 | OSC!19</t>
        </is>
      </c>
      <c r="Y363" s="426" t="inlineStr">
        <is>
          <t>Send next follow-up with traction + CTA</t>
        </is>
      </c>
      <c r="Z363" s="425" t="n">
        <v>7</v>
      </c>
      <c r="AA363" s="425">
        <f>IF(AC363="Archived",0,ROUND((IF(N363="Tier 1",35,IF(N363="Tier 2",20,8))+IF(C363="Financial Investor",15,IF(C363="Intermediary / Banker",12,8))+IF(L363="Term Sheet / Proposal",25,IF(L363="Engaged",20,IF(L363="Meeting Requested",18,IF(L363="Meeting Held",14,IF(L363="Follow Up",10,5)))))+MIN(Q363,30)+IF(S363="DUE",15,IF(S363="Next 3 Days",8,0))),0))</f>
        <v/>
      </c>
      <c r="AB363" s="425">
        <f>IF(AND(AC363="Active",OR(N363="Tier 1",N363="Tier 2"),OR(S363="DUE",S363="Next 3 Days")),"YES","")</f>
        <v/>
      </c>
      <c r="AC363" s="425">
        <f>IF(L363="Passed","Archived","Active")</f>
        <v/>
      </c>
    </row>
    <row r="364">
      <c r="A364" s="425" t="inlineStr">
        <is>
          <t>EXOS-0363</t>
        </is>
      </c>
      <c r="B364" s="425" t="inlineStr">
        <is>
          <t>John - Investor Contacts | OSC</t>
        </is>
      </c>
      <c r="C364" s="425" t="inlineStr">
        <is>
          <t>Financial Investor</t>
        </is>
      </c>
      <c r="D364" s="425" t="inlineStr">
        <is>
          <t>First Spark Ventures</t>
        </is>
      </c>
      <c r="E364" s="425" t="inlineStr">
        <is>
          <t>Peter Richards</t>
        </is>
      </c>
      <c r="F364" s="425" t="inlineStr"/>
      <c r="G364" s="111" t="inlineStr">
        <is>
          <t>peter@firstsparkventures.com</t>
        </is>
      </c>
      <c r="H364" s="425" t="inlineStr"/>
      <c r="I364" s="425" t="inlineStr">
        <is>
          <t>310.488.9913</t>
        </is>
      </c>
      <c r="J364" s="111" t="inlineStr">
        <is>
          <t>https://www.linkedin.com/in/peter-richards-67a81570/</t>
        </is>
      </c>
      <c r="K364" s="426" t="inlineStr">
        <is>
          <t>John Quinn</t>
        </is>
      </c>
      <c r="L364" s="426" t="inlineStr">
        <is>
          <t>Follow Up</t>
        </is>
      </c>
      <c r="M364" s="425" t="inlineStr">
        <is>
          <t>Space / Defense / Aerospace / Advanced Manufacturing</t>
        </is>
      </c>
      <c r="N364" s="426" t="inlineStr">
        <is>
          <t>Tier 2</t>
        </is>
      </c>
      <c r="O364" s="441" t="n">
        <v>45853</v>
      </c>
      <c r="P364" s="441" t="n">
        <v>45994</v>
      </c>
      <c r="Q364" s="425">
        <f>IF(P364="","",TODAY()-P364)</f>
        <v/>
      </c>
      <c r="R364" s="441">
        <f>IF(OR(L364="Passed",Z364=""),"",P364+Z364)</f>
        <v/>
      </c>
      <c r="S364" s="425">
        <f>IF(OR(R364="",L364="Passed"),"",IF(R364&lt;=TODAY(),"DUE",IF(R364&lt;=TODAY()+3,"Next 3 Days","Later")))</f>
        <v/>
      </c>
      <c r="T364" s="425" t="inlineStr"/>
      <c r="U364" s="426" t="inlineStr">
        <is>
          <t>https://www.linkedin.com/in/peter-richards-67a81570/</t>
        </is>
      </c>
      <c r="V364" s="426" t="inlineStr"/>
      <c r="W364" s="428" t="inlineStr">
        <is>
          <t>12/30/2025</t>
        </is>
      </c>
      <c r="X364" s="425" t="inlineStr">
        <is>
          <t>John - Investor Contacts!490 | OSC!18</t>
        </is>
      </c>
      <c r="Y364" s="426" t="inlineStr">
        <is>
          <t>Send next follow-up with traction + CTA</t>
        </is>
      </c>
      <c r="Z364" s="425" t="n">
        <v>7</v>
      </c>
      <c r="AA364" s="425">
        <f>IF(AC364="Archived",0,ROUND((IF(N364="Tier 1",35,IF(N364="Tier 2",20,8))+IF(C364="Financial Investor",15,IF(C364="Intermediary / Banker",12,8))+IF(L364="Term Sheet / Proposal",25,IF(L364="Engaged",20,IF(L364="Meeting Requested",18,IF(L364="Meeting Held",14,IF(L364="Follow Up",10,5)))))+MIN(Q364,30)+IF(S364="DUE",15,IF(S364="Next 3 Days",8,0))),0))</f>
        <v/>
      </c>
      <c r="AB364" s="425">
        <f>IF(AND(AC364="Active",OR(N364="Tier 1",N364="Tier 2"),OR(S364="DUE",S364="Next 3 Days")),"YES","")</f>
        <v/>
      </c>
      <c r="AC364" s="425">
        <f>IF(L364="Passed","Archived","Active")</f>
        <v/>
      </c>
    </row>
    <row r="365">
      <c r="A365" s="425" t="inlineStr">
        <is>
          <t>EXOS-0364</t>
        </is>
      </c>
      <c r="B365" s="425" t="inlineStr">
        <is>
          <t>John - Investor Contacts | OSC</t>
        </is>
      </c>
      <c r="C365" s="425" t="inlineStr">
        <is>
          <t>Financial Investor</t>
        </is>
      </c>
      <c r="D365" s="425" t="inlineStr">
        <is>
          <t>First Spark Ventures</t>
        </is>
      </c>
      <c r="E365" s="425" t="inlineStr">
        <is>
          <t>Todd Meister</t>
        </is>
      </c>
      <c r="F365" s="425" t="inlineStr"/>
      <c r="G365" s="111" t="inlineStr">
        <is>
          <t>todd@firstsparkventures.com</t>
        </is>
      </c>
      <c r="H365" s="425" t="inlineStr"/>
      <c r="I365" s="425" t="inlineStr"/>
      <c r="J365" s="425" t="inlineStr"/>
      <c r="K365" s="426" t="inlineStr">
        <is>
          <t>John Quinn</t>
        </is>
      </c>
      <c r="L365" s="426" t="inlineStr">
        <is>
          <t>Follow Up</t>
        </is>
      </c>
      <c r="M365" s="425" t="inlineStr">
        <is>
          <t>Space / Defense / Aerospace / Advanced Manufacturing</t>
        </is>
      </c>
      <c r="N365" s="426" t="inlineStr">
        <is>
          <t>Tier 2</t>
        </is>
      </c>
      <c r="O365" s="441" t="n">
        <v>45853</v>
      </c>
      <c r="P365" s="441" t="n">
        <v>45994</v>
      </c>
      <c r="Q365" s="425">
        <f>IF(P365="","",TODAY()-P365)</f>
        <v/>
      </c>
      <c r="R365" s="441">
        <f>IF(OR(L365="Passed",Z365=""),"",P365+Z365)</f>
        <v/>
      </c>
      <c r="S365" s="425">
        <f>IF(OR(R365="",L365="Passed"),"",IF(R365&lt;=TODAY(),"DUE",IF(R365&lt;=TODAY()+3,"Next 3 Days","Later")))</f>
        <v/>
      </c>
      <c r="T365" s="425" t="inlineStr"/>
      <c r="U365" s="426" t="inlineStr"/>
      <c r="V365" s="426" t="inlineStr"/>
      <c r="W365" s="428" t="inlineStr">
        <is>
          <t>12/30/2025</t>
        </is>
      </c>
      <c r="X365" s="425" t="inlineStr">
        <is>
          <t>John - Investor Contacts!495 | OSC!23</t>
        </is>
      </c>
      <c r="Y365" s="426" t="inlineStr">
        <is>
          <t>Send next follow-up with traction + CTA</t>
        </is>
      </c>
      <c r="Z365" s="425" t="n">
        <v>7</v>
      </c>
      <c r="AA365" s="425">
        <f>IF(AC365="Archived",0,ROUND((IF(N365="Tier 1",35,IF(N365="Tier 2",20,8))+IF(C365="Financial Investor",15,IF(C365="Intermediary / Banker",12,8))+IF(L365="Term Sheet / Proposal",25,IF(L365="Engaged",20,IF(L365="Meeting Requested",18,IF(L365="Meeting Held",14,IF(L365="Follow Up",10,5)))))+MIN(Q365,30)+IF(S365="DUE",15,IF(S365="Next 3 Days",8,0))),0))</f>
        <v/>
      </c>
      <c r="AB365" s="425">
        <f>IF(AND(AC365="Active",OR(N365="Tier 1",N365="Tier 2"),OR(S365="DUE",S365="Next 3 Days")),"YES","")</f>
        <v/>
      </c>
      <c r="AC365" s="425">
        <f>IF(L365="Passed","Archived","Active")</f>
        <v/>
      </c>
    </row>
    <row r="366">
      <c r="A366" s="425" t="inlineStr">
        <is>
          <t>EXOS-0365</t>
        </is>
      </c>
      <c r="B366" s="425" t="inlineStr">
        <is>
          <t>John - Investor Contacts</t>
        </is>
      </c>
      <c r="C366" s="425" t="inlineStr">
        <is>
          <t>Financial Investor</t>
        </is>
      </c>
      <c r="D366" s="425" t="inlineStr">
        <is>
          <t>Flare Capital</t>
        </is>
      </c>
      <c r="E366" s="425" t="inlineStr">
        <is>
          <t>Bill Geary</t>
        </is>
      </c>
      <c r="F366" s="425" t="inlineStr"/>
      <c r="G366" s="111" t="inlineStr">
        <is>
          <t>bill@flarecapital.com</t>
        </is>
      </c>
      <c r="H366" s="425" t="inlineStr"/>
      <c r="I366" s="425" t="inlineStr"/>
      <c r="J366" s="425" t="inlineStr"/>
      <c r="K366" s="426" t="inlineStr">
        <is>
          <t>John Quinn</t>
        </is>
      </c>
      <c r="L366" s="426" t="inlineStr">
        <is>
          <t>Follow Up</t>
        </is>
      </c>
      <c r="M366" s="425" t="inlineStr">
        <is>
          <t>Space / Defense / Aerospace / Advanced Manufacturing</t>
        </is>
      </c>
      <c r="N366" s="426" t="inlineStr">
        <is>
          <t>Tier 2</t>
        </is>
      </c>
      <c r="O366" s="441" t="n">
        <v>45840</v>
      </c>
      <c r="P366" s="441" t="n">
        <v>45861</v>
      </c>
      <c r="Q366" s="425">
        <f>IF(P366="","",TODAY()-P366)</f>
        <v/>
      </c>
      <c r="R366" s="441">
        <f>IF(OR(L366="Passed",Z366=""),"",P366+Z366)</f>
        <v/>
      </c>
      <c r="S366" s="425">
        <f>IF(OR(R366="",L366="Passed"),"",IF(R366&lt;=TODAY(),"DUE",IF(R366&lt;=TODAY()+3,"Next 3 Days","Later")))</f>
        <v/>
      </c>
      <c r="T366" s="425" t="inlineStr"/>
      <c r="U366" s="426" t="inlineStr">
        <is>
          <t>linkedin.com/in/bgeary</t>
        </is>
      </c>
      <c r="V366" s="426" t="inlineStr"/>
      <c r="W366" s="428" t="inlineStr">
        <is>
          <t xml:space="preserve"> | 12/26/2025 | </t>
        </is>
      </c>
      <c r="X366" s="425" t="inlineStr">
        <is>
          <t>John - Investor Contacts!338</t>
        </is>
      </c>
      <c r="Y366" s="426" t="inlineStr">
        <is>
          <t>Send next follow-up with traction + CTA</t>
        </is>
      </c>
      <c r="Z366" s="425" t="n">
        <v>7</v>
      </c>
      <c r="AA366" s="425">
        <f>IF(AC366="Archived",0,ROUND((IF(N366="Tier 1",35,IF(N366="Tier 2",20,8))+IF(C366="Financial Investor",15,IF(C366="Intermediary / Banker",12,8))+IF(L366="Term Sheet / Proposal",25,IF(L366="Engaged",20,IF(L366="Meeting Requested",18,IF(L366="Meeting Held",14,IF(L366="Follow Up",10,5)))))+MIN(Q366,30)+IF(S366="DUE",15,IF(S366="Next 3 Days",8,0))),0))</f>
        <v/>
      </c>
      <c r="AB366" s="425">
        <f>IF(AND(AC366="Active",OR(N366="Tier 1",N366="Tier 2"),OR(S366="DUE",S366="Next 3 Days")),"YES","")</f>
        <v/>
      </c>
      <c r="AC366" s="425">
        <f>IF(L366="Passed","Archived","Active")</f>
        <v/>
      </c>
    </row>
    <row r="367">
      <c r="A367" s="425" t="inlineStr">
        <is>
          <t>EXOS-0366</t>
        </is>
      </c>
      <c r="B367" s="425" t="inlineStr">
        <is>
          <t>John - Investor Contacts</t>
        </is>
      </c>
      <c r="C367" s="425" t="inlineStr">
        <is>
          <t>Financial Investor</t>
        </is>
      </c>
      <c r="D367" s="425" t="inlineStr">
        <is>
          <t>Flare Capital</t>
        </is>
      </c>
      <c r="E367" s="425" t="inlineStr">
        <is>
          <t>Dan Gebremedhin</t>
        </is>
      </c>
      <c r="F367" s="425" t="inlineStr"/>
      <c r="G367" s="111" t="inlineStr">
        <is>
          <t>dan@flarecapital.com</t>
        </is>
      </c>
      <c r="H367" s="425" t="inlineStr"/>
      <c r="I367" s="425" t="inlineStr"/>
      <c r="J367" s="425" t="inlineStr"/>
      <c r="K367" s="426" t="inlineStr">
        <is>
          <t>John Quinn</t>
        </is>
      </c>
      <c r="L367" s="426" t="inlineStr">
        <is>
          <t>Follow Up</t>
        </is>
      </c>
      <c r="M367" s="425" t="inlineStr">
        <is>
          <t>Space / Defense / Aerospace / Advanced Manufacturing</t>
        </is>
      </c>
      <c r="N367" s="426" t="inlineStr">
        <is>
          <t>Tier 2</t>
        </is>
      </c>
      <c r="O367" s="441" t="n">
        <v>45840</v>
      </c>
      <c r="P367" s="441" t="n">
        <v>45861</v>
      </c>
      <c r="Q367" s="425">
        <f>IF(P367="","",TODAY()-P367)</f>
        <v/>
      </c>
      <c r="R367" s="441">
        <f>IF(OR(L367="Passed",Z367=""),"",P367+Z367)</f>
        <v/>
      </c>
      <c r="S367" s="425">
        <f>IF(OR(R367="",L367="Passed"),"",IF(R367&lt;=TODAY(),"DUE",IF(R367&lt;=TODAY()+3,"Next 3 Days","Later")))</f>
        <v/>
      </c>
      <c r="T367" s="425" t="inlineStr"/>
      <c r="U367" s="426" t="inlineStr">
        <is>
          <t>linkedin.com/in/dgebremedhin</t>
        </is>
      </c>
      <c r="V367" s="426" t="inlineStr"/>
      <c r="W367" s="428" t="inlineStr">
        <is>
          <t xml:space="preserve"> | 12/26/2025 | </t>
        </is>
      </c>
      <c r="X367" s="425" t="inlineStr">
        <is>
          <t>John - Investor Contacts!339</t>
        </is>
      </c>
      <c r="Y367" s="426" t="inlineStr">
        <is>
          <t>Send next follow-up with traction + CTA</t>
        </is>
      </c>
      <c r="Z367" s="425" t="n">
        <v>7</v>
      </c>
      <c r="AA367" s="425">
        <f>IF(AC367="Archived",0,ROUND((IF(N367="Tier 1",35,IF(N367="Tier 2",20,8))+IF(C367="Financial Investor",15,IF(C367="Intermediary / Banker",12,8))+IF(L367="Term Sheet / Proposal",25,IF(L367="Engaged",20,IF(L367="Meeting Requested",18,IF(L367="Meeting Held",14,IF(L367="Follow Up",10,5)))))+MIN(Q367,30)+IF(S367="DUE",15,IF(S367="Next 3 Days",8,0))),0))</f>
        <v/>
      </c>
      <c r="AB367" s="425">
        <f>IF(AND(AC367="Active",OR(N367="Tier 1",N367="Tier 2"),OR(S367="DUE",S367="Next 3 Days")),"YES","")</f>
        <v/>
      </c>
      <c r="AC367" s="425">
        <f>IF(L367="Passed","Archived","Active")</f>
        <v/>
      </c>
    </row>
    <row r="368">
      <c r="A368" s="425" t="inlineStr">
        <is>
          <t>EXOS-0367</t>
        </is>
      </c>
      <c r="B368" s="425" t="inlineStr">
        <is>
          <t>John - Investor Contacts</t>
        </is>
      </c>
      <c r="C368" s="425" t="inlineStr">
        <is>
          <t>Financial Investor</t>
        </is>
      </c>
      <c r="D368" s="425" t="inlineStr">
        <is>
          <t>Flare Capital</t>
        </is>
      </c>
      <c r="E368" s="425" t="inlineStr">
        <is>
          <t>Ian Chiang</t>
        </is>
      </c>
      <c r="F368" s="425" t="inlineStr"/>
      <c r="G368" s="111" t="inlineStr">
        <is>
          <t>ian@flarecapital.com</t>
        </is>
      </c>
      <c r="H368" s="425" t="inlineStr"/>
      <c r="I368" s="425" t="inlineStr"/>
      <c r="J368" s="111" t="inlineStr">
        <is>
          <t>https://www.linkedin.com/in/ian-chiang-mba/</t>
        </is>
      </c>
      <c r="K368" s="426" t="inlineStr">
        <is>
          <t>John Quinn</t>
        </is>
      </c>
      <c r="L368" s="426" t="inlineStr">
        <is>
          <t>Follow Up</t>
        </is>
      </c>
      <c r="M368" s="425" t="inlineStr">
        <is>
          <t>Space / Defense / Aerospace / Advanced Manufacturing</t>
        </is>
      </c>
      <c r="N368" s="426" t="inlineStr">
        <is>
          <t>Tier 2</t>
        </is>
      </c>
      <c r="O368" s="441" t="n">
        <v>45840</v>
      </c>
      <c r="P368" s="441" t="n">
        <v>45861</v>
      </c>
      <c r="Q368" s="425">
        <f>IF(P368="","",TODAY()-P368)</f>
        <v/>
      </c>
      <c r="R368" s="441">
        <f>IF(OR(L368="Passed",Z368=""),"",P368+Z368)</f>
        <v/>
      </c>
      <c r="S368" s="425">
        <f>IF(OR(R368="",L368="Passed"),"",IF(R368&lt;=TODAY(),"DUE",IF(R368&lt;=TODAY()+3,"Next 3 Days","Later")))</f>
        <v/>
      </c>
      <c r="T368" s="425" t="inlineStr"/>
      <c r="U368" s="426" t="inlineStr">
        <is>
          <t>https://www.linkedin.com/in/ian-chiang-mba/</t>
        </is>
      </c>
      <c r="V368" s="426" t="inlineStr"/>
      <c r="W368" s="428" t="inlineStr">
        <is>
          <t xml:space="preserve"> | 12/26/2025 | </t>
        </is>
      </c>
      <c r="X368" s="425" t="inlineStr">
        <is>
          <t>John - Investor Contacts!341</t>
        </is>
      </c>
      <c r="Y368" s="426" t="inlineStr">
        <is>
          <t>Send next follow-up with traction + CTA</t>
        </is>
      </c>
      <c r="Z368" s="425" t="n">
        <v>7</v>
      </c>
      <c r="AA368" s="425">
        <f>IF(AC368="Archived",0,ROUND((IF(N368="Tier 1",35,IF(N368="Tier 2",20,8))+IF(C368="Financial Investor",15,IF(C368="Intermediary / Banker",12,8))+IF(L368="Term Sheet / Proposal",25,IF(L368="Engaged",20,IF(L368="Meeting Requested",18,IF(L368="Meeting Held",14,IF(L368="Follow Up",10,5)))))+MIN(Q368,30)+IF(S368="DUE",15,IF(S368="Next 3 Days",8,0))),0))</f>
        <v/>
      </c>
      <c r="AB368" s="425">
        <f>IF(AND(AC368="Active",OR(N368="Tier 1",N368="Tier 2"),OR(S368="DUE",S368="Next 3 Days")),"YES","")</f>
        <v/>
      </c>
      <c r="AC368" s="425">
        <f>IF(L368="Passed","Archived","Active")</f>
        <v/>
      </c>
    </row>
    <row r="369">
      <c r="A369" s="425" t="inlineStr">
        <is>
          <t>EXOS-0368</t>
        </is>
      </c>
      <c r="B369" s="425" t="inlineStr">
        <is>
          <t>John - Investor Contacts</t>
        </is>
      </c>
      <c r="C369" s="425" t="inlineStr">
        <is>
          <t>Financial Investor</t>
        </is>
      </c>
      <c r="D369" s="425" t="inlineStr">
        <is>
          <t>Flare Capital</t>
        </is>
      </c>
      <c r="E369" s="425" t="inlineStr">
        <is>
          <t>Johnathon George</t>
        </is>
      </c>
      <c r="F369" s="425" t="inlineStr"/>
      <c r="G369" s="111" t="inlineStr">
        <is>
          <t>jon@flarecapital.com</t>
        </is>
      </c>
      <c r="H369" s="425" t="inlineStr"/>
      <c r="I369" s="425" t="inlineStr"/>
      <c r="J369" s="111" t="inlineStr">
        <is>
          <t>https://www.linkedin.com/in/jonathongeorge/</t>
        </is>
      </c>
      <c r="K369" s="426" t="inlineStr">
        <is>
          <t>John Quinn</t>
        </is>
      </c>
      <c r="L369" s="426" t="inlineStr">
        <is>
          <t>Follow Up</t>
        </is>
      </c>
      <c r="M369" s="425" t="inlineStr">
        <is>
          <t>Space / Defense / Aerospace / Advanced Manufacturing</t>
        </is>
      </c>
      <c r="N369" s="426" t="inlineStr">
        <is>
          <t>Tier 2</t>
        </is>
      </c>
      <c r="O369" s="441" t="n">
        <v>45840</v>
      </c>
      <c r="P369" s="441" t="n">
        <v>45861</v>
      </c>
      <c r="Q369" s="425">
        <f>IF(P369="","",TODAY()-P369)</f>
        <v/>
      </c>
      <c r="R369" s="441">
        <f>IF(OR(L369="Passed",Z369=""),"",P369+Z369)</f>
        <v/>
      </c>
      <c r="S369" s="425">
        <f>IF(OR(R369="",L369="Passed"),"",IF(R369&lt;=TODAY(),"DUE",IF(R369&lt;=TODAY()+3,"Next 3 Days","Later")))</f>
        <v/>
      </c>
      <c r="T369" s="425" t="inlineStr"/>
      <c r="U369" s="426" t="inlineStr">
        <is>
          <t>https://www.linkedin.com/in/jonathongeorge/</t>
        </is>
      </c>
      <c r="V369" s="426" t="inlineStr"/>
      <c r="W369" s="428" t="inlineStr">
        <is>
          <t xml:space="preserve"> | 12/26/2025 | </t>
        </is>
      </c>
      <c r="X369" s="425" t="inlineStr">
        <is>
          <t>John - Investor Contacts!342</t>
        </is>
      </c>
      <c r="Y369" s="426" t="inlineStr">
        <is>
          <t>Send next follow-up with traction + CTA</t>
        </is>
      </c>
      <c r="Z369" s="425" t="n">
        <v>7</v>
      </c>
      <c r="AA369" s="425">
        <f>IF(AC369="Archived",0,ROUND((IF(N369="Tier 1",35,IF(N369="Tier 2",20,8))+IF(C369="Financial Investor",15,IF(C369="Intermediary / Banker",12,8))+IF(L369="Term Sheet / Proposal",25,IF(L369="Engaged",20,IF(L369="Meeting Requested",18,IF(L369="Meeting Held",14,IF(L369="Follow Up",10,5)))))+MIN(Q369,30)+IF(S369="DUE",15,IF(S369="Next 3 Days",8,0))),0))</f>
        <v/>
      </c>
      <c r="AB369" s="425">
        <f>IF(AND(AC369="Active",OR(N369="Tier 1",N369="Tier 2"),OR(S369="DUE",S369="Next 3 Days")),"YES","")</f>
        <v/>
      </c>
      <c r="AC369" s="425">
        <f>IF(L369="Passed","Archived","Active")</f>
        <v/>
      </c>
    </row>
    <row r="370">
      <c r="A370" s="425" t="inlineStr">
        <is>
          <t>EXOS-0369</t>
        </is>
      </c>
      <c r="B370" s="425" t="inlineStr">
        <is>
          <t>John - Investor Contacts</t>
        </is>
      </c>
      <c r="C370" s="425" t="inlineStr">
        <is>
          <t>Financial Investor</t>
        </is>
      </c>
      <c r="D370" s="425" t="inlineStr">
        <is>
          <t>Flare Capital</t>
        </is>
      </c>
      <c r="E370" s="425" t="inlineStr">
        <is>
          <t>Michael Greeley</t>
        </is>
      </c>
      <c r="F370" s="425" t="inlineStr"/>
      <c r="G370" s="111" t="inlineStr">
        <is>
          <t>michael@flarecapital.com</t>
        </is>
      </c>
      <c r="H370" s="425" t="inlineStr"/>
      <c r="I370" s="425" t="inlineStr"/>
      <c r="J370" s="111" t="inlineStr">
        <is>
          <t>https://www.linkedin.com/in/michaelagreeley/</t>
        </is>
      </c>
      <c r="K370" s="426" t="inlineStr">
        <is>
          <t>John Quinn</t>
        </is>
      </c>
      <c r="L370" s="426" t="inlineStr">
        <is>
          <t>Follow Up</t>
        </is>
      </c>
      <c r="M370" s="425" t="inlineStr">
        <is>
          <t>Space / Defense / Aerospace / Advanced Manufacturing</t>
        </is>
      </c>
      <c r="N370" s="426" t="inlineStr">
        <is>
          <t>Tier 2</t>
        </is>
      </c>
      <c r="O370" s="441" t="n">
        <v>45840</v>
      </c>
      <c r="P370" s="441" t="n">
        <v>45861</v>
      </c>
      <c r="Q370" s="425">
        <f>IF(P370="","",TODAY()-P370)</f>
        <v/>
      </c>
      <c r="R370" s="441">
        <f>IF(OR(L370="Passed",Z370=""),"",P370+Z370)</f>
        <v/>
      </c>
      <c r="S370" s="425">
        <f>IF(OR(R370="",L370="Passed"),"",IF(R370&lt;=TODAY(),"DUE",IF(R370&lt;=TODAY()+3,"Next 3 Days","Later")))</f>
        <v/>
      </c>
      <c r="T370" s="425" t="inlineStr"/>
      <c r="U370" s="426" t="inlineStr">
        <is>
          <t>https://www.linkedin.com/in/michaelagreeley/</t>
        </is>
      </c>
      <c r="V370" s="426" t="inlineStr"/>
      <c r="W370" s="428" t="inlineStr">
        <is>
          <t xml:space="preserve"> | 12/26/2025 | </t>
        </is>
      </c>
      <c r="X370" s="425" t="inlineStr">
        <is>
          <t>John - Investor Contacts!340</t>
        </is>
      </c>
      <c r="Y370" s="426" t="inlineStr">
        <is>
          <t>Send next follow-up with traction + CTA</t>
        </is>
      </c>
      <c r="Z370" s="425" t="n">
        <v>7</v>
      </c>
      <c r="AA370" s="425">
        <f>IF(AC370="Archived",0,ROUND((IF(N370="Tier 1",35,IF(N370="Tier 2",20,8))+IF(C370="Financial Investor",15,IF(C370="Intermediary / Banker",12,8))+IF(L370="Term Sheet / Proposal",25,IF(L370="Engaged",20,IF(L370="Meeting Requested",18,IF(L370="Meeting Held",14,IF(L370="Follow Up",10,5)))))+MIN(Q370,30)+IF(S370="DUE",15,IF(S370="Next 3 Days",8,0))),0))</f>
        <v/>
      </c>
      <c r="AB370" s="425">
        <f>IF(AND(AC370="Active",OR(N370="Tier 1",N370="Tier 2"),OR(S370="DUE",S370="Next 3 Days")),"YES","")</f>
        <v/>
      </c>
      <c r="AC370" s="425">
        <f>IF(L370="Passed","Archived","Active")</f>
        <v/>
      </c>
    </row>
    <row r="371">
      <c r="A371" s="425" t="inlineStr">
        <is>
          <t>EXOS-0370</t>
        </is>
      </c>
      <c r="B371" s="425" t="inlineStr">
        <is>
          <t>John - Investor Contacts</t>
        </is>
      </c>
      <c r="C371" s="425" t="inlineStr">
        <is>
          <t>Financial Investor</t>
        </is>
      </c>
      <c r="D371" s="425" t="inlineStr">
        <is>
          <t>Flare Capital</t>
        </is>
      </c>
      <c r="E371" s="425" t="inlineStr">
        <is>
          <t>Victor Lanio</t>
        </is>
      </c>
      <c r="F371" s="425" t="inlineStr"/>
      <c r="G371" s="111" t="inlineStr">
        <is>
          <t>vic@flarecapital.com</t>
        </is>
      </c>
      <c r="H371" s="425" t="inlineStr"/>
      <c r="I371" s="425" t="inlineStr"/>
      <c r="J371" s="425" t="inlineStr"/>
      <c r="K371" s="426" t="inlineStr">
        <is>
          <t>John Quinn</t>
        </is>
      </c>
      <c r="L371" s="426" t="inlineStr">
        <is>
          <t>Follow Up</t>
        </is>
      </c>
      <c r="M371" s="425" t="inlineStr">
        <is>
          <t>Space / Defense / Aerospace / Advanced Manufacturing</t>
        </is>
      </c>
      <c r="N371" s="426" t="inlineStr">
        <is>
          <t>Tier 2</t>
        </is>
      </c>
      <c r="O371" s="441" t="n">
        <v>45840</v>
      </c>
      <c r="P371" s="441" t="n">
        <v>45861</v>
      </c>
      <c r="Q371" s="425">
        <f>IF(P371="","",TODAY()-P371)</f>
        <v/>
      </c>
      <c r="R371" s="441">
        <f>IF(OR(L371="Passed",Z371=""),"",P371+Z371)</f>
        <v/>
      </c>
      <c r="S371" s="425">
        <f>IF(OR(R371="",L371="Passed"),"",IF(R371&lt;=TODAY(),"DUE",IF(R371&lt;=TODAY()+3,"Next 3 Days","Later")))</f>
        <v/>
      </c>
      <c r="T371" s="425" t="inlineStr"/>
      <c r="U371" s="426" t="inlineStr">
        <is>
          <t>linkedin.com/in/victor-lanio-2976a921</t>
        </is>
      </c>
      <c r="V371" s="426" t="inlineStr"/>
      <c r="W371" s="428" t="inlineStr">
        <is>
          <t xml:space="preserve"> | 12/26/2025 | </t>
        </is>
      </c>
      <c r="X371" s="425" t="inlineStr">
        <is>
          <t>John - Investor Contacts!337</t>
        </is>
      </c>
      <c r="Y371" s="426" t="inlineStr">
        <is>
          <t>Send next follow-up with traction + CTA</t>
        </is>
      </c>
      <c r="Z371" s="425" t="n">
        <v>7</v>
      </c>
      <c r="AA371" s="425">
        <f>IF(AC371="Archived",0,ROUND((IF(N371="Tier 1",35,IF(N371="Tier 2",20,8))+IF(C371="Financial Investor",15,IF(C371="Intermediary / Banker",12,8))+IF(L371="Term Sheet / Proposal",25,IF(L371="Engaged",20,IF(L371="Meeting Requested",18,IF(L371="Meeting Held",14,IF(L371="Follow Up",10,5)))))+MIN(Q371,30)+IF(S371="DUE",15,IF(S371="Next 3 Days",8,0))),0))</f>
        <v/>
      </c>
      <c r="AB371" s="425">
        <f>IF(AND(AC371="Active",OR(N371="Tier 1",N371="Tier 2"),OR(S371="DUE",S371="Next 3 Days")),"YES","")</f>
        <v/>
      </c>
      <c r="AC371" s="425">
        <f>IF(L371="Passed","Archived","Active")</f>
        <v/>
      </c>
    </row>
    <row r="372">
      <c r="A372" s="425" t="inlineStr">
        <is>
          <t>EXOS-0371</t>
        </is>
      </c>
      <c r="B372" s="425" t="inlineStr">
        <is>
          <t>John - Investor Contacts</t>
        </is>
      </c>
      <c r="C372" s="425" t="inlineStr">
        <is>
          <t>Financial Investor</t>
        </is>
      </c>
      <c r="D372" s="425" t="inlineStr">
        <is>
          <t>Flare Capital</t>
        </is>
      </c>
      <c r="E372" s="425" t="inlineStr">
        <is>
          <t>contact page</t>
        </is>
      </c>
      <c r="F372" s="425" t="inlineStr"/>
      <c r="G372" s="425" t="inlineStr"/>
      <c r="H372" s="425" t="inlineStr"/>
      <c r="I372" s="425" t="inlineStr"/>
      <c r="J372" s="425" t="inlineStr"/>
      <c r="K372" s="426" t="inlineStr">
        <is>
          <t>John Quinn</t>
        </is>
      </c>
      <c r="L372" s="426" t="inlineStr">
        <is>
          <t>Follow Up</t>
        </is>
      </c>
      <c r="M372" s="425" t="inlineStr">
        <is>
          <t>Space / Defense / Aerospace / Advanced Manufacturing</t>
        </is>
      </c>
      <c r="N372" s="426" t="inlineStr">
        <is>
          <t>Tier 2</t>
        </is>
      </c>
      <c r="O372" s="441" t="n">
        <v>45840</v>
      </c>
      <c r="P372" s="441" t="n">
        <v>45861</v>
      </c>
      <c r="Q372" s="425">
        <f>IF(P372="","",TODAY()-P372)</f>
        <v/>
      </c>
      <c r="R372" s="441">
        <f>IF(OR(L372="Passed",Z372=""),"",P372+Z372)</f>
        <v/>
      </c>
      <c r="S372" s="425">
        <f>IF(OR(R372="",L372="Passed"),"",IF(R372&lt;=TODAY(),"DUE",IF(R372&lt;=TODAY()+3,"Next 3 Days","Later")))</f>
        <v/>
      </c>
      <c r="T372" s="425" t="inlineStr"/>
      <c r="U372" s="426" t="inlineStr"/>
      <c r="V372" s="426" t="inlineStr"/>
      <c r="W372" s="428" t="inlineStr">
        <is>
          <t xml:space="preserve"> | 12/26/2025 | </t>
        </is>
      </c>
      <c r="X372" s="425" t="inlineStr">
        <is>
          <t>John - Investor Contacts!336</t>
        </is>
      </c>
      <c r="Y372" s="426" t="inlineStr">
        <is>
          <t>Send next follow-up with traction + CTA</t>
        </is>
      </c>
      <c r="Z372" s="425" t="n">
        <v>7</v>
      </c>
      <c r="AA372" s="425">
        <f>IF(AC372="Archived",0,ROUND((IF(N372="Tier 1",35,IF(N372="Tier 2",20,8))+IF(C372="Financial Investor",15,IF(C372="Intermediary / Banker",12,8))+IF(L372="Term Sheet / Proposal",25,IF(L372="Engaged",20,IF(L372="Meeting Requested",18,IF(L372="Meeting Held",14,IF(L372="Follow Up",10,5)))))+MIN(Q372,30)+IF(S372="DUE",15,IF(S372="Next 3 Days",8,0))),0))</f>
        <v/>
      </c>
      <c r="AB372" s="425">
        <f>IF(AND(AC372="Active",OR(N372="Tier 1",N372="Tier 2"),OR(S372="DUE",S372="Next 3 Days")),"YES","")</f>
        <v/>
      </c>
      <c r="AC372" s="425">
        <f>IF(L372="Passed","Archived","Active")</f>
        <v/>
      </c>
    </row>
    <row r="373">
      <c r="A373" s="425" t="inlineStr">
        <is>
          <t>EXOS-0372</t>
        </is>
      </c>
      <c r="B373" s="425" t="inlineStr">
        <is>
          <t>John - Investor Contacts</t>
        </is>
      </c>
      <c r="C373" s="425" t="inlineStr">
        <is>
          <t>Financial Investor</t>
        </is>
      </c>
      <c r="D373" s="425" t="inlineStr">
        <is>
          <t>Forepont Capital Partners</t>
        </is>
      </c>
      <c r="E373" s="425" t="inlineStr">
        <is>
          <t>Ali Cheikh Lahlou</t>
        </is>
      </c>
      <c r="F373" s="425" t="inlineStr"/>
      <c r="G373" s="111" t="inlineStr">
        <is>
          <t>ali.cheikhlahlou@forepont.com</t>
        </is>
      </c>
      <c r="H373" s="425" t="inlineStr"/>
      <c r="I373" s="425" t="inlineStr"/>
      <c r="J373" s="111" t="inlineStr">
        <is>
          <t>https://www.linkedin.com/in/ali-cheikh-lahlou-90a52736/</t>
        </is>
      </c>
      <c r="K373" s="426" t="inlineStr">
        <is>
          <t>John Quinn</t>
        </is>
      </c>
      <c r="L373" s="426" t="inlineStr">
        <is>
          <t>Follow Up</t>
        </is>
      </c>
      <c r="M373" s="425" t="inlineStr">
        <is>
          <t>Space / Defense / Aerospace / Advanced Manufacturing</t>
        </is>
      </c>
      <c r="N373" s="426" t="inlineStr">
        <is>
          <t>Tier 2</t>
        </is>
      </c>
      <c r="O373" s="441" t="n">
        <v>45821</v>
      </c>
      <c r="P373" s="441" t="n">
        <v>45835</v>
      </c>
      <c r="Q373" s="425">
        <f>IF(P373="","",TODAY()-P373)</f>
        <v/>
      </c>
      <c r="R373" s="441">
        <f>IF(OR(L373="Passed",Z373=""),"",P373+Z373)</f>
        <v/>
      </c>
      <c r="S373" s="425">
        <f>IF(OR(R373="",L373="Passed"),"",IF(R373&lt;=TODAY(),"DUE",IF(R373&lt;=TODAY()+3,"Next 3 Days","Later")))</f>
        <v/>
      </c>
      <c r="T373" s="425" t="inlineStr"/>
      <c r="U373" s="426" t="inlineStr">
        <is>
          <t>https://www.linkedin.com/in/ali-cheikh-lahlou-90a52736/</t>
        </is>
      </c>
      <c r="V373" s="426" t="inlineStr"/>
      <c r="W373" s="428" t="inlineStr">
        <is>
          <t xml:space="preserve"> | 12/23/2025 | </t>
        </is>
      </c>
      <c r="X373" s="425" t="inlineStr">
        <is>
          <t>John - Investor Contacts!196</t>
        </is>
      </c>
      <c r="Y373" s="426" t="inlineStr">
        <is>
          <t>Send next follow-up with traction + CTA</t>
        </is>
      </c>
      <c r="Z373" s="425" t="n">
        <v>7</v>
      </c>
      <c r="AA373" s="425">
        <f>IF(AC373="Archived",0,ROUND((IF(N373="Tier 1",35,IF(N373="Tier 2",20,8))+IF(C373="Financial Investor",15,IF(C373="Intermediary / Banker",12,8))+IF(L373="Term Sheet / Proposal",25,IF(L373="Engaged",20,IF(L373="Meeting Requested",18,IF(L373="Meeting Held",14,IF(L373="Follow Up",10,5)))))+MIN(Q373,30)+IF(S373="DUE",15,IF(S373="Next 3 Days",8,0))),0))</f>
        <v/>
      </c>
      <c r="AB373" s="425">
        <f>IF(AND(AC373="Active",OR(N373="Tier 1",N373="Tier 2"),OR(S373="DUE",S373="Next 3 Days")),"YES","")</f>
        <v/>
      </c>
      <c r="AC373" s="425">
        <f>IF(L373="Passed","Archived","Active")</f>
        <v/>
      </c>
    </row>
    <row r="374">
      <c r="A374" s="425" t="inlineStr">
        <is>
          <t>EXOS-0373</t>
        </is>
      </c>
      <c r="B374" s="425" t="inlineStr">
        <is>
          <t>John - Investor Contacts</t>
        </is>
      </c>
      <c r="C374" s="425" t="inlineStr">
        <is>
          <t>Financial Investor</t>
        </is>
      </c>
      <c r="D374" s="425" t="inlineStr">
        <is>
          <t>Forepont Capital Partners</t>
        </is>
      </c>
      <c r="E374" s="425" t="inlineStr">
        <is>
          <t>Guillaume Bouyoux</t>
        </is>
      </c>
      <c r="F374" s="425" t="inlineStr"/>
      <c r="G374" s="111" t="inlineStr">
        <is>
          <t>guillaume.bouyoux@forepont.com</t>
        </is>
      </c>
      <c r="H374" s="425" t="inlineStr"/>
      <c r="I374" s="425" t="inlineStr"/>
      <c r="J374" s="111" t="inlineStr">
        <is>
          <t>https://www.linkedin.com/in/guillaume-bouyoux/</t>
        </is>
      </c>
      <c r="K374" s="426" t="inlineStr">
        <is>
          <t>John Quinn</t>
        </is>
      </c>
      <c r="L374" s="426" t="inlineStr">
        <is>
          <t>Follow Up</t>
        </is>
      </c>
      <c r="M374" s="425" t="inlineStr">
        <is>
          <t>Space / Defense / Aerospace / Advanced Manufacturing</t>
        </is>
      </c>
      <c r="N374" s="426" t="inlineStr">
        <is>
          <t>Tier 2</t>
        </is>
      </c>
      <c r="O374" s="441" t="n">
        <v>45821</v>
      </c>
      <c r="P374" s="441" t="n">
        <v>45835</v>
      </c>
      <c r="Q374" s="425">
        <f>IF(P374="","",TODAY()-P374)</f>
        <v/>
      </c>
      <c r="R374" s="441">
        <f>IF(OR(L374="Passed",Z374=""),"",P374+Z374)</f>
        <v/>
      </c>
      <c r="S374" s="425">
        <f>IF(OR(R374="",L374="Passed"),"",IF(R374&lt;=TODAY(),"DUE",IF(R374&lt;=TODAY()+3,"Next 3 Days","Later")))</f>
        <v/>
      </c>
      <c r="T374" s="425" t="inlineStr"/>
      <c r="U374" s="426" t="inlineStr">
        <is>
          <t>https://www.linkedin.com/in/guillaume-bouyoux/</t>
        </is>
      </c>
      <c r="V374" s="426" t="inlineStr"/>
      <c r="W374" s="428" t="inlineStr">
        <is>
          <t xml:space="preserve"> | 12/23/2025 | </t>
        </is>
      </c>
      <c r="X374" s="425" t="inlineStr">
        <is>
          <t>John - Investor Contacts!195</t>
        </is>
      </c>
      <c r="Y374" s="426" t="inlineStr">
        <is>
          <t>Send next follow-up with traction + CTA</t>
        </is>
      </c>
      <c r="Z374" s="425" t="n">
        <v>7</v>
      </c>
      <c r="AA374" s="425">
        <f>IF(AC374="Archived",0,ROUND((IF(N374="Tier 1",35,IF(N374="Tier 2",20,8))+IF(C374="Financial Investor",15,IF(C374="Intermediary / Banker",12,8))+IF(L374="Term Sheet / Proposal",25,IF(L374="Engaged",20,IF(L374="Meeting Requested",18,IF(L374="Meeting Held",14,IF(L374="Follow Up",10,5)))))+MIN(Q374,30)+IF(S374="DUE",15,IF(S374="Next 3 Days",8,0))),0))</f>
        <v/>
      </c>
      <c r="AB374" s="425">
        <f>IF(AND(AC374="Active",OR(N374="Tier 1",N374="Tier 2"),OR(S374="DUE",S374="Next 3 Days")),"YES","")</f>
        <v/>
      </c>
      <c r="AC374" s="425">
        <f>IF(L374="Passed","Archived","Active")</f>
        <v/>
      </c>
    </row>
    <row r="375">
      <c r="A375" s="425" t="inlineStr">
        <is>
          <t>EXOS-0374</t>
        </is>
      </c>
      <c r="B375" s="425" t="inlineStr">
        <is>
          <t>John - Investor Contacts</t>
        </is>
      </c>
      <c r="C375" s="425" t="inlineStr">
        <is>
          <t>Financial Investor</t>
        </is>
      </c>
      <c r="D375" s="425" t="inlineStr">
        <is>
          <t>Forepont Capital Partners</t>
        </is>
      </c>
      <c r="E375" s="425" t="inlineStr">
        <is>
          <t>Louis Moulin</t>
        </is>
      </c>
      <c r="F375" s="425" t="inlineStr"/>
      <c r="G375" s="111" t="inlineStr">
        <is>
          <t>louis.moulin@forepont.com</t>
        </is>
      </c>
      <c r="H375" s="425" t="inlineStr"/>
      <c r="I375" s="425" t="inlineStr"/>
      <c r="J375" s="111" t="inlineStr">
        <is>
          <t>https://www.linkedin.com/in/louis-moulin-8a7850ba/</t>
        </is>
      </c>
      <c r="K375" s="426" t="inlineStr">
        <is>
          <t>John Quinn</t>
        </is>
      </c>
      <c r="L375" s="426" t="inlineStr">
        <is>
          <t>Follow Up</t>
        </is>
      </c>
      <c r="M375" s="425" t="inlineStr">
        <is>
          <t>Space / Defense / Aerospace / Advanced Manufacturing</t>
        </is>
      </c>
      <c r="N375" s="426" t="inlineStr">
        <is>
          <t>Tier 2</t>
        </is>
      </c>
      <c r="O375" s="441" t="n">
        <v>45821</v>
      </c>
      <c r="P375" s="441" t="n">
        <v>45835</v>
      </c>
      <c r="Q375" s="425">
        <f>IF(P375="","",TODAY()-P375)</f>
        <v/>
      </c>
      <c r="R375" s="441">
        <f>IF(OR(L375="Passed",Z375=""),"",P375+Z375)</f>
        <v/>
      </c>
      <c r="S375" s="425">
        <f>IF(OR(R375="",L375="Passed"),"",IF(R375&lt;=TODAY(),"DUE",IF(R375&lt;=TODAY()+3,"Next 3 Days","Later")))</f>
        <v/>
      </c>
      <c r="T375" s="425" t="inlineStr"/>
      <c r="U375" s="426" t="inlineStr">
        <is>
          <t>https://www.linkedin.com/in/louis-moulin-8a7850ba/</t>
        </is>
      </c>
      <c r="V375" s="426" t="inlineStr"/>
      <c r="W375" s="428" t="inlineStr">
        <is>
          <t xml:space="preserve"> | 12/23/2025 | </t>
        </is>
      </c>
      <c r="X375" s="425" t="inlineStr">
        <is>
          <t>John - Investor Contacts!197</t>
        </is>
      </c>
      <c r="Y375" s="426" t="inlineStr">
        <is>
          <t>Send next follow-up with traction + CTA</t>
        </is>
      </c>
      <c r="Z375" s="425" t="n">
        <v>7</v>
      </c>
      <c r="AA375" s="425">
        <f>IF(AC375="Archived",0,ROUND((IF(N375="Tier 1",35,IF(N375="Tier 2",20,8))+IF(C375="Financial Investor",15,IF(C375="Intermediary / Banker",12,8))+IF(L375="Term Sheet / Proposal",25,IF(L375="Engaged",20,IF(L375="Meeting Requested",18,IF(L375="Meeting Held",14,IF(L375="Follow Up",10,5)))))+MIN(Q375,30)+IF(S375="DUE",15,IF(S375="Next 3 Days",8,0))),0))</f>
        <v/>
      </c>
      <c r="AB375" s="425">
        <f>IF(AND(AC375="Active",OR(N375="Tier 1",N375="Tier 2"),OR(S375="DUE",S375="Next 3 Days")),"YES","")</f>
        <v/>
      </c>
      <c r="AC375" s="425">
        <f>IF(L375="Passed","Archived","Active")</f>
        <v/>
      </c>
    </row>
    <row r="376">
      <c r="A376" s="425" t="inlineStr">
        <is>
          <t>EXOS-0375</t>
        </is>
      </c>
      <c r="B376" s="425" t="inlineStr">
        <is>
          <t>John - Investor Contacts</t>
        </is>
      </c>
      <c r="C376" s="425" t="inlineStr">
        <is>
          <t>Financial Investor</t>
        </is>
      </c>
      <c r="D376" s="425" t="inlineStr">
        <is>
          <t>Forgepoint Capital</t>
        </is>
      </c>
      <c r="E376" s="425" t="inlineStr">
        <is>
          <t>Alberto Yépez</t>
        </is>
      </c>
      <c r="F376" s="425" t="inlineStr"/>
      <c r="G376" s="111" t="inlineStr">
        <is>
          <t>ayepez@forgepointcap.com</t>
        </is>
      </c>
      <c r="H376" s="425" t="inlineStr"/>
      <c r="I376" s="425" t="inlineStr"/>
      <c r="J376" s="111" t="inlineStr">
        <is>
          <t>https://www.linkedin.com/in/albertoyepez/</t>
        </is>
      </c>
      <c r="K376" s="426" t="inlineStr">
        <is>
          <t>John Quinn</t>
        </is>
      </c>
      <c r="L376" s="426" t="inlineStr">
        <is>
          <t>Follow Up</t>
        </is>
      </c>
      <c r="M376" s="425" t="inlineStr">
        <is>
          <t>Space / Defense / Aerospace / Advanced Manufacturing</t>
        </is>
      </c>
      <c r="N376" s="426" t="inlineStr">
        <is>
          <t>Tier 2</t>
        </is>
      </c>
      <c r="O376" s="441" t="n">
        <v>45946</v>
      </c>
      <c r="P376" s="441" t="n">
        <v>45973</v>
      </c>
      <c r="Q376" s="425">
        <f>IF(P376="","",TODAY()-P376)</f>
        <v/>
      </c>
      <c r="R376" s="441">
        <f>IF(OR(L376="Passed",Z376=""),"",P376+Z376)</f>
        <v/>
      </c>
      <c r="S376" s="425">
        <f>IF(OR(R376="",L376="Passed"),"",IF(R376&lt;=TODAY(),"DUE",IF(R376&lt;=TODAY()+3,"Next 3 Days","Later")))</f>
        <v/>
      </c>
      <c r="T376" s="425" t="inlineStr"/>
      <c r="U376" s="426" t="inlineStr">
        <is>
          <t>https://www.linkedin.com/in/albertoyepez/</t>
        </is>
      </c>
      <c r="V376" s="426" t="inlineStr"/>
      <c r="W376" s="428" t="inlineStr">
        <is>
          <t xml:space="preserve"> | 12/30/2025 | </t>
        </is>
      </c>
      <c r="X376" s="425" t="inlineStr">
        <is>
          <t>John - Investor Contacts!757</t>
        </is>
      </c>
      <c r="Y376" s="426" t="inlineStr">
        <is>
          <t>Send next follow-up with traction + CTA</t>
        </is>
      </c>
      <c r="Z376" s="425" t="n">
        <v>7</v>
      </c>
      <c r="AA376" s="425">
        <f>IF(AC376="Archived",0,ROUND((IF(N376="Tier 1",35,IF(N376="Tier 2",20,8))+IF(C376="Financial Investor",15,IF(C376="Intermediary / Banker",12,8))+IF(L376="Term Sheet / Proposal",25,IF(L376="Engaged",20,IF(L376="Meeting Requested",18,IF(L376="Meeting Held",14,IF(L376="Follow Up",10,5)))))+MIN(Q376,30)+IF(S376="DUE",15,IF(S376="Next 3 Days",8,0))),0))</f>
        <v/>
      </c>
      <c r="AB376" s="425">
        <f>IF(AND(AC376="Active",OR(N376="Tier 1",N376="Tier 2"),OR(S376="DUE",S376="Next 3 Days")),"YES","")</f>
        <v/>
      </c>
      <c r="AC376" s="425">
        <f>IF(L376="Passed","Archived","Active")</f>
        <v/>
      </c>
    </row>
    <row r="377">
      <c r="A377" s="425" t="inlineStr">
        <is>
          <t>EXOS-0376</t>
        </is>
      </c>
      <c r="B377" s="425" t="inlineStr">
        <is>
          <t>John - Investor Contacts</t>
        </is>
      </c>
      <c r="C377" s="425" t="inlineStr">
        <is>
          <t>Financial Investor</t>
        </is>
      </c>
      <c r="D377" s="425" t="inlineStr">
        <is>
          <t>Forgepoint Capital</t>
        </is>
      </c>
      <c r="E377" s="425" t="inlineStr">
        <is>
          <t>Andrew McClure</t>
        </is>
      </c>
      <c r="F377" s="425" t="inlineStr"/>
      <c r="G377" s="111" t="inlineStr">
        <is>
          <t>amcclure@forgepointcap.com</t>
        </is>
      </c>
      <c r="H377" s="425" t="inlineStr"/>
      <c r="I377" s="425" t="inlineStr"/>
      <c r="J377" s="111" t="inlineStr">
        <is>
          <t>https://www.linkedin.com/in/andrewjmcclure/</t>
        </is>
      </c>
      <c r="K377" s="426" t="inlineStr">
        <is>
          <t>John Quinn</t>
        </is>
      </c>
      <c r="L377" s="426" t="inlineStr">
        <is>
          <t>Follow Up</t>
        </is>
      </c>
      <c r="M377" s="425" t="inlineStr">
        <is>
          <t>Space / Defense / Aerospace / Advanced Manufacturing</t>
        </is>
      </c>
      <c r="N377" s="426" t="inlineStr">
        <is>
          <t>Tier 2</t>
        </is>
      </c>
      <c r="O377" s="441" t="n">
        <v>45946</v>
      </c>
      <c r="P377" s="441" t="n">
        <v>45973</v>
      </c>
      <c r="Q377" s="425">
        <f>IF(P377="","",TODAY()-P377)</f>
        <v/>
      </c>
      <c r="R377" s="441">
        <f>IF(OR(L377="Passed",Z377=""),"",P377+Z377)</f>
        <v/>
      </c>
      <c r="S377" s="425">
        <f>IF(OR(R377="",L377="Passed"),"",IF(R377&lt;=TODAY(),"DUE",IF(R377&lt;=TODAY()+3,"Next 3 Days","Later")))</f>
        <v/>
      </c>
      <c r="T377" s="425" t="inlineStr"/>
      <c r="U377" s="426" t="inlineStr">
        <is>
          <t>https://www.linkedin.com/in/andrewjmcclure/</t>
        </is>
      </c>
      <c r="V377" s="426" t="inlineStr"/>
      <c r="W377" s="428" t="inlineStr">
        <is>
          <t xml:space="preserve"> | 12/30/2025 | </t>
        </is>
      </c>
      <c r="X377" s="425" t="inlineStr">
        <is>
          <t>John - Investor Contacts!759</t>
        </is>
      </c>
      <c r="Y377" s="426" t="inlineStr">
        <is>
          <t>Send next follow-up with traction + CTA</t>
        </is>
      </c>
      <c r="Z377" s="425" t="n">
        <v>7</v>
      </c>
      <c r="AA377" s="425">
        <f>IF(AC377="Archived",0,ROUND((IF(N377="Tier 1",35,IF(N377="Tier 2",20,8))+IF(C377="Financial Investor",15,IF(C377="Intermediary / Banker",12,8))+IF(L377="Term Sheet / Proposal",25,IF(L377="Engaged",20,IF(L377="Meeting Requested",18,IF(L377="Meeting Held",14,IF(L377="Follow Up",10,5)))))+MIN(Q377,30)+IF(S377="DUE",15,IF(S377="Next 3 Days",8,0))),0))</f>
        <v/>
      </c>
      <c r="AB377" s="425">
        <f>IF(AND(AC377="Active",OR(N377="Tier 1",N377="Tier 2"),OR(S377="DUE",S377="Next 3 Days")),"YES","")</f>
        <v/>
      </c>
      <c r="AC377" s="425">
        <f>IF(L377="Passed","Archived","Active")</f>
        <v/>
      </c>
    </row>
    <row r="378">
      <c r="A378" s="425" t="inlineStr">
        <is>
          <t>EXOS-0377</t>
        </is>
      </c>
      <c r="B378" s="425" t="inlineStr">
        <is>
          <t>John - Investor Contacts</t>
        </is>
      </c>
      <c r="C378" s="425" t="inlineStr">
        <is>
          <t>Financial Investor</t>
        </is>
      </c>
      <c r="D378" s="425" t="inlineStr">
        <is>
          <t>Forgepoint Capital</t>
        </is>
      </c>
      <c r="E378" s="425" t="inlineStr">
        <is>
          <t>Don Dixon</t>
        </is>
      </c>
      <c r="F378" s="425" t="inlineStr"/>
      <c r="G378" s="111" t="inlineStr">
        <is>
          <t>ddixon@forgepointcap.com</t>
        </is>
      </c>
      <c r="H378" s="425" t="inlineStr"/>
      <c r="I378" s="425" t="inlineStr"/>
      <c r="J378" s="111" t="inlineStr">
        <is>
          <t>https://www.linkedin.com/in/dodixon/</t>
        </is>
      </c>
      <c r="K378" s="426" t="inlineStr">
        <is>
          <t>John Quinn</t>
        </is>
      </c>
      <c r="L378" s="426" t="inlineStr">
        <is>
          <t>Follow Up</t>
        </is>
      </c>
      <c r="M378" s="425" t="inlineStr">
        <is>
          <t>Space / Defense / Aerospace / Advanced Manufacturing</t>
        </is>
      </c>
      <c r="N378" s="426" t="inlineStr">
        <is>
          <t>Tier 2</t>
        </is>
      </c>
      <c r="O378" s="441" t="n">
        <v>45946</v>
      </c>
      <c r="P378" s="441" t="n">
        <v>45973</v>
      </c>
      <c r="Q378" s="425">
        <f>IF(P378="","",TODAY()-P378)</f>
        <v/>
      </c>
      <c r="R378" s="441">
        <f>IF(OR(L378="Passed",Z378=""),"",P378+Z378)</f>
        <v/>
      </c>
      <c r="S378" s="425">
        <f>IF(OR(R378="",L378="Passed"),"",IF(R378&lt;=TODAY(),"DUE",IF(R378&lt;=TODAY()+3,"Next 3 Days","Later")))</f>
        <v/>
      </c>
      <c r="T378" s="425" t="inlineStr"/>
      <c r="U378" s="426" t="inlineStr">
        <is>
          <t>https://www.linkedin.com/in/dodixon/</t>
        </is>
      </c>
      <c r="V378" s="426" t="inlineStr"/>
      <c r="W378" s="428" t="inlineStr">
        <is>
          <t xml:space="preserve"> | 12/30/2025 | </t>
        </is>
      </c>
      <c r="X378" s="425" t="inlineStr">
        <is>
          <t>John - Investor Contacts!758</t>
        </is>
      </c>
      <c r="Y378" s="426" t="inlineStr">
        <is>
          <t>Send next follow-up with traction + CTA</t>
        </is>
      </c>
      <c r="Z378" s="425" t="n">
        <v>7</v>
      </c>
      <c r="AA378" s="425">
        <f>IF(AC378="Archived",0,ROUND((IF(N378="Tier 1",35,IF(N378="Tier 2",20,8))+IF(C378="Financial Investor",15,IF(C378="Intermediary / Banker",12,8))+IF(L378="Term Sheet / Proposal",25,IF(L378="Engaged",20,IF(L378="Meeting Requested",18,IF(L378="Meeting Held",14,IF(L378="Follow Up",10,5)))))+MIN(Q378,30)+IF(S378="DUE",15,IF(S378="Next 3 Days",8,0))),0))</f>
        <v/>
      </c>
      <c r="AB378" s="425">
        <f>IF(AND(AC378="Active",OR(N378="Tier 1",N378="Tier 2"),OR(S378="DUE",S378="Next 3 Days")),"YES","")</f>
        <v/>
      </c>
      <c r="AC378" s="425">
        <f>IF(L378="Passed","Archived","Active")</f>
        <v/>
      </c>
    </row>
    <row r="379">
      <c r="A379" s="425" t="inlineStr">
        <is>
          <t>EXOS-0378</t>
        </is>
      </c>
      <c r="B379" s="425" t="inlineStr">
        <is>
          <t>John - Investor Contacts</t>
        </is>
      </c>
      <c r="C379" s="425" t="inlineStr">
        <is>
          <t>Financial Investor</t>
        </is>
      </c>
      <c r="D379" s="425" t="inlineStr">
        <is>
          <t>Forgepoint Capital</t>
        </is>
      </c>
      <c r="E379" s="425" t="inlineStr">
        <is>
          <t>Ernie Bio</t>
        </is>
      </c>
      <c r="F379" s="425" t="inlineStr"/>
      <c r="G379" s="111" t="inlineStr">
        <is>
          <t>ebio@forgepointcap.com</t>
        </is>
      </c>
      <c r="H379" s="425" t="inlineStr"/>
      <c r="I379" s="425" t="inlineStr"/>
      <c r="J379" s="111" t="inlineStr">
        <is>
          <t>https://www.linkedin.com/in/erniebio/</t>
        </is>
      </c>
      <c r="K379" s="426" t="inlineStr">
        <is>
          <t>John Quinn</t>
        </is>
      </c>
      <c r="L379" s="426" t="inlineStr">
        <is>
          <t>Follow Up</t>
        </is>
      </c>
      <c r="M379" s="425" t="inlineStr">
        <is>
          <t>Space / Defense / Aerospace / Advanced Manufacturing</t>
        </is>
      </c>
      <c r="N379" s="426" t="inlineStr">
        <is>
          <t>Tier 2</t>
        </is>
      </c>
      <c r="O379" s="441" t="n">
        <v>45946</v>
      </c>
      <c r="P379" s="441" t="n">
        <v>45973</v>
      </c>
      <c r="Q379" s="425">
        <f>IF(P379="","",TODAY()-P379)</f>
        <v/>
      </c>
      <c r="R379" s="441">
        <f>IF(OR(L379="Passed",Z379=""),"",P379+Z379)</f>
        <v/>
      </c>
      <c r="S379" s="425">
        <f>IF(OR(R379="",L379="Passed"),"",IF(R379&lt;=TODAY(),"DUE",IF(R379&lt;=TODAY()+3,"Next 3 Days","Later")))</f>
        <v/>
      </c>
      <c r="T379" s="425" t="inlineStr"/>
      <c r="U379" s="426" t="inlineStr">
        <is>
          <t>https://www.linkedin.com/in/erniebio/</t>
        </is>
      </c>
      <c r="V379" s="426" t="inlineStr"/>
      <c r="W379" s="428" t="inlineStr">
        <is>
          <t xml:space="preserve"> | 12/30/2025 | </t>
        </is>
      </c>
      <c r="X379" s="425" t="inlineStr">
        <is>
          <t>John - Investor Contacts!760</t>
        </is>
      </c>
      <c r="Y379" s="426" t="inlineStr">
        <is>
          <t>Send next follow-up with traction + CTA</t>
        </is>
      </c>
      <c r="Z379" s="425" t="n">
        <v>7</v>
      </c>
      <c r="AA379" s="425">
        <f>IF(AC379="Archived",0,ROUND((IF(N379="Tier 1",35,IF(N379="Tier 2",20,8))+IF(C379="Financial Investor",15,IF(C379="Intermediary / Banker",12,8))+IF(L379="Term Sheet / Proposal",25,IF(L379="Engaged",20,IF(L379="Meeting Requested",18,IF(L379="Meeting Held",14,IF(L379="Follow Up",10,5)))))+MIN(Q379,30)+IF(S379="DUE",15,IF(S379="Next 3 Days",8,0))),0))</f>
        <v/>
      </c>
      <c r="AB379" s="425">
        <f>IF(AND(AC379="Active",OR(N379="Tier 1",N379="Tier 2"),OR(S379="DUE",S379="Next 3 Days")),"YES","")</f>
        <v/>
      </c>
      <c r="AC379" s="425">
        <f>IF(L379="Passed","Archived","Active")</f>
        <v/>
      </c>
    </row>
    <row r="380">
      <c r="A380" s="425" t="inlineStr">
        <is>
          <t>EXOS-0379</t>
        </is>
      </c>
      <c r="B380" s="425" t="inlineStr">
        <is>
          <t>John - Investor Contacts</t>
        </is>
      </c>
      <c r="C380" s="425" t="inlineStr">
        <is>
          <t>Financial Investor</t>
        </is>
      </c>
      <c r="D380" s="425" t="inlineStr">
        <is>
          <t>Foundation Capital</t>
        </is>
      </c>
      <c r="E380" s="425" t="inlineStr">
        <is>
          <t>Ashu Garg</t>
        </is>
      </c>
      <c r="F380" s="425" t="inlineStr"/>
      <c r="G380" s="111" t="inlineStr">
        <is>
          <t>agarg@foundationcap.com</t>
        </is>
      </c>
      <c r="H380" s="425" t="inlineStr"/>
      <c r="I380" s="425" t="inlineStr"/>
      <c r="J380" s="111" t="inlineStr">
        <is>
          <t>https://www.linkedin.com/in/ashugargvc/</t>
        </is>
      </c>
      <c r="K380" s="426" t="inlineStr">
        <is>
          <t>John Quinn</t>
        </is>
      </c>
      <c r="L380" s="426" t="inlineStr">
        <is>
          <t>Follow Up</t>
        </is>
      </c>
      <c r="M380" s="425" t="inlineStr">
        <is>
          <t>Space / Defense / Aerospace / Advanced Manufacturing</t>
        </is>
      </c>
      <c r="N380" s="426" t="inlineStr">
        <is>
          <t>Tier 2</t>
        </is>
      </c>
      <c r="O380" s="441" t="n">
        <v>45966</v>
      </c>
      <c r="P380" s="441" t="n">
        <v>45985</v>
      </c>
      <c r="Q380" s="425">
        <f>IF(P380="","",TODAY()-P380)</f>
        <v/>
      </c>
      <c r="R380" s="441">
        <f>IF(OR(L380="Passed",Z380=""),"",P380+Z380)</f>
        <v/>
      </c>
      <c r="S380" s="425">
        <f>IF(OR(R380="",L380="Passed"),"",IF(R380&lt;=TODAY(),"DUE",IF(R380&lt;=TODAY()+3,"Next 3 Days","Later")))</f>
        <v/>
      </c>
      <c r="T380" s="425" t="inlineStr"/>
      <c r="U380" s="426" t="inlineStr">
        <is>
          <t>https://www.linkedin.com/in/ashugargvc/</t>
        </is>
      </c>
      <c r="V380" s="426" t="inlineStr"/>
      <c r="W380" s="428" t="inlineStr">
        <is>
          <t xml:space="preserve"> | 01/14/2026 | </t>
        </is>
      </c>
      <c r="X380" s="425" t="inlineStr">
        <is>
          <t>John - Investor Contacts!837</t>
        </is>
      </c>
      <c r="Y380" s="426" t="inlineStr">
        <is>
          <t>Send next follow-up with traction + CTA</t>
        </is>
      </c>
      <c r="Z380" s="425" t="n">
        <v>7</v>
      </c>
      <c r="AA380" s="425">
        <f>IF(AC380="Archived",0,ROUND((IF(N380="Tier 1",35,IF(N380="Tier 2",20,8))+IF(C380="Financial Investor",15,IF(C380="Intermediary / Banker",12,8))+IF(L380="Term Sheet / Proposal",25,IF(L380="Engaged",20,IF(L380="Meeting Requested",18,IF(L380="Meeting Held",14,IF(L380="Follow Up",10,5)))))+MIN(Q380,30)+IF(S380="DUE",15,IF(S380="Next 3 Days",8,0))),0))</f>
        <v/>
      </c>
      <c r="AB380" s="425">
        <f>IF(AND(AC380="Active",OR(N380="Tier 1",N380="Tier 2"),OR(S380="DUE",S380="Next 3 Days")),"YES","")</f>
        <v/>
      </c>
      <c r="AC380" s="425">
        <f>IF(L380="Passed","Archived","Active")</f>
        <v/>
      </c>
    </row>
    <row r="381">
      <c r="A381" s="425" t="inlineStr">
        <is>
          <t>EXOS-0380</t>
        </is>
      </c>
      <c r="B381" s="425" t="inlineStr">
        <is>
          <t>John - Investor Contacts</t>
        </is>
      </c>
      <c r="C381" s="425" t="inlineStr">
        <is>
          <t>Financial Investor</t>
        </is>
      </c>
      <c r="D381" s="425" t="inlineStr">
        <is>
          <t>Foundation Capital</t>
        </is>
      </c>
      <c r="E381" s="425" t="inlineStr">
        <is>
          <t>Charles Moldow</t>
        </is>
      </c>
      <c r="F381" s="425" t="inlineStr"/>
      <c r="G381" s="111" t="inlineStr">
        <is>
          <t>cmoldow@foundationcap.com</t>
        </is>
      </c>
      <c r="H381" s="425" t="inlineStr"/>
      <c r="I381" s="425" t="inlineStr"/>
      <c r="J381" s="111" t="inlineStr">
        <is>
          <t>https://www.linkedin.com/in/charlesmoldow/</t>
        </is>
      </c>
      <c r="K381" s="426" t="inlineStr">
        <is>
          <t>John Quinn</t>
        </is>
      </c>
      <c r="L381" s="426" t="inlineStr">
        <is>
          <t>Follow Up</t>
        </is>
      </c>
      <c r="M381" s="425" t="inlineStr">
        <is>
          <t>Space / Defense / Aerospace / Advanced Manufacturing</t>
        </is>
      </c>
      <c r="N381" s="426" t="inlineStr">
        <is>
          <t>Tier 2</t>
        </is>
      </c>
      <c r="O381" s="441" t="n">
        <v>45966</v>
      </c>
      <c r="P381" s="441" t="n">
        <v>45985</v>
      </c>
      <c r="Q381" s="425">
        <f>IF(P381="","",TODAY()-P381)</f>
        <v/>
      </c>
      <c r="R381" s="441">
        <f>IF(OR(L381="Passed",Z381=""),"",P381+Z381)</f>
        <v/>
      </c>
      <c r="S381" s="425">
        <f>IF(OR(R381="",L381="Passed"),"",IF(R381&lt;=TODAY(),"DUE",IF(R381&lt;=TODAY()+3,"Next 3 Days","Later")))</f>
        <v/>
      </c>
      <c r="T381" s="425" t="inlineStr"/>
      <c r="U381" s="426" t="inlineStr">
        <is>
          <t>https://www.linkedin.com/in/charlesmoldow/</t>
        </is>
      </c>
      <c r="V381" s="426" t="inlineStr"/>
      <c r="W381" s="428" t="inlineStr">
        <is>
          <t xml:space="preserve"> | 01/14/2026 | </t>
        </is>
      </c>
      <c r="X381" s="425" t="inlineStr">
        <is>
          <t>John - Investor Contacts!838</t>
        </is>
      </c>
      <c r="Y381" s="426" t="inlineStr">
        <is>
          <t>Send next follow-up with traction + CTA</t>
        </is>
      </c>
      <c r="Z381" s="425" t="n">
        <v>7</v>
      </c>
      <c r="AA381" s="425">
        <f>IF(AC381="Archived",0,ROUND((IF(N381="Tier 1",35,IF(N381="Tier 2",20,8))+IF(C381="Financial Investor",15,IF(C381="Intermediary / Banker",12,8))+IF(L381="Term Sheet / Proposal",25,IF(L381="Engaged",20,IF(L381="Meeting Requested",18,IF(L381="Meeting Held",14,IF(L381="Follow Up",10,5)))))+MIN(Q381,30)+IF(S381="DUE",15,IF(S381="Next 3 Days",8,0))),0))</f>
        <v/>
      </c>
      <c r="AB381" s="425">
        <f>IF(AND(AC381="Active",OR(N381="Tier 1",N381="Tier 2"),OR(S381="DUE",S381="Next 3 Days")),"YES","")</f>
        <v/>
      </c>
      <c r="AC381" s="425">
        <f>IF(L381="Passed","Archived","Active")</f>
        <v/>
      </c>
    </row>
    <row r="382">
      <c r="A382" s="425" t="inlineStr">
        <is>
          <t>EXOS-0381</t>
        </is>
      </c>
      <c r="B382" s="425" t="inlineStr">
        <is>
          <t>John - Investor Contacts</t>
        </is>
      </c>
      <c r="C382" s="425" t="inlineStr">
        <is>
          <t>Financial Investor</t>
        </is>
      </c>
      <c r="D382" s="425" t="inlineStr">
        <is>
          <t>Foundation Capital</t>
        </is>
      </c>
      <c r="E382" s="425" t="inlineStr">
        <is>
          <t>Joanne Chen</t>
        </is>
      </c>
      <c r="F382" s="425" t="inlineStr"/>
      <c r="G382" s="111" t="inlineStr">
        <is>
          <t>jchen@foundationcap.com</t>
        </is>
      </c>
      <c r="H382" s="425" t="inlineStr"/>
      <c r="I382" s="425" t="inlineStr"/>
      <c r="J382" s="111" t="inlineStr">
        <is>
          <t>https://www.linkedin.com/in/joanne-chen-8486677/</t>
        </is>
      </c>
      <c r="K382" s="426" t="inlineStr">
        <is>
          <t>John Quinn</t>
        </is>
      </c>
      <c r="L382" s="426" t="inlineStr">
        <is>
          <t>Follow Up</t>
        </is>
      </c>
      <c r="M382" s="425" t="inlineStr">
        <is>
          <t>Space / Defense / Aerospace / Advanced Manufacturing</t>
        </is>
      </c>
      <c r="N382" s="426" t="inlineStr">
        <is>
          <t>Tier 2</t>
        </is>
      </c>
      <c r="O382" s="441" t="n">
        <v>45966</v>
      </c>
      <c r="P382" s="441" t="n">
        <v>45985</v>
      </c>
      <c r="Q382" s="425">
        <f>IF(P382="","",TODAY()-P382)</f>
        <v/>
      </c>
      <c r="R382" s="441">
        <f>IF(OR(L382="Passed",Z382=""),"",P382+Z382)</f>
        <v/>
      </c>
      <c r="S382" s="425">
        <f>IF(OR(R382="",L382="Passed"),"",IF(R382&lt;=TODAY(),"DUE",IF(R382&lt;=TODAY()+3,"Next 3 Days","Later")))</f>
        <v/>
      </c>
      <c r="T382" s="425" t="inlineStr"/>
      <c r="U382" s="426" t="inlineStr">
        <is>
          <t>https://www.linkedin.com/in/joanne-chen-8486677/</t>
        </is>
      </c>
      <c r="V382" s="426" t="inlineStr"/>
      <c r="W382" s="428" t="inlineStr">
        <is>
          <t xml:space="preserve"> | 01/14/2026 | </t>
        </is>
      </c>
      <c r="X382" s="425" t="inlineStr">
        <is>
          <t>John - Investor Contacts!836</t>
        </is>
      </c>
      <c r="Y382" s="426" t="inlineStr">
        <is>
          <t>Send next follow-up with traction + CTA</t>
        </is>
      </c>
      <c r="Z382" s="425" t="n">
        <v>7</v>
      </c>
      <c r="AA382" s="425">
        <f>IF(AC382="Archived",0,ROUND((IF(N382="Tier 1",35,IF(N382="Tier 2",20,8))+IF(C382="Financial Investor",15,IF(C382="Intermediary / Banker",12,8))+IF(L382="Term Sheet / Proposal",25,IF(L382="Engaged",20,IF(L382="Meeting Requested",18,IF(L382="Meeting Held",14,IF(L382="Follow Up",10,5)))))+MIN(Q382,30)+IF(S382="DUE",15,IF(S382="Next 3 Days",8,0))),0))</f>
        <v/>
      </c>
      <c r="AB382" s="425">
        <f>IF(AND(AC382="Active",OR(N382="Tier 1",N382="Tier 2"),OR(S382="DUE",S382="Next 3 Days")),"YES","")</f>
        <v/>
      </c>
      <c r="AC382" s="425">
        <f>IF(L382="Passed","Archived","Active")</f>
        <v/>
      </c>
    </row>
    <row r="383">
      <c r="A383" s="425" t="inlineStr">
        <is>
          <t>EXOS-0382</t>
        </is>
      </c>
      <c r="B383" s="425" t="inlineStr">
        <is>
          <t>John - Investor Contacts</t>
        </is>
      </c>
      <c r="C383" s="425" t="inlineStr">
        <is>
          <t>Financial Investor</t>
        </is>
      </c>
      <c r="D383" s="425" t="inlineStr">
        <is>
          <t>Foundation Capital</t>
        </is>
      </c>
      <c r="E383" s="425" t="inlineStr">
        <is>
          <t>Steve Vassallo</t>
        </is>
      </c>
      <c r="F383" s="425" t="inlineStr"/>
      <c r="G383" s="111" t="inlineStr">
        <is>
          <t>svassallo@foundationcap.com</t>
        </is>
      </c>
      <c r="H383" s="425" t="inlineStr"/>
      <c r="I383" s="425" t="inlineStr"/>
      <c r="J383" s="111" t="inlineStr">
        <is>
          <t>https://www.linkedin.com/in/stevevassallo/</t>
        </is>
      </c>
      <c r="K383" s="426" t="inlineStr">
        <is>
          <t>John Quinn</t>
        </is>
      </c>
      <c r="L383" s="426" t="inlineStr">
        <is>
          <t>Follow Up</t>
        </is>
      </c>
      <c r="M383" s="425" t="inlineStr">
        <is>
          <t>Space / Defense / Aerospace / Advanced Manufacturing</t>
        </is>
      </c>
      <c r="N383" s="426" t="inlineStr">
        <is>
          <t>Tier 2</t>
        </is>
      </c>
      <c r="O383" s="441" t="n">
        <v>45966</v>
      </c>
      <c r="P383" s="441" t="n">
        <v>45985</v>
      </c>
      <c r="Q383" s="425">
        <f>IF(P383="","",TODAY()-P383)</f>
        <v/>
      </c>
      <c r="R383" s="441">
        <f>IF(OR(L383="Passed",Z383=""),"",P383+Z383)</f>
        <v/>
      </c>
      <c r="S383" s="425">
        <f>IF(OR(R383="",L383="Passed"),"",IF(R383&lt;=TODAY(),"DUE",IF(R383&lt;=TODAY()+3,"Next 3 Days","Later")))</f>
        <v/>
      </c>
      <c r="T383" s="425" t="inlineStr"/>
      <c r="U383" s="426" t="inlineStr">
        <is>
          <t>https://www.linkedin.com/in/stevevassallo/</t>
        </is>
      </c>
      <c r="V383" s="426" t="inlineStr"/>
      <c r="W383" s="428" t="inlineStr">
        <is>
          <t xml:space="preserve"> | 01/14/2026 | </t>
        </is>
      </c>
      <c r="X383" s="425" t="inlineStr">
        <is>
          <t>John - Investor Contacts!835</t>
        </is>
      </c>
      <c r="Y383" s="426" t="inlineStr">
        <is>
          <t>Send next follow-up with traction + CTA</t>
        </is>
      </c>
      <c r="Z383" s="425" t="n">
        <v>7</v>
      </c>
      <c r="AA383" s="425">
        <f>IF(AC383="Archived",0,ROUND((IF(N383="Tier 1",35,IF(N383="Tier 2",20,8))+IF(C383="Financial Investor",15,IF(C383="Intermediary / Banker",12,8))+IF(L383="Term Sheet / Proposal",25,IF(L383="Engaged",20,IF(L383="Meeting Requested",18,IF(L383="Meeting Held",14,IF(L383="Follow Up",10,5)))))+MIN(Q383,30)+IF(S383="DUE",15,IF(S383="Next 3 Days",8,0))),0))</f>
        <v/>
      </c>
      <c r="AB383" s="425">
        <f>IF(AND(AC383="Active",OR(N383="Tier 1",N383="Tier 2"),OR(S383="DUE",S383="Next 3 Days")),"YES","")</f>
        <v/>
      </c>
      <c r="AC383" s="425">
        <f>IF(L383="Passed","Archived","Active")</f>
        <v/>
      </c>
    </row>
    <row r="384">
      <c r="A384" s="425" t="inlineStr">
        <is>
          <t>EXOS-0383</t>
        </is>
      </c>
      <c r="B384" s="425" t="inlineStr">
        <is>
          <t>John - Investor Contacts</t>
        </is>
      </c>
      <c r="C384" s="425" t="inlineStr">
        <is>
          <t>Financial Investor</t>
        </is>
      </c>
      <c r="D384" s="425" t="inlineStr">
        <is>
          <t>Founders Fund</t>
        </is>
      </c>
      <c r="E384" s="425" t="inlineStr">
        <is>
          <t>Delian Asparouhov</t>
        </is>
      </c>
      <c r="F384" s="425" t="inlineStr"/>
      <c r="G384" s="111" t="inlineStr">
        <is>
          <t>delian@foundersfund.com</t>
        </is>
      </c>
      <c r="H384" s="425" t="inlineStr"/>
      <c r="I384" s="425" t="inlineStr"/>
      <c r="J384" s="111" t="inlineStr">
        <is>
          <t>https://www.linkedin.com/in/delian-asparouhov-87447742/</t>
        </is>
      </c>
      <c r="K384" s="426" t="inlineStr">
        <is>
          <t>John Quinn</t>
        </is>
      </c>
      <c r="L384" s="426" t="inlineStr">
        <is>
          <t>Follow Up</t>
        </is>
      </c>
      <c r="M384" s="425" t="inlineStr">
        <is>
          <t>Space / Defense / Aerospace / Advanced Manufacturing</t>
        </is>
      </c>
      <c r="N384" s="426" t="inlineStr">
        <is>
          <t>Tier 2</t>
        </is>
      </c>
      <c r="O384" s="441" t="n">
        <v>45793</v>
      </c>
      <c r="P384" s="441" t="n">
        <v>45841</v>
      </c>
      <c r="Q384" s="425">
        <f>IF(P384="","",TODAY()-P384)</f>
        <v/>
      </c>
      <c r="R384" s="441">
        <f>IF(OR(L384="Passed",Z384=""),"",P384+Z384)</f>
        <v/>
      </c>
      <c r="S384" s="425">
        <f>IF(OR(R384="",L384="Passed"),"",IF(R384&lt;=TODAY(),"DUE",IF(R384&lt;=TODAY()+3,"Next 3 Days","Later")))</f>
        <v/>
      </c>
      <c r="T384" s="425" t="inlineStr"/>
      <c r="U384" s="426" t="inlineStr">
        <is>
          <t>https://www.linkedin.com/in/delian-asparouhov-87447742/</t>
        </is>
      </c>
      <c r="V384" s="426" t="inlineStr"/>
      <c r="W384" s="428" t="inlineStr">
        <is>
          <t xml:space="preserve"> |  | </t>
        </is>
      </c>
      <c r="X384" s="425" t="inlineStr">
        <is>
          <t>John - Investor Contacts!67</t>
        </is>
      </c>
      <c r="Y384" s="426" t="inlineStr">
        <is>
          <t>Send next follow-up with traction + CTA</t>
        </is>
      </c>
      <c r="Z384" s="425" t="n">
        <v>7</v>
      </c>
      <c r="AA384" s="425">
        <f>IF(AC384="Archived",0,ROUND((IF(N384="Tier 1",35,IF(N384="Tier 2",20,8))+IF(C384="Financial Investor",15,IF(C384="Intermediary / Banker",12,8))+IF(L384="Term Sheet / Proposal",25,IF(L384="Engaged",20,IF(L384="Meeting Requested",18,IF(L384="Meeting Held",14,IF(L384="Follow Up",10,5)))))+MIN(Q384,30)+IF(S384="DUE",15,IF(S384="Next 3 Days",8,0))),0))</f>
        <v/>
      </c>
      <c r="AB384" s="425">
        <f>IF(AND(AC384="Active",OR(N384="Tier 1",N384="Tier 2"),OR(S384="DUE",S384="Next 3 Days")),"YES","")</f>
        <v/>
      </c>
      <c r="AC384" s="425">
        <f>IF(L384="Passed","Archived","Active")</f>
        <v/>
      </c>
    </row>
    <row r="385">
      <c r="A385" s="425" t="inlineStr">
        <is>
          <t>EXOS-0384</t>
        </is>
      </c>
      <c r="B385" s="425" t="inlineStr">
        <is>
          <t>John - Investor Contacts</t>
        </is>
      </c>
      <c r="C385" s="425" t="inlineStr">
        <is>
          <t>Financial Investor</t>
        </is>
      </c>
      <c r="D385" s="425" t="inlineStr">
        <is>
          <t>Founders Fund</t>
        </is>
      </c>
      <c r="E385" s="425" t="inlineStr">
        <is>
          <t>John Luttig</t>
        </is>
      </c>
      <c r="F385" s="425" t="inlineStr"/>
      <c r="G385" s="111" t="inlineStr">
        <is>
          <t>john@foundersfund.com</t>
        </is>
      </c>
      <c r="H385" s="425" t="inlineStr"/>
      <c r="I385" s="425" t="inlineStr"/>
      <c r="J385" s="111" t="inlineStr">
        <is>
          <t>https://www.linkedin.com/in/luttig</t>
        </is>
      </c>
      <c r="K385" s="426" t="inlineStr">
        <is>
          <t>John Quinn</t>
        </is>
      </c>
      <c r="L385" s="426" t="inlineStr">
        <is>
          <t>Follow Up</t>
        </is>
      </c>
      <c r="M385" s="425" t="inlineStr">
        <is>
          <t>Space / Defense / Aerospace / Advanced Manufacturing</t>
        </is>
      </c>
      <c r="N385" s="426" t="inlineStr">
        <is>
          <t>Tier 2</t>
        </is>
      </c>
      <c r="O385" s="441" t="n">
        <v>45908</v>
      </c>
      <c r="P385" s="441" t="n">
        <v>45972</v>
      </c>
      <c r="Q385" s="425">
        <f>IF(P385="","",TODAY()-P385)</f>
        <v/>
      </c>
      <c r="R385" s="441">
        <f>IF(OR(L385="Passed",Z385=""),"",P385+Z385)</f>
        <v/>
      </c>
      <c r="S385" s="425">
        <f>IF(OR(R385="",L385="Passed"),"",IF(R385&lt;=TODAY(),"DUE",IF(R385&lt;=TODAY()+3,"Next 3 Days","Later")))</f>
        <v/>
      </c>
      <c r="T385" s="425" t="inlineStr"/>
      <c r="U385" s="426" t="inlineStr">
        <is>
          <t>https://www.linkedin.com/in/luttig</t>
        </is>
      </c>
      <c r="V385" s="426" t="inlineStr"/>
      <c r="W385" s="428" t="inlineStr">
        <is>
          <t xml:space="preserve"> | 12/05/2025 | </t>
        </is>
      </c>
      <c r="X385" s="425" t="inlineStr">
        <is>
          <t>John - Investor Contacts!627</t>
        </is>
      </c>
      <c r="Y385" s="426" t="inlineStr">
        <is>
          <t>Send next follow-up with traction + CTA</t>
        </is>
      </c>
      <c r="Z385" s="425" t="n">
        <v>7</v>
      </c>
      <c r="AA385" s="425">
        <f>IF(AC385="Archived",0,ROUND((IF(N385="Tier 1",35,IF(N385="Tier 2",20,8))+IF(C385="Financial Investor",15,IF(C385="Intermediary / Banker",12,8))+IF(L385="Term Sheet / Proposal",25,IF(L385="Engaged",20,IF(L385="Meeting Requested",18,IF(L385="Meeting Held",14,IF(L385="Follow Up",10,5)))))+MIN(Q385,30)+IF(S385="DUE",15,IF(S385="Next 3 Days",8,0))),0))</f>
        <v/>
      </c>
      <c r="AB385" s="425">
        <f>IF(AND(AC385="Active",OR(N385="Tier 1",N385="Tier 2"),OR(S385="DUE",S385="Next 3 Days")),"YES","")</f>
        <v/>
      </c>
      <c r="AC385" s="425">
        <f>IF(L385="Passed","Archived","Active")</f>
        <v/>
      </c>
    </row>
    <row r="386">
      <c r="A386" s="425" t="inlineStr">
        <is>
          <t>EXOS-0385</t>
        </is>
      </c>
      <c r="B386" s="425" t="inlineStr">
        <is>
          <t>John - Investor Contacts</t>
        </is>
      </c>
      <c r="C386" s="425" t="inlineStr">
        <is>
          <t>Financial Investor</t>
        </is>
      </c>
      <c r="D386" s="425" t="inlineStr">
        <is>
          <t>Founders Fund</t>
        </is>
      </c>
      <c r="E386" s="425" t="inlineStr">
        <is>
          <t>Scott Nolan</t>
        </is>
      </c>
      <c r="F386" s="425" t="inlineStr"/>
      <c r="G386" s="111" t="inlineStr">
        <is>
          <t>scott@foundersfund.com</t>
        </is>
      </c>
      <c r="H386" s="425" t="inlineStr"/>
      <c r="I386" s="425" t="inlineStr"/>
      <c r="J386" s="111" t="inlineStr">
        <is>
          <t>https://www.linkedin.com/in/scottpnolan/</t>
        </is>
      </c>
      <c r="K386" s="426" t="inlineStr">
        <is>
          <t>John Quinn</t>
        </is>
      </c>
      <c r="L386" s="426" t="inlineStr">
        <is>
          <t>Follow Up</t>
        </is>
      </c>
      <c r="M386" s="425" t="inlineStr">
        <is>
          <t>Space / Defense / Aerospace / Advanced Manufacturing</t>
        </is>
      </c>
      <c r="N386" s="426" t="inlineStr">
        <is>
          <t>Tier 2</t>
        </is>
      </c>
      <c r="O386" s="441" t="n">
        <v>45793</v>
      </c>
      <c r="P386" s="441" t="n">
        <v>45841</v>
      </c>
      <c r="Q386" s="425">
        <f>IF(P386="","",TODAY()-P386)</f>
        <v/>
      </c>
      <c r="R386" s="441">
        <f>IF(OR(L386="Passed",Z386=""),"",P386+Z386)</f>
        <v/>
      </c>
      <c r="S386" s="425">
        <f>IF(OR(R386="",L386="Passed"),"",IF(R386&lt;=TODAY(),"DUE",IF(R386&lt;=TODAY()+3,"Next 3 Days","Later")))</f>
        <v/>
      </c>
      <c r="T386" s="425" t="inlineStr"/>
      <c r="U386" s="426" t="inlineStr">
        <is>
          <t>https://www.linkedin.com/in/scottpnolan/</t>
        </is>
      </c>
      <c r="V386" s="426" t="inlineStr"/>
      <c r="W386" s="428" t="inlineStr">
        <is>
          <t xml:space="preserve"> |  | </t>
        </is>
      </c>
      <c r="X386" s="425" t="inlineStr">
        <is>
          <t>John - Investor Contacts!68</t>
        </is>
      </c>
      <c r="Y386" s="426" t="inlineStr">
        <is>
          <t>Send next follow-up with traction + CTA</t>
        </is>
      </c>
      <c r="Z386" s="425" t="n">
        <v>7</v>
      </c>
      <c r="AA386" s="425">
        <f>IF(AC386="Archived",0,ROUND((IF(N386="Tier 1",35,IF(N386="Tier 2",20,8))+IF(C386="Financial Investor",15,IF(C386="Intermediary / Banker",12,8))+IF(L386="Term Sheet / Proposal",25,IF(L386="Engaged",20,IF(L386="Meeting Requested",18,IF(L386="Meeting Held",14,IF(L386="Follow Up",10,5)))))+MIN(Q386,30)+IF(S386="DUE",15,IF(S386="Next 3 Days",8,0))),0))</f>
        <v/>
      </c>
      <c r="AB386" s="425">
        <f>IF(AND(AC386="Active",OR(N386="Tier 1",N386="Tier 2"),OR(S386="DUE",S386="Next 3 Days")),"YES","")</f>
        <v/>
      </c>
      <c r="AC386" s="425">
        <f>IF(L386="Passed","Archived","Active")</f>
        <v/>
      </c>
    </row>
    <row r="387">
      <c r="A387" s="425" t="inlineStr">
        <is>
          <t>EXOS-0386</t>
        </is>
      </c>
      <c r="B387" s="425" t="inlineStr">
        <is>
          <t>John - Investor Contacts</t>
        </is>
      </c>
      <c r="C387" s="425" t="inlineStr">
        <is>
          <t>Financial Investor</t>
        </is>
      </c>
      <c r="D387" s="425" t="inlineStr">
        <is>
          <t>Founders Fund</t>
        </is>
      </c>
      <c r="E387" s="425" t="inlineStr">
        <is>
          <t>Trae Stephens</t>
        </is>
      </c>
      <c r="F387" s="425" t="inlineStr"/>
      <c r="G387" s="111" t="inlineStr">
        <is>
          <t>trae@foundersfund.com</t>
        </is>
      </c>
      <c r="H387" s="425" t="inlineStr"/>
      <c r="I387" s="425" t="inlineStr"/>
      <c r="J387" s="111" t="inlineStr">
        <is>
          <t>https://www.linkedin.com/in/trae-stephens-485a811/</t>
        </is>
      </c>
      <c r="K387" s="426" t="inlineStr">
        <is>
          <t>John Quinn</t>
        </is>
      </c>
      <c r="L387" s="426" t="inlineStr">
        <is>
          <t>Follow Up</t>
        </is>
      </c>
      <c r="M387" s="425" t="inlineStr">
        <is>
          <t>Space / Defense / Aerospace / Advanced Manufacturing</t>
        </is>
      </c>
      <c r="N387" s="426" t="inlineStr">
        <is>
          <t>Tier 2</t>
        </is>
      </c>
      <c r="O387" s="441" t="n">
        <v>45793</v>
      </c>
      <c r="P387" s="441" t="n">
        <v>45841</v>
      </c>
      <c r="Q387" s="425">
        <f>IF(P387="","",TODAY()-P387)</f>
        <v/>
      </c>
      <c r="R387" s="441">
        <f>IF(OR(L387="Passed",Z387=""),"",P387+Z387)</f>
        <v/>
      </c>
      <c r="S387" s="425">
        <f>IF(OR(R387="",L387="Passed"),"",IF(R387&lt;=TODAY(),"DUE",IF(R387&lt;=TODAY()+3,"Next 3 Days","Later")))</f>
        <v/>
      </c>
      <c r="T387" s="425" t="inlineStr"/>
      <c r="U387" s="426" t="inlineStr">
        <is>
          <t>https://www.linkedin.com/in/trae-stephens-485a811/</t>
        </is>
      </c>
      <c r="V387" s="426" t="inlineStr"/>
      <c r="W387" s="428" t="inlineStr">
        <is>
          <t xml:space="preserve"> |  | </t>
        </is>
      </c>
      <c r="X387" s="425" t="inlineStr">
        <is>
          <t>John - Investor Contacts!66</t>
        </is>
      </c>
      <c r="Y387" s="426" t="inlineStr">
        <is>
          <t>Send next follow-up with traction + CTA</t>
        </is>
      </c>
      <c r="Z387" s="425" t="n">
        <v>7</v>
      </c>
      <c r="AA387" s="425">
        <f>IF(AC387="Archived",0,ROUND((IF(N387="Tier 1",35,IF(N387="Tier 2",20,8))+IF(C387="Financial Investor",15,IF(C387="Intermediary / Banker",12,8))+IF(L387="Term Sheet / Proposal",25,IF(L387="Engaged",20,IF(L387="Meeting Requested",18,IF(L387="Meeting Held",14,IF(L387="Follow Up",10,5)))))+MIN(Q387,30)+IF(S387="DUE",15,IF(S387="Next 3 Days",8,0))),0))</f>
        <v/>
      </c>
      <c r="AB387" s="425">
        <f>IF(AND(AC387="Active",OR(N387="Tier 1",N387="Tier 2"),OR(S387="DUE",S387="Next 3 Days")),"YES","")</f>
        <v/>
      </c>
      <c r="AC387" s="425">
        <f>IF(L387="Passed","Archived","Active")</f>
        <v/>
      </c>
    </row>
    <row r="388">
      <c r="A388" s="425" t="inlineStr">
        <is>
          <t>EXOS-0387</t>
        </is>
      </c>
      <c r="B388" s="425" t="inlineStr">
        <is>
          <t>John - Investor Contacts</t>
        </is>
      </c>
      <c r="C388" s="425" t="inlineStr">
        <is>
          <t>Financial Investor</t>
        </is>
      </c>
      <c r="D388" s="425" t="inlineStr">
        <is>
          <t>Freya Capital</t>
        </is>
      </c>
      <c r="E388" s="425" t="inlineStr">
        <is>
          <t>Jan Grochowicz</t>
        </is>
      </c>
      <c r="F388" s="425" t="inlineStr"/>
      <c r="G388" s="111" t="inlineStr">
        <is>
          <t>jan@freyacap.com</t>
        </is>
      </c>
      <c r="H388" s="425" t="inlineStr"/>
      <c r="I388" s="425" t="inlineStr"/>
      <c r="J388" s="111" t="inlineStr">
        <is>
          <t>https://www.linkedin.com/in/jangrochowicz/</t>
        </is>
      </c>
      <c r="K388" s="426" t="inlineStr">
        <is>
          <t>John Quinn</t>
        </is>
      </c>
      <c r="L388" s="426" t="inlineStr">
        <is>
          <t>Follow Up</t>
        </is>
      </c>
      <c r="M388" s="425" t="inlineStr">
        <is>
          <t>Space / Defense / Aerospace / Advanced Manufacturing</t>
        </is>
      </c>
      <c r="N388" s="426" t="inlineStr">
        <is>
          <t>Tier 2</t>
        </is>
      </c>
      <c r="O388" s="441" t="n">
        <v>45821</v>
      </c>
      <c r="P388" s="441" t="n">
        <v>45835</v>
      </c>
      <c r="Q388" s="425">
        <f>IF(P388="","",TODAY()-P388)</f>
        <v/>
      </c>
      <c r="R388" s="441">
        <f>IF(OR(L388="Passed",Z388=""),"",P388+Z388)</f>
        <v/>
      </c>
      <c r="S388" s="425">
        <f>IF(OR(R388="",L388="Passed"),"",IF(R388&lt;=TODAY(),"DUE",IF(R388&lt;=TODAY()+3,"Next 3 Days","Later")))</f>
        <v/>
      </c>
      <c r="T388" s="425" t="inlineStr"/>
      <c r="U388" s="426" t="inlineStr">
        <is>
          <t>https://www.linkedin.com/in/jangrochowicz/</t>
        </is>
      </c>
      <c r="V388" s="426" t="inlineStr"/>
      <c r="W388" s="428" t="inlineStr">
        <is>
          <t xml:space="preserve"> | 12/23/2025 | </t>
        </is>
      </c>
      <c r="X388" s="425" t="inlineStr">
        <is>
          <t>John - Investor Contacts!187</t>
        </is>
      </c>
      <c r="Y388" s="426" t="inlineStr">
        <is>
          <t>Send next follow-up with traction + CTA</t>
        </is>
      </c>
      <c r="Z388" s="425" t="n">
        <v>7</v>
      </c>
      <c r="AA388" s="425">
        <f>IF(AC388="Archived",0,ROUND((IF(N388="Tier 1",35,IF(N388="Tier 2",20,8))+IF(C388="Financial Investor",15,IF(C388="Intermediary / Banker",12,8))+IF(L388="Term Sheet / Proposal",25,IF(L388="Engaged",20,IF(L388="Meeting Requested",18,IF(L388="Meeting Held",14,IF(L388="Follow Up",10,5)))))+MIN(Q388,30)+IF(S388="DUE",15,IF(S388="Next 3 Days",8,0))),0))</f>
        <v/>
      </c>
      <c r="AB388" s="425">
        <f>IF(AND(AC388="Active",OR(N388="Tier 1",N388="Tier 2"),OR(S388="DUE",S388="Next 3 Days")),"YES","")</f>
        <v/>
      </c>
      <c r="AC388" s="425">
        <f>IF(L388="Passed","Archived","Active")</f>
        <v/>
      </c>
    </row>
    <row r="389">
      <c r="A389" s="425" t="inlineStr">
        <is>
          <t>EXOS-0388</t>
        </is>
      </c>
      <c r="B389" s="425" t="inlineStr">
        <is>
          <t>John - Investor Contacts</t>
        </is>
      </c>
      <c r="C389" s="425" t="inlineStr">
        <is>
          <t>Financial Investor</t>
        </is>
      </c>
      <c r="D389" s="425" t="inlineStr">
        <is>
          <t>Freya Capital</t>
        </is>
      </c>
      <c r="E389" s="425" t="inlineStr">
        <is>
          <t>Michał Lewandowski</t>
        </is>
      </c>
      <c r="F389" s="425" t="inlineStr"/>
      <c r="G389" s="111" t="inlineStr">
        <is>
          <t>michal@freyacap.com</t>
        </is>
      </c>
      <c r="H389" s="425" t="inlineStr"/>
      <c r="I389" s="425" t="inlineStr"/>
      <c r="J389" s="111" t="inlineStr">
        <is>
          <t>https://www.linkedin.com/in/ACoAABRT4boBSN5xN6sPXZ17nQhUceC-WvLHPXQ/</t>
        </is>
      </c>
      <c r="K389" s="426" t="inlineStr">
        <is>
          <t>John Quinn</t>
        </is>
      </c>
      <c r="L389" s="426" t="inlineStr">
        <is>
          <t>Follow Up</t>
        </is>
      </c>
      <c r="M389" s="425" t="inlineStr">
        <is>
          <t>Space / Defense / Aerospace / Advanced Manufacturing</t>
        </is>
      </c>
      <c r="N389" s="426" t="inlineStr">
        <is>
          <t>Tier 2</t>
        </is>
      </c>
      <c r="O389" s="441" t="n">
        <v>45821</v>
      </c>
      <c r="P389" s="441" t="n">
        <v>45835</v>
      </c>
      <c r="Q389" s="425">
        <f>IF(P389="","",TODAY()-P389)</f>
        <v/>
      </c>
      <c r="R389" s="441">
        <f>IF(OR(L389="Passed",Z389=""),"",P389+Z389)</f>
        <v/>
      </c>
      <c r="S389" s="425">
        <f>IF(OR(R389="",L389="Passed"),"",IF(R389&lt;=TODAY(),"DUE",IF(R389&lt;=TODAY()+3,"Next 3 Days","Later")))</f>
        <v/>
      </c>
      <c r="T389" s="425" t="inlineStr"/>
      <c r="U389" s="426" t="inlineStr">
        <is>
          <t>https://www.linkedin.com/in/ACoAABRT4boBSN5xN6sPXZ17nQhUceC-WvLHPXQ/</t>
        </is>
      </c>
      <c r="V389" s="426" t="inlineStr"/>
      <c r="W389" s="428" t="inlineStr">
        <is>
          <t xml:space="preserve"> | 12/23/2025 | </t>
        </is>
      </c>
      <c r="X389" s="425" t="inlineStr">
        <is>
          <t>John - Investor Contacts!188</t>
        </is>
      </c>
      <c r="Y389" s="426" t="inlineStr">
        <is>
          <t>Send next follow-up with traction + CTA</t>
        </is>
      </c>
      <c r="Z389" s="425" t="n">
        <v>7</v>
      </c>
      <c r="AA389" s="425">
        <f>IF(AC389="Archived",0,ROUND((IF(N389="Tier 1",35,IF(N389="Tier 2",20,8))+IF(C389="Financial Investor",15,IF(C389="Intermediary / Banker",12,8))+IF(L389="Term Sheet / Proposal",25,IF(L389="Engaged",20,IF(L389="Meeting Requested",18,IF(L389="Meeting Held",14,IF(L389="Follow Up",10,5)))))+MIN(Q389,30)+IF(S389="DUE",15,IF(S389="Next 3 Days",8,0))),0))</f>
        <v/>
      </c>
      <c r="AB389" s="425">
        <f>IF(AND(AC389="Active",OR(N389="Tier 1",N389="Tier 2"),OR(S389="DUE",S389="Next 3 Days")),"YES","")</f>
        <v/>
      </c>
      <c r="AC389" s="425">
        <f>IF(L389="Passed","Archived","Active")</f>
        <v/>
      </c>
    </row>
    <row r="390">
      <c r="A390" s="425" t="inlineStr">
        <is>
          <t>EXOS-0389</t>
        </is>
      </c>
      <c r="B390" s="425" t="inlineStr">
        <is>
          <t>John - Investor Contacts</t>
        </is>
      </c>
      <c r="C390" s="425" t="inlineStr">
        <is>
          <t>Financial Investor</t>
        </is>
      </c>
      <c r="D390" s="425" t="inlineStr">
        <is>
          <t>Freya Capital</t>
        </is>
      </c>
      <c r="E390" s="425" t="inlineStr">
        <is>
          <t>Zbigniew Barwicz</t>
        </is>
      </c>
      <c r="F390" s="425" t="inlineStr"/>
      <c r="G390" s="111" t="inlineStr">
        <is>
          <t>zbigniew@freyacap.com</t>
        </is>
      </c>
      <c r="H390" s="425" t="inlineStr"/>
      <c r="I390" s="425" t="inlineStr"/>
      <c r="J390" s="111" t="inlineStr">
        <is>
          <t>https://www.linkedin.com/in/zbigniew-barwicz-b47aa01/</t>
        </is>
      </c>
      <c r="K390" s="426" t="inlineStr">
        <is>
          <t>John Quinn</t>
        </is>
      </c>
      <c r="L390" s="426" t="inlineStr">
        <is>
          <t>Follow Up</t>
        </is>
      </c>
      <c r="M390" s="425" t="inlineStr">
        <is>
          <t>Space / Defense / Aerospace / Advanced Manufacturing</t>
        </is>
      </c>
      <c r="N390" s="426" t="inlineStr">
        <is>
          <t>Tier 2</t>
        </is>
      </c>
      <c r="O390" s="441" t="n">
        <v>45821</v>
      </c>
      <c r="P390" s="441" t="n">
        <v>45835</v>
      </c>
      <c r="Q390" s="425">
        <f>IF(P390="","",TODAY()-P390)</f>
        <v/>
      </c>
      <c r="R390" s="441">
        <f>IF(OR(L390="Passed",Z390=""),"",P390+Z390)</f>
        <v/>
      </c>
      <c r="S390" s="425">
        <f>IF(OR(R390="",L390="Passed"),"",IF(R390&lt;=TODAY(),"DUE",IF(R390&lt;=TODAY()+3,"Next 3 Days","Later")))</f>
        <v/>
      </c>
      <c r="T390" s="425" t="inlineStr"/>
      <c r="U390" s="426" t="inlineStr">
        <is>
          <t>https://www.linkedin.com/in/zbigniew-barwicz-b47aa01/</t>
        </is>
      </c>
      <c r="V390" s="426" t="inlineStr"/>
      <c r="W390" s="428" t="inlineStr">
        <is>
          <t xml:space="preserve"> | 12/23/2025 | </t>
        </is>
      </c>
      <c r="X390" s="425" t="inlineStr">
        <is>
          <t>John - Investor Contacts!186</t>
        </is>
      </c>
      <c r="Y390" s="426" t="inlineStr">
        <is>
          <t>Send next follow-up with traction + CTA</t>
        </is>
      </c>
      <c r="Z390" s="425" t="n">
        <v>7</v>
      </c>
      <c r="AA390" s="425">
        <f>IF(AC390="Archived",0,ROUND((IF(N390="Tier 1",35,IF(N390="Tier 2",20,8))+IF(C390="Financial Investor",15,IF(C390="Intermediary / Banker",12,8))+IF(L390="Term Sheet / Proposal",25,IF(L390="Engaged",20,IF(L390="Meeting Requested",18,IF(L390="Meeting Held",14,IF(L390="Follow Up",10,5)))))+MIN(Q390,30)+IF(S390="DUE",15,IF(S390="Next 3 Days",8,0))),0))</f>
        <v/>
      </c>
      <c r="AB390" s="425">
        <f>IF(AND(AC390="Active",OR(N390="Tier 1",N390="Tier 2"),OR(S390="DUE",S390="Next 3 Days")),"YES","")</f>
        <v/>
      </c>
      <c r="AC390" s="425">
        <f>IF(L390="Passed","Archived","Active")</f>
        <v/>
      </c>
    </row>
    <row r="391">
      <c r="A391" s="425" t="inlineStr">
        <is>
          <t>EXOS-0390</t>
        </is>
      </c>
      <c r="B391" s="425" t="inlineStr">
        <is>
          <t>John - Investor Contacts</t>
        </is>
      </c>
      <c r="C391" s="425" t="inlineStr">
        <is>
          <t>Financial Investor</t>
        </is>
      </c>
      <c r="D391" s="425" t="inlineStr">
        <is>
          <t>Frontier Ventures</t>
        </is>
      </c>
      <c r="E391" s="425" t="inlineStr">
        <is>
          <t>Dmitry Alimov</t>
        </is>
      </c>
      <c r="F391" s="425" t="inlineStr"/>
      <c r="G391" s="111" t="inlineStr">
        <is>
          <t>dmitry@frontier.ventures</t>
        </is>
      </c>
      <c r="H391" s="425" t="inlineStr"/>
      <c r="I391" s="425" t="inlineStr"/>
      <c r="J391" s="111" t="inlineStr">
        <is>
          <t>https://www.linkedin.com/in/dalimov/</t>
        </is>
      </c>
      <c r="K391" s="426" t="inlineStr">
        <is>
          <t>John Quinn</t>
        </is>
      </c>
      <c r="L391" s="426" t="inlineStr">
        <is>
          <t>Follow Up</t>
        </is>
      </c>
      <c r="M391" s="425" t="inlineStr">
        <is>
          <t>Space / Defense / Aerospace / Advanced Manufacturing</t>
        </is>
      </c>
      <c r="N391" s="426" t="inlineStr">
        <is>
          <t>Tier 2</t>
        </is>
      </c>
      <c r="O391" s="441" t="n">
        <v>45840</v>
      </c>
      <c r="P391" s="441" t="n">
        <v>45861</v>
      </c>
      <c r="Q391" s="425">
        <f>IF(P391="","",TODAY()-P391)</f>
        <v/>
      </c>
      <c r="R391" s="441">
        <f>IF(OR(L391="Passed",Z391=""),"",P391+Z391)</f>
        <v/>
      </c>
      <c r="S391" s="425">
        <f>IF(OR(R391="",L391="Passed"),"",IF(R391&lt;=TODAY(),"DUE",IF(R391&lt;=TODAY()+3,"Next 3 Days","Later")))</f>
        <v/>
      </c>
      <c r="T391" s="425" t="inlineStr"/>
      <c r="U391" s="426" t="inlineStr">
        <is>
          <t>https://www.linkedin.com/in/dalimov/</t>
        </is>
      </c>
      <c r="V391" s="426" t="inlineStr"/>
      <c r="W391" s="428" t="inlineStr">
        <is>
          <t xml:space="preserve"> | 12/26/2025 | online application: https://frontier.ventures/contacts/</t>
        </is>
      </c>
      <c r="X391" s="425" t="inlineStr">
        <is>
          <t>John - Investor Contacts!327</t>
        </is>
      </c>
      <c r="Y391" s="426" t="inlineStr">
        <is>
          <t>Send next follow-up with traction + CTA</t>
        </is>
      </c>
      <c r="Z391" s="425" t="n">
        <v>7</v>
      </c>
      <c r="AA391" s="425">
        <f>IF(AC391="Archived",0,ROUND((IF(N391="Tier 1",35,IF(N391="Tier 2",20,8))+IF(C391="Financial Investor",15,IF(C391="Intermediary / Banker",12,8))+IF(L391="Term Sheet / Proposal",25,IF(L391="Engaged",20,IF(L391="Meeting Requested",18,IF(L391="Meeting Held",14,IF(L391="Follow Up",10,5)))))+MIN(Q391,30)+IF(S391="DUE",15,IF(S391="Next 3 Days",8,0))),0))</f>
        <v/>
      </c>
      <c r="AB391" s="425">
        <f>IF(AND(AC391="Active",OR(N391="Tier 1",N391="Tier 2"),OR(S391="DUE",S391="Next 3 Days")),"YES","")</f>
        <v/>
      </c>
      <c r="AC391" s="425">
        <f>IF(L391="Passed","Archived","Active")</f>
        <v/>
      </c>
    </row>
    <row r="392">
      <c r="A392" s="425" t="inlineStr">
        <is>
          <t>EXOS-0391</t>
        </is>
      </c>
      <c r="B392" s="425" t="inlineStr">
        <is>
          <t>John - Investor Contacts</t>
        </is>
      </c>
      <c r="C392" s="425" t="inlineStr">
        <is>
          <t>Financial Investor</t>
        </is>
      </c>
      <c r="D392" s="425" t="inlineStr">
        <is>
          <t>Frontier Ventures</t>
        </is>
      </c>
      <c r="E392" s="425" t="inlineStr">
        <is>
          <t>Fabian Flatz</t>
        </is>
      </c>
      <c r="F392" s="425" t="inlineStr"/>
      <c r="G392" s="111" t="inlineStr">
        <is>
          <t>fabian@frontier.ventures</t>
        </is>
      </c>
      <c r="H392" s="425" t="inlineStr"/>
      <c r="I392" s="425" t="inlineStr"/>
      <c r="J392" s="111" t="inlineStr">
        <is>
          <t>https://www.linkedin.com/in/fabian-flatz/</t>
        </is>
      </c>
      <c r="K392" s="426" t="inlineStr">
        <is>
          <t>John Quinn</t>
        </is>
      </c>
      <c r="L392" s="426" t="inlineStr">
        <is>
          <t>Follow Up</t>
        </is>
      </c>
      <c r="M392" s="425" t="inlineStr">
        <is>
          <t>Space / Defense / Aerospace / Advanced Manufacturing</t>
        </is>
      </c>
      <c r="N392" s="426" t="inlineStr">
        <is>
          <t>Tier 2</t>
        </is>
      </c>
      <c r="O392" s="441" t="n">
        <v>45840</v>
      </c>
      <c r="P392" s="441" t="n">
        <v>45861</v>
      </c>
      <c r="Q392" s="425">
        <f>IF(P392="","",TODAY()-P392)</f>
        <v/>
      </c>
      <c r="R392" s="441">
        <f>IF(OR(L392="Passed",Z392=""),"",P392+Z392)</f>
        <v/>
      </c>
      <c r="S392" s="425">
        <f>IF(OR(R392="",L392="Passed"),"",IF(R392&lt;=TODAY(),"DUE",IF(R392&lt;=TODAY()+3,"Next 3 Days","Later")))</f>
        <v/>
      </c>
      <c r="T392" s="425" t="inlineStr"/>
      <c r="U392" s="426" t="inlineStr">
        <is>
          <t>https://www.linkedin.com/in/fabian-flatz/</t>
        </is>
      </c>
      <c r="V392" s="426" t="inlineStr"/>
      <c r="W392" s="428" t="inlineStr">
        <is>
          <t xml:space="preserve"> | 12/26/2025 | </t>
        </is>
      </c>
      <c r="X392" s="425" t="inlineStr">
        <is>
          <t>John - Investor Contacts!329</t>
        </is>
      </c>
      <c r="Y392" s="426" t="inlineStr">
        <is>
          <t>Send next follow-up with traction + CTA</t>
        </is>
      </c>
      <c r="Z392" s="425" t="n">
        <v>7</v>
      </c>
      <c r="AA392" s="425">
        <f>IF(AC392="Archived",0,ROUND((IF(N392="Tier 1",35,IF(N392="Tier 2",20,8))+IF(C392="Financial Investor",15,IF(C392="Intermediary / Banker",12,8))+IF(L392="Term Sheet / Proposal",25,IF(L392="Engaged",20,IF(L392="Meeting Requested",18,IF(L392="Meeting Held",14,IF(L392="Follow Up",10,5)))))+MIN(Q392,30)+IF(S392="DUE",15,IF(S392="Next 3 Days",8,0))),0))</f>
        <v/>
      </c>
      <c r="AB392" s="425">
        <f>IF(AND(AC392="Active",OR(N392="Tier 1",N392="Tier 2"),OR(S392="DUE",S392="Next 3 Days")),"YES","")</f>
        <v/>
      </c>
      <c r="AC392" s="425">
        <f>IF(L392="Passed","Archived","Active")</f>
        <v/>
      </c>
    </row>
    <row r="393">
      <c r="A393" s="425" t="inlineStr">
        <is>
          <t>EXOS-0392</t>
        </is>
      </c>
      <c r="B393" s="425" t="inlineStr">
        <is>
          <t>John - Investor Contacts</t>
        </is>
      </c>
      <c r="C393" s="425" t="inlineStr">
        <is>
          <t>Financial Investor</t>
        </is>
      </c>
      <c r="D393" s="425" t="inlineStr">
        <is>
          <t>Frontier Ventures</t>
        </is>
      </c>
      <c r="E393" s="425" t="inlineStr">
        <is>
          <t>Najam Kidwai</t>
        </is>
      </c>
      <c r="F393" s="425" t="inlineStr"/>
      <c r="G393" s="111" t="inlineStr">
        <is>
          <t>ir@frontier.ventures</t>
        </is>
      </c>
      <c r="H393" s="425" t="inlineStr"/>
      <c r="I393" s="425" t="inlineStr"/>
      <c r="J393" s="111" t="inlineStr">
        <is>
          <t>https://www.linkedin.com/in/najamkidwai/</t>
        </is>
      </c>
      <c r="K393" s="426" t="inlineStr">
        <is>
          <t>John Quinn</t>
        </is>
      </c>
      <c r="L393" s="426" t="inlineStr">
        <is>
          <t>Follow Up</t>
        </is>
      </c>
      <c r="M393" s="425" t="inlineStr">
        <is>
          <t>Space / Defense / Aerospace / Advanced Manufacturing</t>
        </is>
      </c>
      <c r="N393" s="426" t="inlineStr">
        <is>
          <t>Tier 2</t>
        </is>
      </c>
      <c r="O393" s="441" t="n">
        <v>45840</v>
      </c>
      <c r="P393" s="441" t="n">
        <v>45861</v>
      </c>
      <c r="Q393" s="425">
        <f>IF(P393="","",TODAY()-P393)</f>
        <v/>
      </c>
      <c r="R393" s="441">
        <f>IF(OR(L393="Passed",Z393=""),"",P393+Z393)</f>
        <v/>
      </c>
      <c r="S393" s="425">
        <f>IF(OR(R393="",L393="Passed"),"",IF(R393&lt;=TODAY(),"DUE",IF(R393&lt;=TODAY()+3,"Next 3 Days","Later")))</f>
        <v/>
      </c>
      <c r="T393" s="425" t="inlineStr"/>
      <c r="U393" s="426" t="inlineStr">
        <is>
          <t>https://www.linkedin.com/in/najamkidwai/</t>
        </is>
      </c>
      <c r="V393" s="426" t="inlineStr"/>
      <c r="W393" s="428" t="inlineStr">
        <is>
          <t xml:space="preserve"> | 12/26/2025 | </t>
        </is>
      </c>
      <c r="X393" s="425" t="inlineStr">
        <is>
          <t>John - Investor Contacts!328</t>
        </is>
      </c>
      <c r="Y393" s="426" t="inlineStr">
        <is>
          <t>Send next follow-up with traction + CTA</t>
        </is>
      </c>
      <c r="Z393" s="425" t="n">
        <v>7</v>
      </c>
      <c r="AA393" s="425">
        <f>IF(AC393="Archived",0,ROUND((IF(N393="Tier 1",35,IF(N393="Tier 2",20,8))+IF(C393="Financial Investor",15,IF(C393="Intermediary / Banker",12,8))+IF(L393="Term Sheet / Proposal",25,IF(L393="Engaged",20,IF(L393="Meeting Requested",18,IF(L393="Meeting Held",14,IF(L393="Follow Up",10,5)))))+MIN(Q393,30)+IF(S393="DUE",15,IF(S393="Next 3 Days",8,0))),0))</f>
        <v/>
      </c>
      <c r="AB393" s="425">
        <f>IF(AND(AC393="Active",OR(N393="Tier 1",N393="Tier 2"),OR(S393="DUE",S393="Next 3 Days")),"YES","")</f>
        <v/>
      </c>
      <c r="AC393" s="425">
        <f>IF(L393="Passed","Archived","Active")</f>
        <v/>
      </c>
    </row>
    <row r="394">
      <c r="A394" s="425" t="inlineStr">
        <is>
          <t>EXOS-0393</t>
        </is>
      </c>
      <c r="B394" s="425" t="inlineStr">
        <is>
          <t>John - Investor Contacts</t>
        </is>
      </c>
      <c r="C394" s="425" t="inlineStr">
        <is>
          <t>Financial Investor</t>
        </is>
      </c>
      <c r="D394" s="425" t="inlineStr">
        <is>
          <t>General Catalyst</t>
        </is>
      </c>
      <c r="E394" s="425" t="inlineStr">
        <is>
          <t>David Fialkow</t>
        </is>
      </c>
      <c r="F394" s="425" t="inlineStr"/>
      <c r="G394" s="111" t="inlineStr">
        <is>
          <t>dfialkow@generalcatalyst.com</t>
        </is>
      </c>
      <c r="H394" s="425" t="inlineStr"/>
      <c r="I394" s="425" t="inlineStr"/>
      <c r="J394" s="111" t="inlineStr">
        <is>
          <t>https://www.linkedin.com/in/david-fialkow-20085852/</t>
        </is>
      </c>
      <c r="K394" s="426" t="inlineStr">
        <is>
          <t>John Quinn</t>
        </is>
      </c>
      <c r="L394" s="426" t="inlineStr">
        <is>
          <t>Follow Up</t>
        </is>
      </c>
      <c r="M394" s="425" t="inlineStr">
        <is>
          <t>Space / Defense / Aerospace / Advanced Manufacturing</t>
        </is>
      </c>
      <c r="N394" s="426" t="inlineStr">
        <is>
          <t>Tier 2</t>
        </is>
      </c>
      <c r="O394" s="441" t="n">
        <v>45792</v>
      </c>
      <c r="P394" s="441" t="n">
        <v>45841</v>
      </c>
      <c r="Q394" s="425">
        <f>IF(P394="","",TODAY()-P394)</f>
        <v/>
      </c>
      <c r="R394" s="441">
        <f>IF(OR(L394="Passed",Z394=""),"",P394+Z394)</f>
        <v/>
      </c>
      <c r="S394" s="425">
        <f>IF(OR(R394="",L394="Passed"),"",IF(R394&lt;=TODAY(),"DUE",IF(R394&lt;=TODAY()+3,"Next 3 Days","Later")))</f>
        <v/>
      </c>
      <c r="T394" s="425" t="inlineStr"/>
      <c r="U394" s="426" t="inlineStr">
        <is>
          <t>https://www.linkedin.com/in/david-fialkow-20085852/</t>
        </is>
      </c>
      <c r="V394" s="426" t="inlineStr"/>
      <c r="W394" s="428" t="inlineStr">
        <is>
          <t xml:space="preserve"> |  | </t>
        </is>
      </c>
      <c r="X394" s="425" t="inlineStr">
        <is>
          <t>John - Investor Contacts!52</t>
        </is>
      </c>
      <c r="Y394" s="426" t="inlineStr">
        <is>
          <t>Send next follow-up with traction + CTA</t>
        </is>
      </c>
      <c r="Z394" s="425" t="n">
        <v>7</v>
      </c>
      <c r="AA394" s="425">
        <f>IF(AC394="Archived",0,ROUND((IF(N394="Tier 1",35,IF(N394="Tier 2",20,8))+IF(C394="Financial Investor",15,IF(C394="Intermediary / Banker",12,8))+IF(L394="Term Sheet / Proposal",25,IF(L394="Engaged",20,IF(L394="Meeting Requested",18,IF(L394="Meeting Held",14,IF(L394="Follow Up",10,5)))))+MIN(Q394,30)+IF(S394="DUE",15,IF(S394="Next 3 Days",8,0))),0))</f>
        <v/>
      </c>
      <c r="AB394" s="425">
        <f>IF(AND(AC394="Active",OR(N394="Tier 1",N394="Tier 2"),OR(S394="DUE",S394="Next 3 Days")),"YES","")</f>
        <v/>
      </c>
      <c r="AC394" s="425">
        <f>IF(L394="Passed","Archived","Active")</f>
        <v/>
      </c>
    </row>
    <row r="395">
      <c r="A395" s="425" t="inlineStr">
        <is>
          <t>EXOS-0394</t>
        </is>
      </c>
      <c r="B395" s="425" t="inlineStr">
        <is>
          <t>John - Investor Contacts</t>
        </is>
      </c>
      <c r="C395" s="425" t="inlineStr">
        <is>
          <t>Financial Investor</t>
        </is>
      </c>
      <c r="D395" s="425" t="inlineStr">
        <is>
          <t>General Catalyst</t>
        </is>
      </c>
      <c r="E395" s="425" t="inlineStr">
        <is>
          <t>Hemant Taneja</t>
        </is>
      </c>
      <c r="F395" s="425" t="inlineStr"/>
      <c r="G395" s="111" t="inlineStr">
        <is>
          <t>hemant.taneja@gmail.com</t>
        </is>
      </c>
      <c r="H395" s="425" t="inlineStr"/>
      <c r="I395" s="425" t="inlineStr"/>
      <c r="J395" s="111" t="inlineStr">
        <is>
          <t>https://www.linkedin.com/in/hemanttaneja/</t>
        </is>
      </c>
      <c r="K395" s="426" t="inlineStr">
        <is>
          <t>John Quinn</t>
        </is>
      </c>
      <c r="L395" s="426" t="inlineStr">
        <is>
          <t>Follow Up</t>
        </is>
      </c>
      <c r="M395" s="425" t="inlineStr">
        <is>
          <t>Space / Defense / Aerospace / Advanced Manufacturing</t>
        </is>
      </c>
      <c r="N395" s="426" t="inlineStr">
        <is>
          <t>Tier 2</t>
        </is>
      </c>
      <c r="O395" s="441" t="n">
        <v>45792</v>
      </c>
      <c r="P395" s="441" t="n">
        <v>45841</v>
      </c>
      <c r="Q395" s="425">
        <f>IF(P395="","",TODAY()-P395)</f>
        <v/>
      </c>
      <c r="R395" s="441">
        <f>IF(OR(L395="Passed",Z395=""),"",P395+Z395)</f>
        <v/>
      </c>
      <c r="S395" s="425">
        <f>IF(OR(R395="",L395="Passed"),"",IF(R395&lt;=TODAY(),"DUE",IF(R395&lt;=TODAY()+3,"Next 3 Days","Later")))</f>
        <v/>
      </c>
      <c r="T395" s="425" t="inlineStr"/>
      <c r="U395" s="426" t="inlineStr">
        <is>
          <t>https://www.linkedin.com/in/hemanttaneja/</t>
        </is>
      </c>
      <c r="V395" s="426" t="inlineStr"/>
      <c r="W395" s="428" t="inlineStr">
        <is>
          <t xml:space="preserve"> |  | </t>
        </is>
      </c>
      <c r="X395" s="425" t="inlineStr">
        <is>
          <t>John - Investor Contacts!51</t>
        </is>
      </c>
      <c r="Y395" s="426" t="inlineStr">
        <is>
          <t>Send next follow-up with traction + CTA</t>
        </is>
      </c>
      <c r="Z395" s="425" t="n">
        <v>7</v>
      </c>
      <c r="AA395" s="425">
        <f>IF(AC395="Archived",0,ROUND((IF(N395="Tier 1",35,IF(N395="Tier 2",20,8))+IF(C395="Financial Investor",15,IF(C395="Intermediary / Banker",12,8))+IF(L395="Term Sheet / Proposal",25,IF(L395="Engaged",20,IF(L395="Meeting Requested",18,IF(L395="Meeting Held",14,IF(L395="Follow Up",10,5)))))+MIN(Q395,30)+IF(S395="DUE",15,IF(S395="Next 3 Days",8,0))),0))</f>
        <v/>
      </c>
      <c r="AB395" s="425">
        <f>IF(AND(AC395="Active",OR(N395="Tier 1",N395="Tier 2"),OR(S395="DUE",S395="Next 3 Days")),"YES","")</f>
        <v/>
      </c>
      <c r="AC395" s="425">
        <f>IF(L395="Passed","Archived","Active")</f>
        <v/>
      </c>
    </row>
    <row r="396">
      <c r="A396" s="425" t="inlineStr">
        <is>
          <t>EXOS-0395</t>
        </is>
      </c>
      <c r="B396" s="425" t="inlineStr">
        <is>
          <t>John - Investor Contacts</t>
        </is>
      </c>
      <c r="C396" s="425" t="inlineStr">
        <is>
          <t>Financial Investor</t>
        </is>
      </c>
      <c r="D396" s="425" t="inlineStr">
        <is>
          <t>General Catalyst</t>
        </is>
      </c>
      <c r="E396" s="425" t="inlineStr">
        <is>
          <t>Joel Cutler</t>
        </is>
      </c>
      <c r="F396" s="425" t="inlineStr"/>
      <c r="G396" s="111" t="inlineStr">
        <is>
          <t>jcutler@generalcatalyst.com</t>
        </is>
      </c>
      <c r="H396" s="425" t="inlineStr"/>
      <c r="I396" s="425" t="inlineStr"/>
      <c r="J396" s="111" t="inlineStr">
        <is>
          <t>https://www.linkedin.com/in/joel-cutler-317743/</t>
        </is>
      </c>
      <c r="K396" s="426" t="inlineStr">
        <is>
          <t>John Quinn</t>
        </is>
      </c>
      <c r="L396" s="426" t="inlineStr">
        <is>
          <t>Follow Up</t>
        </is>
      </c>
      <c r="M396" s="425" t="inlineStr">
        <is>
          <t>Space / Defense / Aerospace / Advanced Manufacturing</t>
        </is>
      </c>
      <c r="N396" s="426" t="inlineStr">
        <is>
          <t>Tier 2</t>
        </is>
      </c>
      <c r="O396" s="441" t="n">
        <v>45792</v>
      </c>
      <c r="P396" s="441" t="n">
        <v>45841</v>
      </c>
      <c r="Q396" s="425">
        <f>IF(P396="","",TODAY()-P396)</f>
        <v/>
      </c>
      <c r="R396" s="441">
        <f>IF(OR(L396="Passed",Z396=""),"",P396+Z396)</f>
        <v/>
      </c>
      <c r="S396" s="425">
        <f>IF(OR(R396="",L396="Passed"),"",IF(R396&lt;=TODAY(),"DUE",IF(R396&lt;=TODAY()+3,"Next 3 Days","Later")))</f>
        <v/>
      </c>
      <c r="T396" s="425" t="inlineStr"/>
      <c r="U396" s="426" t="inlineStr">
        <is>
          <t>https://www.linkedin.com/in/joel-cutler-317743/</t>
        </is>
      </c>
      <c r="V396" s="426" t="inlineStr"/>
      <c r="W396" s="428" t="inlineStr">
        <is>
          <t xml:space="preserve"> |  | </t>
        </is>
      </c>
      <c r="X396" s="425" t="inlineStr">
        <is>
          <t>John - Investor Contacts!54</t>
        </is>
      </c>
      <c r="Y396" s="426" t="inlineStr">
        <is>
          <t>Send next follow-up with traction + CTA</t>
        </is>
      </c>
      <c r="Z396" s="425" t="n">
        <v>7</v>
      </c>
      <c r="AA396" s="425">
        <f>IF(AC396="Archived",0,ROUND((IF(N396="Tier 1",35,IF(N396="Tier 2",20,8))+IF(C396="Financial Investor",15,IF(C396="Intermediary / Banker",12,8))+IF(L396="Term Sheet / Proposal",25,IF(L396="Engaged",20,IF(L396="Meeting Requested",18,IF(L396="Meeting Held",14,IF(L396="Follow Up",10,5)))))+MIN(Q396,30)+IF(S396="DUE",15,IF(S396="Next 3 Days",8,0))),0))</f>
        <v/>
      </c>
      <c r="AB396" s="425">
        <f>IF(AND(AC396="Active",OR(N396="Tier 1",N396="Tier 2"),OR(S396="DUE",S396="Next 3 Days")),"YES","")</f>
        <v/>
      </c>
      <c r="AC396" s="425">
        <f>IF(L396="Passed","Archived","Active")</f>
        <v/>
      </c>
    </row>
    <row r="397">
      <c r="A397" s="425" t="inlineStr">
        <is>
          <t>EXOS-0396</t>
        </is>
      </c>
      <c r="B397" s="425" t="inlineStr">
        <is>
          <t>John - Investor Contacts</t>
        </is>
      </c>
      <c r="C397" s="425" t="inlineStr">
        <is>
          <t>Financial Investor</t>
        </is>
      </c>
      <c r="D397" s="425" t="inlineStr">
        <is>
          <t>General Catalyst</t>
        </is>
      </c>
      <c r="E397" s="425" t="inlineStr">
        <is>
          <t>Niko Bonatsos</t>
        </is>
      </c>
      <c r="F397" s="425" t="inlineStr"/>
      <c r="G397" s="111" t="inlineStr">
        <is>
          <t>nbonatsos@generalcatalyst.com</t>
        </is>
      </c>
      <c r="H397" s="425" t="inlineStr"/>
      <c r="I397" s="425" t="inlineStr"/>
      <c r="J397" s="111" t="inlineStr">
        <is>
          <t>https://www.linkedin.com/in/bonatsos/</t>
        </is>
      </c>
      <c r="K397" s="426" t="inlineStr">
        <is>
          <t>John Quinn</t>
        </is>
      </c>
      <c r="L397" s="426" t="inlineStr">
        <is>
          <t>Follow Up</t>
        </is>
      </c>
      <c r="M397" s="425" t="inlineStr">
        <is>
          <t>Space / Defense / Aerospace / Advanced Manufacturing</t>
        </is>
      </c>
      <c r="N397" s="426" t="inlineStr">
        <is>
          <t>Tier 2</t>
        </is>
      </c>
      <c r="O397" s="441" t="n">
        <v>45792</v>
      </c>
      <c r="P397" s="441" t="n">
        <v>45929</v>
      </c>
      <c r="Q397" s="425">
        <f>IF(P397="","",TODAY()-P397)</f>
        <v/>
      </c>
      <c r="R397" s="441">
        <f>IF(OR(L397="Passed",Z397=""),"",P397+Z397)</f>
        <v/>
      </c>
      <c r="S397" s="425">
        <f>IF(OR(R397="",L397="Passed"),"",IF(R397&lt;=TODAY(),"DUE",IF(R397&lt;=TODAY()+3,"Next 3 Days","Later")))</f>
        <v/>
      </c>
      <c r="T397" s="425" t="inlineStr"/>
      <c r="U397" s="426" t="inlineStr">
        <is>
          <t>https://www.linkedin.com/in/bonatsos/</t>
        </is>
      </c>
      <c r="V397" s="426" t="inlineStr"/>
      <c r="W397" s="428" t="inlineStr">
        <is>
          <t>12/05/2025</t>
        </is>
      </c>
      <c r="X397" s="425" t="inlineStr">
        <is>
          <t>John - Investor Contacts!53 | John - Investor Contacts!583</t>
        </is>
      </c>
      <c r="Y397" s="426" t="inlineStr">
        <is>
          <t>Send next follow-up with traction + CTA</t>
        </is>
      </c>
      <c r="Z397" s="425" t="n">
        <v>7</v>
      </c>
      <c r="AA397" s="425">
        <f>IF(AC397="Archived",0,ROUND((IF(N397="Tier 1",35,IF(N397="Tier 2",20,8))+IF(C397="Financial Investor",15,IF(C397="Intermediary / Banker",12,8))+IF(L397="Term Sheet / Proposal",25,IF(L397="Engaged",20,IF(L397="Meeting Requested",18,IF(L397="Meeting Held",14,IF(L397="Follow Up",10,5)))))+MIN(Q397,30)+IF(S397="DUE",15,IF(S397="Next 3 Days",8,0))),0))</f>
        <v/>
      </c>
      <c r="AB397" s="425">
        <f>IF(AND(AC397="Active",OR(N397="Tier 1",N397="Tier 2"),OR(S397="DUE",S397="Next 3 Days")),"YES","")</f>
        <v/>
      </c>
      <c r="AC397" s="425">
        <f>IF(L397="Passed","Archived","Active")</f>
        <v/>
      </c>
    </row>
    <row r="398">
      <c r="A398" s="425" t="inlineStr">
        <is>
          <t>EXOS-0397</t>
        </is>
      </c>
      <c r="B398" s="425" t="inlineStr">
        <is>
          <t>John - Investor Contacts</t>
        </is>
      </c>
      <c r="C398" s="425" t="inlineStr">
        <is>
          <t>Financial Investor</t>
        </is>
      </c>
      <c r="D398" s="425" t="inlineStr">
        <is>
          <t>Geodesic Capital</t>
        </is>
      </c>
      <c r="E398" s="425" t="inlineStr">
        <is>
          <t>Arvind Ayyala</t>
        </is>
      </c>
      <c r="F398" s="425" t="inlineStr"/>
      <c r="G398" s="111" t="inlineStr">
        <is>
          <t>aayyala@geodesiccap.com</t>
        </is>
      </c>
      <c r="H398" s="425" t="inlineStr"/>
      <c r="I398" s="425" t="inlineStr"/>
      <c r="J398" s="111" t="inlineStr">
        <is>
          <t>https://www.linkedin.com/in/arvindayyala1/</t>
        </is>
      </c>
      <c r="K398" s="426" t="inlineStr">
        <is>
          <t>John Quinn</t>
        </is>
      </c>
      <c r="L398" s="426" t="inlineStr">
        <is>
          <t>Follow Up</t>
        </is>
      </c>
      <c r="M398" s="425" t="inlineStr">
        <is>
          <t>Space / Defense / Aerospace / Advanced Manufacturing</t>
        </is>
      </c>
      <c r="N398" s="426" t="inlineStr">
        <is>
          <t>Tier 2</t>
        </is>
      </c>
      <c r="O398" s="441" t="n">
        <v>45821</v>
      </c>
      <c r="P398" s="441" t="n">
        <v>45835</v>
      </c>
      <c r="Q398" s="425">
        <f>IF(P398="","",TODAY()-P398)</f>
        <v/>
      </c>
      <c r="R398" s="441">
        <f>IF(OR(L398="Passed",Z398=""),"",P398+Z398)</f>
        <v/>
      </c>
      <c r="S398" s="425">
        <f>IF(OR(R398="",L398="Passed"),"",IF(R398&lt;=TODAY(),"DUE",IF(R398&lt;=TODAY()+3,"Next 3 Days","Later")))</f>
        <v/>
      </c>
      <c r="T398" s="425" t="inlineStr"/>
      <c r="U398" s="426" t="inlineStr">
        <is>
          <t>https://www.linkedin.com/in/arvindayyala1/</t>
        </is>
      </c>
      <c r="V398" s="426" t="inlineStr"/>
      <c r="W398" s="428" t="inlineStr">
        <is>
          <t xml:space="preserve"> | 12/23/2025 | </t>
        </is>
      </c>
      <c r="X398" s="425" t="inlineStr">
        <is>
          <t>John - Investor Contacts!173</t>
        </is>
      </c>
      <c r="Y398" s="426" t="inlineStr">
        <is>
          <t>Send next follow-up with traction + CTA</t>
        </is>
      </c>
      <c r="Z398" s="425" t="n">
        <v>7</v>
      </c>
      <c r="AA398" s="425">
        <f>IF(AC398="Archived",0,ROUND((IF(N398="Tier 1",35,IF(N398="Tier 2",20,8))+IF(C398="Financial Investor",15,IF(C398="Intermediary / Banker",12,8))+IF(L398="Term Sheet / Proposal",25,IF(L398="Engaged",20,IF(L398="Meeting Requested",18,IF(L398="Meeting Held",14,IF(L398="Follow Up",10,5)))))+MIN(Q398,30)+IF(S398="DUE",15,IF(S398="Next 3 Days",8,0))),0))</f>
        <v/>
      </c>
      <c r="AB398" s="425">
        <f>IF(AND(AC398="Active",OR(N398="Tier 1",N398="Tier 2"),OR(S398="DUE",S398="Next 3 Days")),"YES","")</f>
        <v/>
      </c>
      <c r="AC398" s="425">
        <f>IF(L398="Passed","Archived","Active")</f>
        <v/>
      </c>
    </row>
    <row r="399">
      <c r="A399" s="425" t="inlineStr">
        <is>
          <t>EXOS-0398</t>
        </is>
      </c>
      <c r="B399" s="425" t="inlineStr">
        <is>
          <t>John - Investor Contacts</t>
        </is>
      </c>
      <c r="C399" s="425" t="inlineStr">
        <is>
          <t>Financial Investor</t>
        </is>
      </c>
      <c r="D399" s="425" t="inlineStr">
        <is>
          <t>Geodesic Capital</t>
        </is>
      </c>
      <c r="E399" s="425" t="inlineStr">
        <is>
          <t>John Roos</t>
        </is>
      </c>
      <c r="F399" s="425" t="inlineStr"/>
      <c r="G399" s="111" t="inlineStr">
        <is>
          <t>jroos@geodesiccap.com</t>
        </is>
      </c>
      <c r="H399" s="425" t="inlineStr"/>
      <c r="I399" s="425" t="inlineStr"/>
      <c r="J399" s="111" t="inlineStr">
        <is>
          <t>https://www.linkedin.com/in/john-roos-99978a57/</t>
        </is>
      </c>
      <c r="K399" s="426" t="inlineStr">
        <is>
          <t>John Quinn</t>
        </is>
      </c>
      <c r="L399" s="426" t="inlineStr">
        <is>
          <t>Follow Up</t>
        </is>
      </c>
      <c r="M399" s="425" t="inlineStr">
        <is>
          <t>Space / Defense / Aerospace / Advanced Manufacturing</t>
        </is>
      </c>
      <c r="N399" s="426" t="inlineStr">
        <is>
          <t>Tier 2</t>
        </is>
      </c>
      <c r="O399" s="441" t="n">
        <v>45821</v>
      </c>
      <c r="P399" s="441" t="n">
        <v>45835</v>
      </c>
      <c r="Q399" s="425">
        <f>IF(P399="","",TODAY()-P399)</f>
        <v/>
      </c>
      <c r="R399" s="441">
        <f>IF(OR(L399="Passed",Z399=""),"",P399+Z399)</f>
        <v/>
      </c>
      <c r="S399" s="425">
        <f>IF(OR(R399="",L399="Passed"),"",IF(R399&lt;=TODAY(),"DUE",IF(R399&lt;=TODAY()+3,"Next 3 Days","Later")))</f>
        <v/>
      </c>
      <c r="T399" s="425" t="inlineStr"/>
      <c r="U399" s="426" t="inlineStr">
        <is>
          <t>https://www.linkedin.com/in/john-roos-99978a57/</t>
        </is>
      </c>
      <c r="V399" s="426" t="inlineStr"/>
      <c r="W399" s="428" t="inlineStr">
        <is>
          <t xml:space="preserve"> | 12/23/2025 | </t>
        </is>
      </c>
      <c r="X399" s="425" t="inlineStr">
        <is>
          <t>John - Investor Contacts!176</t>
        </is>
      </c>
      <c r="Y399" s="426" t="inlineStr">
        <is>
          <t>Send next follow-up with traction + CTA</t>
        </is>
      </c>
      <c r="Z399" s="425" t="n">
        <v>7</v>
      </c>
      <c r="AA399" s="425">
        <f>IF(AC399="Archived",0,ROUND((IF(N399="Tier 1",35,IF(N399="Tier 2",20,8))+IF(C399="Financial Investor",15,IF(C399="Intermediary / Banker",12,8))+IF(L399="Term Sheet / Proposal",25,IF(L399="Engaged",20,IF(L399="Meeting Requested",18,IF(L399="Meeting Held",14,IF(L399="Follow Up",10,5)))))+MIN(Q399,30)+IF(S399="DUE",15,IF(S399="Next 3 Days",8,0))),0))</f>
        <v/>
      </c>
      <c r="AB399" s="425">
        <f>IF(AND(AC399="Active",OR(N399="Tier 1",N399="Tier 2"),OR(S399="DUE",S399="Next 3 Days")),"YES","")</f>
        <v/>
      </c>
      <c r="AC399" s="425">
        <f>IF(L399="Passed","Archived","Active")</f>
        <v/>
      </c>
    </row>
    <row r="400">
      <c r="A400" s="425" t="inlineStr">
        <is>
          <t>EXOS-0399</t>
        </is>
      </c>
      <c r="B400" s="425" t="inlineStr">
        <is>
          <t>John - Investor Contacts</t>
        </is>
      </c>
      <c r="C400" s="425" t="inlineStr">
        <is>
          <t>Financial Investor</t>
        </is>
      </c>
      <c r="D400" s="425" t="inlineStr">
        <is>
          <t>Geodesic Capital</t>
        </is>
      </c>
      <c r="E400" s="425" t="inlineStr">
        <is>
          <t>Jon Rezneck</t>
        </is>
      </c>
      <c r="F400" s="425" t="inlineStr"/>
      <c r="G400" s="111" t="inlineStr">
        <is>
          <t>jrezneck@geodesiccap.com</t>
        </is>
      </c>
      <c r="H400" s="425" t="inlineStr"/>
      <c r="I400" s="425" t="inlineStr"/>
      <c r="J400" s="111" t="inlineStr">
        <is>
          <t>https://www.linkedin.com/in/jon-rezneck-358140a/</t>
        </is>
      </c>
      <c r="K400" s="426" t="inlineStr">
        <is>
          <t>John Quinn</t>
        </is>
      </c>
      <c r="L400" s="426" t="inlineStr">
        <is>
          <t>Follow Up</t>
        </is>
      </c>
      <c r="M400" s="425" t="inlineStr">
        <is>
          <t>Space / Defense / Aerospace / Advanced Manufacturing</t>
        </is>
      </c>
      <c r="N400" s="426" t="inlineStr">
        <is>
          <t>Tier 2</t>
        </is>
      </c>
      <c r="O400" s="441" t="n">
        <v>45821</v>
      </c>
      <c r="P400" s="441" t="n">
        <v>45835</v>
      </c>
      <c r="Q400" s="425">
        <f>IF(P400="","",TODAY()-P400)</f>
        <v/>
      </c>
      <c r="R400" s="441">
        <f>IF(OR(L400="Passed",Z400=""),"",P400+Z400)</f>
        <v/>
      </c>
      <c r="S400" s="425">
        <f>IF(OR(R400="",L400="Passed"),"",IF(R400&lt;=TODAY(),"DUE",IF(R400&lt;=TODAY()+3,"Next 3 Days","Later")))</f>
        <v/>
      </c>
      <c r="T400" s="425" t="inlineStr"/>
      <c r="U400" s="426" t="inlineStr">
        <is>
          <t>https://www.linkedin.com/in/jon-rezneck-358140a/</t>
        </is>
      </c>
      <c r="V400" s="426" t="inlineStr"/>
      <c r="W400" s="428" t="inlineStr">
        <is>
          <t xml:space="preserve"> | 12/23/2025 | </t>
        </is>
      </c>
      <c r="X400" s="425" t="inlineStr">
        <is>
          <t>John - Investor Contacts!175</t>
        </is>
      </c>
      <c r="Y400" s="426" t="inlineStr">
        <is>
          <t>Send next follow-up with traction + CTA</t>
        </is>
      </c>
      <c r="Z400" s="425" t="n">
        <v>7</v>
      </c>
      <c r="AA400" s="425">
        <f>IF(AC400="Archived",0,ROUND((IF(N400="Tier 1",35,IF(N400="Tier 2",20,8))+IF(C400="Financial Investor",15,IF(C400="Intermediary / Banker",12,8))+IF(L400="Term Sheet / Proposal",25,IF(L400="Engaged",20,IF(L400="Meeting Requested",18,IF(L400="Meeting Held",14,IF(L400="Follow Up",10,5)))))+MIN(Q400,30)+IF(S400="DUE",15,IF(S400="Next 3 Days",8,0))),0))</f>
        <v/>
      </c>
      <c r="AB400" s="425">
        <f>IF(AND(AC400="Active",OR(N400="Tier 1",N400="Tier 2"),OR(S400="DUE",S400="Next 3 Days")),"YES","")</f>
        <v/>
      </c>
      <c r="AC400" s="425">
        <f>IF(L400="Passed","Archived","Active")</f>
        <v/>
      </c>
    </row>
    <row r="401">
      <c r="A401" s="425" t="inlineStr">
        <is>
          <t>EXOS-0400</t>
        </is>
      </c>
      <c r="B401" s="425" t="inlineStr">
        <is>
          <t>John - Investor Contacts</t>
        </is>
      </c>
      <c r="C401" s="425" t="inlineStr">
        <is>
          <t>Financial Investor</t>
        </is>
      </c>
      <c r="D401" s="425" t="inlineStr">
        <is>
          <t>Geodesic Capital</t>
        </is>
      </c>
      <c r="E401" s="425" t="inlineStr">
        <is>
          <t>Matt Fuller</t>
        </is>
      </c>
      <c r="F401" s="425" t="inlineStr"/>
      <c r="G401" s="111" t="inlineStr">
        <is>
          <t>mfuller@geodesiccap.com</t>
        </is>
      </c>
      <c r="H401" s="425" t="inlineStr"/>
      <c r="I401" s="425" t="inlineStr"/>
      <c r="J401" s="111" t="inlineStr">
        <is>
          <t>https://www.linkedin.com/in/matthew-fuller-86142015/</t>
        </is>
      </c>
      <c r="K401" s="426" t="inlineStr">
        <is>
          <t>John Quinn</t>
        </is>
      </c>
      <c r="L401" s="426" t="inlineStr">
        <is>
          <t>Follow Up</t>
        </is>
      </c>
      <c r="M401" s="425" t="inlineStr">
        <is>
          <t>Space / Defense / Aerospace / Advanced Manufacturing</t>
        </is>
      </c>
      <c r="N401" s="426" t="inlineStr">
        <is>
          <t>Tier 2</t>
        </is>
      </c>
      <c r="O401" s="441" t="n">
        <v>45821</v>
      </c>
      <c r="P401" s="441" t="n">
        <v>45835</v>
      </c>
      <c r="Q401" s="425">
        <f>IF(P401="","",TODAY()-P401)</f>
        <v/>
      </c>
      <c r="R401" s="441">
        <f>IF(OR(L401="Passed",Z401=""),"",P401+Z401)</f>
        <v/>
      </c>
      <c r="S401" s="425">
        <f>IF(OR(R401="",L401="Passed"),"",IF(R401&lt;=TODAY(),"DUE",IF(R401&lt;=TODAY()+3,"Next 3 Days","Later")))</f>
        <v/>
      </c>
      <c r="T401" s="425" t="inlineStr"/>
      <c r="U401" s="426" t="inlineStr">
        <is>
          <t>https://www.linkedin.com/in/matthew-fuller-86142015/</t>
        </is>
      </c>
      <c r="V401" s="426" t="inlineStr"/>
      <c r="W401" s="428" t="inlineStr">
        <is>
          <t xml:space="preserve"> | 12/23/2025 | </t>
        </is>
      </c>
      <c r="X401" s="425" t="inlineStr">
        <is>
          <t>John - Investor Contacts!174</t>
        </is>
      </c>
      <c r="Y401" s="426" t="inlineStr">
        <is>
          <t>Send next follow-up with traction + CTA</t>
        </is>
      </c>
      <c r="Z401" s="425" t="n">
        <v>7</v>
      </c>
      <c r="AA401" s="425">
        <f>IF(AC401="Archived",0,ROUND((IF(N401="Tier 1",35,IF(N401="Tier 2",20,8))+IF(C401="Financial Investor",15,IF(C401="Intermediary / Banker",12,8))+IF(L401="Term Sheet / Proposal",25,IF(L401="Engaged",20,IF(L401="Meeting Requested",18,IF(L401="Meeting Held",14,IF(L401="Follow Up",10,5)))))+MIN(Q401,30)+IF(S401="DUE",15,IF(S401="Next 3 Days",8,0))),0))</f>
        <v/>
      </c>
      <c r="AB401" s="425">
        <f>IF(AND(AC401="Active",OR(N401="Tier 1",N401="Tier 2"),OR(S401="DUE",S401="Next 3 Days")),"YES","")</f>
        <v/>
      </c>
      <c r="AC401" s="425">
        <f>IF(L401="Passed","Archived","Active")</f>
        <v/>
      </c>
    </row>
    <row r="402">
      <c r="A402" s="425" t="inlineStr">
        <is>
          <t>EXOS-0401</t>
        </is>
      </c>
      <c r="B402" s="425" t="inlineStr">
        <is>
          <t>John - Investor Contacts</t>
        </is>
      </c>
      <c r="C402" s="425" t="inlineStr">
        <is>
          <t>Financial Investor</t>
        </is>
      </c>
      <c r="D402" s="425" t="inlineStr">
        <is>
          <t>Good AI Capital</t>
        </is>
      </c>
      <c r="E402" s="425" t="inlineStr">
        <is>
          <t>Darwin Ling</t>
        </is>
      </c>
      <c r="F402" s="425" t="inlineStr"/>
      <c r="G402" s="111" t="inlineStr">
        <is>
          <t>darwin@goodai.capital</t>
        </is>
      </c>
      <c r="H402" s="425" t="inlineStr"/>
      <c r="I402" s="425" t="inlineStr"/>
      <c r="J402" s="111" t="inlineStr">
        <is>
          <t>https://www.linkedin.com/in/darwinling/</t>
        </is>
      </c>
      <c r="K402" s="426" t="inlineStr">
        <is>
          <t>John Quinn</t>
        </is>
      </c>
      <c r="L402" s="426" t="inlineStr">
        <is>
          <t>Follow Up</t>
        </is>
      </c>
      <c r="M402" s="425" t="inlineStr">
        <is>
          <t>Space / Defense / Aerospace / Advanced Manufacturing</t>
        </is>
      </c>
      <c r="N402" s="426" t="inlineStr">
        <is>
          <t>Tier 2</t>
        </is>
      </c>
      <c r="O402" s="441" t="n">
        <v>45930</v>
      </c>
      <c r="P402" s="441" t="n">
        <v>45973</v>
      </c>
      <c r="Q402" s="425">
        <f>IF(P402="","",TODAY()-P402)</f>
        <v/>
      </c>
      <c r="R402" s="441">
        <f>IF(OR(L402="Passed",Z402=""),"",P402+Z402)</f>
        <v/>
      </c>
      <c r="S402" s="425">
        <f>IF(OR(R402="",L402="Passed"),"",IF(R402&lt;=TODAY(),"DUE",IF(R402&lt;=TODAY()+3,"Next 3 Days","Later")))</f>
        <v/>
      </c>
      <c r="T402" s="425" t="inlineStr"/>
      <c r="U402" s="426" t="inlineStr">
        <is>
          <t>https://www.linkedin.com/in/darwinling/</t>
        </is>
      </c>
      <c r="V402" s="426" t="inlineStr"/>
      <c r="W402" s="428" t="inlineStr">
        <is>
          <t xml:space="preserve"> | 12/19/2025 | </t>
        </is>
      </c>
      <c r="X402" s="425" t="inlineStr">
        <is>
          <t>John - Investor Contacts!694</t>
        </is>
      </c>
      <c r="Y402" s="426" t="inlineStr">
        <is>
          <t>Send next follow-up with traction + CTA</t>
        </is>
      </c>
      <c r="Z402" s="425" t="n">
        <v>7</v>
      </c>
      <c r="AA402" s="425">
        <f>IF(AC402="Archived",0,ROUND((IF(N402="Tier 1",35,IF(N402="Tier 2",20,8))+IF(C402="Financial Investor",15,IF(C402="Intermediary / Banker",12,8))+IF(L402="Term Sheet / Proposal",25,IF(L402="Engaged",20,IF(L402="Meeting Requested",18,IF(L402="Meeting Held",14,IF(L402="Follow Up",10,5)))))+MIN(Q402,30)+IF(S402="DUE",15,IF(S402="Next 3 Days",8,0))),0))</f>
        <v/>
      </c>
      <c r="AB402" s="425">
        <f>IF(AND(AC402="Active",OR(N402="Tier 1",N402="Tier 2"),OR(S402="DUE",S402="Next 3 Days")),"YES","")</f>
        <v/>
      </c>
      <c r="AC402" s="425">
        <f>IF(L402="Passed","Archived","Active")</f>
        <v/>
      </c>
    </row>
    <row r="403">
      <c r="A403" s="425" t="inlineStr">
        <is>
          <t>EXOS-0402</t>
        </is>
      </c>
      <c r="B403" s="425" t="inlineStr">
        <is>
          <t>John - Investor Contacts</t>
        </is>
      </c>
      <c r="C403" s="425" t="inlineStr">
        <is>
          <t>Financial Investor</t>
        </is>
      </c>
      <c r="D403" s="425" t="inlineStr">
        <is>
          <t>Goose Capital</t>
        </is>
      </c>
      <c r="E403" s="425" t="inlineStr">
        <is>
          <t>Alex Krantz</t>
        </is>
      </c>
      <c r="F403" s="425" t="inlineStr"/>
      <c r="G403" s="111" t="inlineStr">
        <is>
          <t>alex@goose.capital</t>
        </is>
      </c>
      <c r="H403" s="425" t="inlineStr"/>
      <c r="I403" s="425" t="inlineStr"/>
      <c r="J403" s="111" t="inlineStr">
        <is>
          <t>https://www.linkedin.com/in/alexander-krantz-connect/</t>
        </is>
      </c>
      <c r="K403" s="426" t="inlineStr">
        <is>
          <t>John Quinn</t>
        </is>
      </c>
      <c r="L403" s="426" t="inlineStr">
        <is>
          <t>Follow Up</t>
        </is>
      </c>
      <c r="M403" s="425" t="inlineStr">
        <is>
          <t>Space / Defense / Aerospace / Advanced Manufacturing</t>
        </is>
      </c>
      <c r="N403" s="426" t="inlineStr">
        <is>
          <t>Tier 2</t>
        </is>
      </c>
      <c r="O403" s="441" t="n">
        <v>45805</v>
      </c>
      <c r="P403" s="441" t="n">
        <v>45841</v>
      </c>
      <c r="Q403" s="425">
        <f>IF(P403="","",TODAY()-P403)</f>
        <v/>
      </c>
      <c r="R403" s="441">
        <f>IF(OR(L403="Passed",Z403=""),"",P403+Z403)</f>
        <v/>
      </c>
      <c r="S403" s="425">
        <f>IF(OR(R403="",L403="Passed"),"",IF(R403&lt;=TODAY(),"DUE",IF(R403&lt;=TODAY()+3,"Next 3 Days","Later")))</f>
        <v/>
      </c>
      <c r="T403" s="425" t="inlineStr"/>
      <c r="U403" s="426" t="inlineStr">
        <is>
          <t>https://www.linkedin.com/in/alexander-krantz-connect/</t>
        </is>
      </c>
      <c r="V403" s="426" t="inlineStr"/>
      <c r="W403" s="428" t="inlineStr">
        <is>
          <t xml:space="preserve"> | Goose Application: https://www.goose.capital/goose-capital-screening | </t>
        </is>
      </c>
      <c r="X403" s="425" t="inlineStr">
        <is>
          <t>John - Investor Contacts!90</t>
        </is>
      </c>
      <c r="Y403" s="426" t="inlineStr">
        <is>
          <t>Send next follow-up with traction + CTA</t>
        </is>
      </c>
      <c r="Z403" s="425" t="n">
        <v>7</v>
      </c>
      <c r="AA403" s="425">
        <f>IF(AC403="Archived",0,ROUND((IF(N403="Tier 1",35,IF(N403="Tier 2",20,8))+IF(C403="Financial Investor",15,IF(C403="Intermediary / Banker",12,8))+IF(L403="Term Sheet / Proposal",25,IF(L403="Engaged",20,IF(L403="Meeting Requested",18,IF(L403="Meeting Held",14,IF(L403="Follow Up",10,5)))))+MIN(Q403,30)+IF(S403="DUE",15,IF(S403="Next 3 Days",8,0))),0))</f>
        <v/>
      </c>
      <c r="AB403" s="425">
        <f>IF(AND(AC403="Active",OR(N403="Tier 1",N403="Tier 2"),OR(S403="DUE",S403="Next 3 Days")),"YES","")</f>
        <v/>
      </c>
      <c r="AC403" s="425">
        <f>IF(L403="Passed","Archived","Active")</f>
        <v/>
      </c>
    </row>
    <row r="404">
      <c r="A404" s="425" t="inlineStr">
        <is>
          <t>EXOS-0403</t>
        </is>
      </c>
      <c r="B404" s="425" t="inlineStr">
        <is>
          <t>John - Investor Contacts</t>
        </is>
      </c>
      <c r="C404" s="425" t="inlineStr">
        <is>
          <t>Financial Investor</t>
        </is>
      </c>
      <c r="D404" s="425" t="inlineStr">
        <is>
          <t>Great North Labs</t>
        </is>
      </c>
      <c r="E404" s="425" t="inlineStr">
        <is>
          <t>Ryan Webber</t>
        </is>
      </c>
      <c r="F404" s="425" t="inlineStr"/>
      <c r="G404" s="111" t="inlineStr">
        <is>
          <t>ryan@greatnorthventures.com</t>
        </is>
      </c>
      <c r="H404" s="425" t="inlineStr"/>
      <c r="I404" s="425" t="inlineStr"/>
      <c r="J404" s="111" t="inlineStr">
        <is>
          <t>https://www.linkedin.com/in/ryweber/</t>
        </is>
      </c>
      <c r="K404" s="426" t="inlineStr">
        <is>
          <t>John Quinn</t>
        </is>
      </c>
      <c r="L404" s="426" t="inlineStr">
        <is>
          <t>Follow Up</t>
        </is>
      </c>
      <c r="M404" s="425" t="inlineStr">
        <is>
          <t>Space / Defense / Aerospace / Advanced Manufacturing</t>
        </is>
      </c>
      <c r="N404" s="426" t="inlineStr">
        <is>
          <t>Tier 2</t>
        </is>
      </c>
      <c r="O404" s="441" t="n">
        <v>45898</v>
      </c>
      <c r="P404" s="441" t="n">
        <v>45929</v>
      </c>
      <c r="Q404" s="425">
        <f>IF(P404="","",TODAY()-P404)</f>
        <v/>
      </c>
      <c r="R404" s="441">
        <f>IF(OR(L404="Passed",Z404=""),"",P404+Z404)</f>
        <v/>
      </c>
      <c r="S404" s="425">
        <f>IF(OR(R404="",L404="Passed"),"",IF(R404&lt;=TODAY(),"DUE",IF(R404&lt;=TODAY()+3,"Next 3 Days","Later")))</f>
        <v/>
      </c>
      <c r="T404" s="425" t="inlineStr"/>
      <c r="U404" s="426" t="inlineStr">
        <is>
          <t>https://www.linkedin.com/in/ryweber/</t>
        </is>
      </c>
      <c r="V404" s="426" t="inlineStr"/>
      <c r="W404" s="428" t="inlineStr">
        <is>
          <t xml:space="preserve"> |  | </t>
        </is>
      </c>
      <c r="X404" s="425" t="inlineStr">
        <is>
          <t>John - Investor Contacts!584</t>
        </is>
      </c>
      <c r="Y404" s="426" t="inlineStr">
        <is>
          <t>Send next follow-up with traction + CTA</t>
        </is>
      </c>
      <c r="Z404" s="425" t="n">
        <v>7</v>
      </c>
      <c r="AA404" s="425">
        <f>IF(AC404="Archived",0,ROUND((IF(N404="Tier 1",35,IF(N404="Tier 2",20,8))+IF(C404="Financial Investor",15,IF(C404="Intermediary / Banker",12,8))+IF(L404="Term Sheet / Proposal",25,IF(L404="Engaged",20,IF(L404="Meeting Requested",18,IF(L404="Meeting Held",14,IF(L404="Follow Up",10,5)))))+MIN(Q404,30)+IF(S404="DUE",15,IF(S404="Next 3 Days",8,0))),0))</f>
        <v/>
      </c>
      <c r="AB404" s="425">
        <f>IF(AND(AC404="Active",OR(N404="Tier 1",N404="Tier 2"),OR(S404="DUE",S404="Next 3 Days")),"YES","")</f>
        <v/>
      </c>
      <c r="AC404" s="425">
        <f>IF(L404="Passed","Archived","Active")</f>
        <v/>
      </c>
    </row>
    <row r="405">
      <c r="A405" s="425" t="inlineStr">
        <is>
          <t>EXOS-0404</t>
        </is>
      </c>
      <c r="B405" s="425" t="inlineStr">
        <is>
          <t>John - Investor Contacts</t>
        </is>
      </c>
      <c r="C405" s="425" t="inlineStr">
        <is>
          <t>Financial Investor</t>
        </is>
      </c>
      <c r="D405" s="425" t="inlineStr">
        <is>
          <t>Great Point Ventures</t>
        </is>
      </c>
      <c r="E405" s="425" t="inlineStr">
        <is>
          <t>Andrew Perlman</t>
        </is>
      </c>
      <c r="F405" s="425" t="inlineStr"/>
      <c r="G405" s="111" t="inlineStr">
        <is>
          <t>andrew@gpv.com</t>
        </is>
      </c>
      <c r="H405" s="425" t="inlineStr"/>
      <c r="I405" s="425" t="inlineStr"/>
      <c r="J405" s="111" t="inlineStr">
        <is>
          <t>https://www.linkedin.com/in/andrew-perlman-372316b9/</t>
        </is>
      </c>
      <c r="K405" s="426" t="inlineStr">
        <is>
          <t>John Quinn</t>
        </is>
      </c>
      <c r="L405" s="426" t="inlineStr">
        <is>
          <t>Follow Up</t>
        </is>
      </c>
      <c r="M405" s="425" t="inlineStr">
        <is>
          <t>Space / Defense / Aerospace / Advanced Manufacturing</t>
        </is>
      </c>
      <c r="N405" s="426" t="inlineStr">
        <is>
          <t>Tier 2</t>
        </is>
      </c>
      <c r="O405" s="441" t="n">
        <v>45895</v>
      </c>
      <c r="P405" s="441" t="n">
        <v>45924</v>
      </c>
      <c r="Q405" s="425">
        <f>IF(P405="","",TODAY()-P405)</f>
        <v/>
      </c>
      <c r="R405" s="441">
        <f>IF(OR(L405="Passed",Z405=""),"",P405+Z405)</f>
        <v/>
      </c>
      <c r="S405" s="425">
        <f>IF(OR(R405="",L405="Passed"),"",IF(R405&lt;=TODAY(),"DUE",IF(R405&lt;=TODAY()+3,"Next 3 Days","Later")))</f>
        <v/>
      </c>
      <c r="T405" s="425" t="inlineStr"/>
      <c r="U405" s="426" t="inlineStr">
        <is>
          <t>https://www.linkedin.com/in/andrew-perlman-372316b9/</t>
        </is>
      </c>
      <c r="V405" s="426" t="inlineStr"/>
      <c r="W405" s="428" t="inlineStr">
        <is>
          <t xml:space="preserve"> | 12/04/2025 | </t>
        </is>
      </c>
      <c r="X405" s="425" t="inlineStr">
        <is>
          <t>John - Investor Contacts!539</t>
        </is>
      </c>
      <c r="Y405" s="426" t="inlineStr">
        <is>
          <t>Send next follow-up with traction + CTA</t>
        </is>
      </c>
      <c r="Z405" s="425" t="n">
        <v>7</v>
      </c>
      <c r="AA405" s="425">
        <f>IF(AC405="Archived",0,ROUND((IF(N405="Tier 1",35,IF(N405="Tier 2",20,8))+IF(C405="Financial Investor",15,IF(C405="Intermediary / Banker",12,8))+IF(L405="Term Sheet / Proposal",25,IF(L405="Engaged",20,IF(L405="Meeting Requested",18,IF(L405="Meeting Held",14,IF(L405="Follow Up",10,5)))))+MIN(Q405,30)+IF(S405="DUE",15,IF(S405="Next 3 Days",8,0))),0))</f>
        <v/>
      </c>
      <c r="AB405" s="425">
        <f>IF(AND(AC405="Active",OR(N405="Tier 1",N405="Tier 2"),OR(S405="DUE",S405="Next 3 Days")),"YES","")</f>
        <v/>
      </c>
      <c r="AC405" s="425">
        <f>IF(L405="Passed","Archived","Active")</f>
        <v/>
      </c>
    </row>
    <row r="406">
      <c r="A406" s="425" t="inlineStr">
        <is>
          <t>EXOS-0405</t>
        </is>
      </c>
      <c r="B406" s="425" t="inlineStr">
        <is>
          <t>John - Investor Contacts</t>
        </is>
      </c>
      <c r="C406" s="425" t="inlineStr">
        <is>
          <t>Financial Investor</t>
        </is>
      </c>
      <c r="D406" s="425" t="inlineStr">
        <is>
          <t>Great Point Ventures</t>
        </is>
      </c>
      <c r="E406" s="425" t="inlineStr">
        <is>
          <t>DJ Patil</t>
        </is>
      </c>
      <c r="F406" s="425" t="inlineStr"/>
      <c r="G406" s="111" t="inlineStr">
        <is>
          <t>dj@gpv.com</t>
        </is>
      </c>
      <c r="H406" s="425" t="inlineStr"/>
      <c r="I406" s="425" t="inlineStr"/>
      <c r="J406" s="425" t="inlineStr"/>
      <c r="K406" s="426" t="inlineStr">
        <is>
          <t>John Quinn</t>
        </is>
      </c>
      <c r="L406" s="426" t="inlineStr">
        <is>
          <t>Follow Up</t>
        </is>
      </c>
      <c r="M406" s="425" t="inlineStr">
        <is>
          <t>Space / Defense / Aerospace / Advanced Manufacturing</t>
        </is>
      </c>
      <c r="N406" s="426" t="inlineStr">
        <is>
          <t>Tier 2</t>
        </is>
      </c>
      <c r="O406" s="441" t="n">
        <v>45895</v>
      </c>
      <c r="P406" s="441" t="n">
        <v>45924</v>
      </c>
      <c r="Q406" s="425">
        <f>IF(P406="","",TODAY()-P406)</f>
        <v/>
      </c>
      <c r="R406" s="441">
        <f>IF(OR(L406="Passed",Z406=""),"",P406+Z406)</f>
        <v/>
      </c>
      <c r="S406" s="425">
        <f>IF(OR(R406="",L406="Passed"),"",IF(R406&lt;=TODAY(),"DUE",IF(R406&lt;=TODAY()+3,"Next 3 Days","Later")))</f>
        <v/>
      </c>
      <c r="T406" s="425" t="inlineStr"/>
      <c r="U406" s="426" t="inlineStr">
        <is>
          <t>linkedin.com/in/dpatil</t>
        </is>
      </c>
      <c r="V406" s="426" t="inlineStr"/>
      <c r="W406" s="428" t="inlineStr">
        <is>
          <t xml:space="preserve"> | 12/04/2025 | </t>
        </is>
      </c>
      <c r="X406" s="425" t="inlineStr">
        <is>
          <t>John - Investor Contacts!538</t>
        </is>
      </c>
      <c r="Y406" s="426" t="inlineStr">
        <is>
          <t>Send next follow-up with traction + CTA</t>
        </is>
      </c>
      <c r="Z406" s="425" t="n">
        <v>7</v>
      </c>
      <c r="AA406" s="425">
        <f>IF(AC406="Archived",0,ROUND((IF(N406="Tier 1",35,IF(N406="Tier 2",20,8))+IF(C406="Financial Investor",15,IF(C406="Intermediary / Banker",12,8))+IF(L406="Term Sheet / Proposal",25,IF(L406="Engaged",20,IF(L406="Meeting Requested",18,IF(L406="Meeting Held",14,IF(L406="Follow Up",10,5)))))+MIN(Q406,30)+IF(S406="DUE",15,IF(S406="Next 3 Days",8,0))),0))</f>
        <v/>
      </c>
      <c r="AB406" s="425">
        <f>IF(AND(AC406="Active",OR(N406="Tier 1",N406="Tier 2"),OR(S406="DUE",S406="Next 3 Days")),"YES","")</f>
        <v/>
      </c>
      <c r="AC406" s="425">
        <f>IF(L406="Passed","Archived","Active")</f>
        <v/>
      </c>
    </row>
    <row r="407">
      <c r="A407" s="425" t="inlineStr">
        <is>
          <t>EXOS-0406</t>
        </is>
      </c>
      <c r="B407" s="425" t="inlineStr">
        <is>
          <t>John - Investor Contacts</t>
        </is>
      </c>
      <c r="C407" s="425" t="inlineStr">
        <is>
          <t>Financial Investor</t>
        </is>
      </c>
      <c r="D407" s="425" t="inlineStr">
        <is>
          <t>Great Point Ventures</t>
        </is>
      </c>
      <c r="E407" s="425" t="inlineStr">
        <is>
          <t>David Resnekov</t>
        </is>
      </c>
      <c r="F407" s="425" t="inlineStr"/>
      <c r="G407" s="111" t="inlineStr">
        <is>
          <t>david@gpv.com</t>
        </is>
      </c>
      <c r="H407" s="425" t="inlineStr"/>
      <c r="I407" s="425" t="inlineStr"/>
      <c r="J407" s="425" t="inlineStr"/>
      <c r="K407" s="426" t="inlineStr">
        <is>
          <t>John Quinn</t>
        </is>
      </c>
      <c r="L407" s="426" t="inlineStr">
        <is>
          <t>Follow Up</t>
        </is>
      </c>
      <c r="M407" s="425" t="inlineStr">
        <is>
          <t>Space / Defense / Aerospace / Advanced Manufacturing</t>
        </is>
      </c>
      <c r="N407" s="426" t="inlineStr">
        <is>
          <t>Tier 2</t>
        </is>
      </c>
      <c r="O407" s="441" t="n">
        <v>45895</v>
      </c>
      <c r="P407" s="441" t="n">
        <v>45924</v>
      </c>
      <c r="Q407" s="425">
        <f>IF(P407="","",TODAY()-P407)</f>
        <v/>
      </c>
      <c r="R407" s="441">
        <f>IF(OR(L407="Passed",Z407=""),"",P407+Z407)</f>
        <v/>
      </c>
      <c r="S407" s="425">
        <f>IF(OR(R407="",L407="Passed"),"",IF(R407&lt;=TODAY(),"DUE",IF(R407&lt;=TODAY()+3,"Next 3 Days","Later")))</f>
        <v/>
      </c>
      <c r="T407" s="425" t="inlineStr"/>
      <c r="U407" s="426" t="inlineStr">
        <is>
          <t>linkedin.com/in/david-resnekov</t>
        </is>
      </c>
      <c r="V407" s="426" t="inlineStr"/>
      <c r="W407" s="428" t="inlineStr">
        <is>
          <t xml:space="preserve"> | 12/04/2025 | </t>
        </is>
      </c>
      <c r="X407" s="425" t="inlineStr">
        <is>
          <t>John - Investor Contacts!537</t>
        </is>
      </c>
      <c r="Y407" s="426" t="inlineStr">
        <is>
          <t>Send next follow-up with traction + CTA</t>
        </is>
      </c>
      <c r="Z407" s="425" t="n">
        <v>7</v>
      </c>
      <c r="AA407" s="425">
        <f>IF(AC407="Archived",0,ROUND((IF(N407="Tier 1",35,IF(N407="Tier 2",20,8))+IF(C407="Financial Investor",15,IF(C407="Intermediary / Banker",12,8))+IF(L407="Term Sheet / Proposal",25,IF(L407="Engaged",20,IF(L407="Meeting Requested",18,IF(L407="Meeting Held",14,IF(L407="Follow Up",10,5)))))+MIN(Q407,30)+IF(S407="DUE",15,IF(S407="Next 3 Days",8,0))),0))</f>
        <v/>
      </c>
      <c r="AB407" s="425">
        <f>IF(AND(AC407="Active",OR(N407="Tier 1",N407="Tier 2"),OR(S407="DUE",S407="Next 3 Days")),"YES","")</f>
        <v/>
      </c>
      <c r="AC407" s="425">
        <f>IF(L407="Passed","Archived","Active")</f>
        <v/>
      </c>
    </row>
    <row r="408">
      <c r="A408" s="425" t="inlineStr">
        <is>
          <t>EXOS-0407</t>
        </is>
      </c>
      <c r="B408" s="425" t="inlineStr">
        <is>
          <t>John - Investor Contacts</t>
        </is>
      </c>
      <c r="C408" s="425" t="inlineStr">
        <is>
          <t>Financial Investor</t>
        </is>
      </c>
      <c r="D408" s="425" t="inlineStr">
        <is>
          <t>Great Point Ventures</t>
        </is>
      </c>
      <c r="E408" s="425" t="inlineStr">
        <is>
          <t>Joseph Tuchman</t>
        </is>
      </c>
      <c r="F408" s="425" t="inlineStr"/>
      <c r="G408" s="111" t="inlineStr">
        <is>
          <t>joseph@gpv.com</t>
        </is>
      </c>
      <c r="H408" s="425" t="inlineStr"/>
      <c r="I408" s="425" t="inlineStr"/>
      <c r="J408" s="425" t="inlineStr"/>
      <c r="K408" s="426" t="inlineStr">
        <is>
          <t>John Quinn</t>
        </is>
      </c>
      <c r="L408" s="426" t="inlineStr">
        <is>
          <t>Follow Up</t>
        </is>
      </c>
      <c r="M408" s="425" t="inlineStr">
        <is>
          <t>Space / Defense / Aerospace / Advanced Manufacturing</t>
        </is>
      </c>
      <c r="N408" s="426" t="inlineStr">
        <is>
          <t>Tier 2</t>
        </is>
      </c>
      <c r="O408" s="441" t="n">
        <v>45895</v>
      </c>
      <c r="P408" s="441" t="n">
        <v>45924</v>
      </c>
      <c r="Q408" s="425">
        <f>IF(P408="","",TODAY()-P408)</f>
        <v/>
      </c>
      <c r="R408" s="441">
        <f>IF(OR(L408="Passed",Z408=""),"",P408+Z408)</f>
        <v/>
      </c>
      <c r="S408" s="425">
        <f>IF(OR(R408="",L408="Passed"),"",IF(R408&lt;=TODAY(),"DUE",IF(R408&lt;=TODAY()+3,"Next 3 Days","Later")))</f>
        <v/>
      </c>
      <c r="T408" s="425" t="inlineStr"/>
      <c r="U408" s="426" t="inlineStr">
        <is>
          <t>linkedin.com/in/jtuchman</t>
        </is>
      </c>
      <c r="V408" s="426" t="inlineStr"/>
      <c r="W408" s="428" t="inlineStr">
        <is>
          <t xml:space="preserve"> | 12/04/2025 | </t>
        </is>
      </c>
      <c r="X408" s="425" t="inlineStr">
        <is>
          <t>John - Investor Contacts!540</t>
        </is>
      </c>
      <c r="Y408" s="426" t="inlineStr">
        <is>
          <t>Send next follow-up with traction + CTA</t>
        </is>
      </c>
      <c r="Z408" s="425" t="n">
        <v>7</v>
      </c>
      <c r="AA408" s="425">
        <f>IF(AC408="Archived",0,ROUND((IF(N408="Tier 1",35,IF(N408="Tier 2",20,8))+IF(C408="Financial Investor",15,IF(C408="Intermediary / Banker",12,8))+IF(L408="Term Sheet / Proposal",25,IF(L408="Engaged",20,IF(L408="Meeting Requested",18,IF(L408="Meeting Held",14,IF(L408="Follow Up",10,5)))))+MIN(Q408,30)+IF(S408="DUE",15,IF(S408="Next 3 Days",8,0))),0))</f>
        <v/>
      </c>
      <c r="AB408" s="425">
        <f>IF(AND(AC408="Active",OR(N408="Tier 1",N408="Tier 2"),OR(S408="DUE",S408="Next 3 Days")),"YES","")</f>
        <v/>
      </c>
      <c r="AC408" s="425">
        <f>IF(L408="Passed","Archived","Active")</f>
        <v/>
      </c>
    </row>
    <row r="409">
      <c r="A409" s="425" t="inlineStr">
        <is>
          <t>EXOS-0408</t>
        </is>
      </c>
      <c r="B409" s="425" t="inlineStr">
        <is>
          <t>John - Investor Contacts</t>
        </is>
      </c>
      <c r="C409" s="425" t="inlineStr">
        <is>
          <t>Financial Investor</t>
        </is>
      </c>
      <c r="D409" s="425" t="inlineStr">
        <is>
          <t>Greenfield Partners</t>
        </is>
      </c>
      <c r="E409" s="425" t="inlineStr">
        <is>
          <t>Avery Schwartz</t>
        </is>
      </c>
      <c r="F409" s="425" t="inlineStr"/>
      <c r="G409" s="111" t="inlineStr">
        <is>
          <t>avery@greenfield-growth.com</t>
        </is>
      </c>
      <c r="H409" s="425" t="inlineStr"/>
      <c r="I409" s="425" t="inlineStr"/>
      <c r="J409" s="425" t="inlineStr"/>
      <c r="K409" s="426" t="inlineStr">
        <is>
          <t>John Quinn</t>
        </is>
      </c>
      <c r="L409" s="426" t="inlineStr">
        <is>
          <t>Follow Up</t>
        </is>
      </c>
      <c r="M409" s="425" t="inlineStr">
        <is>
          <t>Space / Defense / Aerospace / Advanced Manufacturing</t>
        </is>
      </c>
      <c r="N409" s="426" t="inlineStr">
        <is>
          <t>Tier 2</t>
        </is>
      </c>
      <c r="O409" s="441" t="n">
        <v>45951</v>
      </c>
      <c r="P409" s="441" t="n">
        <v>45973</v>
      </c>
      <c r="Q409" s="425">
        <f>IF(P409="","",TODAY()-P409)</f>
        <v/>
      </c>
      <c r="R409" s="441">
        <f>IF(OR(L409="Passed",Z409=""),"",P409+Z409)</f>
        <v/>
      </c>
      <c r="S409" s="425">
        <f>IF(OR(R409="",L409="Passed"),"",IF(R409&lt;=TODAY(),"DUE",IF(R409&lt;=TODAY()+3,"Next 3 Days","Later")))</f>
        <v/>
      </c>
      <c r="T409" s="425" t="inlineStr"/>
      <c r="U409" s="426" t="inlineStr">
        <is>
          <t>linkedin.com/in/avery-e-schwartz</t>
        </is>
      </c>
      <c r="V409" s="426" t="inlineStr"/>
      <c r="W409" s="428" t="inlineStr">
        <is>
          <t xml:space="preserve"> | 12/30/2025 | </t>
        </is>
      </c>
      <c r="X409" s="425" t="inlineStr">
        <is>
          <t>John - Investor Contacts!780</t>
        </is>
      </c>
      <c r="Y409" s="426" t="inlineStr">
        <is>
          <t>Send next follow-up with traction + CTA</t>
        </is>
      </c>
      <c r="Z409" s="425" t="n">
        <v>7</v>
      </c>
      <c r="AA409" s="425">
        <f>IF(AC409="Archived",0,ROUND((IF(N409="Tier 1",35,IF(N409="Tier 2",20,8))+IF(C409="Financial Investor",15,IF(C409="Intermediary / Banker",12,8))+IF(L409="Term Sheet / Proposal",25,IF(L409="Engaged",20,IF(L409="Meeting Requested",18,IF(L409="Meeting Held",14,IF(L409="Follow Up",10,5)))))+MIN(Q409,30)+IF(S409="DUE",15,IF(S409="Next 3 Days",8,0))),0))</f>
        <v/>
      </c>
      <c r="AB409" s="425">
        <f>IF(AND(AC409="Active",OR(N409="Tier 1",N409="Tier 2"),OR(S409="DUE",S409="Next 3 Days")),"YES","")</f>
        <v/>
      </c>
      <c r="AC409" s="425">
        <f>IF(L409="Passed","Archived","Active")</f>
        <v/>
      </c>
    </row>
    <row r="410">
      <c r="A410" s="425" t="inlineStr">
        <is>
          <t>EXOS-0409</t>
        </is>
      </c>
      <c r="B410" s="425" t="inlineStr">
        <is>
          <t>John - Investor Contacts</t>
        </is>
      </c>
      <c r="C410" s="425" t="inlineStr">
        <is>
          <t>Financial Investor</t>
        </is>
      </c>
      <c r="D410" s="425" t="inlineStr">
        <is>
          <t>Greenfield Partners</t>
        </is>
      </c>
      <c r="E410" s="425" t="inlineStr">
        <is>
          <t>Nir Goldstein</t>
        </is>
      </c>
      <c r="F410" s="425" t="inlineStr"/>
      <c r="G410" s="111" t="inlineStr">
        <is>
          <t>nir@greenfield-growth.com</t>
        </is>
      </c>
      <c r="H410" s="425" t="inlineStr"/>
      <c r="I410" s="425" t="inlineStr"/>
      <c r="J410" s="111" t="inlineStr">
        <is>
          <t>https://www.linkedin.com/in/goldsteinnir/</t>
        </is>
      </c>
      <c r="K410" s="426" t="inlineStr">
        <is>
          <t>John Quinn</t>
        </is>
      </c>
      <c r="L410" s="426" t="inlineStr">
        <is>
          <t>Follow Up</t>
        </is>
      </c>
      <c r="M410" s="425" t="inlineStr">
        <is>
          <t>Space / Defense / Aerospace / Advanced Manufacturing</t>
        </is>
      </c>
      <c r="N410" s="426" t="inlineStr">
        <is>
          <t>Tier 2</t>
        </is>
      </c>
      <c r="O410" s="441" t="n">
        <v>45951</v>
      </c>
      <c r="P410" s="441" t="n">
        <v>45973</v>
      </c>
      <c r="Q410" s="425">
        <f>IF(P410="","",TODAY()-P410)</f>
        <v/>
      </c>
      <c r="R410" s="441">
        <f>IF(OR(L410="Passed",Z410=""),"",P410+Z410)</f>
        <v/>
      </c>
      <c r="S410" s="425">
        <f>IF(OR(R410="",L410="Passed"),"",IF(R410&lt;=TODAY(),"DUE",IF(R410&lt;=TODAY()+3,"Next 3 Days","Later")))</f>
        <v/>
      </c>
      <c r="T410" s="425" t="inlineStr"/>
      <c r="U410" s="426" t="inlineStr">
        <is>
          <t>https://www.linkedin.com/in/goldsteinnir/</t>
        </is>
      </c>
      <c r="V410" s="426" t="inlineStr"/>
      <c r="W410" s="428" t="inlineStr">
        <is>
          <t xml:space="preserve"> | 12/30/2025 | </t>
        </is>
      </c>
      <c r="X410" s="425" t="inlineStr">
        <is>
          <t>John - Investor Contacts!781</t>
        </is>
      </c>
      <c r="Y410" s="426" t="inlineStr">
        <is>
          <t>Send next follow-up with traction + CTA</t>
        </is>
      </c>
      <c r="Z410" s="425" t="n">
        <v>7</v>
      </c>
      <c r="AA410" s="425">
        <f>IF(AC410="Archived",0,ROUND((IF(N410="Tier 1",35,IF(N410="Tier 2",20,8))+IF(C410="Financial Investor",15,IF(C410="Intermediary / Banker",12,8))+IF(L410="Term Sheet / Proposal",25,IF(L410="Engaged",20,IF(L410="Meeting Requested",18,IF(L410="Meeting Held",14,IF(L410="Follow Up",10,5)))))+MIN(Q410,30)+IF(S410="DUE",15,IF(S410="Next 3 Days",8,0))),0))</f>
        <v/>
      </c>
      <c r="AB410" s="425">
        <f>IF(AND(AC410="Active",OR(N410="Tier 1",N410="Tier 2"),OR(S410="DUE",S410="Next 3 Days")),"YES","")</f>
        <v/>
      </c>
      <c r="AC410" s="425">
        <f>IF(L410="Passed","Archived","Active")</f>
        <v/>
      </c>
    </row>
    <row r="411">
      <c r="A411" s="425" t="inlineStr">
        <is>
          <t>EXOS-0410</t>
        </is>
      </c>
      <c r="B411" s="425" t="inlineStr">
        <is>
          <t>John - Investor Contacts</t>
        </is>
      </c>
      <c r="C411" s="425" t="inlineStr">
        <is>
          <t>Financial Investor</t>
        </is>
      </c>
      <c r="D411" s="425" t="inlineStr">
        <is>
          <t>Greenfield Partners</t>
        </is>
      </c>
      <c r="E411" s="425" t="inlineStr">
        <is>
          <t>Raz Mangel</t>
        </is>
      </c>
      <c r="F411" s="425" t="inlineStr"/>
      <c r="G411" s="111" t="inlineStr">
        <is>
          <t>raz@greenfield-growth.com</t>
        </is>
      </c>
      <c r="H411" s="425" t="inlineStr"/>
      <c r="I411" s="425" t="inlineStr"/>
      <c r="J411" s="425" t="inlineStr"/>
      <c r="K411" s="426" t="inlineStr">
        <is>
          <t>John Quinn</t>
        </is>
      </c>
      <c r="L411" s="426" t="inlineStr">
        <is>
          <t>Follow Up</t>
        </is>
      </c>
      <c r="M411" s="425" t="inlineStr">
        <is>
          <t>Space / Defense / Aerospace / Advanced Manufacturing</t>
        </is>
      </c>
      <c r="N411" s="426" t="inlineStr">
        <is>
          <t>Tier 2</t>
        </is>
      </c>
      <c r="O411" s="441" t="n">
        <v>45951</v>
      </c>
      <c r="P411" s="441" t="n">
        <v>45973</v>
      </c>
      <c r="Q411" s="425">
        <f>IF(P411="","",TODAY()-P411)</f>
        <v/>
      </c>
      <c r="R411" s="441">
        <f>IF(OR(L411="Passed",Z411=""),"",P411+Z411)</f>
        <v/>
      </c>
      <c r="S411" s="425">
        <f>IF(OR(R411="",L411="Passed"),"",IF(R411&lt;=TODAY(),"DUE",IF(R411&lt;=TODAY()+3,"Next 3 Days","Later")))</f>
        <v/>
      </c>
      <c r="T411" s="425" t="inlineStr"/>
      <c r="U411" s="426" t="inlineStr">
        <is>
          <t>linkedin.com/in/raz-mangel</t>
        </is>
      </c>
      <c r="V411" s="426" t="inlineStr"/>
      <c r="W411" s="428" t="inlineStr">
        <is>
          <t xml:space="preserve"> | 12/30/2025 | </t>
        </is>
      </c>
      <c r="X411" s="425" t="inlineStr">
        <is>
          <t>John - Investor Contacts!779</t>
        </is>
      </c>
      <c r="Y411" s="426" t="inlineStr">
        <is>
          <t>Send next follow-up with traction + CTA</t>
        </is>
      </c>
      <c r="Z411" s="425" t="n">
        <v>7</v>
      </c>
      <c r="AA411" s="425">
        <f>IF(AC411="Archived",0,ROUND((IF(N411="Tier 1",35,IF(N411="Tier 2",20,8))+IF(C411="Financial Investor",15,IF(C411="Intermediary / Banker",12,8))+IF(L411="Term Sheet / Proposal",25,IF(L411="Engaged",20,IF(L411="Meeting Requested",18,IF(L411="Meeting Held",14,IF(L411="Follow Up",10,5)))))+MIN(Q411,30)+IF(S411="DUE",15,IF(S411="Next 3 Days",8,0))),0))</f>
        <v/>
      </c>
      <c r="AB411" s="425">
        <f>IF(AND(AC411="Active",OR(N411="Tier 1",N411="Tier 2"),OR(S411="DUE",S411="Next 3 Days")),"YES","")</f>
        <v/>
      </c>
      <c r="AC411" s="425">
        <f>IF(L411="Passed","Archived","Active")</f>
        <v/>
      </c>
    </row>
    <row r="412">
      <c r="A412" s="425" t="inlineStr">
        <is>
          <t>EXOS-0411</t>
        </is>
      </c>
      <c r="B412" s="425" t="inlineStr">
        <is>
          <t>John - Investor Contacts</t>
        </is>
      </c>
      <c r="C412" s="425" t="inlineStr">
        <is>
          <t>Financial Investor</t>
        </is>
      </c>
      <c r="D412" s="425" t="inlineStr">
        <is>
          <t>Greenfield Partners</t>
        </is>
      </c>
      <c r="E412" s="425" t="inlineStr">
        <is>
          <t>Shay Grinfeld</t>
        </is>
      </c>
      <c r="F412" s="425" t="inlineStr"/>
      <c r="G412" s="111" t="inlineStr">
        <is>
          <t>shay@greenfield-growth.com</t>
        </is>
      </c>
      <c r="H412" s="425" t="inlineStr"/>
      <c r="I412" s="425" t="inlineStr"/>
      <c r="J412" s="425" t="inlineStr"/>
      <c r="K412" s="426" t="inlineStr">
        <is>
          <t>John Quinn</t>
        </is>
      </c>
      <c r="L412" s="426" t="inlineStr">
        <is>
          <t>Follow Up</t>
        </is>
      </c>
      <c r="M412" s="425" t="inlineStr">
        <is>
          <t>Space / Defense / Aerospace / Advanced Manufacturing</t>
        </is>
      </c>
      <c r="N412" s="426" t="inlineStr">
        <is>
          <t>Tier 2</t>
        </is>
      </c>
      <c r="O412" s="441" t="n">
        <v>45951</v>
      </c>
      <c r="P412" s="441" t="n">
        <v>45973</v>
      </c>
      <c r="Q412" s="425">
        <f>IF(P412="","",TODAY()-P412)</f>
        <v/>
      </c>
      <c r="R412" s="441">
        <f>IF(OR(L412="Passed",Z412=""),"",P412+Z412)</f>
        <v/>
      </c>
      <c r="S412" s="425">
        <f>IF(OR(R412="",L412="Passed"),"",IF(R412&lt;=TODAY(),"DUE",IF(R412&lt;=TODAY()+3,"Next 3 Days","Later")))</f>
        <v/>
      </c>
      <c r="T412" s="425" t="inlineStr"/>
      <c r="U412" s="426" t="inlineStr">
        <is>
          <t>linkedin.com/in/shaygrinfeld</t>
        </is>
      </c>
      <c r="V412" s="426" t="inlineStr"/>
      <c r="W412" s="428" t="inlineStr">
        <is>
          <t xml:space="preserve"> | 12/30/2025 | </t>
        </is>
      </c>
      <c r="X412" s="425" t="inlineStr">
        <is>
          <t>John - Investor Contacts!783</t>
        </is>
      </c>
      <c r="Y412" s="426" t="inlineStr">
        <is>
          <t>Send next follow-up with traction + CTA</t>
        </is>
      </c>
      <c r="Z412" s="425" t="n">
        <v>7</v>
      </c>
      <c r="AA412" s="425">
        <f>IF(AC412="Archived",0,ROUND((IF(N412="Tier 1",35,IF(N412="Tier 2",20,8))+IF(C412="Financial Investor",15,IF(C412="Intermediary / Banker",12,8))+IF(L412="Term Sheet / Proposal",25,IF(L412="Engaged",20,IF(L412="Meeting Requested",18,IF(L412="Meeting Held",14,IF(L412="Follow Up",10,5)))))+MIN(Q412,30)+IF(S412="DUE",15,IF(S412="Next 3 Days",8,0))),0))</f>
        <v/>
      </c>
      <c r="AB412" s="425">
        <f>IF(AND(AC412="Active",OR(N412="Tier 1",N412="Tier 2"),OR(S412="DUE",S412="Next 3 Days")),"YES","")</f>
        <v/>
      </c>
      <c r="AC412" s="425">
        <f>IF(L412="Passed","Archived","Active")</f>
        <v/>
      </c>
    </row>
    <row r="413">
      <c r="A413" s="425" t="inlineStr">
        <is>
          <t>EXOS-0412</t>
        </is>
      </c>
      <c r="B413" s="425" t="inlineStr">
        <is>
          <t>John - Investor Contacts</t>
        </is>
      </c>
      <c r="C413" s="425" t="inlineStr">
        <is>
          <t>Financial Investor</t>
        </is>
      </c>
      <c r="D413" s="425" t="inlineStr">
        <is>
          <t>Greenfield Partners</t>
        </is>
      </c>
      <c r="E413" s="425" t="inlineStr">
        <is>
          <t>Yuda Doron</t>
        </is>
      </c>
      <c r="F413" s="425" t="inlineStr"/>
      <c r="G413" s="111" t="inlineStr">
        <is>
          <t>yuda@greenfield-growth.com</t>
        </is>
      </c>
      <c r="H413" s="425" t="inlineStr"/>
      <c r="I413" s="425" t="inlineStr"/>
      <c r="J413" s="425" t="inlineStr"/>
      <c r="K413" s="426" t="inlineStr">
        <is>
          <t>John Quinn</t>
        </is>
      </c>
      <c r="L413" s="426" t="inlineStr">
        <is>
          <t>Follow Up</t>
        </is>
      </c>
      <c r="M413" s="425" t="inlineStr">
        <is>
          <t>Space / Defense / Aerospace / Advanced Manufacturing</t>
        </is>
      </c>
      <c r="N413" s="426" t="inlineStr">
        <is>
          <t>Tier 2</t>
        </is>
      </c>
      <c r="O413" s="441" t="n">
        <v>45951</v>
      </c>
      <c r="P413" s="441" t="n">
        <v>45973</v>
      </c>
      <c r="Q413" s="425">
        <f>IF(P413="","",TODAY()-P413)</f>
        <v/>
      </c>
      <c r="R413" s="441">
        <f>IF(OR(L413="Passed",Z413=""),"",P413+Z413)</f>
        <v/>
      </c>
      <c r="S413" s="425">
        <f>IF(OR(R413="",L413="Passed"),"",IF(R413&lt;=TODAY(),"DUE",IF(R413&lt;=TODAY()+3,"Next 3 Days","Later")))</f>
        <v/>
      </c>
      <c r="T413" s="425" t="inlineStr"/>
      <c r="U413" s="426" t="inlineStr">
        <is>
          <t>linkedin.com/in/yuda-doron-05491656</t>
        </is>
      </c>
      <c r="V413" s="426" t="inlineStr"/>
      <c r="W413" s="428" t="inlineStr">
        <is>
          <t xml:space="preserve"> | 12/30/2025 | </t>
        </is>
      </c>
      <c r="X413" s="425" t="inlineStr">
        <is>
          <t>John - Investor Contacts!782</t>
        </is>
      </c>
      <c r="Y413" s="426" t="inlineStr">
        <is>
          <t>Send next follow-up with traction + CTA</t>
        </is>
      </c>
      <c r="Z413" s="425" t="n">
        <v>7</v>
      </c>
      <c r="AA413" s="425">
        <f>IF(AC413="Archived",0,ROUND((IF(N413="Tier 1",35,IF(N413="Tier 2",20,8))+IF(C413="Financial Investor",15,IF(C413="Intermediary / Banker",12,8))+IF(L413="Term Sheet / Proposal",25,IF(L413="Engaged",20,IF(L413="Meeting Requested",18,IF(L413="Meeting Held",14,IF(L413="Follow Up",10,5)))))+MIN(Q413,30)+IF(S413="DUE",15,IF(S413="Next 3 Days",8,0))),0))</f>
        <v/>
      </c>
      <c r="AB413" s="425">
        <f>IF(AND(AC413="Active",OR(N413="Tier 1",N413="Tier 2"),OR(S413="DUE",S413="Next 3 Days")),"YES","")</f>
        <v/>
      </c>
      <c r="AC413" s="425">
        <f>IF(L413="Passed","Archived","Active")</f>
        <v/>
      </c>
    </row>
    <row r="414">
      <c r="A414" s="425" t="inlineStr">
        <is>
          <t>EXOS-0413</t>
        </is>
      </c>
      <c r="B414" s="425" t="inlineStr">
        <is>
          <t>John - Investor Contacts</t>
        </is>
      </c>
      <c r="C414" s="425" t="inlineStr">
        <is>
          <t>Financial Investor</t>
        </is>
      </c>
      <c r="D414" s="425" t="inlineStr">
        <is>
          <t>Greylock Partners</t>
        </is>
      </c>
      <c r="E414" s="425" t="inlineStr">
        <is>
          <t>Asheem Chandna</t>
        </is>
      </c>
      <c r="F414" s="425" t="inlineStr"/>
      <c r="G414" s="111" t="inlineStr">
        <is>
          <t>achandna@greylock.com</t>
        </is>
      </c>
      <c r="H414" s="425" t="inlineStr"/>
      <c r="I414" s="425" t="inlineStr"/>
      <c r="J414" s="111" t="inlineStr">
        <is>
          <t>https://www.linkedin.com/in/chandna/</t>
        </is>
      </c>
      <c r="K414" s="426" t="inlineStr">
        <is>
          <t>John Quinn</t>
        </is>
      </c>
      <c r="L414" s="426" t="inlineStr">
        <is>
          <t>Follow Up</t>
        </is>
      </c>
      <c r="M414" s="425" t="inlineStr">
        <is>
          <t>Space / Defense / Aerospace / Advanced Manufacturing</t>
        </is>
      </c>
      <c r="N414" s="426" t="inlineStr">
        <is>
          <t>Tier 2</t>
        </is>
      </c>
      <c r="O414" s="441" t="n">
        <v>45792</v>
      </c>
      <c r="P414" s="441" t="n">
        <v>45841</v>
      </c>
      <c r="Q414" s="425">
        <f>IF(P414="","",TODAY()-P414)</f>
        <v/>
      </c>
      <c r="R414" s="441">
        <f>IF(OR(L414="Passed",Z414=""),"",P414+Z414)</f>
        <v/>
      </c>
      <c r="S414" s="425">
        <f>IF(OR(R414="",L414="Passed"),"",IF(R414&lt;=TODAY(),"DUE",IF(R414&lt;=TODAY()+3,"Next 3 Days","Later")))</f>
        <v/>
      </c>
      <c r="T414" s="425" t="inlineStr"/>
      <c r="U414" s="426" t="inlineStr">
        <is>
          <t>https://www.linkedin.com/in/chandna/</t>
        </is>
      </c>
      <c r="V414" s="426" t="inlineStr"/>
      <c r="W414" s="428" t="inlineStr">
        <is>
          <t xml:space="preserve"> |  | </t>
        </is>
      </c>
      <c r="X414" s="425" t="inlineStr">
        <is>
          <t>John - Investor Contacts!25</t>
        </is>
      </c>
      <c r="Y414" s="426" t="inlineStr">
        <is>
          <t>Send next follow-up with traction + CTA</t>
        </is>
      </c>
      <c r="Z414" s="425" t="n">
        <v>7</v>
      </c>
      <c r="AA414" s="425">
        <f>IF(AC414="Archived",0,ROUND((IF(N414="Tier 1",35,IF(N414="Tier 2",20,8))+IF(C414="Financial Investor",15,IF(C414="Intermediary / Banker",12,8))+IF(L414="Term Sheet / Proposal",25,IF(L414="Engaged",20,IF(L414="Meeting Requested",18,IF(L414="Meeting Held",14,IF(L414="Follow Up",10,5)))))+MIN(Q414,30)+IF(S414="DUE",15,IF(S414="Next 3 Days",8,0))),0))</f>
        <v/>
      </c>
      <c r="AB414" s="425">
        <f>IF(AND(AC414="Active",OR(N414="Tier 1",N414="Tier 2"),OR(S414="DUE",S414="Next 3 Days")),"YES","")</f>
        <v/>
      </c>
      <c r="AC414" s="425">
        <f>IF(L414="Passed","Archived","Active")</f>
        <v/>
      </c>
    </row>
    <row r="415">
      <c r="A415" s="425" t="inlineStr">
        <is>
          <t>EXOS-0414</t>
        </is>
      </c>
      <c r="B415" s="425" t="inlineStr">
        <is>
          <t>John - Investor Contacts</t>
        </is>
      </c>
      <c r="C415" s="425" t="inlineStr">
        <is>
          <t>Financial Investor</t>
        </is>
      </c>
      <c r="D415" s="425" t="inlineStr">
        <is>
          <t>Greylock Partners</t>
        </is>
      </c>
      <c r="E415" s="425" t="inlineStr">
        <is>
          <t>Corinne Riley</t>
        </is>
      </c>
      <c r="F415" s="425" t="inlineStr"/>
      <c r="G415" s="111" t="inlineStr">
        <is>
          <t>criley@greylock.com</t>
        </is>
      </c>
      <c r="H415" s="425" t="inlineStr"/>
      <c r="I415" s="425" t="inlineStr"/>
      <c r="J415" s="111" t="inlineStr">
        <is>
          <t>https://www.linkedin.com/in/corinne-marie-riley/</t>
        </is>
      </c>
      <c r="K415" s="426" t="inlineStr">
        <is>
          <t>John Quinn</t>
        </is>
      </c>
      <c r="L415" s="426" t="inlineStr">
        <is>
          <t>Follow Up</t>
        </is>
      </c>
      <c r="M415" s="425" t="inlineStr">
        <is>
          <t>Space / Defense / Aerospace / Advanced Manufacturing</t>
        </is>
      </c>
      <c r="N415" s="426" t="inlineStr">
        <is>
          <t>Tier 2</t>
        </is>
      </c>
      <c r="O415" s="441" t="n">
        <v>45792</v>
      </c>
      <c r="P415" s="441" t="n">
        <v>45841</v>
      </c>
      <c r="Q415" s="425">
        <f>IF(P415="","",TODAY()-P415)</f>
        <v/>
      </c>
      <c r="R415" s="441">
        <f>IF(OR(L415="Passed",Z415=""),"",P415+Z415)</f>
        <v/>
      </c>
      <c r="S415" s="425">
        <f>IF(OR(R415="",L415="Passed"),"",IF(R415&lt;=TODAY(),"DUE",IF(R415&lt;=TODAY()+3,"Next 3 Days","Later")))</f>
        <v/>
      </c>
      <c r="T415" s="425" t="inlineStr"/>
      <c r="U415" s="426" t="inlineStr">
        <is>
          <t>https://www.linkedin.com/in/corinne-marie-riley/</t>
        </is>
      </c>
      <c r="V415" s="426" t="inlineStr"/>
      <c r="W415" s="428" t="inlineStr">
        <is>
          <t xml:space="preserve"> |  | </t>
        </is>
      </c>
      <c r="X415" s="425" t="inlineStr">
        <is>
          <t>John - Investor Contacts!24</t>
        </is>
      </c>
      <c r="Y415" s="426" t="inlineStr">
        <is>
          <t>Send next follow-up with traction + CTA</t>
        </is>
      </c>
      <c r="Z415" s="425" t="n">
        <v>7</v>
      </c>
      <c r="AA415" s="425">
        <f>IF(AC415="Archived",0,ROUND((IF(N415="Tier 1",35,IF(N415="Tier 2",20,8))+IF(C415="Financial Investor",15,IF(C415="Intermediary / Banker",12,8))+IF(L415="Term Sheet / Proposal",25,IF(L415="Engaged",20,IF(L415="Meeting Requested",18,IF(L415="Meeting Held",14,IF(L415="Follow Up",10,5)))))+MIN(Q415,30)+IF(S415="DUE",15,IF(S415="Next 3 Days",8,0))),0))</f>
        <v/>
      </c>
      <c r="AB415" s="425">
        <f>IF(AND(AC415="Active",OR(N415="Tier 1",N415="Tier 2"),OR(S415="DUE",S415="Next 3 Days")),"YES","")</f>
        <v/>
      </c>
      <c r="AC415" s="425">
        <f>IF(L415="Passed","Archived","Active")</f>
        <v/>
      </c>
    </row>
    <row r="416">
      <c r="A416" s="425" t="inlineStr">
        <is>
          <t>EXOS-0415</t>
        </is>
      </c>
      <c r="B416" s="425" t="inlineStr">
        <is>
          <t>John - Investor Contacts</t>
        </is>
      </c>
      <c r="C416" s="425" t="inlineStr">
        <is>
          <t>Financial Investor</t>
        </is>
      </c>
      <c r="D416" s="425" t="inlineStr">
        <is>
          <t>Greylock Partners</t>
        </is>
      </c>
      <c r="E416" s="425" t="inlineStr">
        <is>
          <t>Jerry Chen</t>
        </is>
      </c>
      <c r="F416" s="425" t="inlineStr"/>
      <c r="G416" s="111" t="inlineStr">
        <is>
          <t>jchen@greylock.com</t>
        </is>
      </c>
      <c r="H416" s="425" t="inlineStr"/>
      <c r="I416" s="425" t="inlineStr"/>
      <c r="J416" s="111" t="inlineStr">
        <is>
          <t>https://www.linkedin.com/in/jerrychenprofile/</t>
        </is>
      </c>
      <c r="K416" s="426" t="inlineStr">
        <is>
          <t>John Quinn</t>
        </is>
      </c>
      <c r="L416" s="426" t="inlineStr">
        <is>
          <t>Follow Up</t>
        </is>
      </c>
      <c r="M416" s="425" t="inlineStr">
        <is>
          <t>Space / Defense / Aerospace / Advanced Manufacturing</t>
        </is>
      </c>
      <c r="N416" s="426" t="inlineStr">
        <is>
          <t>Tier 2</t>
        </is>
      </c>
      <c r="O416" s="441" t="n">
        <v>45792</v>
      </c>
      <c r="P416" s="441" t="n">
        <v>45841</v>
      </c>
      <c r="Q416" s="425">
        <f>IF(P416="","",TODAY()-P416)</f>
        <v/>
      </c>
      <c r="R416" s="441">
        <f>IF(OR(L416="Passed",Z416=""),"",P416+Z416)</f>
        <v/>
      </c>
      <c r="S416" s="425">
        <f>IF(OR(R416="",L416="Passed"),"",IF(R416&lt;=TODAY(),"DUE",IF(R416&lt;=TODAY()+3,"Next 3 Days","Later")))</f>
        <v/>
      </c>
      <c r="T416" s="425" t="inlineStr"/>
      <c r="U416" s="426" t="inlineStr">
        <is>
          <t>https://www.linkedin.com/in/jerrychenprofile/</t>
        </is>
      </c>
      <c r="V416" s="426" t="inlineStr"/>
      <c r="W416" s="428" t="inlineStr">
        <is>
          <t xml:space="preserve"> |  | </t>
        </is>
      </c>
      <c r="X416" s="425" t="inlineStr">
        <is>
          <t>John - Investor Contacts!26</t>
        </is>
      </c>
      <c r="Y416" s="426" t="inlineStr">
        <is>
          <t>Send next follow-up with traction + CTA</t>
        </is>
      </c>
      <c r="Z416" s="425" t="n">
        <v>7</v>
      </c>
      <c r="AA416" s="425">
        <f>IF(AC416="Archived",0,ROUND((IF(N416="Tier 1",35,IF(N416="Tier 2",20,8))+IF(C416="Financial Investor",15,IF(C416="Intermediary / Banker",12,8))+IF(L416="Term Sheet / Proposal",25,IF(L416="Engaged",20,IF(L416="Meeting Requested",18,IF(L416="Meeting Held",14,IF(L416="Follow Up",10,5)))))+MIN(Q416,30)+IF(S416="DUE",15,IF(S416="Next 3 Days",8,0))),0))</f>
        <v/>
      </c>
      <c r="AB416" s="425">
        <f>IF(AND(AC416="Active",OR(N416="Tier 1",N416="Tier 2"),OR(S416="DUE",S416="Next 3 Days")),"YES","")</f>
        <v/>
      </c>
      <c r="AC416" s="425">
        <f>IF(L416="Passed","Archived","Active")</f>
        <v/>
      </c>
    </row>
    <row r="417">
      <c r="A417" s="425" t="inlineStr">
        <is>
          <t>EXOS-0416</t>
        </is>
      </c>
      <c r="B417" s="425" t="inlineStr">
        <is>
          <t>John - Investor Contacts</t>
        </is>
      </c>
      <c r="C417" s="425" t="inlineStr">
        <is>
          <t>Financial Investor</t>
        </is>
      </c>
      <c r="D417" s="425" t="inlineStr">
        <is>
          <t>Greylock Partners</t>
        </is>
      </c>
      <c r="E417" s="425" t="inlineStr">
        <is>
          <t>Seth Rosenberg</t>
        </is>
      </c>
      <c r="F417" s="425" t="inlineStr"/>
      <c r="G417" s="111" t="inlineStr">
        <is>
          <t>srosenberg@greylock.com</t>
        </is>
      </c>
      <c r="H417" s="425" t="inlineStr"/>
      <c r="I417" s="425" t="inlineStr"/>
      <c r="J417" s="111" t="inlineStr">
        <is>
          <t>https://www.linkedin.com/in/sethgrosenberg/</t>
        </is>
      </c>
      <c r="K417" s="426" t="inlineStr">
        <is>
          <t>John Quinn</t>
        </is>
      </c>
      <c r="L417" s="426" t="inlineStr">
        <is>
          <t>Follow Up</t>
        </is>
      </c>
      <c r="M417" s="425" t="inlineStr">
        <is>
          <t>Space / Defense / Aerospace / Advanced Manufacturing</t>
        </is>
      </c>
      <c r="N417" s="426" t="inlineStr">
        <is>
          <t>Tier 2</t>
        </is>
      </c>
      <c r="O417" s="441" t="n">
        <v>45792</v>
      </c>
      <c r="P417" s="441" t="n">
        <v>45841</v>
      </c>
      <c r="Q417" s="425">
        <f>IF(P417="","",TODAY()-P417)</f>
        <v/>
      </c>
      <c r="R417" s="441">
        <f>IF(OR(L417="Passed",Z417=""),"",P417+Z417)</f>
        <v/>
      </c>
      <c r="S417" s="425">
        <f>IF(OR(R417="",L417="Passed"),"",IF(R417&lt;=TODAY(),"DUE",IF(R417&lt;=TODAY()+3,"Next 3 Days","Later")))</f>
        <v/>
      </c>
      <c r="T417" s="425" t="inlineStr"/>
      <c r="U417" s="426" t="inlineStr">
        <is>
          <t>https://www.linkedin.com/in/sethgrosenberg/</t>
        </is>
      </c>
      <c r="V417" s="426" t="inlineStr"/>
      <c r="W417" s="428" t="inlineStr">
        <is>
          <t xml:space="preserve"> |  | </t>
        </is>
      </c>
      <c r="X417" s="425" t="inlineStr">
        <is>
          <t>John - Investor Contacts!27</t>
        </is>
      </c>
      <c r="Y417" s="426" t="inlineStr">
        <is>
          <t>Send next follow-up with traction + CTA</t>
        </is>
      </c>
      <c r="Z417" s="425" t="n">
        <v>7</v>
      </c>
      <c r="AA417" s="425">
        <f>IF(AC417="Archived",0,ROUND((IF(N417="Tier 1",35,IF(N417="Tier 2",20,8))+IF(C417="Financial Investor",15,IF(C417="Intermediary / Banker",12,8))+IF(L417="Term Sheet / Proposal",25,IF(L417="Engaged",20,IF(L417="Meeting Requested",18,IF(L417="Meeting Held",14,IF(L417="Follow Up",10,5)))))+MIN(Q417,30)+IF(S417="DUE",15,IF(S417="Next 3 Days",8,0))),0))</f>
        <v/>
      </c>
      <c r="AB417" s="425">
        <f>IF(AND(AC417="Active",OR(N417="Tier 1",N417="Tier 2"),OR(S417="DUE",S417="Next 3 Days")),"YES","")</f>
        <v/>
      </c>
      <c r="AC417" s="425">
        <f>IF(L417="Passed","Archived","Active")</f>
        <v/>
      </c>
    </row>
    <row r="418">
      <c r="A418" s="425" t="inlineStr">
        <is>
          <t>EXOS-0417</t>
        </is>
      </c>
      <c r="B418" s="425" t="inlineStr">
        <is>
          <t>John - Investor Contacts</t>
        </is>
      </c>
      <c r="C418" s="425" t="inlineStr">
        <is>
          <t>Financial Investor</t>
        </is>
      </c>
      <c r="D418" s="425" t="inlineStr">
        <is>
          <t>H7 BioCapital</t>
        </is>
      </c>
      <c r="E418" s="425" t="inlineStr">
        <is>
          <t>Ella Li</t>
        </is>
      </c>
      <c r="F418" s="425" t="inlineStr"/>
      <c r="G418" s="111" t="inlineStr">
        <is>
          <t>ella@h7biocapital.com</t>
        </is>
      </c>
      <c r="H418" s="425" t="inlineStr"/>
      <c r="I418" s="425" t="inlineStr"/>
      <c r="J418" s="111" t="inlineStr">
        <is>
          <t>https://www.linkedin.com/in/ellal/</t>
        </is>
      </c>
      <c r="K418" s="426" t="inlineStr">
        <is>
          <t>John Quinn</t>
        </is>
      </c>
      <c r="L418" s="426" t="inlineStr">
        <is>
          <t>Follow Up</t>
        </is>
      </c>
      <c r="M418" s="425" t="inlineStr">
        <is>
          <t>Space / Defense / Aerospace / Advanced Manufacturing</t>
        </is>
      </c>
      <c r="N418" s="426" t="inlineStr">
        <is>
          <t>Tier 2</t>
        </is>
      </c>
      <c r="O418" s="441" t="n">
        <v>45930</v>
      </c>
      <c r="P418" s="441" t="n">
        <v>45973</v>
      </c>
      <c r="Q418" s="425">
        <f>IF(P418="","",TODAY()-P418)</f>
        <v/>
      </c>
      <c r="R418" s="441">
        <f>IF(OR(L418="Passed",Z418=""),"",P418+Z418)</f>
        <v/>
      </c>
      <c r="S418" s="425">
        <f>IF(OR(R418="",L418="Passed"),"",IF(R418&lt;=TODAY(),"DUE",IF(R418&lt;=TODAY()+3,"Next 3 Days","Later")))</f>
        <v/>
      </c>
      <c r="T418" s="425" t="inlineStr"/>
      <c r="U418" s="426" t="inlineStr">
        <is>
          <t>https://www.linkedin.com/in/ellal/</t>
        </is>
      </c>
      <c r="V418" s="426" t="inlineStr"/>
      <c r="W418" s="428" t="inlineStr">
        <is>
          <t xml:space="preserve"> | 12/19/2025 | </t>
        </is>
      </c>
      <c r="X418" s="425" t="inlineStr">
        <is>
          <t>John - Investor Contacts!692</t>
        </is>
      </c>
      <c r="Y418" s="426" t="inlineStr">
        <is>
          <t>Send next follow-up with traction + CTA</t>
        </is>
      </c>
      <c r="Z418" s="425" t="n">
        <v>7</v>
      </c>
      <c r="AA418" s="425">
        <f>IF(AC418="Archived",0,ROUND((IF(N418="Tier 1",35,IF(N418="Tier 2",20,8))+IF(C418="Financial Investor",15,IF(C418="Intermediary / Banker",12,8))+IF(L418="Term Sheet / Proposal",25,IF(L418="Engaged",20,IF(L418="Meeting Requested",18,IF(L418="Meeting Held",14,IF(L418="Follow Up",10,5)))))+MIN(Q418,30)+IF(S418="DUE",15,IF(S418="Next 3 Days",8,0))),0))</f>
        <v/>
      </c>
      <c r="AB418" s="425">
        <f>IF(AND(AC418="Active",OR(N418="Tier 1",N418="Tier 2"),OR(S418="DUE",S418="Next 3 Days")),"YES","")</f>
        <v/>
      </c>
      <c r="AC418" s="425">
        <f>IF(L418="Passed","Archived","Active")</f>
        <v/>
      </c>
    </row>
    <row r="419">
      <c r="A419" s="425" t="inlineStr">
        <is>
          <t>EXOS-0418</t>
        </is>
      </c>
      <c r="B419" s="425" t="inlineStr">
        <is>
          <t>John - Investor Contacts</t>
        </is>
      </c>
      <c r="C419" s="425" t="inlineStr">
        <is>
          <t>Financial Investor</t>
        </is>
      </c>
      <c r="D419" s="425" t="inlineStr">
        <is>
          <t>HCVC</t>
        </is>
      </c>
      <c r="E419" s="425" t="inlineStr">
        <is>
          <t>Alexis Houssou</t>
        </is>
      </c>
      <c r="F419" s="425" t="inlineStr"/>
      <c r="G419" s="111" t="inlineStr">
        <is>
          <t>alexis@hardwareclub.co</t>
        </is>
      </c>
      <c r="H419" s="425" t="inlineStr"/>
      <c r="I419" s="425" t="inlineStr"/>
      <c r="J419" s="111" t="inlineStr">
        <is>
          <t>https://www.linkedin.com/in/alexis-houssou-4b157a38/</t>
        </is>
      </c>
      <c r="K419" s="426" t="inlineStr">
        <is>
          <t>John Quinn</t>
        </is>
      </c>
      <c r="L419" s="426" t="inlineStr">
        <is>
          <t>Follow Up</t>
        </is>
      </c>
      <c r="M419" s="425" t="inlineStr">
        <is>
          <t>Space / Defense / Aerospace / Advanced Manufacturing</t>
        </is>
      </c>
      <c r="N419" s="426" t="inlineStr">
        <is>
          <t>Tier 2</t>
        </is>
      </c>
      <c r="O419" s="441" t="n">
        <v>45953</v>
      </c>
      <c r="P419" s="441" t="n">
        <v>45985</v>
      </c>
      <c r="Q419" s="425">
        <f>IF(P419="","",TODAY()-P419)</f>
        <v/>
      </c>
      <c r="R419" s="441">
        <f>IF(OR(L419="Passed",Z419=""),"",P419+Z419)</f>
        <v/>
      </c>
      <c r="S419" s="425">
        <f>IF(OR(R419="",L419="Passed"),"",IF(R419&lt;=TODAY(),"DUE",IF(R419&lt;=TODAY()+3,"Next 3 Days","Later")))</f>
        <v/>
      </c>
      <c r="T419" s="425" t="inlineStr"/>
      <c r="U419" s="426" t="inlineStr">
        <is>
          <t>https://www.linkedin.com/in/alexis-houssou-4b157a38/</t>
        </is>
      </c>
      <c r="V419" s="426" t="inlineStr"/>
      <c r="W419" s="428" t="inlineStr">
        <is>
          <t xml:space="preserve"> | 12/30/2025 | </t>
        </is>
      </c>
      <c r="X419" s="425" t="inlineStr">
        <is>
          <t>John - Investor Contacts!801</t>
        </is>
      </c>
      <c r="Y419" s="426" t="inlineStr">
        <is>
          <t>Send next follow-up with traction + CTA</t>
        </is>
      </c>
      <c r="Z419" s="425" t="n">
        <v>7</v>
      </c>
      <c r="AA419" s="425">
        <f>IF(AC419="Archived",0,ROUND((IF(N419="Tier 1",35,IF(N419="Tier 2",20,8))+IF(C419="Financial Investor",15,IF(C419="Intermediary / Banker",12,8))+IF(L419="Term Sheet / Proposal",25,IF(L419="Engaged",20,IF(L419="Meeting Requested",18,IF(L419="Meeting Held",14,IF(L419="Follow Up",10,5)))))+MIN(Q419,30)+IF(S419="DUE",15,IF(S419="Next 3 Days",8,0))),0))</f>
        <v/>
      </c>
      <c r="AB419" s="425">
        <f>IF(AND(AC419="Active",OR(N419="Tier 1",N419="Tier 2"),OR(S419="DUE",S419="Next 3 Days")),"YES","")</f>
        <v/>
      </c>
      <c r="AC419" s="425">
        <f>IF(L419="Passed","Archived","Active")</f>
        <v/>
      </c>
    </row>
    <row r="420">
      <c r="A420" s="425" t="inlineStr">
        <is>
          <t>EXOS-0419</t>
        </is>
      </c>
      <c r="B420" s="425" t="inlineStr">
        <is>
          <t>John - Investor Contacts</t>
        </is>
      </c>
      <c r="C420" s="425" t="inlineStr">
        <is>
          <t>Financial Investor</t>
        </is>
      </c>
      <c r="D420" s="425" t="inlineStr">
        <is>
          <t>HCVC</t>
        </is>
      </c>
      <c r="E420" s="425" t="inlineStr">
        <is>
          <t>Aymerik Renard</t>
        </is>
      </c>
      <c r="F420" s="425" t="inlineStr"/>
      <c r="G420" s="111" t="inlineStr">
        <is>
          <t>aymerik@hardwareclub.co</t>
        </is>
      </c>
      <c r="H420" s="425" t="inlineStr"/>
      <c r="I420" s="425" t="inlineStr"/>
      <c r="J420" s="111" t="inlineStr">
        <is>
          <t>https://www.linkedin.com/in/aymerik/</t>
        </is>
      </c>
      <c r="K420" s="426" t="inlineStr">
        <is>
          <t>John Quinn</t>
        </is>
      </c>
      <c r="L420" s="426" t="inlineStr">
        <is>
          <t>Follow Up</t>
        </is>
      </c>
      <c r="M420" s="425" t="inlineStr">
        <is>
          <t>Space / Defense / Aerospace / Advanced Manufacturing</t>
        </is>
      </c>
      <c r="N420" s="426" t="inlineStr">
        <is>
          <t>Tier 2</t>
        </is>
      </c>
      <c r="O420" s="441" t="n">
        <v>45953</v>
      </c>
      <c r="P420" s="441" t="n">
        <v>45985</v>
      </c>
      <c r="Q420" s="425">
        <f>IF(P420="","",TODAY()-P420)</f>
        <v/>
      </c>
      <c r="R420" s="441">
        <f>IF(OR(L420="Passed",Z420=""),"",P420+Z420)</f>
        <v/>
      </c>
      <c r="S420" s="425">
        <f>IF(OR(R420="",L420="Passed"),"",IF(R420&lt;=TODAY(),"DUE",IF(R420&lt;=TODAY()+3,"Next 3 Days","Later")))</f>
        <v/>
      </c>
      <c r="T420" s="425" t="inlineStr"/>
      <c r="U420" s="426" t="inlineStr">
        <is>
          <t>https://www.linkedin.com/in/aymerik/</t>
        </is>
      </c>
      <c r="V420" s="426" t="inlineStr"/>
      <c r="W420" s="428" t="inlineStr">
        <is>
          <t xml:space="preserve"> | 12/30/2025 | </t>
        </is>
      </c>
      <c r="X420" s="425" t="inlineStr">
        <is>
          <t>John - Investor Contacts!800</t>
        </is>
      </c>
      <c r="Y420" s="426" t="inlineStr">
        <is>
          <t>Send next follow-up with traction + CTA</t>
        </is>
      </c>
      <c r="Z420" s="425" t="n">
        <v>7</v>
      </c>
      <c r="AA420" s="425">
        <f>IF(AC420="Archived",0,ROUND((IF(N420="Tier 1",35,IF(N420="Tier 2",20,8))+IF(C420="Financial Investor",15,IF(C420="Intermediary / Banker",12,8))+IF(L420="Term Sheet / Proposal",25,IF(L420="Engaged",20,IF(L420="Meeting Requested",18,IF(L420="Meeting Held",14,IF(L420="Follow Up",10,5)))))+MIN(Q420,30)+IF(S420="DUE",15,IF(S420="Next 3 Days",8,0))),0))</f>
        <v/>
      </c>
      <c r="AB420" s="425">
        <f>IF(AND(AC420="Active",OR(N420="Tier 1",N420="Tier 2"),OR(S420="DUE",S420="Next 3 Days")),"YES","")</f>
        <v/>
      </c>
      <c r="AC420" s="425">
        <f>IF(L420="Passed","Archived","Active")</f>
        <v/>
      </c>
    </row>
    <row r="421">
      <c r="A421" s="425" t="inlineStr">
        <is>
          <t>EXOS-0420</t>
        </is>
      </c>
      <c r="B421" s="425" t="inlineStr">
        <is>
          <t>John - Investor Contacts</t>
        </is>
      </c>
      <c r="C421" s="425" t="inlineStr">
        <is>
          <t>Financial Investor</t>
        </is>
      </c>
      <c r="D421" s="425" t="inlineStr">
        <is>
          <t>Hale Capital</t>
        </is>
      </c>
      <c r="E421" s="425" t="inlineStr">
        <is>
          <t>Martin Hale</t>
        </is>
      </c>
      <c r="F421" s="425" t="inlineStr"/>
      <c r="G421" s="111" t="inlineStr">
        <is>
          <t>martin@halefunds.com</t>
        </is>
      </c>
      <c r="H421" s="425" t="inlineStr"/>
      <c r="I421" s="425" t="inlineStr"/>
      <c r="J421" s="425" t="inlineStr"/>
      <c r="K421" s="426" t="inlineStr">
        <is>
          <t>John Quinn</t>
        </is>
      </c>
      <c r="L421" s="426" t="inlineStr">
        <is>
          <t>Follow Up</t>
        </is>
      </c>
      <c r="M421" s="425" t="inlineStr">
        <is>
          <t>Space / Defense / Aerospace / Advanced Manufacturing</t>
        </is>
      </c>
      <c r="N421" s="426" t="inlineStr">
        <is>
          <t>Tier 2</t>
        </is>
      </c>
      <c r="O421" s="441" t="n">
        <v>45986</v>
      </c>
      <c r="P421" s="441" t="n">
        <v>46031</v>
      </c>
      <c r="Q421" s="425">
        <f>IF(P421="","",TODAY()-P421)</f>
        <v/>
      </c>
      <c r="R421" s="441">
        <f>IF(OR(L421="Passed",Z421=""),"",P421+Z421)</f>
        <v/>
      </c>
      <c r="S421" s="425">
        <f>IF(OR(R421="",L421="Passed"),"",IF(R421&lt;=TODAY(),"DUE",IF(R421&lt;=TODAY()+3,"Next 3 Days","Later")))</f>
        <v/>
      </c>
      <c r="T421" s="425" t="inlineStr"/>
      <c r="U421" s="426" t="inlineStr">
        <is>
          <t>linkedin.com/in/halemartin</t>
        </is>
      </c>
      <c r="V421" s="426" t="inlineStr"/>
      <c r="W421" s="428" t="inlineStr">
        <is>
          <t xml:space="preserve"> | 02/26/2026 | </t>
        </is>
      </c>
      <c r="X421" s="425" t="inlineStr">
        <is>
          <t>John - Investor Contacts!876</t>
        </is>
      </c>
      <c r="Y421" s="426" t="inlineStr">
        <is>
          <t>Send next follow-up with traction + CTA</t>
        </is>
      </c>
      <c r="Z421" s="425" t="n">
        <v>7</v>
      </c>
      <c r="AA421" s="425">
        <f>IF(AC421="Archived",0,ROUND((IF(N421="Tier 1",35,IF(N421="Tier 2",20,8))+IF(C421="Financial Investor",15,IF(C421="Intermediary / Banker",12,8))+IF(L421="Term Sheet / Proposal",25,IF(L421="Engaged",20,IF(L421="Meeting Requested",18,IF(L421="Meeting Held",14,IF(L421="Follow Up",10,5)))))+MIN(Q421,30)+IF(S421="DUE",15,IF(S421="Next 3 Days",8,0))),0))</f>
        <v/>
      </c>
      <c r="AB421" s="425">
        <f>IF(AND(AC421="Active",OR(N421="Tier 1",N421="Tier 2"),OR(S421="DUE",S421="Next 3 Days")),"YES","")</f>
        <v/>
      </c>
      <c r="AC421" s="425">
        <f>IF(L421="Passed","Archived","Active")</f>
        <v/>
      </c>
    </row>
    <row r="422">
      <c r="A422" s="425" t="inlineStr">
        <is>
          <t>EXOS-0421</t>
        </is>
      </c>
      <c r="B422" s="425" t="inlineStr">
        <is>
          <t>John - Investor Contacts</t>
        </is>
      </c>
      <c r="C422" s="425" t="inlineStr">
        <is>
          <t>Financial Investor</t>
        </is>
      </c>
      <c r="D422" s="425" t="inlineStr">
        <is>
          <t>Hale Capital</t>
        </is>
      </c>
      <c r="E422" s="425" t="inlineStr">
        <is>
          <t>Nathan Foos</t>
        </is>
      </c>
      <c r="F422" s="425" t="inlineStr"/>
      <c r="G422" s="111" t="inlineStr">
        <is>
          <t>nate@halefunds.com</t>
        </is>
      </c>
      <c r="H422" s="425" t="inlineStr"/>
      <c r="I422" s="425" t="inlineStr"/>
      <c r="J422" s="111" t="inlineStr">
        <is>
          <t>https://www.linkedin.com/in/nathan-foos/</t>
        </is>
      </c>
      <c r="K422" s="426" t="inlineStr">
        <is>
          <t>John Quinn</t>
        </is>
      </c>
      <c r="L422" s="426" t="inlineStr">
        <is>
          <t>Follow Up</t>
        </is>
      </c>
      <c r="M422" s="425" t="inlineStr">
        <is>
          <t>Space / Defense / Aerospace / Advanced Manufacturing</t>
        </is>
      </c>
      <c r="N422" s="426" t="inlineStr">
        <is>
          <t>Tier 2</t>
        </is>
      </c>
      <c r="O422" s="441" t="n">
        <v>45986</v>
      </c>
      <c r="P422" s="441" t="n">
        <v>46031</v>
      </c>
      <c r="Q422" s="425">
        <f>IF(P422="","",TODAY()-P422)</f>
        <v/>
      </c>
      <c r="R422" s="441">
        <f>IF(OR(L422="Passed",Z422=""),"",P422+Z422)</f>
        <v/>
      </c>
      <c r="S422" s="425">
        <f>IF(OR(R422="",L422="Passed"),"",IF(R422&lt;=TODAY(),"DUE",IF(R422&lt;=TODAY()+3,"Next 3 Days","Later")))</f>
        <v/>
      </c>
      <c r="T422" s="425" t="inlineStr"/>
      <c r="U422" s="426" t="inlineStr">
        <is>
          <t>https://www.linkedin.com/in/nathan-foos/</t>
        </is>
      </c>
      <c r="V422" s="426" t="inlineStr"/>
      <c r="W422" s="428" t="inlineStr">
        <is>
          <t xml:space="preserve"> | 02/26/2026 | </t>
        </is>
      </c>
      <c r="X422" s="425" t="inlineStr">
        <is>
          <t>John - Investor Contacts!877</t>
        </is>
      </c>
      <c r="Y422" s="426" t="inlineStr">
        <is>
          <t>Send next follow-up with traction + CTA</t>
        </is>
      </c>
      <c r="Z422" s="425" t="n">
        <v>7</v>
      </c>
      <c r="AA422" s="425">
        <f>IF(AC422="Archived",0,ROUND((IF(N422="Tier 1",35,IF(N422="Tier 2",20,8))+IF(C422="Financial Investor",15,IF(C422="Intermediary / Banker",12,8))+IF(L422="Term Sheet / Proposal",25,IF(L422="Engaged",20,IF(L422="Meeting Requested",18,IF(L422="Meeting Held",14,IF(L422="Follow Up",10,5)))))+MIN(Q422,30)+IF(S422="DUE",15,IF(S422="Next 3 Days",8,0))),0))</f>
        <v/>
      </c>
      <c r="AB422" s="425">
        <f>IF(AND(AC422="Active",OR(N422="Tier 1",N422="Tier 2"),OR(S422="DUE",S422="Next 3 Days")),"YES","")</f>
        <v/>
      </c>
      <c r="AC422" s="425">
        <f>IF(L422="Passed","Archived","Active")</f>
        <v/>
      </c>
    </row>
    <row r="423">
      <c r="A423" s="425" t="inlineStr">
        <is>
          <t>EXOS-0422</t>
        </is>
      </c>
      <c r="B423" s="425" t="inlineStr">
        <is>
          <t>OSC</t>
        </is>
      </c>
      <c r="C423" s="425" t="inlineStr">
        <is>
          <t>Financial Investor</t>
        </is>
      </c>
      <c r="D423" s="425" t="inlineStr">
        <is>
          <t>Harbert Management</t>
        </is>
      </c>
      <c r="E423" s="425" t="inlineStr">
        <is>
          <t>Amanda Brown</t>
        </is>
      </c>
      <c r="F423" s="425" t="inlineStr"/>
      <c r="G423" s="111" t="inlineStr">
        <is>
          <t>abrown@harbert.net</t>
        </is>
      </c>
      <c r="H423" s="425" t="inlineStr"/>
      <c r="I423" s="425" t="inlineStr">
        <is>
          <t>office: (205) 987-5500</t>
        </is>
      </c>
      <c r="J423" s="425" t="inlineStr"/>
      <c r="K423" s="426" t="inlineStr">
        <is>
          <t>John Quinn</t>
        </is>
      </c>
      <c r="L423" s="426" t="inlineStr">
        <is>
          <t>Follow Up</t>
        </is>
      </c>
      <c r="M423" s="425" t="inlineStr">
        <is>
          <t>Space / Defense / Aerospace / Advanced Manufacturing</t>
        </is>
      </c>
      <c r="N423" s="426" t="inlineStr">
        <is>
          <t>Tier 2</t>
        </is>
      </c>
      <c r="O423" s="441" t="n">
        <v>45854</v>
      </c>
      <c r="P423" s="441" t="n">
        <v>45922</v>
      </c>
      <c r="Q423" s="425">
        <f>IF(P423="","",TODAY()-P423)</f>
        <v/>
      </c>
      <c r="R423" s="441">
        <f>IF(OR(L423="Passed",Z423=""),"",P423+Z423)</f>
        <v/>
      </c>
      <c r="S423" s="425">
        <f>IF(OR(R423="",L423="Passed"),"",IF(R423&lt;=TODAY(),"DUE",IF(R423&lt;=TODAY()+3,"Next 3 Days","Later")))</f>
        <v/>
      </c>
      <c r="T423" s="425" t="inlineStr"/>
      <c r="U423" s="426" t="inlineStr"/>
      <c r="V423" s="426" t="inlineStr"/>
      <c r="W423" s="428" t="inlineStr"/>
      <c r="X423" s="425" t="inlineStr">
        <is>
          <t>OSC!63</t>
        </is>
      </c>
      <c r="Y423" s="426" t="inlineStr">
        <is>
          <t>Send next follow-up with traction + CTA</t>
        </is>
      </c>
      <c r="Z423" s="425" t="n">
        <v>7</v>
      </c>
      <c r="AA423" s="425">
        <f>IF(AC423="Archived",0,ROUND((IF(N423="Tier 1",35,IF(N423="Tier 2",20,8))+IF(C423="Financial Investor",15,IF(C423="Intermediary / Banker",12,8))+IF(L423="Term Sheet / Proposal",25,IF(L423="Engaged",20,IF(L423="Meeting Requested",18,IF(L423="Meeting Held",14,IF(L423="Follow Up",10,5)))))+MIN(Q423,30)+IF(S423="DUE",15,IF(S423="Next 3 Days",8,0))),0))</f>
        <v/>
      </c>
      <c r="AB423" s="425">
        <f>IF(AND(AC423="Active",OR(N423="Tier 1",N423="Tier 2"),OR(S423="DUE",S423="Next 3 Days")),"YES","")</f>
        <v/>
      </c>
      <c r="AC423" s="425">
        <f>IF(L423="Passed","Archived","Active")</f>
        <v/>
      </c>
    </row>
    <row r="424">
      <c r="A424" s="425" t="inlineStr">
        <is>
          <t>EXOS-0423</t>
        </is>
      </c>
      <c r="B424" s="425" t="inlineStr">
        <is>
          <t>OSC</t>
        </is>
      </c>
      <c r="C424" s="425" t="inlineStr">
        <is>
          <t>Financial Investor</t>
        </is>
      </c>
      <c r="D424" s="425" t="inlineStr">
        <is>
          <t>Harbert Management</t>
        </is>
      </c>
      <c r="E424" s="425" t="inlineStr">
        <is>
          <t>Jon-Paul Momsen</t>
        </is>
      </c>
      <c r="F424" s="425" t="inlineStr"/>
      <c r="G424" s="111" t="inlineStr">
        <is>
          <t>jmomsen@harbert.net</t>
        </is>
      </c>
      <c r="H424" s="425" t="inlineStr"/>
      <c r="I424" s="425" t="inlineStr">
        <is>
          <t>415.442.8383</t>
        </is>
      </c>
      <c r="J424" s="425" t="inlineStr"/>
      <c r="K424" s="426" t="inlineStr">
        <is>
          <t>John Quinn</t>
        </is>
      </c>
      <c r="L424" s="426" t="inlineStr">
        <is>
          <t>Follow Up</t>
        </is>
      </c>
      <c r="M424" s="425" t="inlineStr">
        <is>
          <t>Space / Defense / Aerospace / Advanced Manufacturing</t>
        </is>
      </c>
      <c r="N424" s="426" t="inlineStr">
        <is>
          <t>Tier 2</t>
        </is>
      </c>
      <c r="O424" s="441" t="n">
        <v>45854</v>
      </c>
      <c r="P424" s="441" t="n">
        <v>45922</v>
      </c>
      <c r="Q424" s="425">
        <f>IF(P424="","",TODAY()-P424)</f>
        <v/>
      </c>
      <c r="R424" s="441">
        <f>IF(OR(L424="Passed",Z424=""),"",P424+Z424)</f>
        <v/>
      </c>
      <c r="S424" s="425">
        <f>IF(OR(R424="",L424="Passed"),"",IF(R424&lt;=TODAY(),"DUE",IF(R424&lt;=TODAY()+3,"Next 3 Days","Later")))</f>
        <v/>
      </c>
      <c r="T424" s="425" t="inlineStr"/>
      <c r="U424" s="426" t="inlineStr"/>
      <c r="V424" s="426" t="inlineStr"/>
      <c r="W424" s="428" t="inlineStr"/>
      <c r="X424" s="425" t="inlineStr">
        <is>
          <t>OSC!67</t>
        </is>
      </c>
      <c r="Y424" s="426" t="inlineStr">
        <is>
          <t>Send next follow-up with traction + CTA</t>
        </is>
      </c>
      <c r="Z424" s="425" t="n">
        <v>7</v>
      </c>
      <c r="AA424" s="425">
        <f>IF(AC424="Archived",0,ROUND((IF(N424="Tier 1",35,IF(N424="Tier 2",20,8))+IF(C424="Financial Investor",15,IF(C424="Intermediary / Banker",12,8))+IF(L424="Term Sheet / Proposal",25,IF(L424="Engaged",20,IF(L424="Meeting Requested",18,IF(L424="Meeting Held",14,IF(L424="Follow Up",10,5)))))+MIN(Q424,30)+IF(S424="DUE",15,IF(S424="Next 3 Days",8,0))),0))</f>
        <v/>
      </c>
      <c r="AB424" s="425">
        <f>IF(AND(AC424="Active",OR(N424="Tier 1",N424="Tier 2"),OR(S424="DUE",S424="Next 3 Days")),"YES","")</f>
        <v/>
      </c>
      <c r="AC424" s="425">
        <f>IF(L424="Passed","Archived","Active")</f>
        <v/>
      </c>
    </row>
    <row r="425">
      <c r="A425" s="425" t="inlineStr">
        <is>
          <t>EXOS-0424</t>
        </is>
      </c>
      <c r="B425" s="425" t="inlineStr">
        <is>
          <t>OSC</t>
        </is>
      </c>
      <c r="C425" s="425" t="inlineStr">
        <is>
          <t>Financial Investor</t>
        </is>
      </c>
      <c r="D425" s="425" t="inlineStr">
        <is>
          <t>Harbert Management</t>
        </is>
      </c>
      <c r="E425" s="425" t="inlineStr">
        <is>
          <t>Jordan Redella</t>
        </is>
      </c>
      <c r="F425" s="425" t="inlineStr"/>
      <c r="G425" s="111" t="inlineStr">
        <is>
          <t>jredella@harbert.net</t>
        </is>
      </c>
      <c r="H425" s="425" t="inlineStr"/>
      <c r="I425" s="425" t="inlineStr">
        <is>
          <t>404.435.3994</t>
        </is>
      </c>
      <c r="J425" s="425" t="inlineStr"/>
      <c r="K425" s="426" t="inlineStr">
        <is>
          <t>John Quinn</t>
        </is>
      </c>
      <c r="L425" s="426" t="inlineStr">
        <is>
          <t>Follow Up</t>
        </is>
      </c>
      <c r="M425" s="425" t="inlineStr">
        <is>
          <t>Space / Defense / Aerospace / Advanced Manufacturing</t>
        </is>
      </c>
      <c r="N425" s="426" t="inlineStr">
        <is>
          <t>Tier 2</t>
        </is>
      </c>
      <c r="O425" s="441" t="n">
        <v>45854</v>
      </c>
      <c r="P425" s="441" t="n">
        <v>45922</v>
      </c>
      <c r="Q425" s="425">
        <f>IF(P425="","",TODAY()-P425)</f>
        <v/>
      </c>
      <c r="R425" s="441">
        <f>IF(OR(L425="Passed",Z425=""),"",P425+Z425)</f>
        <v/>
      </c>
      <c r="S425" s="425">
        <f>IF(OR(R425="",L425="Passed"),"",IF(R425&lt;=TODAY(),"DUE",IF(R425&lt;=TODAY()+3,"Next 3 Days","Later")))</f>
        <v/>
      </c>
      <c r="T425" s="425" t="inlineStr"/>
      <c r="U425" s="426" t="inlineStr"/>
      <c r="V425" s="426" t="inlineStr"/>
      <c r="W425" s="428" t="inlineStr"/>
      <c r="X425" s="425" t="inlineStr">
        <is>
          <t>OSC!68</t>
        </is>
      </c>
      <c r="Y425" s="426" t="inlineStr">
        <is>
          <t>Send next follow-up with traction + CTA</t>
        </is>
      </c>
      <c r="Z425" s="425" t="n">
        <v>7</v>
      </c>
      <c r="AA425" s="425">
        <f>IF(AC425="Archived",0,ROUND((IF(N425="Tier 1",35,IF(N425="Tier 2",20,8))+IF(C425="Financial Investor",15,IF(C425="Intermediary / Banker",12,8))+IF(L425="Term Sheet / Proposal",25,IF(L425="Engaged",20,IF(L425="Meeting Requested",18,IF(L425="Meeting Held",14,IF(L425="Follow Up",10,5)))))+MIN(Q425,30)+IF(S425="DUE",15,IF(S425="Next 3 Days",8,0))),0))</f>
        <v/>
      </c>
      <c r="AB425" s="425">
        <f>IF(AND(AC425="Active",OR(N425="Tier 1",N425="Tier 2"),OR(S425="DUE",S425="Next 3 Days")),"YES","")</f>
        <v/>
      </c>
      <c r="AC425" s="425">
        <f>IF(L425="Passed","Archived","Active")</f>
        <v/>
      </c>
    </row>
    <row r="426">
      <c r="A426" s="425" t="inlineStr">
        <is>
          <t>EXOS-0425</t>
        </is>
      </c>
      <c r="B426" s="425" t="inlineStr">
        <is>
          <t>OSC</t>
        </is>
      </c>
      <c r="C426" s="425" t="inlineStr">
        <is>
          <t>Financial Investor</t>
        </is>
      </c>
      <c r="D426" s="425" t="inlineStr">
        <is>
          <t>Harbert Management</t>
        </is>
      </c>
      <c r="E426" s="425" t="inlineStr">
        <is>
          <t>Mike Bauder</t>
        </is>
      </c>
      <c r="F426" s="425" t="inlineStr"/>
      <c r="G426" s="111" t="inlineStr">
        <is>
          <t>mbauder@harbert.net</t>
        </is>
      </c>
      <c r="H426" s="425" t="inlineStr"/>
      <c r="I426" s="425" t="inlineStr">
        <is>
          <t>205.987.5598</t>
        </is>
      </c>
      <c r="J426" s="425" t="inlineStr"/>
      <c r="K426" s="426" t="inlineStr">
        <is>
          <t>John Quinn</t>
        </is>
      </c>
      <c r="L426" s="426" t="inlineStr">
        <is>
          <t>Follow Up</t>
        </is>
      </c>
      <c r="M426" s="425" t="inlineStr">
        <is>
          <t>Space / Defense / Aerospace / Advanced Manufacturing</t>
        </is>
      </c>
      <c r="N426" s="426" t="inlineStr">
        <is>
          <t>Tier 2</t>
        </is>
      </c>
      <c r="O426" s="441" t="n">
        <v>45854</v>
      </c>
      <c r="P426" s="441" t="n">
        <v>45922</v>
      </c>
      <c r="Q426" s="425">
        <f>IF(P426="","",TODAY()-P426)</f>
        <v/>
      </c>
      <c r="R426" s="441">
        <f>IF(OR(L426="Passed",Z426=""),"",P426+Z426)</f>
        <v/>
      </c>
      <c r="S426" s="425">
        <f>IF(OR(R426="",L426="Passed"),"",IF(R426&lt;=TODAY(),"DUE",IF(R426&lt;=TODAY()+3,"Next 3 Days","Later")))</f>
        <v/>
      </c>
      <c r="T426" s="425" t="inlineStr"/>
      <c r="U426" s="426" t="inlineStr"/>
      <c r="V426" s="426" t="inlineStr"/>
      <c r="W426" s="428" t="inlineStr"/>
      <c r="X426" s="425" t="inlineStr">
        <is>
          <t>OSC!66</t>
        </is>
      </c>
      <c r="Y426" s="426" t="inlineStr">
        <is>
          <t>Send next follow-up with traction + CTA</t>
        </is>
      </c>
      <c r="Z426" s="425" t="n">
        <v>7</v>
      </c>
      <c r="AA426" s="425">
        <f>IF(AC426="Archived",0,ROUND((IF(N426="Tier 1",35,IF(N426="Tier 2",20,8))+IF(C426="Financial Investor",15,IF(C426="Intermediary / Banker",12,8))+IF(L426="Term Sheet / Proposal",25,IF(L426="Engaged",20,IF(L426="Meeting Requested",18,IF(L426="Meeting Held",14,IF(L426="Follow Up",10,5)))))+MIN(Q426,30)+IF(S426="DUE",15,IF(S426="Next 3 Days",8,0))),0))</f>
        <v/>
      </c>
      <c r="AB426" s="425">
        <f>IF(AND(AC426="Active",OR(N426="Tier 1",N426="Tier 2"),OR(S426="DUE",S426="Next 3 Days")),"YES","")</f>
        <v/>
      </c>
      <c r="AC426" s="425">
        <f>IF(L426="Passed","Archived","Active")</f>
        <v/>
      </c>
    </row>
    <row r="427">
      <c r="A427" s="425" t="inlineStr">
        <is>
          <t>EXOS-0426</t>
        </is>
      </c>
      <c r="B427" s="425" t="inlineStr">
        <is>
          <t>OSC</t>
        </is>
      </c>
      <c r="C427" s="425" t="inlineStr">
        <is>
          <t>Financial Investor</t>
        </is>
      </c>
      <c r="D427" s="425" t="inlineStr">
        <is>
          <t>Harbert Management</t>
        </is>
      </c>
      <c r="E427" s="425" t="inlineStr">
        <is>
          <t>Travis Pritchett</t>
        </is>
      </c>
      <c r="F427" s="425" t="inlineStr"/>
      <c r="G427" s="111" t="inlineStr">
        <is>
          <t>tpritchett@harbert.net</t>
        </is>
      </c>
      <c r="H427" s="425" t="inlineStr"/>
      <c r="I427" s="425" t="inlineStr">
        <is>
          <t>205.987.5638</t>
        </is>
      </c>
      <c r="J427" s="425" t="inlineStr"/>
      <c r="K427" s="426" t="inlineStr">
        <is>
          <t>John Quinn</t>
        </is>
      </c>
      <c r="L427" s="426" t="inlineStr">
        <is>
          <t>Follow Up</t>
        </is>
      </c>
      <c r="M427" s="425" t="inlineStr">
        <is>
          <t>Space / Defense / Aerospace / Advanced Manufacturing</t>
        </is>
      </c>
      <c r="N427" s="426" t="inlineStr">
        <is>
          <t>Tier 2</t>
        </is>
      </c>
      <c r="O427" s="441" t="n">
        <v>45854</v>
      </c>
      <c r="P427" s="441" t="n">
        <v>45922</v>
      </c>
      <c r="Q427" s="425">
        <f>IF(P427="","",TODAY()-P427)</f>
        <v/>
      </c>
      <c r="R427" s="441">
        <f>IF(OR(L427="Passed",Z427=""),"",P427+Z427)</f>
        <v/>
      </c>
      <c r="S427" s="425">
        <f>IF(OR(R427="",L427="Passed"),"",IF(R427&lt;=TODAY(),"DUE",IF(R427&lt;=TODAY()+3,"Next 3 Days","Later")))</f>
        <v/>
      </c>
      <c r="T427" s="425" t="inlineStr"/>
      <c r="U427" s="426" t="inlineStr"/>
      <c r="V427" s="426" t="inlineStr"/>
      <c r="W427" s="428" t="inlineStr"/>
      <c r="X427" s="425" t="inlineStr">
        <is>
          <t>OSC!64</t>
        </is>
      </c>
      <c r="Y427" s="426" t="inlineStr">
        <is>
          <t>Send next follow-up with traction + CTA</t>
        </is>
      </c>
      <c r="Z427" s="425" t="n">
        <v>7</v>
      </c>
      <c r="AA427" s="425">
        <f>IF(AC427="Archived",0,ROUND((IF(N427="Tier 1",35,IF(N427="Tier 2",20,8))+IF(C427="Financial Investor",15,IF(C427="Intermediary / Banker",12,8))+IF(L427="Term Sheet / Proposal",25,IF(L427="Engaged",20,IF(L427="Meeting Requested",18,IF(L427="Meeting Held",14,IF(L427="Follow Up",10,5)))))+MIN(Q427,30)+IF(S427="DUE",15,IF(S427="Next 3 Days",8,0))),0))</f>
        <v/>
      </c>
      <c r="AB427" s="425">
        <f>IF(AND(AC427="Active",OR(N427="Tier 1",N427="Tier 2"),OR(S427="DUE",S427="Next 3 Days")),"YES","")</f>
        <v/>
      </c>
      <c r="AC427" s="425">
        <f>IF(L427="Passed","Archived","Active")</f>
        <v/>
      </c>
    </row>
    <row r="428">
      <c r="A428" s="425" t="inlineStr">
        <is>
          <t>EXOS-0427</t>
        </is>
      </c>
      <c r="B428" s="425" t="inlineStr">
        <is>
          <t>OSC</t>
        </is>
      </c>
      <c r="C428" s="425" t="inlineStr">
        <is>
          <t>Financial Investor</t>
        </is>
      </c>
      <c r="D428" s="425" t="inlineStr">
        <is>
          <t>Harbert Management</t>
        </is>
      </c>
      <c r="E428" s="425" t="inlineStr">
        <is>
          <t>Wayne Hunter</t>
        </is>
      </c>
      <c r="F428" s="425" t="inlineStr"/>
      <c r="G428" s="111" t="inlineStr">
        <is>
          <t>whunter@harbert.net</t>
        </is>
      </c>
      <c r="H428" s="425" t="inlineStr"/>
      <c r="I428" s="425" t="inlineStr">
        <is>
          <t>804.782.3801</t>
        </is>
      </c>
      <c r="J428" s="425" t="inlineStr"/>
      <c r="K428" s="426" t="inlineStr">
        <is>
          <t>John Quinn</t>
        </is>
      </c>
      <c r="L428" s="426" t="inlineStr">
        <is>
          <t>Follow Up</t>
        </is>
      </c>
      <c r="M428" s="425" t="inlineStr">
        <is>
          <t>Space / Defense / Aerospace / Advanced Manufacturing</t>
        </is>
      </c>
      <c r="N428" s="426" t="inlineStr">
        <is>
          <t>Tier 2</t>
        </is>
      </c>
      <c r="O428" s="441" t="n">
        <v>45854</v>
      </c>
      <c r="P428" s="441" t="n">
        <v>45922</v>
      </c>
      <c r="Q428" s="425">
        <f>IF(P428="","",TODAY()-P428)</f>
        <v/>
      </c>
      <c r="R428" s="441">
        <f>IF(OR(L428="Passed",Z428=""),"",P428+Z428)</f>
        <v/>
      </c>
      <c r="S428" s="425">
        <f>IF(OR(R428="",L428="Passed"),"",IF(R428&lt;=TODAY(),"DUE",IF(R428&lt;=TODAY()+3,"Next 3 Days","Later")))</f>
        <v/>
      </c>
      <c r="T428" s="425" t="inlineStr"/>
      <c r="U428" s="426" t="inlineStr"/>
      <c r="V428" s="426" t="inlineStr"/>
      <c r="W428" s="428" t="inlineStr"/>
      <c r="X428" s="425" t="inlineStr">
        <is>
          <t>OSC!65</t>
        </is>
      </c>
      <c r="Y428" s="426" t="inlineStr">
        <is>
          <t>Send next follow-up with traction + CTA</t>
        </is>
      </c>
      <c r="Z428" s="425" t="n">
        <v>7</v>
      </c>
      <c r="AA428" s="425">
        <f>IF(AC428="Archived",0,ROUND((IF(N428="Tier 1",35,IF(N428="Tier 2",20,8))+IF(C428="Financial Investor",15,IF(C428="Intermediary / Banker",12,8))+IF(L428="Term Sheet / Proposal",25,IF(L428="Engaged",20,IF(L428="Meeting Requested",18,IF(L428="Meeting Held",14,IF(L428="Follow Up",10,5)))))+MIN(Q428,30)+IF(S428="DUE",15,IF(S428="Next 3 Days",8,0))),0))</f>
        <v/>
      </c>
      <c r="AB428" s="425">
        <f>IF(AND(AC428="Active",OR(N428="Tier 1",N428="Tier 2"),OR(S428="DUE",S428="Next 3 Days")),"YES","")</f>
        <v/>
      </c>
      <c r="AC428" s="425">
        <f>IF(L428="Passed","Archived","Active")</f>
        <v/>
      </c>
    </row>
    <row r="429">
      <c r="A429" s="425" t="inlineStr">
        <is>
          <t>EXOS-0428</t>
        </is>
      </c>
      <c r="B429" s="425" t="inlineStr">
        <is>
          <t>John - Investor Contacts</t>
        </is>
      </c>
      <c r="C429" s="425" t="inlineStr">
        <is>
          <t>Financial Investor</t>
        </is>
      </c>
      <c r="D429" s="425" t="inlineStr">
        <is>
          <t>Helium-3 Ventures</t>
        </is>
      </c>
      <c r="E429" s="425" t="inlineStr">
        <is>
          <t>David Hendrickson</t>
        </is>
      </c>
      <c r="F429" s="425" t="inlineStr"/>
      <c r="G429" s="111" t="inlineStr">
        <is>
          <t>dave@helium-3ventures.com</t>
        </is>
      </c>
      <c r="H429" s="425" t="inlineStr"/>
      <c r="I429" s="425" t="inlineStr"/>
      <c r="J429" s="111" t="inlineStr">
        <is>
          <t>https://www.linkedin.com/in/david-hendrickson-4aa0347/</t>
        </is>
      </c>
      <c r="K429" s="426" t="inlineStr">
        <is>
          <t>John Quinn</t>
        </is>
      </c>
      <c r="L429" s="426" t="inlineStr">
        <is>
          <t>Follow Up</t>
        </is>
      </c>
      <c r="M429" s="425" t="inlineStr">
        <is>
          <t>Space / Defense / Aerospace / Advanced Manufacturing</t>
        </is>
      </c>
      <c r="N429" s="426" t="inlineStr">
        <is>
          <t>Tier 2</t>
        </is>
      </c>
      <c r="O429" s="441" t="n">
        <v>45839</v>
      </c>
      <c r="P429" s="441" t="n">
        <v>45861</v>
      </c>
      <c r="Q429" s="425">
        <f>IF(P429="","",TODAY()-P429)</f>
        <v/>
      </c>
      <c r="R429" s="441">
        <f>IF(OR(L429="Passed",Z429=""),"",P429+Z429)</f>
        <v/>
      </c>
      <c r="S429" s="425">
        <f>IF(OR(R429="",L429="Passed"),"",IF(R429&lt;=TODAY(),"DUE",IF(R429&lt;=TODAY()+3,"Next 3 Days","Later")))</f>
        <v/>
      </c>
      <c r="T429" s="425" t="inlineStr"/>
      <c r="U429" s="426" t="inlineStr">
        <is>
          <t>https://www.linkedin.com/in/david-hendrickson-4aa0347/</t>
        </is>
      </c>
      <c r="V429" s="426" t="inlineStr"/>
      <c r="W429" s="428" t="inlineStr">
        <is>
          <t xml:space="preserve"> | 12/26/2025 | </t>
        </is>
      </c>
      <c r="X429" s="425" t="inlineStr">
        <is>
          <t>John - Investor Contacts!306</t>
        </is>
      </c>
      <c r="Y429" s="426" t="inlineStr">
        <is>
          <t>Send next follow-up with traction + CTA</t>
        </is>
      </c>
      <c r="Z429" s="425" t="n">
        <v>7</v>
      </c>
      <c r="AA429" s="425">
        <f>IF(AC429="Archived",0,ROUND((IF(N429="Tier 1",35,IF(N429="Tier 2",20,8))+IF(C429="Financial Investor",15,IF(C429="Intermediary / Banker",12,8))+IF(L429="Term Sheet / Proposal",25,IF(L429="Engaged",20,IF(L429="Meeting Requested",18,IF(L429="Meeting Held",14,IF(L429="Follow Up",10,5)))))+MIN(Q429,30)+IF(S429="DUE",15,IF(S429="Next 3 Days",8,0))),0))</f>
        <v/>
      </c>
      <c r="AB429" s="425">
        <f>IF(AND(AC429="Active",OR(N429="Tier 1",N429="Tier 2"),OR(S429="DUE",S429="Next 3 Days")),"YES","")</f>
        <v/>
      </c>
      <c r="AC429" s="425">
        <f>IF(L429="Passed","Archived","Active")</f>
        <v/>
      </c>
    </row>
    <row r="430">
      <c r="A430" s="425" t="inlineStr">
        <is>
          <t>EXOS-0429</t>
        </is>
      </c>
      <c r="B430" s="425" t="inlineStr">
        <is>
          <t>John - Investor Contacts</t>
        </is>
      </c>
      <c r="C430" s="425" t="inlineStr">
        <is>
          <t>Financial Investor</t>
        </is>
      </c>
      <c r="D430" s="425" t="inlineStr">
        <is>
          <t>Helium-3 Ventures</t>
        </is>
      </c>
      <c r="E430" s="425" t="inlineStr">
        <is>
          <t>John Dauer</t>
        </is>
      </c>
      <c r="F430" s="425" t="inlineStr"/>
      <c r="G430" s="111" t="inlineStr">
        <is>
          <t>john@helium-3ventures.com</t>
        </is>
      </c>
      <c r="H430" s="425" t="inlineStr"/>
      <c r="I430" s="425" t="inlineStr"/>
      <c r="J430" s="111" t="inlineStr">
        <is>
          <t>https://www.linkedin.com/in/john-dauer-893871141/</t>
        </is>
      </c>
      <c r="K430" s="426" t="inlineStr">
        <is>
          <t>John Quinn</t>
        </is>
      </c>
      <c r="L430" s="426" t="inlineStr">
        <is>
          <t>Follow Up</t>
        </is>
      </c>
      <c r="M430" s="425" t="inlineStr">
        <is>
          <t>Space / Defense / Aerospace / Advanced Manufacturing</t>
        </is>
      </c>
      <c r="N430" s="426" t="inlineStr">
        <is>
          <t>Tier 2</t>
        </is>
      </c>
      <c r="O430" s="441" t="n">
        <v>45839</v>
      </c>
      <c r="P430" s="441" t="n">
        <v>45861</v>
      </c>
      <c r="Q430" s="425">
        <f>IF(P430="","",TODAY()-P430)</f>
        <v/>
      </c>
      <c r="R430" s="441">
        <f>IF(OR(L430="Passed",Z430=""),"",P430+Z430)</f>
        <v/>
      </c>
      <c r="S430" s="425">
        <f>IF(OR(R430="",L430="Passed"),"",IF(R430&lt;=TODAY(),"DUE",IF(R430&lt;=TODAY()+3,"Next 3 Days","Later")))</f>
        <v/>
      </c>
      <c r="T430" s="425" t="inlineStr"/>
      <c r="U430" s="426" t="inlineStr">
        <is>
          <t>https://www.linkedin.com/in/john-dauer-893871141/</t>
        </is>
      </c>
      <c r="V430" s="426" t="inlineStr"/>
      <c r="W430" s="428" t="inlineStr">
        <is>
          <t xml:space="preserve"> | timing doesn't work | </t>
        </is>
      </c>
      <c r="X430" s="425" t="inlineStr">
        <is>
          <t>John - Investor Contacts!307</t>
        </is>
      </c>
      <c r="Y430" s="426" t="inlineStr">
        <is>
          <t>Send next follow-up with traction + CTA</t>
        </is>
      </c>
      <c r="Z430" s="425" t="n">
        <v>7</v>
      </c>
      <c r="AA430" s="425">
        <f>IF(AC430="Archived",0,ROUND((IF(N430="Tier 1",35,IF(N430="Tier 2",20,8))+IF(C430="Financial Investor",15,IF(C430="Intermediary / Banker",12,8))+IF(L430="Term Sheet / Proposal",25,IF(L430="Engaged",20,IF(L430="Meeting Requested",18,IF(L430="Meeting Held",14,IF(L430="Follow Up",10,5)))))+MIN(Q430,30)+IF(S430="DUE",15,IF(S430="Next 3 Days",8,0))),0))</f>
        <v/>
      </c>
      <c r="AB430" s="425">
        <f>IF(AND(AC430="Active",OR(N430="Tier 1",N430="Tier 2"),OR(S430="DUE",S430="Next 3 Days")),"YES","")</f>
        <v/>
      </c>
      <c r="AC430" s="425">
        <f>IF(L430="Passed","Archived","Active")</f>
        <v/>
      </c>
    </row>
    <row r="431">
      <c r="A431" s="425" t="inlineStr">
        <is>
          <t>EXOS-0430</t>
        </is>
      </c>
      <c r="B431" s="425" t="inlineStr">
        <is>
          <t>John - Investor Contacts</t>
        </is>
      </c>
      <c r="C431" s="425" t="inlineStr">
        <is>
          <t>Financial Investor</t>
        </is>
      </c>
      <c r="D431" s="425" t="inlineStr">
        <is>
          <t>Helium-3 Ventures</t>
        </is>
      </c>
      <c r="E431" s="425" t="inlineStr">
        <is>
          <t>Matthew Bellamy</t>
        </is>
      </c>
      <c r="F431" s="425" t="inlineStr"/>
      <c r="G431" s="111" t="inlineStr">
        <is>
          <t>matt@helium-3ventures.com</t>
        </is>
      </c>
      <c r="H431" s="425" t="inlineStr"/>
      <c r="I431" s="425" t="inlineStr"/>
      <c r="J431" s="111" t="inlineStr">
        <is>
          <t>https://www.linkedin.com/in/matthew-bellamy-331747226/</t>
        </is>
      </c>
      <c r="K431" s="426" t="inlineStr">
        <is>
          <t>John Quinn</t>
        </is>
      </c>
      <c r="L431" s="426" t="inlineStr">
        <is>
          <t>Follow Up</t>
        </is>
      </c>
      <c r="M431" s="425" t="inlineStr">
        <is>
          <t>Space / Defense / Aerospace / Advanced Manufacturing</t>
        </is>
      </c>
      <c r="N431" s="426" t="inlineStr">
        <is>
          <t>Tier 2</t>
        </is>
      </c>
      <c r="O431" s="441" t="n">
        <v>45839</v>
      </c>
      <c r="P431" s="441" t="n">
        <v>45861</v>
      </c>
      <c r="Q431" s="425">
        <f>IF(P431="","",TODAY()-P431)</f>
        <v/>
      </c>
      <c r="R431" s="441">
        <f>IF(OR(L431="Passed",Z431=""),"",P431+Z431)</f>
        <v/>
      </c>
      <c r="S431" s="425">
        <f>IF(OR(R431="",L431="Passed"),"",IF(R431&lt;=TODAY(),"DUE",IF(R431&lt;=TODAY()+3,"Next 3 Days","Later")))</f>
        <v/>
      </c>
      <c r="T431" s="425" t="inlineStr"/>
      <c r="U431" s="426" t="inlineStr">
        <is>
          <t>https://www.linkedin.com/in/matthew-bellamy-331747226/</t>
        </is>
      </c>
      <c r="V431" s="426" t="inlineStr"/>
      <c r="W431" s="428" t="inlineStr">
        <is>
          <t xml:space="preserve"> | 12/26/2025 | </t>
        </is>
      </c>
      <c r="X431" s="425" t="inlineStr">
        <is>
          <t>John - Investor Contacts!308</t>
        </is>
      </c>
      <c r="Y431" s="426" t="inlineStr">
        <is>
          <t>Send next follow-up with traction + CTA</t>
        </is>
      </c>
      <c r="Z431" s="425" t="n">
        <v>7</v>
      </c>
      <c r="AA431" s="425">
        <f>IF(AC431="Archived",0,ROUND((IF(N431="Tier 1",35,IF(N431="Tier 2",20,8))+IF(C431="Financial Investor",15,IF(C431="Intermediary / Banker",12,8))+IF(L431="Term Sheet / Proposal",25,IF(L431="Engaged",20,IF(L431="Meeting Requested",18,IF(L431="Meeting Held",14,IF(L431="Follow Up",10,5)))))+MIN(Q431,30)+IF(S431="DUE",15,IF(S431="Next 3 Days",8,0))),0))</f>
        <v/>
      </c>
      <c r="AB431" s="425">
        <f>IF(AND(AC431="Active",OR(N431="Tier 1",N431="Tier 2"),OR(S431="DUE",S431="Next 3 Days")),"YES","")</f>
        <v/>
      </c>
      <c r="AC431" s="425">
        <f>IF(L431="Passed","Archived","Active")</f>
        <v/>
      </c>
    </row>
    <row r="432">
      <c r="A432" s="425" t="inlineStr">
        <is>
          <t>EXOS-0431</t>
        </is>
      </c>
      <c r="B432" s="425" t="inlineStr">
        <is>
          <t>John - Investor Contacts</t>
        </is>
      </c>
      <c r="C432" s="425" t="inlineStr">
        <is>
          <t>Financial Investor</t>
        </is>
      </c>
      <c r="D432" s="425" t="inlineStr">
        <is>
          <t>Helium-3 Ventures</t>
        </is>
      </c>
      <c r="E432" s="425" t="inlineStr">
        <is>
          <t>the team</t>
        </is>
      </c>
      <c r="F432" s="425" t="inlineStr"/>
      <c r="G432" s="111" t="inlineStr">
        <is>
          <t>contact@helium-3ventures.com</t>
        </is>
      </c>
      <c r="H432" s="425" t="inlineStr"/>
      <c r="I432" s="425" t="inlineStr"/>
      <c r="J432" s="425" t="inlineStr"/>
      <c r="K432" s="426" t="inlineStr">
        <is>
          <t>John Quinn</t>
        </is>
      </c>
      <c r="L432" s="426" t="inlineStr">
        <is>
          <t>Follow Up</t>
        </is>
      </c>
      <c r="M432" s="425" t="inlineStr">
        <is>
          <t>Space / Defense / Aerospace / Advanced Manufacturing</t>
        </is>
      </c>
      <c r="N432" s="426" t="inlineStr">
        <is>
          <t>Tier 2</t>
        </is>
      </c>
      <c r="O432" s="441" t="n">
        <v>45839</v>
      </c>
      <c r="P432" s="441" t="n">
        <v>45861</v>
      </c>
      <c r="Q432" s="425">
        <f>IF(P432="","",TODAY()-P432)</f>
        <v/>
      </c>
      <c r="R432" s="441">
        <f>IF(OR(L432="Passed",Z432=""),"",P432+Z432)</f>
        <v/>
      </c>
      <c r="S432" s="425">
        <f>IF(OR(R432="",L432="Passed"),"",IF(R432&lt;=TODAY(),"DUE",IF(R432&lt;=TODAY()+3,"Next 3 Days","Later")))</f>
        <v/>
      </c>
      <c r="T432" s="425" t="inlineStr"/>
      <c r="U432" s="426" t="inlineStr"/>
      <c r="V432" s="426" t="inlineStr"/>
      <c r="W432" s="428" t="inlineStr">
        <is>
          <t xml:space="preserve"> | 12/26/2025 | </t>
        </is>
      </c>
      <c r="X432" s="425" t="inlineStr">
        <is>
          <t>John - Investor Contacts!305</t>
        </is>
      </c>
      <c r="Y432" s="426" t="inlineStr">
        <is>
          <t>Send next follow-up with traction + CTA</t>
        </is>
      </c>
      <c r="Z432" s="425" t="n">
        <v>7</v>
      </c>
      <c r="AA432" s="425">
        <f>IF(AC432="Archived",0,ROUND((IF(N432="Tier 1",35,IF(N432="Tier 2",20,8))+IF(C432="Financial Investor",15,IF(C432="Intermediary / Banker",12,8))+IF(L432="Term Sheet / Proposal",25,IF(L432="Engaged",20,IF(L432="Meeting Requested",18,IF(L432="Meeting Held",14,IF(L432="Follow Up",10,5)))))+MIN(Q432,30)+IF(S432="DUE",15,IF(S432="Next 3 Days",8,0))),0))</f>
        <v/>
      </c>
      <c r="AB432" s="425">
        <f>IF(AND(AC432="Active",OR(N432="Tier 1",N432="Tier 2"),OR(S432="DUE",S432="Next 3 Days")),"YES","")</f>
        <v/>
      </c>
      <c r="AC432" s="425">
        <f>IF(L432="Passed","Archived","Active")</f>
        <v/>
      </c>
    </row>
    <row r="433">
      <c r="A433" s="425" t="inlineStr">
        <is>
          <t>EXOS-0432</t>
        </is>
      </c>
      <c r="B433" s="425" t="inlineStr">
        <is>
          <t>Derek Contacts</t>
        </is>
      </c>
      <c r="C433" s="425" t="inlineStr">
        <is>
          <t>Financial Investor</t>
        </is>
      </c>
      <c r="D433" s="425" t="inlineStr">
        <is>
          <t>Higher Orbits</t>
        </is>
      </c>
      <c r="E433" s="425" t="inlineStr">
        <is>
          <t>Michelle Lucas</t>
        </is>
      </c>
      <c r="F433" s="425" t="inlineStr">
        <is>
          <t>Non-profit</t>
        </is>
      </c>
      <c r="G433" s="111" t="inlineStr">
        <is>
          <t>michelle@higherorbits.org</t>
        </is>
      </c>
      <c r="H433" s="425" t="inlineStr"/>
      <c r="I433" s="425" t="inlineStr"/>
      <c r="J433" s="425" t="inlineStr"/>
      <c r="K433" s="426" t="inlineStr">
        <is>
          <t>John Quinn</t>
        </is>
      </c>
      <c r="L433" s="426" t="inlineStr">
        <is>
          <t>Follow Up</t>
        </is>
      </c>
      <c r="M433" s="425" t="inlineStr">
        <is>
          <t>Space / Defense / Aerospace / Advanced Manufacturing</t>
        </is>
      </c>
      <c r="N433" s="426" t="inlineStr">
        <is>
          <t>Tier 2</t>
        </is>
      </c>
      <c r="O433" s="425" t="n"/>
      <c r="P433" s="425" t="n"/>
      <c r="Q433" s="425">
        <f>IF(P433="","",TODAY()-P433)</f>
        <v/>
      </c>
      <c r="R433" s="441">
        <f>IF(OR(L433="Passed",Z433=""),"",P433+Z433)</f>
        <v/>
      </c>
      <c r="S433" s="425">
        <f>IF(OR(R433="",L433="Passed"),"",IF(R433&lt;=TODAY(),"DUE",IF(R433&lt;=TODAY()+3,"Next 3 Days","Later")))</f>
        <v/>
      </c>
      <c r="T433" s="425" t="inlineStr"/>
      <c r="U433" s="426" t="inlineStr"/>
      <c r="V433" s="426" t="inlineStr"/>
      <c r="W433" s="428" t="inlineStr">
        <is>
          <t>sent to Lizi for follow up - not a VC opportunity</t>
        </is>
      </c>
      <c r="X433" s="425" t="inlineStr">
        <is>
          <t>Derek Contacts!27</t>
        </is>
      </c>
      <c r="Y433" s="426" t="inlineStr">
        <is>
          <t>Send next follow-up with traction + CTA</t>
        </is>
      </c>
      <c r="Z433" s="425" t="n">
        <v>7</v>
      </c>
      <c r="AA433" s="425">
        <f>IF(AC433="Archived",0,ROUND((IF(N433="Tier 1",35,IF(N433="Tier 2",20,8))+IF(C433="Financial Investor",15,IF(C433="Intermediary / Banker",12,8))+IF(L433="Term Sheet / Proposal",25,IF(L433="Engaged",20,IF(L433="Meeting Requested",18,IF(L433="Meeting Held",14,IF(L433="Follow Up",10,5)))))+MIN(Q433,30)+IF(S433="DUE",15,IF(S433="Next 3 Days",8,0))),0))</f>
        <v/>
      </c>
      <c r="AB433" s="425">
        <f>IF(AND(AC433="Active",OR(N433="Tier 1",N433="Tier 2"),OR(S433="DUE",S433="Next 3 Days")),"YES","")</f>
        <v/>
      </c>
      <c r="AC433" s="425">
        <f>IF(L433="Passed","Archived","Active")</f>
        <v/>
      </c>
    </row>
    <row r="434">
      <c r="A434" s="425" t="inlineStr">
        <is>
          <t>EXOS-0433</t>
        </is>
      </c>
      <c r="B434" s="425" t="inlineStr">
        <is>
          <t>John - Investor Contacts</t>
        </is>
      </c>
      <c r="C434" s="425" t="inlineStr">
        <is>
          <t>Financial Investor</t>
        </is>
      </c>
      <c r="D434" s="425" t="inlineStr">
        <is>
          <t>Houston Angel Network</t>
        </is>
      </c>
      <c r="E434" s="425" t="inlineStr">
        <is>
          <t>Eric Schneider</t>
        </is>
      </c>
      <c r="F434" s="425" t="inlineStr"/>
      <c r="G434" s="111" t="inlineStr">
        <is>
          <t>e.schneider@comcast.net</t>
        </is>
      </c>
      <c r="H434" s="425" t="inlineStr"/>
      <c r="I434" s="425" t="inlineStr"/>
      <c r="J434" s="111" t="inlineStr">
        <is>
          <t>https://www.linkedin.com/in/eric-schneider-cfa-4396664/</t>
        </is>
      </c>
      <c r="K434" s="426" t="inlineStr">
        <is>
          <t>John Quinn</t>
        </is>
      </c>
      <c r="L434" s="426" t="inlineStr">
        <is>
          <t>Follow Up</t>
        </is>
      </c>
      <c r="M434" s="425" t="inlineStr">
        <is>
          <t>Space / Defense / Aerospace / Advanced Manufacturing</t>
        </is>
      </c>
      <c r="N434" s="426" t="inlineStr">
        <is>
          <t>Tier 2</t>
        </is>
      </c>
      <c r="O434" s="441" t="n">
        <v>45813</v>
      </c>
      <c r="P434" s="441" t="n">
        <v>45841</v>
      </c>
      <c r="Q434" s="425">
        <f>IF(P434="","",TODAY()-P434)</f>
        <v/>
      </c>
      <c r="R434" s="441">
        <f>IF(OR(L434="Passed",Z434=""),"",P434+Z434)</f>
        <v/>
      </c>
      <c r="S434" s="425">
        <f>IF(OR(R434="",L434="Passed"),"",IF(R434&lt;=TODAY(),"DUE",IF(R434&lt;=TODAY()+3,"Next 3 Days","Later")))</f>
        <v/>
      </c>
      <c r="T434" s="425" t="inlineStr"/>
      <c r="U434" s="426" t="inlineStr">
        <is>
          <t>https://www.linkedin.com/in/eric-schneider-cfa-4396664/</t>
        </is>
      </c>
      <c r="V434" s="426" t="inlineStr"/>
      <c r="W434" s="428" t="inlineStr">
        <is>
          <t xml:space="preserve"> |  | decided to start working with Joby Aviation</t>
        </is>
      </c>
      <c r="X434" s="425" t="inlineStr">
        <is>
          <t>John - Investor Contacts!112</t>
        </is>
      </c>
      <c r="Y434" s="426" t="inlineStr">
        <is>
          <t>Send next follow-up with traction + CTA</t>
        </is>
      </c>
      <c r="Z434" s="425" t="n">
        <v>7</v>
      </c>
      <c r="AA434" s="425">
        <f>IF(AC434="Archived",0,ROUND((IF(N434="Tier 1",35,IF(N434="Tier 2",20,8))+IF(C434="Financial Investor",15,IF(C434="Intermediary / Banker",12,8))+IF(L434="Term Sheet / Proposal",25,IF(L434="Engaged",20,IF(L434="Meeting Requested",18,IF(L434="Meeting Held",14,IF(L434="Follow Up",10,5)))))+MIN(Q434,30)+IF(S434="DUE",15,IF(S434="Next 3 Days",8,0))),0))</f>
        <v/>
      </c>
      <c r="AB434" s="425">
        <f>IF(AND(AC434="Active",OR(N434="Tier 1",N434="Tier 2"),OR(S434="DUE",S434="Next 3 Days")),"YES","")</f>
        <v/>
      </c>
      <c r="AC434" s="425">
        <f>IF(L434="Passed","Archived","Active")</f>
        <v/>
      </c>
    </row>
    <row r="435">
      <c r="A435" s="425" t="inlineStr">
        <is>
          <t>EXOS-0434</t>
        </is>
      </c>
      <c r="B435" s="425" t="inlineStr">
        <is>
          <t>John - Investor Contacts</t>
        </is>
      </c>
      <c r="C435" s="425" t="inlineStr">
        <is>
          <t>Financial Investor</t>
        </is>
      </c>
      <c r="D435" s="425" t="inlineStr">
        <is>
          <t>Houston Angel Network</t>
        </is>
      </c>
      <c r="E435" s="425" t="inlineStr">
        <is>
          <t>Samia Ahsan</t>
        </is>
      </c>
      <c r="F435" s="425" t="inlineStr"/>
      <c r="G435" s="111" t="inlineStr">
        <is>
          <t>samia@houstonangelnetwork.org</t>
        </is>
      </c>
      <c r="H435" s="425" t="inlineStr"/>
      <c r="I435" s="425" t="inlineStr"/>
      <c r="J435" s="111" t="inlineStr">
        <is>
          <t>https://www.linkedin.com/in/samia-ahsan-894a28186/</t>
        </is>
      </c>
      <c r="K435" s="426" t="inlineStr">
        <is>
          <t>John Quinn</t>
        </is>
      </c>
      <c r="L435" s="426" t="inlineStr">
        <is>
          <t>Follow Up</t>
        </is>
      </c>
      <c r="M435" s="425" t="inlineStr">
        <is>
          <t>Space / Defense / Aerospace / Advanced Manufacturing</t>
        </is>
      </c>
      <c r="N435" s="426" t="inlineStr">
        <is>
          <t>Tier 2</t>
        </is>
      </c>
      <c r="O435" s="441" t="n">
        <v>45813</v>
      </c>
      <c r="P435" s="441" t="n">
        <v>45841</v>
      </c>
      <c r="Q435" s="425">
        <f>IF(P435="","",TODAY()-P435)</f>
        <v/>
      </c>
      <c r="R435" s="441">
        <f>IF(OR(L435="Passed",Z435=""),"",P435+Z435)</f>
        <v/>
      </c>
      <c r="S435" s="425">
        <f>IF(OR(R435="",L435="Passed"),"",IF(R435&lt;=TODAY(),"DUE",IF(R435&lt;=TODAY()+3,"Next 3 Days","Later")))</f>
        <v/>
      </c>
      <c r="T435" s="425" t="inlineStr"/>
      <c r="U435" s="426" t="inlineStr">
        <is>
          <t>https://www.linkedin.com/in/samia-ahsan-894a28186/</t>
        </is>
      </c>
      <c r="V435" s="426" t="inlineStr"/>
      <c r="W435" s="428" t="inlineStr">
        <is>
          <t xml:space="preserve"> | HAN Application $100 Fee: https://www.houstonangelnetwork.org/entrepreneurs | </t>
        </is>
      </c>
      <c r="X435" s="425" t="inlineStr">
        <is>
          <t>John - Investor Contacts!111</t>
        </is>
      </c>
      <c r="Y435" s="426" t="inlineStr">
        <is>
          <t>Send next follow-up with traction + CTA</t>
        </is>
      </c>
      <c r="Z435" s="425" t="n">
        <v>7</v>
      </c>
      <c r="AA435" s="425">
        <f>IF(AC435="Archived",0,ROUND((IF(N435="Tier 1",35,IF(N435="Tier 2",20,8))+IF(C435="Financial Investor",15,IF(C435="Intermediary / Banker",12,8))+IF(L435="Term Sheet / Proposal",25,IF(L435="Engaged",20,IF(L435="Meeting Requested",18,IF(L435="Meeting Held",14,IF(L435="Follow Up",10,5)))))+MIN(Q435,30)+IF(S435="DUE",15,IF(S435="Next 3 Days",8,0))),0))</f>
        <v/>
      </c>
      <c r="AB435" s="425">
        <f>IF(AND(AC435="Active",OR(N435="Tier 1",N435="Tier 2"),OR(S435="DUE",S435="Next 3 Days")),"YES","")</f>
        <v/>
      </c>
      <c r="AC435" s="425">
        <f>IF(L435="Passed","Archived","Active")</f>
        <v/>
      </c>
    </row>
    <row r="436">
      <c r="A436" s="425" t="inlineStr">
        <is>
          <t>EXOS-0435</t>
        </is>
      </c>
      <c r="B436" s="425" t="inlineStr">
        <is>
          <t>John - Investor Contacts</t>
        </is>
      </c>
      <c r="C436" s="425" t="inlineStr">
        <is>
          <t>Financial Investor</t>
        </is>
      </c>
      <c r="D436" s="425" t="inlineStr">
        <is>
          <t>Hyde Park Angels</t>
        </is>
      </c>
      <c r="E436" s="425" t="inlineStr">
        <is>
          <t>Bess Goodfellow</t>
        </is>
      </c>
      <c r="F436" s="425" t="inlineStr"/>
      <c r="G436" s="111" t="inlineStr">
        <is>
          <t>bess@hydeparkangels.com</t>
        </is>
      </c>
      <c r="H436" s="425" t="inlineStr"/>
      <c r="I436" s="425" t="inlineStr"/>
      <c r="J436" s="111" t="inlineStr">
        <is>
          <t>https://www.linkedin.com/in/bess-goodfellow-00329199/</t>
        </is>
      </c>
      <c r="K436" s="426" t="inlineStr">
        <is>
          <t>John Quinn</t>
        </is>
      </c>
      <c r="L436" s="426" t="inlineStr">
        <is>
          <t>Follow Up</t>
        </is>
      </c>
      <c r="M436" s="425" t="inlineStr">
        <is>
          <t>Space / Defense / Aerospace / Advanced Manufacturing</t>
        </is>
      </c>
      <c r="N436" s="426" t="inlineStr">
        <is>
          <t>Tier 2</t>
        </is>
      </c>
      <c r="O436" s="441" t="n">
        <v>45898</v>
      </c>
      <c r="P436" s="441" t="n">
        <v>45929</v>
      </c>
      <c r="Q436" s="425">
        <f>IF(P436="","",TODAY()-P436)</f>
        <v/>
      </c>
      <c r="R436" s="441">
        <f>IF(OR(L436="Passed",Z436=""),"",P436+Z436)</f>
        <v/>
      </c>
      <c r="S436" s="425">
        <f>IF(OR(R436="",L436="Passed"),"",IF(R436&lt;=TODAY(),"DUE",IF(R436&lt;=TODAY()+3,"Next 3 Days","Later")))</f>
        <v/>
      </c>
      <c r="T436" s="425" t="inlineStr"/>
      <c r="U436" s="426" t="inlineStr">
        <is>
          <t>https://www.linkedin.com/in/bess-goodfellow-00329199/</t>
        </is>
      </c>
      <c r="V436" s="426" t="inlineStr"/>
      <c r="W436" s="428" t="inlineStr">
        <is>
          <t xml:space="preserve"> | 12/05/2025 | </t>
        </is>
      </c>
      <c r="X436" s="425" t="inlineStr">
        <is>
          <t>John - Investor Contacts!585</t>
        </is>
      </c>
      <c r="Y436" s="426" t="inlineStr">
        <is>
          <t>Send next follow-up with traction + CTA</t>
        </is>
      </c>
      <c r="Z436" s="425" t="n">
        <v>7</v>
      </c>
      <c r="AA436" s="425">
        <f>IF(AC436="Archived",0,ROUND((IF(N436="Tier 1",35,IF(N436="Tier 2",20,8))+IF(C436="Financial Investor",15,IF(C436="Intermediary / Banker",12,8))+IF(L436="Term Sheet / Proposal",25,IF(L436="Engaged",20,IF(L436="Meeting Requested",18,IF(L436="Meeting Held",14,IF(L436="Follow Up",10,5)))))+MIN(Q436,30)+IF(S436="DUE",15,IF(S436="Next 3 Days",8,0))),0))</f>
        <v/>
      </c>
      <c r="AB436" s="425">
        <f>IF(AND(AC436="Active",OR(N436="Tier 1",N436="Tier 2"),OR(S436="DUE",S436="Next 3 Days")),"YES","")</f>
        <v/>
      </c>
      <c r="AC436" s="425">
        <f>IF(L436="Passed","Archived","Active")</f>
        <v/>
      </c>
    </row>
    <row r="437">
      <c r="A437" s="425" t="inlineStr">
        <is>
          <t>EXOS-0436</t>
        </is>
      </c>
      <c r="B437" s="425" t="inlineStr">
        <is>
          <t>John - Investor Contacts</t>
        </is>
      </c>
      <c r="C437" s="425" t="inlineStr">
        <is>
          <t>Financial Investor</t>
        </is>
      </c>
      <c r="D437" s="425" t="inlineStr">
        <is>
          <t>IAG Capital Partners</t>
        </is>
      </c>
      <c r="E437" s="425" t="inlineStr">
        <is>
          <t>Alex Kash</t>
        </is>
      </c>
      <c r="F437" s="425" t="inlineStr"/>
      <c r="G437" s="111" t="inlineStr">
        <is>
          <t>alex@iagcapitalpartners.com</t>
        </is>
      </c>
      <c r="H437" s="425" t="inlineStr"/>
      <c r="I437" s="425" t="inlineStr"/>
      <c r="J437" s="425" t="inlineStr"/>
      <c r="K437" s="426" t="inlineStr">
        <is>
          <t>John Quinn</t>
        </is>
      </c>
      <c r="L437" s="426" t="inlineStr">
        <is>
          <t>Follow Up</t>
        </is>
      </c>
      <c r="M437" s="425" t="inlineStr">
        <is>
          <t>Space / Defense / Aerospace / Advanced Manufacturing</t>
        </is>
      </c>
      <c r="N437" s="426" t="inlineStr">
        <is>
          <t>Tier 2</t>
        </is>
      </c>
      <c r="O437" s="441" t="n">
        <v>45848</v>
      </c>
      <c r="P437" s="441" t="n">
        <v>45861</v>
      </c>
      <c r="Q437" s="425">
        <f>IF(P437="","",TODAY()-P437)</f>
        <v/>
      </c>
      <c r="R437" s="441">
        <f>IF(OR(L437="Passed",Z437=""),"",P437+Z437)</f>
        <v/>
      </c>
      <c r="S437" s="425">
        <f>IF(OR(R437="",L437="Passed"),"",IF(R437&lt;=TODAY(),"DUE",IF(R437&lt;=TODAY()+3,"Next 3 Days","Later")))</f>
        <v/>
      </c>
      <c r="T437" s="425" t="inlineStr"/>
      <c r="U437" s="426" t="inlineStr">
        <is>
          <t>linkedin.com/in/alex-kash-03894b159</t>
        </is>
      </c>
      <c r="V437" s="426" t="inlineStr"/>
      <c r="W437" s="428" t="inlineStr">
        <is>
          <t xml:space="preserve"> | not a fit | </t>
        </is>
      </c>
      <c r="X437" s="425" t="inlineStr">
        <is>
          <t>John - Investor Contacts!394</t>
        </is>
      </c>
      <c r="Y437" s="426" t="inlineStr">
        <is>
          <t>Send next follow-up with traction + CTA</t>
        </is>
      </c>
      <c r="Z437" s="425" t="n">
        <v>7</v>
      </c>
      <c r="AA437" s="425">
        <f>IF(AC437="Archived",0,ROUND((IF(N437="Tier 1",35,IF(N437="Tier 2",20,8))+IF(C437="Financial Investor",15,IF(C437="Intermediary / Banker",12,8))+IF(L437="Term Sheet / Proposal",25,IF(L437="Engaged",20,IF(L437="Meeting Requested",18,IF(L437="Meeting Held",14,IF(L437="Follow Up",10,5)))))+MIN(Q437,30)+IF(S437="DUE",15,IF(S437="Next 3 Days",8,0))),0))</f>
        <v/>
      </c>
      <c r="AB437" s="425">
        <f>IF(AND(AC437="Active",OR(N437="Tier 1",N437="Tier 2"),OR(S437="DUE",S437="Next 3 Days")),"YES","")</f>
        <v/>
      </c>
      <c r="AC437" s="425">
        <f>IF(L437="Passed","Archived","Active")</f>
        <v/>
      </c>
    </row>
    <row r="438">
      <c r="A438" s="425" t="inlineStr">
        <is>
          <t>EXOS-0437</t>
        </is>
      </c>
      <c r="B438" s="425" t="inlineStr">
        <is>
          <t>John - Investor Contacts</t>
        </is>
      </c>
      <c r="C438" s="425" t="inlineStr">
        <is>
          <t>Financial Investor</t>
        </is>
      </c>
      <c r="D438" s="425" t="inlineStr">
        <is>
          <t>IAG Capital Partners</t>
        </is>
      </c>
      <c r="E438" s="425" t="inlineStr">
        <is>
          <t>Dennis Sacha</t>
        </is>
      </c>
      <c r="F438" s="425" t="inlineStr"/>
      <c r="G438" s="111" t="inlineStr">
        <is>
          <t>ds@iagcapitalpartners.com</t>
        </is>
      </c>
      <c r="H438" s="425" t="inlineStr"/>
      <c r="I438" s="425" t="inlineStr"/>
      <c r="J438" s="111" t="inlineStr">
        <is>
          <t>https://www.linkedin.com/in/dennis-sacha-11623a5/</t>
        </is>
      </c>
      <c r="K438" s="426" t="inlineStr">
        <is>
          <t>John Quinn</t>
        </is>
      </c>
      <c r="L438" s="426" t="inlineStr">
        <is>
          <t>Follow Up</t>
        </is>
      </c>
      <c r="M438" s="425" t="inlineStr">
        <is>
          <t>Space / Defense / Aerospace / Advanced Manufacturing</t>
        </is>
      </c>
      <c r="N438" s="426" t="inlineStr">
        <is>
          <t>Tier 2</t>
        </is>
      </c>
      <c r="O438" s="441" t="n">
        <v>45848</v>
      </c>
      <c r="P438" s="441" t="n">
        <v>45861</v>
      </c>
      <c r="Q438" s="425">
        <f>IF(P438="","",TODAY()-P438)</f>
        <v/>
      </c>
      <c r="R438" s="441">
        <f>IF(OR(L438="Passed",Z438=""),"",P438+Z438)</f>
        <v/>
      </c>
      <c r="S438" s="425">
        <f>IF(OR(R438="",L438="Passed"),"",IF(R438&lt;=TODAY(),"DUE",IF(R438&lt;=TODAY()+3,"Next 3 Days","Later")))</f>
        <v/>
      </c>
      <c r="T438" s="425" t="inlineStr"/>
      <c r="U438" s="426" t="inlineStr">
        <is>
          <t>https://www.linkedin.com/in/dennis-sacha-11623a5/</t>
        </is>
      </c>
      <c r="V438" s="426" t="inlineStr"/>
      <c r="W438" s="428" t="inlineStr">
        <is>
          <t xml:space="preserve"> | 12/26/2025 | </t>
        </is>
      </c>
      <c r="X438" s="425" t="inlineStr">
        <is>
          <t>John - Investor Contacts!395</t>
        </is>
      </c>
      <c r="Y438" s="426" t="inlineStr">
        <is>
          <t>Send next follow-up with traction + CTA</t>
        </is>
      </c>
      <c r="Z438" s="425" t="n">
        <v>7</v>
      </c>
      <c r="AA438" s="425">
        <f>IF(AC438="Archived",0,ROUND((IF(N438="Tier 1",35,IF(N438="Tier 2",20,8))+IF(C438="Financial Investor",15,IF(C438="Intermediary / Banker",12,8))+IF(L438="Term Sheet / Proposal",25,IF(L438="Engaged",20,IF(L438="Meeting Requested",18,IF(L438="Meeting Held",14,IF(L438="Follow Up",10,5)))))+MIN(Q438,30)+IF(S438="DUE",15,IF(S438="Next 3 Days",8,0))),0))</f>
        <v/>
      </c>
      <c r="AB438" s="425">
        <f>IF(AND(AC438="Active",OR(N438="Tier 1",N438="Tier 2"),OR(S438="DUE",S438="Next 3 Days")),"YES","")</f>
        <v/>
      </c>
      <c r="AC438" s="425">
        <f>IF(L438="Passed","Archived","Active")</f>
        <v/>
      </c>
    </row>
    <row r="439">
      <c r="A439" s="425" t="inlineStr">
        <is>
          <t>EXOS-0438</t>
        </is>
      </c>
      <c r="B439" s="425" t="inlineStr">
        <is>
          <t>John - Investor Contacts</t>
        </is>
      </c>
      <c r="C439" s="425" t="inlineStr">
        <is>
          <t>Financial Investor</t>
        </is>
      </c>
      <c r="D439" s="425" t="inlineStr">
        <is>
          <t>IAG Capital Partners</t>
        </is>
      </c>
      <c r="E439" s="425" t="inlineStr">
        <is>
          <t>Ehsan Jabbarzadeh</t>
        </is>
      </c>
      <c r="F439" s="425" t="inlineStr"/>
      <c r="G439" s="111" t="inlineStr">
        <is>
          <t>ehsan@iagcapitalpartners.com</t>
        </is>
      </c>
      <c r="H439" s="425" t="inlineStr"/>
      <c r="I439" s="425" t="inlineStr"/>
      <c r="J439" s="111" t="inlineStr">
        <is>
          <t>https://www.linkedin.com/in/ehsanjabbarzadeh/</t>
        </is>
      </c>
      <c r="K439" s="426" t="inlineStr">
        <is>
          <t>John Quinn</t>
        </is>
      </c>
      <c r="L439" s="426" t="inlineStr">
        <is>
          <t>Follow Up</t>
        </is>
      </c>
      <c r="M439" s="425" t="inlineStr">
        <is>
          <t>Space / Defense / Aerospace / Advanced Manufacturing</t>
        </is>
      </c>
      <c r="N439" s="426" t="inlineStr">
        <is>
          <t>Tier 2</t>
        </is>
      </c>
      <c r="O439" s="441" t="n">
        <v>45848</v>
      </c>
      <c r="P439" s="441" t="n">
        <v>45861</v>
      </c>
      <c r="Q439" s="425">
        <f>IF(P439="","",TODAY()-P439)</f>
        <v/>
      </c>
      <c r="R439" s="441">
        <f>IF(OR(L439="Passed",Z439=""),"",P439+Z439)</f>
        <v/>
      </c>
      <c r="S439" s="425">
        <f>IF(OR(R439="",L439="Passed"),"",IF(R439&lt;=TODAY(),"DUE",IF(R439&lt;=TODAY()+3,"Next 3 Days","Later")))</f>
        <v/>
      </c>
      <c r="T439" s="425" t="inlineStr"/>
      <c r="U439" s="426" t="inlineStr">
        <is>
          <t>https://www.linkedin.com/in/ehsanjabbarzadeh/</t>
        </is>
      </c>
      <c r="V439" s="426" t="inlineStr"/>
      <c r="W439" s="428" t="inlineStr">
        <is>
          <t xml:space="preserve"> | 12/26/2025 | </t>
        </is>
      </c>
      <c r="X439" s="425" t="inlineStr">
        <is>
          <t>John - Investor Contacts!397</t>
        </is>
      </c>
      <c r="Y439" s="426" t="inlineStr">
        <is>
          <t>Send next follow-up with traction + CTA</t>
        </is>
      </c>
      <c r="Z439" s="425" t="n">
        <v>7</v>
      </c>
      <c r="AA439" s="425">
        <f>IF(AC439="Archived",0,ROUND((IF(N439="Tier 1",35,IF(N439="Tier 2",20,8))+IF(C439="Financial Investor",15,IF(C439="Intermediary / Banker",12,8))+IF(L439="Term Sheet / Proposal",25,IF(L439="Engaged",20,IF(L439="Meeting Requested",18,IF(L439="Meeting Held",14,IF(L439="Follow Up",10,5)))))+MIN(Q439,30)+IF(S439="DUE",15,IF(S439="Next 3 Days",8,0))),0))</f>
        <v/>
      </c>
      <c r="AB439" s="425">
        <f>IF(AND(AC439="Active",OR(N439="Tier 1",N439="Tier 2"),OR(S439="DUE",S439="Next 3 Days")),"YES","")</f>
        <v/>
      </c>
      <c r="AC439" s="425">
        <f>IF(L439="Passed","Archived","Active")</f>
        <v/>
      </c>
    </row>
    <row r="440">
      <c r="A440" s="425" t="inlineStr">
        <is>
          <t>EXOS-0439</t>
        </is>
      </c>
      <c r="B440" s="425" t="inlineStr">
        <is>
          <t>John - Investor Contacts</t>
        </is>
      </c>
      <c r="C440" s="425" t="inlineStr">
        <is>
          <t>Financial Investor</t>
        </is>
      </c>
      <c r="D440" s="425" t="inlineStr">
        <is>
          <t>IAG Capital Partners</t>
        </is>
      </c>
      <c r="E440" s="425" t="inlineStr">
        <is>
          <t>Joel Whitley</t>
        </is>
      </c>
      <c r="F440" s="425" t="inlineStr"/>
      <c r="G440" s="111" t="inlineStr">
        <is>
          <t>joel@iagcapitalpartners.com</t>
        </is>
      </c>
      <c r="H440" s="425" t="inlineStr"/>
      <c r="I440" s="425" t="inlineStr"/>
      <c r="J440" s="425" t="inlineStr"/>
      <c r="K440" s="426" t="inlineStr">
        <is>
          <t>John Quinn</t>
        </is>
      </c>
      <c r="L440" s="426" t="inlineStr">
        <is>
          <t>Follow Up</t>
        </is>
      </c>
      <c r="M440" s="425" t="inlineStr">
        <is>
          <t>Space / Defense / Aerospace / Advanced Manufacturing</t>
        </is>
      </c>
      <c r="N440" s="426" t="inlineStr">
        <is>
          <t>Tier 2</t>
        </is>
      </c>
      <c r="O440" s="441" t="n">
        <v>45848</v>
      </c>
      <c r="P440" s="441" t="n">
        <v>45861</v>
      </c>
      <c r="Q440" s="425">
        <f>IF(P440="","",TODAY()-P440)</f>
        <v/>
      </c>
      <c r="R440" s="441">
        <f>IF(OR(L440="Passed",Z440=""),"",P440+Z440)</f>
        <v/>
      </c>
      <c r="S440" s="425">
        <f>IF(OR(R440="",L440="Passed"),"",IF(R440&lt;=TODAY(),"DUE",IF(R440&lt;=TODAY()+3,"Next 3 Days","Later")))</f>
        <v/>
      </c>
      <c r="T440" s="425" t="inlineStr"/>
      <c r="U440" s="426" t="inlineStr">
        <is>
          <t>linkedin.com/in/joel-whitley-a90b144a</t>
        </is>
      </c>
      <c r="V440" s="426" t="inlineStr"/>
      <c r="W440" s="428" t="inlineStr">
        <is>
          <t xml:space="preserve"> | 12/26/2025 | </t>
        </is>
      </c>
      <c r="X440" s="425" t="inlineStr">
        <is>
          <t>John - Investor Contacts!396</t>
        </is>
      </c>
      <c r="Y440" s="426" t="inlineStr">
        <is>
          <t>Send next follow-up with traction + CTA</t>
        </is>
      </c>
      <c r="Z440" s="425" t="n">
        <v>7</v>
      </c>
      <c r="AA440" s="425">
        <f>IF(AC440="Archived",0,ROUND((IF(N440="Tier 1",35,IF(N440="Tier 2",20,8))+IF(C440="Financial Investor",15,IF(C440="Intermediary / Banker",12,8))+IF(L440="Term Sheet / Proposal",25,IF(L440="Engaged",20,IF(L440="Meeting Requested",18,IF(L440="Meeting Held",14,IF(L440="Follow Up",10,5)))))+MIN(Q440,30)+IF(S440="DUE",15,IF(S440="Next 3 Days",8,0))),0))</f>
        <v/>
      </c>
      <c r="AB440" s="425">
        <f>IF(AND(AC440="Active",OR(N440="Tier 1",N440="Tier 2"),OR(S440="DUE",S440="Next 3 Days")),"YES","")</f>
        <v/>
      </c>
      <c r="AC440" s="425">
        <f>IF(L440="Passed","Archived","Active")</f>
        <v/>
      </c>
    </row>
    <row r="441">
      <c r="A441" s="425" t="inlineStr">
        <is>
          <t>EXOS-0440</t>
        </is>
      </c>
      <c r="B441" s="425" t="inlineStr">
        <is>
          <t>John - Investor Contacts</t>
        </is>
      </c>
      <c r="C441" s="425" t="inlineStr">
        <is>
          <t>Financial Investor</t>
        </is>
      </c>
      <c r="D441" s="425" t="inlineStr">
        <is>
          <t>Index Ventures</t>
        </is>
      </c>
      <c r="E441" s="425" t="inlineStr">
        <is>
          <t>Danny Rimer</t>
        </is>
      </c>
      <c r="F441" s="425" t="inlineStr"/>
      <c r="G441" s="111" t="inlineStr">
        <is>
          <t>danny@indexventures.com</t>
        </is>
      </c>
      <c r="H441" s="425" t="inlineStr"/>
      <c r="I441" s="425" t="inlineStr"/>
      <c r="J441" s="111" t="inlineStr">
        <is>
          <t>https://www.linkedin.com/in/dannyrimer/</t>
        </is>
      </c>
      <c r="K441" s="426" t="inlineStr">
        <is>
          <t>John Quinn</t>
        </is>
      </c>
      <c r="L441" s="426" t="inlineStr">
        <is>
          <t>Follow Up</t>
        </is>
      </c>
      <c r="M441" s="425" t="inlineStr">
        <is>
          <t>Space / Defense / Aerospace / Advanced Manufacturing</t>
        </is>
      </c>
      <c r="N441" s="426" t="inlineStr">
        <is>
          <t>Tier 2</t>
        </is>
      </c>
      <c r="O441" s="441" t="n">
        <v>45791</v>
      </c>
      <c r="P441" s="441" t="n">
        <v>45841</v>
      </c>
      <c r="Q441" s="425">
        <f>IF(P441="","",TODAY()-P441)</f>
        <v/>
      </c>
      <c r="R441" s="441">
        <f>IF(OR(L441="Passed",Z441=""),"",P441+Z441)</f>
        <v/>
      </c>
      <c r="S441" s="425">
        <f>IF(OR(R441="",L441="Passed"),"",IF(R441&lt;=TODAY(),"DUE",IF(R441&lt;=TODAY()+3,"Next 3 Days","Later")))</f>
        <v/>
      </c>
      <c r="T441" s="425" t="inlineStr"/>
      <c r="U441" s="426" t="inlineStr">
        <is>
          <t>https://www.linkedin.com/in/dannyrimer/</t>
        </is>
      </c>
      <c r="V441" s="426" t="inlineStr"/>
      <c r="W441" s="428" t="inlineStr">
        <is>
          <t xml:space="preserve"> |  | </t>
        </is>
      </c>
      <c r="X441" s="425" t="inlineStr">
        <is>
          <t>John - Investor Contacts!19</t>
        </is>
      </c>
      <c r="Y441" s="426" t="inlineStr">
        <is>
          <t>Send next follow-up with traction + CTA</t>
        </is>
      </c>
      <c r="Z441" s="425" t="n">
        <v>7</v>
      </c>
      <c r="AA441" s="425">
        <f>IF(AC441="Archived",0,ROUND((IF(N441="Tier 1",35,IF(N441="Tier 2",20,8))+IF(C441="Financial Investor",15,IF(C441="Intermediary / Banker",12,8))+IF(L441="Term Sheet / Proposal",25,IF(L441="Engaged",20,IF(L441="Meeting Requested",18,IF(L441="Meeting Held",14,IF(L441="Follow Up",10,5)))))+MIN(Q441,30)+IF(S441="DUE",15,IF(S441="Next 3 Days",8,0))),0))</f>
        <v/>
      </c>
      <c r="AB441" s="425">
        <f>IF(AND(AC441="Active",OR(N441="Tier 1",N441="Tier 2"),OR(S441="DUE",S441="Next 3 Days")),"YES","")</f>
        <v/>
      </c>
      <c r="AC441" s="425">
        <f>IF(L441="Passed","Archived","Active")</f>
        <v/>
      </c>
    </row>
    <row r="442">
      <c r="A442" s="425" t="inlineStr">
        <is>
          <t>EXOS-0441</t>
        </is>
      </c>
      <c r="B442" s="425" t="inlineStr">
        <is>
          <t>John - Investor Contacts</t>
        </is>
      </c>
      <c r="C442" s="425" t="inlineStr">
        <is>
          <t>Financial Investor</t>
        </is>
      </c>
      <c r="D442" s="425" t="inlineStr">
        <is>
          <t>Index Ventures</t>
        </is>
      </c>
      <c r="E442" s="425" t="inlineStr">
        <is>
          <t>Jan Hammer</t>
        </is>
      </c>
      <c r="F442" s="425" t="inlineStr"/>
      <c r="G442" s="111" t="inlineStr">
        <is>
          <t>jan@indexventures.com</t>
        </is>
      </c>
      <c r="H442" s="425" t="inlineStr"/>
      <c r="I442" s="425" t="inlineStr"/>
      <c r="J442" s="111" t="inlineStr">
        <is>
          <t>https://www.linkedin.com/in/hammerjan/</t>
        </is>
      </c>
      <c r="K442" s="426" t="inlineStr">
        <is>
          <t>John Quinn</t>
        </is>
      </c>
      <c r="L442" s="426" t="inlineStr">
        <is>
          <t>Follow Up</t>
        </is>
      </c>
      <c r="M442" s="425" t="inlineStr">
        <is>
          <t>Space / Defense / Aerospace / Advanced Manufacturing</t>
        </is>
      </c>
      <c r="N442" s="426" t="inlineStr">
        <is>
          <t>Tier 2</t>
        </is>
      </c>
      <c r="O442" s="441" t="n">
        <v>45791</v>
      </c>
      <c r="P442" s="441" t="n">
        <v>45841</v>
      </c>
      <c r="Q442" s="425">
        <f>IF(P442="","",TODAY()-P442)</f>
        <v/>
      </c>
      <c r="R442" s="441">
        <f>IF(OR(L442="Passed",Z442=""),"",P442+Z442)</f>
        <v/>
      </c>
      <c r="S442" s="425">
        <f>IF(OR(R442="",L442="Passed"),"",IF(R442&lt;=TODAY(),"DUE",IF(R442&lt;=TODAY()+3,"Next 3 Days","Later")))</f>
        <v/>
      </c>
      <c r="T442" s="425" t="inlineStr"/>
      <c r="U442" s="426" t="inlineStr">
        <is>
          <t>https://www.linkedin.com/in/hammerjan/</t>
        </is>
      </c>
      <c r="V442" s="426" t="inlineStr"/>
      <c r="W442" s="428" t="inlineStr">
        <is>
          <t xml:space="preserve"> |  | </t>
        </is>
      </c>
      <c r="X442" s="425" t="inlineStr">
        <is>
          <t>John - Investor Contacts!20</t>
        </is>
      </c>
      <c r="Y442" s="426" t="inlineStr">
        <is>
          <t>Send next follow-up with traction + CTA</t>
        </is>
      </c>
      <c r="Z442" s="425" t="n">
        <v>7</v>
      </c>
      <c r="AA442" s="425">
        <f>IF(AC442="Archived",0,ROUND((IF(N442="Tier 1",35,IF(N442="Tier 2",20,8))+IF(C442="Financial Investor",15,IF(C442="Intermediary / Banker",12,8))+IF(L442="Term Sheet / Proposal",25,IF(L442="Engaged",20,IF(L442="Meeting Requested",18,IF(L442="Meeting Held",14,IF(L442="Follow Up",10,5)))))+MIN(Q442,30)+IF(S442="DUE",15,IF(S442="Next 3 Days",8,0))),0))</f>
        <v/>
      </c>
      <c r="AB442" s="425">
        <f>IF(AND(AC442="Active",OR(N442="Tier 1",N442="Tier 2"),OR(S442="DUE",S442="Next 3 Days")),"YES","")</f>
        <v/>
      </c>
      <c r="AC442" s="425">
        <f>IF(L442="Passed","Archived","Active")</f>
        <v/>
      </c>
    </row>
    <row r="443">
      <c r="A443" s="425" t="inlineStr">
        <is>
          <t>EXOS-0442</t>
        </is>
      </c>
      <c r="B443" s="425" t="inlineStr">
        <is>
          <t>John - Investor Contacts</t>
        </is>
      </c>
      <c r="C443" s="425" t="inlineStr">
        <is>
          <t>Financial Investor</t>
        </is>
      </c>
      <c r="D443" s="425" t="inlineStr">
        <is>
          <t>Indie Bio</t>
        </is>
      </c>
      <c r="E443" s="425" t="inlineStr">
        <is>
          <t>Alex Kopelyan</t>
        </is>
      </c>
      <c r="F443" s="425" t="inlineStr"/>
      <c r="G443" s="111" t="inlineStr">
        <is>
          <t>alexkopelyan@indiebio.co</t>
        </is>
      </c>
      <c r="H443" s="425" t="inlineStr"/>
      <c r="I443" s="425" t="inlineStr"/>
      <c r="J443" s="111" t="inlineStr">
        <is>
          <t>https://indiebio.co/team/alex-kopelyan/</t>
        </is>
      </c>
      <c r="K443" s="426" t="inlineStr">
        <is>
          <t>John Quinn</t>
        </is>
      </c>
      <c r="L443" s="426" t="inlineStr">
        <is>
          <t>Follow Up</t>
        </is>
      </c>
      <c r="M443" s="425" t="inlineStr">
        <is>
          <t>Space / Defense / Aerospace / Advanced Manufacturing</t>
        </is>
      </c>
      <c r="N443" s="426" t="inlineStr">
        <is>
          <t>Tier 2</t>
        </is>
      </c>
      <c r="O443" s="441" t="n">
        <v>45835</v>
      </c>
      <c r="P443" s="441" t="n">
        <v>45848</v>
      </c>
      <c r="Q443" s="425">
        <f>IF(P443="","",TODAY()-P443)</f>
        <v/>
      </c>
      <c r="R443" s="441">
        <f>IF(OR(L443="Passed",Z443=""),"",P443+Z443)</f>
        <v/>
      </c>
      <c r="S443" s="425">
        <f>IF(OR(R443="",L443="Passed"),"",IF(R443&lt;=TODAY(),"DUE",IF(R443&lt;=TODAY()+3,"Next 3 Days","Later")))</f>
        <v/>
      </c>
      <c r="T443" s="425" t="inlineStr"/>
      <c r="U443" s="426" t="inlineStr">
        <is>
          <t>https://indiebio.co/team/alex-kopelyan/</t>
        </is>
      </c>
      <c r="V443" s="426" t="inlineStr"/>
      <c r="W443" s="428" t="inlineStr">
        <is>
          <t xml:space="preserve"> | 12/26/2025 | </t>
        </is>
      </c>
      <c r="X443" s="425" t="inlineStr">
        <is>
          <t>John - Investor Contacts!278</t>
        </is>
      </c>
      <c r="Y443" s="426" t="inlineStr">
        <is>
          <t>Send next follow-up with traction + CTA</t>
        </is>
      </c>
      <c r="Z443" s="425" t="n">
        <v>7</v>
      </c>
      <c r="AA443" s="425">
        <f>IF(AC443="Archived",0,ROUND((IF(N443="Tier 1",35,IF(N443="Tier 2",20,8))+IF(C443="Financial Investor",15,IF(C443="Intermediary / Banker",12,8))+IF(L443="Term Sheet / Proposal",25,IF(L443="Engaged",20,IF(L443="Meeting Requested",18,IF(L443="Meeting Held",14,IF(L443="Follow Up",10,5)))))+MIN(Q443,30)+IF(S443="DUE",15,IF(S443="Next 3 Days",8,0))),0))</f>
        <v/>
      </c>
      <c r="AB443" s="425">
        <f>IF(AND(AC443="Active",OR(N443="Tier 1",N443="Tier 2"),OR(S443="DUE",S443="Next 3 Days")),"YES","")</f>
        <v/>
      </c>
      <c r="AC443" s="425">
        <f>IF(L443="Passed","Archived","Active")</f>
        <v/>
      </c>
    </row>
    <row r="444">
      <c r="A444" s="425" t="inlineStr">
        <is>
          <t>EXOS-0443</t>
        </is>
      </c>
      <c r="B444" s="425" t="inlineStr">
        <is>
          <t>John - Investor Contacts</t>
        </is>
      </c>
      <c r="C444" s="425" t="inlineStr">
        <is>
          <t>Financial Investor</t>
        </is>
      </c>
      <c r="D444" s="425" t="inlineStr">
        <is>
          <t>Indie Bio</t>
        </is>
      </c>
      <c r="E444" s="425" t="inlineStr">
        <is>
          <t>Deborah Zajac</t>
        </is>
      </c>
      <c r="F444" s="425" t="inlineStr"/>
      <c r="G444" s="111" t="inlineStr">
        <is>
          <t>deborahzajac@indiebio.co</t>
        </is>
      </c>
      <c r="H444" s="425" t="inlineStr"/>
      <c r="I444" s="425" t="inlineStr"/>
      <c r="J444" s="425" t="inlineStr"/>
      <c r="K444" s="426" t="inlineStr">
        <is>
          <t>John Quinn</t>
        </is>
      </c>
      <c r="L444" s="426" t="inlineStr">
        <is>
          <t>Follow Up</t>
        </is>
      </c>
      <c r="M444" s="425" t="inlineStr">
        <is>
          <t>Space / Defense / Aerospace / Advanced Manufacturing</t>
        </is>
      </c>
      <c r="N444" s="426" t="inlineStr">
        <is>
          <t>Tier 2</t>
        </is>
      </c>
      <c r="O444" s="441" t="n">
        <v>45835</v>
      </c>
      <c r="P444" s="441" t="n">
        <v>45848</v>
      </c>
      <c r="Q444" s="425">
        <f>IF(P444="","",TODAY()-P444)</f>
        <v/>
      </c>
      <c r="R444" s="441">
        <f>IF(OR(L444="Passed",Z444=""),"",P444+Z444)</f>
        <v/>
      </c>
      <c r="S444" s="425">
        <f>IF(OR(R444="",L444="Passed"),"",IF(R444&lt;=TODAY(),"DUE",IF(R444&lt;=TODAY()+3,"Next 3 Days","Later")))</f>
        <v/>
      </c>
      <c r="T444" s="425" t="inlineStr"/>
      <c r="U444" s="426" t="inlineStr"/>
      <c r="V444" s="426" t="inlineStr"/>
      <c r="W444" s="428" t="inlineStr">
        <is>
          <t xml:space="preserve"> | 12/26/2025 | </t>
        </is>
      </c>
      <c r="X444" s="425" t="inlineStr">
        <is>
          <t>John - Investor Contacts!277</t>
        </is>
      </c>
      <c r="Y444" s="426" t="inlineStr">
        <is>
          <t>Send next follow-up with traction + CTA</t>
        </is>
      </c>
      <c r="Z444" s="425" t="n">
        <v>7</v>
      </c>
      <c r="AA444" s="425">
        <f>IF(AC444="Archived",0,ROUND((IF(N444="Tier 1",35,IF(N444="Tier 2",20,8))+IF(C444="Financial Investor",15,IF(C444="Intermediary / Banker",12,8))+IF(L444="Term Sheet / Proposal",25,IF(L444="Engaged",20,IF(L444="Meeting Requested",18,IF(L444="Meeting Held",14,IF(L444="Follow Up",10,5)))))+MIN(Q444,30)+IF(S444="DUE",15,IF(S444="Next 3 Days",8,0))),0))</f>
        <v/>
      </c>
      <c r="AB444" s="425">
        <f>IF(AND(AC444="Active",OR(N444="Tier 1",N444="Tier 2"),OR(S444="DUE",S444="Next 3 Days")),"YES","")</f>
        <v/>
      </c>
      <c r="AC444" s="425">
        <f>IF(L444="Passed","Archived","Active")</f>
        <v/>
      </c>
    </row>
    <row r="445">
      <c r="A445" s="425" t="inlineStr">
        <is>
          <t>EXOS-0444</t>
        </is>
      </c>
      <c r="B445" s="425" t="inlineStr">
        <is>
          <t>John - Investor Contacts</t>
        </is>
      </c>
      <c r="C445" s="425" t="inlineStr">
        <is>
          <t>Financial Investor</t>
        </is>
      </c>
      <c r="D445" s="425" t="inlineStr">
        <is>
          <t>Indie Bio</t>
        </is>
      </c>
      <c r="E445" s="425" t="inlineStr">
        <is>
          <t>Parikshit Sharma</t>
        </is>
      </c>
      <c r="F445" s="425" t="inlineStr"/>
      <c r="G445" s="111" t="inlineStr">
        <is>
          <t>parikshit.sharma@indiebio.co</t>
        </is>
      </c>
      <c r="H445" s="425" t="inlineStr"/>
      <c r="I445" s="425" t="inlineStr"/>
      <c r="J445" s="111" t="inlineStr">
        <is>
          <t>https://www.linkedin.com/in/parikshit-sharma-indiebio/</t>
        </is>
      </c>
      <c r="K445" s="426" t="inlineStr">
        <is>
          <t>John Quinn</t>
        </is>
      </c>
      <c r="L445" s="426" t="inlineStr">
        <is>
          <t>Follow Up</t>
        </is>
      </c>
      <c r="M445" s="425" t="inlineStr">
        <is>
          <t>Space / Defense / Aerospace / Advanced Manufacturing</t>
        </is>
      </c>
      <c r="N445" s="426" t="inlineStr">
        <is>
          <t>Tier 2</t>
        </is>
      </c>
      <c r="O445" s="441" t="n">
        <v>45835</v>
      </c>
      <c r="P445" s="441" t="n">
        <v>45848</v>
      </c>
      <c r="Q445" s="425">
        <f>IF(P445="","",TODAY()-P445)</f>
        <v/>
      </c>
      <c r="R445" s="441">
        <f>IF(OR(L445="Passed",Z445=""),"",P445+Z445)</f>
        <v/>
      </c>
      <c r="S445" s="425">
        <f>IF(OR(R445="",L445="Passed"),"",IF(R445&lt;=TODAY(),"DUE",IF(R445&lt;=TODAY()+3,"Next 3 Days","Later")))</f>
        <v/>
      </c>
      <c r="T445" s="425" t="inlineStr"/>
      <c r="U445" s="426" t="inlineStr">
        <is>
          <t>https://www.linkedin.com/in/parikshit-sharma-indiebio/</t>
        </is>
      </c>
      <c r="V445" s="426" t="inlineStr"/>
      <c r="W445" s="428" t="inlineStr">
        <is>
          <t xml:space="preserve"> | 12/26/2025 | </t>
        </is>
      </c>
      <c r="X445" s="425" t="inlineStr">
        <is>
          <t>John - Investor Contacts!274</t>
        </is>
      </c>
      <c r="Y445" s="426" t="inlineStr">
        <is>
          <t>Send next follow-up with traction + CTA</t>
        </is>
      </c>
      <c r="Z445" s="425" t="n">
        <v>7</v>
      </c>
      <c r="AA445" s="425">
        <f>IF(AC445="Archived",0,ROUND((IF(N445="Tier 1",35,IF(N445="Tier 2",20,8))+IF(C445="Financial Investor",15,IF(C445="Intermediary / Banker",12,8))+IF(L445="Term Sheet / Proposal",25,IF(L445="Engaged",20,IF(L445="Meeting Requested",18,IF(L445="Meeting Held",14,IF(L445="Follow Up",10,5)))))+MIN(Q445,30)+IF(S445="DUE",15,IF(S445="Next 3 Days",8,0))),0))</f>
        <v/>
      </c>
      <c r="AB445" s="425">
        <f>IF(AND(AC445="Active",OR(N445="Tier 1",N445="Tier 2"),OR(S445="DUE",S445="Next 3 Days")),"YES","")</f>
        <v/>
      </c>
      <c r="AC445" s="425">
        <f>IF(L445="Passed","Archived","Active")</f>
        <v/>
      </c>
    </row>
    <row r="446">
      <c r="A446" s="425" t="inlineStr">
        <is>
          <t>EXOS-0445</t>
        </is>
      </c>
      <c r="B446" s="425" t="inlineStr">
        <is>
          <t>John - Investor Contacts</t>
        </is>
      </c>
      <c r="C446" s="425" t="inlineStr">
        <is>
          <t>Financial Investor</t>
        </is>
      </c>
      <c r="D446" s="425" t="inlineStr">
        <is>
          <t>Indie Bio</t>
        </is>
      </c>
      <c r="E446" s="425" t="inlineStr">
        <is>
          <t>Po Bronson</t>
        </is>
      </c>
      <c r="F446" s="425" t="inlineStr"/>
      <c r="G446" s="111" t="inlineStr">
        <is>
          <t>po.bronson@indiebio.co</t>
        </is>
      </c>
      <c r="H446" s="425" t="inlineStr"/>
      <c r="I446" s="425" t="inlineStr"/>
      <c r="J446" s="111" t="inlineStr">
        <is>
          <t>https://www.linkedin.com/in/po-bronson/</t>
        </is>
      </c>
      <c r="K446" s="426" t="inlineStr">
        <is>
          <t>John Quinn</t>
        </is>
      </c>
      <c r="L446" s="426" t="inlineStr">
        <is>
          <t>Follow Up</t>
        </is>
      </c>
      <c r="M446" s="425" t="inlineStr">
        <is>
          <t>Space / Defense / Aerospace / Advanced Manufacturing</t>
        </is>
      </c>
      <c r="N446" s="426" t="inlineStr">
        <is>
          <t>Tier 2</t>
        </is>
      </c>
      <c r="O446" s="441" t="n">
        <v>45835</v>
      </c>
      <c r="P446" s="441" t="n">
        <v>45848</v>
      </c>
      <c r="Q446" s="425">
        <f>IF(P446="","",TODAY()-P446)</f>
        <v/>
      </c>
      <c r="R446" s="441">
        <f>IF(OR(L446="Passed",Z446=""),"",P446+Z446)</f>
        <v/>
      </c>
      <c r="S446" s="425">
        <f>IF(OR(R446="",L446="Passed"),"",IF(R446&lt;=TODAY(),"DUE",IF(R446&lt;=TODAY()+3,"Next 3 Days","Later")))</f>
        <v/>
      </c>
      <c r="T446" s="425" t="inlineStr"/>
      <c r="U446" s="426" t="inlineStr">
        <is>
          <t>https://www.linkedin.com/in/po-bronson/</t>
        </is>
      </c>
      <c r="V446" s="426" t="inlineStr"/>
      <c r="W446" s="428" t="inlineStr">
        <is>
          <t xml:space="preserve"> | 12/26/2025 | </t>
        </is>
      </c>
      <c r="X446" s="425" t="inlineStr">
        <is>
          <t>John - Investor Contacts!275</t>
        </is>
      </c>
      <c r="Y446" s="426" t="inlineStr">
        <is>
          <t>Send next follow-up with traction + CTA</t>
        </is>
      </c>
      <c r="Z446" s="425" t="n">
        <v>7</v>
      </c>
      <c r="AA446" s="425">
        <f>IF(AC446="Archived",0,ROUND((IF(N446="Tier 1",35,IF(N446="Tier 2",20,8))+IF(C446="Financial Investor",15,IF(C446="Intermediary / Banker",12,8))+IF(L446="Term Sheet / Proposal",25,IF(L446="Engaged",20,IF(L446="Meeting Requested",18,IF(L446="Meeting Held",14,IF(L446="Follow Up",10,5)))))+MIN(Q446,30)+IF(S446="DUE",15,IF(S446="Next 3 Days",8,0))),0))</f>
        <v/>
      </c>
      <c r="AB446" s="425">
        <f>IF(AND(AC446="Active",OR(N446="Tier 1",N446="Tier 2"),OR(S446="DUE",S446="Next 3 Days")),"YES","")</f>
        <v/>
      </c>
      <c r="AC446" s="425">
        <f>IF(L446="Passed","Archived","Active")</f>
        <v/>
      </c>
    </row>
    <row r="447">
      <c r="A447" s="425" t="inlineStr">
        <is>
          <t>EXOS-0446</t>
        </is>
      </c>
      <c r="B447" s="425" t="inlineStr">
        <is>
          <t>John - Investor Contacts</t>
        </is>
      </c>
      <c r="C447" s="425" t="inlineStr">
        <is>
          <t>Financial Investor</t>
        </is>
      </c>
      <c r="D447" s="425" t="inlineStr">
        <is>
          <t>Indie Bio</t>
        </is>
      </c>
      <c r="E447" s="425" t="inlineStr">
        <is>
          <t>Stephen Chambers</t>
        </is>
      </c>
      <c r="F447" s="425" t="inlineStr"/>
      <c r="G447" s="111" t="inlineStr">
        <is>
          <t>stephen.chambers@indiebio.co</t>
        </is>
      </c>
      <c r="H447" s="425" t="inlineStr"/>
      <c r="I447" s="425" t="inlineStr"/>
      <c r="J447" s="111" t="inlineStr">
        <is>
          <t>https://www.linkedin.com/in/drstephenchambers/</t>
        </is>
      </c>
      <c r="K447" s="426" t="inlineStr">
        <is>
          <t>John Quinn</t>
        </is>
      </c>
      <c r="L447" s="426" t="inlineStr">
        <is>
          <t>Follow Up</t>
        </is>
      </c>
      <c r="M447" s="425" t="inlineStr">
        <is>
          <t>Space / Defense / Aerospace / Advanced Manufacturing</t>
        </is>
      </c>
      <c r="N447" s="426" t="inlineStr">
        <is>
          <t>Tier 2</t>
        </is>
      </c>
      <c r="O447" s="441" t="n">
        <v>45835</v>
      </c>
      <c r="P447" s="441" t="n">
        <v>45848</v>
      </c>
      <c r="Q447" s="425">
        <f>IF(P447="","",TODAY()-P447)</f>
        <v/>
      </c>
      <c r="R447" s="441">
        <f>IF(OR(L447="Passed",Z447=""),"",P447+Z447)</f>
        <v/>
      </c>
      <c r="S447" s="425">
        <f>IF(OR(R447="",L447="Passed"),"",IF(R447&lt;=TODAY(),"DUE",IF(R447&lt;=TODAY()+3,"Next 3 Days","Later")))</f>
        <v/>
      </c>
      <c r="T447" s="425" t="inlineStr"/>
      <c r="U447" s="426" t="inlineStr">
        <is>
          <t>https://www.linkedin.com/in/drstephenchambers/</t>
        </is>
      </c>
      <c r="V447" s="426" t="inlineStr"/>
      <c r="W447" s="428" t="inlineStr">
        <is>
          <t xml:space="preserve"> | 12/26/2025 | </t>
        </is>
      </c>
      <c r="X447" s="425" t="inlineStr">
        <is>
          <t>John - Investor Contacts!276</t>
        </is>
      </c>
      <c r="Y447" s="426" t="inlineStr">
        <is>
          <t>Send next follow-up with traction + CTA</t>
        </is>
      </c>
      <c r="Z447" s="425" t="n">
        <v>7</v>
      </c>
      <c r="AA447" s="425">
        <f>IF(AC447="Archived",0,ROUND((IF(N447="Tier 1",35,IF(N447="Tier 2",20,8))+IF(C447="Financial Investor",15,IF(C447="Intermediary / Banker",12,8))+IF(L447="Term Sheet / Proposal",25,IF(L447="Engaged",20,IF(L447="Meeting Requested",18,IF(L447="Meeting Held",14,IF(L447="Follow Up",10,5)))))+MIN(Q447,30)+IF(S447="DUE",15,IF(S447="Next 3 Days",8,0))),0))</f>
        <v/>
      </c>
      <c r="AB447" s="425">
        <f>IF(AND(AC447="Active",OR(N447="Tier 1",N447="Tier 2"),OR(S447="DUE",S447="Next 3 Days")),"YES","")</f>
        <v/>
      </c>
      <c r="AC447" s="425">
        <f>IF(L447="Passed","Archived","Active")</f>
        <v/>
      </c>
    </row>
    <row r="448">
      <c r="A448" s="425" t="inlineStr">
        <is>
          <t>EXOS-0447</t>
        </is>
      </c>
      <c r="B448" s="425" t="inlineStr">
        <is>
          <t>John - Investor Contacts</t>
        </is>
      </c>
      <c r="C448" s="425" t="inlineStr">
        <is>
          <t>Financial Investor</t>
        </is>
      </c>
      <c r="D448" s="425" t="inlineStr">
        <is>
          <t>Inertia Ventures</t>
        </is>
      </c>
      <c r="E448" s="425" t="inlineStr">
        <is>
          <t>Nicolas Jacques-Bouchard</t>
        </is>
      </c>
      <c r="F448" s="425" t="inlineStr"/>
      <c r="G448" s="111" t="inlineStr">
        <is>
          <t>nick@inertia.vc</t>
        </is>
      </c>
      <c r="H448" s="425" t="inlineStr"/>
      <c r="I448" s="425" t="inlineStr"/>
      <c r="J448" s="425" t="inlineStr"/>
      <c r="K448" s="426" t="inlineStr">
        <is>
          <t>John Quinn</t>
        </is>
      </c>
      <c r="L448" s="426" t="inlineStr">
        <is>
          <t>Follow Up</t>
        </is>
      </c>
      <c r="M448" s="425" t="inlineStr">
        <is>
          <t>Space / Defense / Aerospace / Advanced Manufacturing</t>
        </is>
      </c>
      <c r="N448" s="426" t="inlineStr">
        <is>
          <t>Tier 2</t>
        </is>
      </c>
      <c r="O448" s="441" t="n">
        <v>45894</v>
      </c>
      <c r="P448" s="441" t="n">
        <v>45924</v>
      </c>
      <c r="Q448" s="425">
        <f>IF(P448="","",TODAY()-P448)</f>
        <v/>
      </c>
      <c r="R448" s="441">
        <f>IF(OR(L448="Passed",Z448=""),"",P448+Z448)</f>
        <v/>
      </c>
      <c r="S448" s="425">
        <f>IF(OR(R448="",L448="Passed"),"",IF(R448&lt;=TODAY(),"DUE",IF(R448&lt;=TODAY()+3,"Next 3 Days","Later")))</f>
        <v/>
      </c>
      <c r="T448" s="425" t="inlineStr"/>
      <c r="U448" s="426" t="inlineStr">
        <is>
          <t>linkedin.com/in/njacquesbouchard</t>
        </is>
      </c>
      <c r="V448" s="426" t="inlineStr"/>
      <c r="W448" s="428" t="inlineStr">
        <is>
          <t xml:space="preserve"> | 12/04/2025 | </t>
        </is>
      </c>
      <c r="X448" s="425" t="inlineStr">
        <is>
          <t>John - Investor Contacts!532</t>
        </is>
      </c>
      <c r="Y448" s="426" t="inlineStr">
        <is>
          <t>Send next follow-up with traction + CTA</t>
        </is>
      </c>
      <c r="Z448" s="425" t="n">
        <v>7</v>
      </c>
      <c r="AA448" s="425">
        <f>IF(AC448="Archived",0,ROUND((IF(N448="Tier 1",35,IF(N448="Tier 2",20,8))+IF(C448="Financial Investor",15,IF(C448="Intermediary / Banker",12,8))+IF(L448="Term Sheet / Proposal",25,IF(L448="Engaged",20,IF(L448="Meeting Requested",18,IF(L448="Meeting Held",14,IF(L448="Follow Up",10,5)))))+MIN(Q448,30)+IF(S448="DUE",15,IF(S448="Next 3 Days",8,0))),0))</f>
        <v/>
      </c>
      <c r="AB448" s="425">
        <f>IF(AND(AC448="Active",OR(N448="Tier 1",N448="Tier 2"),OR(S448="DUE",S448="Next 3 Days")),"YES","")</f>
        <v/>
      </c>
      <c r="AC448" s="425">
        <f>IF(L448="Passed","Archived","Active")</f>
        <v/>
      </c>
    </row>
    <row r="449">
      <c r="A449" s="425" t="inlineStr">
        <is>
          <t>EXOS-0448</t>
        </is>
      </c>
      <c r="B449" s="425" t="inlineStr">
        <is>
          <t>John - Investor Contacts</t>
        </is>
      </c>
      <c r="C449" s="425" t="inlineStr">
        <is>
          <t>Financial Investor</t>
        </is>
      </c>
      <c r="D449" s="425" t="inlineStr">
        <is>
          <t>Inertia Ventures</t>
        </is>
      </c>
      <c r="E449" s="425" t="inlineStr">
        <is>
          <t>Nish Patel</t>
        </is>
      </c>
      <c r="F449" s="425" t="inlineStr"/>
      <c r="G449" s="111" t="inlineStr">
        <is>
          <t>nish@inertia.vc</t>
        </is>
      </c>
      <c r="H449" s="425" t="inlineStr"/>
      <c r="I449" s="425" t="inlineStr"/>
      <c r="J449" s="111" t="inlineStr">
        <is>
          <t>https://www.linkedin.com/in/nish1/</t>
        </is>
      </c>
      <c r="K449" s="426" t="inlineStr">
        <is>
          <t>John Quinn</t>
        </is>
      </c>
      <c r="L449" s="426" t="inlineStr">
        <is>
          <t>Follow Up</t>
        </is>
      </c>
      <c r="M449" s="425" t="inlineStr">
        <is>
          <t>Space / Defense / Aerospace / Advanced Manufacturing</t>
        </is>
      </c>
      <c r="N449" s="426" t="inlineStr">
        <is>
          <t>Tier 2</t>
        </is>
      </c>
      <c r="O449" s="441" t="n">
        <v>45894</v>
      </c>
      <c r="P449" s="441" t="n">
        <v>45924</v>
      </c>
      <c r="Q449" s="425">
        <f>IF(P449="","",TODAY()-P449)</f>
        <v/>
      </c>
      <c r="R449" s="441">
        <f>IF(OR(L449="Passed",Z449=""),"",P449+Z449)</f>
        <v/>
      </c>
      <c r="S449" s="425">
        <f>IF(OR(R449="",L449="Passed"),"",IF(R449&lt;=TODAY(),"DUE",IF(R449&lt;=TODAY()+3,"Next 3 Days","Later")))</f>
        <v/>
      </c>
      <c r="T449" s="425" t="inlineStr"/>
      <c r="U449" s="426" t="inlineStr">
        <is>
          <t>https://www.linkedin.com/in/nish1/</t>
        </is>
      </c>
      <c r="V449" s="426" t="inlineStr"/>
      <c r="W449" s="428" t="inlineStr">
        <is>
          <t xml:space="preserve"> | 12/04/2025 | </t>
        </is>
      </c>
      <c r="X449" s="425" t="inlineStr">
        <is>
          <t>John - Investor Contacts!531</t>
        </is>
      </c>
      <c r="Y449" s="426" t="inlineStr">
        <is>
          <t>Send next follow-up with traction + CTA</t>
        </is>
      </c>
      <c r="Z449" s="425" t="n">
        <v>7</v>
      </c>
      <c r="AA449" s="425">
        <f>IF(AC449="Archived",0,ROUND((IF(N449="Tier 1",35,IF(N449="Tier 2",20,8))+IF(C449="Financial Investor",15,IF(C449="Intermediary / Banker",12,8))+IF(L449="Term Sheet / Proposal",25,IF(L449="Engaged",20,IF(L449="Meeting Requested",18,IF(L449="Meeting Held",14,IF(L449="Follow Up",10,5)))))+MIN(Q449,30)+IF(S449="DUE",15,IF(S449="Next 3 Days",8,0))),0))</f>
        <v/>
      </c>
      <c r="AB449" s="425">
        <f>IF(AND(AC449="Active",OR(N449="Tier 1",N449="Tier 2"),OR(S449="DUE",S449="Next 3 Days")),"YES","")</f>
        <v/>
      </c>
      <c r="AC449" s="425">
        <f>IF(L449="Passed","Archived","Active")</f>
        <v/>
      </c>
    </row>
    <row r="450">
      <c r="A450" s="425" t="inlineStr">
        <is>
          <t>EXOS-0449</t>
        </is>
      </c>
      <c r="B450" s="425" t="inlineStr">
        <is>
          <t>John - Investor Contacts</t>
        </is>
      </c>
      <c r="C450" s="425" t="inlineStr">
        <is>
          <t>Financial Investor</t>
        </is>
      </c>
      <c r="D450" s="425" t="inlineStr">
        <is>
          <t>Investment manager</t>
        </is>
      </c>
      <c r="E450" s="425" t="inlineStr">
        <is>
          <t>Carsten Schindler</t>
        </is>
      </c>
      <c r="F450" s="425" t="inlineStr"/>
      <c r="G450" s="111" t="inlineStr">
        <is>
          <t>schindler@senco-capital.com</t>
        </is>
      </c>
      <c r="H450" s="425" t="inlineStr"/>
      <c r="I450" s="425" t="inlineStr"/>
      <c r="J450" s="425" t="inlineStr"/>
      <c r="K450" s="426" t="inlineStr">
        <is>
          <t>John Quinn</t>
        </is>
      </c>
      <c r="L450" s="426" t="inlineStr">
        <is>
          <t>Follow Up</t>
        </is>
      </c>
      <c r="M450" s="425" t="inlineStr">
        <is>
          <t>Space / Defense / Aerospace / Advanced Manufacturing</t>
        </is>
      </c>
      <c r="N450" s="426" t="inlineStr">
        <is>
          <t>Tier 2</t>
        </is>
      </c>
      <c r="O450" s="441" t="n">
        <v>45974</v>
      </c>
      <c r="P450" s="441" t="n">
        <v>46010</v>
      </c>
      <c r="Q450" s="425">
        <f>IF(P450="","",TODAY()-P450)</f>
        <v/>
      </c>
      <c r="R450" s="441">
        <f>IF(OR(L450="Passed",Z450=""),"",P450+Z450)</f>
        <v/>
      </c>
      <c r="S450" s="425">
        <f>IF(OR(R450="",L450="Passed"),"",IF(R450&lt;=TODAY(),"DUE",IF(R450&lt;=TODAY()+3,"Next 3 Days","Later")))</f>
        <v/>
      </c>
      <c r="T450" s="425" t="inlineStr"/>
      <c r="U450" s="426" t="inlineStr">
        <is>
          <t>linkedin.com/in/carsten-schindler</t>
        </is>
      </c>
      <c r="V450" s="426" t="inlineStr"/>
      <c r="W450" s="428" t="inlineStr">
        <is>
          <t xml:space="preserve"> |  | </t>
        </is>
      </c>
      <c r="X450" s="425" t="inlineStr">
        <is>
          <t>John - Investor Contacts!718</t>
        </is>
      </c>
      <c r="Y450" s="426" t="inlineStr">
        <is>
          <t>Send next follow-up with traction + CTA</t>
        </is>
      </c>
      <c r="Z450" s="425" t="n">
        <v>7</v>
      </c>
      <c r="AA450" s="425">
        <f>IF(AC450="Archived",0,ROUND((IF(N450="Tier 1",35,IF(N450="Tier 2",20,8))+IF(C450="Financial Investor",15,IF(C450="Intermediary / Banker",12,8))+IF(L450="Term Sheet / Proposal",25,IF(L450="Engaged",20,IF(L450="Meeting Requested",18,IF(L450="Meeting Held",14,IF(L450="Follow Up",10,5)))))+MIN(Q450,30)+IF(S450="DUE",15,IF(S450="Next 3 Days",8,0))),0))</f>
        <v/>
      </c>
      <c r="AB450" s="425">
        <f>IF(AND(AC450="Active",OR(N450="Tier 1",N450="Tier 2"),OR(S450="DUE",S450="Next 3 Days")),"YES","")</f>
        <v/>
      </c>
      <c r="AC450" s="425">
        <f>IF(L450="Passed","Archived","Active")</f>
        <v/>
      </c>
    </row>
    <row r="451">
      <c r="A451" s="425" t="inlineStr">
        <is>
          <t>EXOS-0450</t>
        </is>
      </c>
      <c r="B451" s="425" t="inlineStr">
        <is>
          <t>John - Investor Contacts</t>
        </is>
      </c>
      <c r="C451" s="425" t="inlineStr">
        <is>
          <t>Financial Investor</t>
        </is>
      </c>
      <c r="D451" s="425" t="inlineStr">
        <is>
          <t>J&amp;T Ventures</t>
        </is>
      </c>
      <c r="E451" s="425" t="inlineStr">
        <is>
          <t>Jakub Zimola</t>
        </is>
      </c>
      <c r="F451" s="425" t="inlineStr"/>
      <c r="G451" s="111" t="inlineStr">
        <is>
          <t>zimola@jtventures.cz</t>
        </is>
      </c>
      <c r="H451" s="425" t="inlineStr"/>
      <c r="I451" s="425" t="inlineStr"/>
      <c r="J451" s="111" t="inlineStr">
        <is>
          <t>https://www.linkedin.com/in/jakub-zimola/</t>
        </is>
      </c>
      <c r="K451" s="426" t="inlineStr">
        <is>
          <t>John Quinn</t>
        </is>
      </c>
      <c r="L451" s="426" t="inlineStr">
        <is>
          <t>Follow Up</t>
        </is>
      </c>
      <c r="M451" s="425" t="inlineStr">
        <is>
          <t>Space / Defense / Aerospace / Advanced Manufacturing</t>
        </is>
      </c>
      <c r="N451" s="426" t="inlineStr">
        <is>
          <t>Tier 2</t>
        </is>
      </c>
      <c r="O451" s="441" t="n">
        <v>45994</v>
      </c>
      <c r="P451" s="441" t="n">
        <v>46036</v>
      </c>
      <c r="Q451" s="425">
        <f>IF(P451="","",TODAY()-P451)</f>
        <v/>
      </c>
      <c r="R451" s="441">
        <f>IF(OR(L451="Passed",Z451=""),"",P451+Z451)</f>
        <v/>
      </c>
      <c r="S451" s="425">
        <f>IF(OR(R451="",L451="Passed"),"",IF(R451&lt;=TODAY(),"DUE",IF(R451&lt;=TODAY()+3,"Next 3 Days","Later")))</f>
        <v/>
      </c>
      <c r="T451" s="425" t="inlineStr"/>
      <c r="U451" s="426" t="inlineStr">
        <is>
          <t>https://www.linkedin.com/in/jakub-zimola/</t>
        </is>
      </c>
      <c r="V451" s="426" t="inlineStr"/>
      <c r="W451" s="428" t="inlineStr">
        <is>
          <t xml:space="preserve"> |  | </t>
        </is>
      </c>
      <c r="X451" s="425" t="inlineStr">
        <is>
          <t>John - Investor Contacts!715</t>
        </is>
      </c>
      <c r="Y451" s="426" t="inlineStr">
        <is>
          <t>Send next follow-up with traction + CTA</t>
        </is>
      </c>
      <c r="Z451" s="425" t="n">
        <v>7</v>
      </c>
      <c r="AA451" s="425">
        <f>IF(AC451="Archived",0,ROUND((IF(N451="Tier 1",35,IF(N451="Tier 2",20,8))+IF(C451="Financial Investor",15,IF(C451="Intermediary / Banker",12,8))+IF(L451="Term Sheet / Proposal",25,IF(L451="Engaged",20,IF(L451="Meeting Requested",18,IF(L451="Meeting Held",14,IF(L451="Follow Up",10,5)))))+MIN(Q451,30)+IF(S451="DUE",15,IF(S451="Next 3 Days",8,0))),0))</f>
        <v/>
      </c>
      <c r="AB451" s="425">
        <f>IF(AND(AC451="Active",OR(N451="Tier 1",N451="Tier 2"),OR(S451="DUE",S451="Next 3 Days")),"YES","")</f>
        <v/>
      </c>
      <c r="AC451" s="425">
        <f>IF(L451="Passed","Archived","Active")</f>
        <v/>
      </c>
    </row>
    <row r="452">
      <c r="A452" s="425" t="inlineStr">
        <is>
          <t>EXOS-0451</t>
        </is>
      </c>
      <c r="B452" s="425" t="inlineStr">
        <is>
          <t>John - Investor Contacts</t>
        </is>
      </c>
      <c r="C452" s="425" t="inlineStr">
        <is>
          <t>Financial Investor</t>
        </is>
      </c>
      <c r="D452" s="425" t="inlineStr">
        <is>
          <t>J2 Ventures</t>
        </is>
      </c>
      <c r="E452" s="425" t="inlineStr">
        <is>
          <t>Adam Briley</t>
        </is>
      </c>
      <c r="F452" s="425" t="inlineStr"/>
      <c r="G452" s="111" t="inlineStr">
        <is>
          <t>adam@j2vp.com</t>
        </is>
      </c>
      <c r="H452" s="425" t="inlineStr"/>
      <c r="I452" s="425" t="inlineStr"/>
      <c r="J452" s="425" t="inlineStr"/>
      <c r="K452" s="426" t="inlineStr">
        <is>
          <t>John Quinn</t>
        </is>
      </c>
      <c r="L452" s="426" t="inlineStr">
        <is>
          <t>Follow Up</t>
        </is>
      </c>
      <c r="M452" s="425" t="inlineStr">
        <is>
          <t>Space / Defense / Aerospace / Advanced Manufacturing</t>
        </is>
      </c>
      <c r="N452" s="426" t="inlineStr">
        <is>
          <t>Tier 2</t>
        </is>
      </c>
      <c r="O452" s="441" t="n">
        <v>45903</v>
      </c>
      <c r="P452" s="441" t="n">
        <v>45972</v>
      </c>
      <c r="Q452" s="425">
        <f>IF(P452="","",TODAY()-P452)</f>
        <v/>
      </c>
      <c r="R452" s="441">
        <f>IF(OR(L452="Passed",Z452=""),"",P452+Z452)</f>
        <v/>
      </c>
      <c r="S452" s="425">
        <f>IF(OR(R452="",L452="Passed"),"",IF(R452&lt;=TODAY(),"DUE",IF(R452&lt;=TODAY()+3,"Next 3 Days","Later")))</f>
        <v/>
      </c>
      <c r="T452" s="425" t="inlineStr"/>
      <c r="U452" s="426" t="inlineStr">
        <is>
          <t>linkedin.com/in/adam-briley</t>
        </is>
      </c>
      <c r="V452" s="426" t="inlineStr"/>
      <c r="W452" s="428" t="inlineStr">
        <is>
          <t xml:space="preserve"> | requested deck | </t>
        </is>
      </c>
      <c r="X452" s="425" t="inlineStr">
        <is>
          <t>John - Investor Contacts!620</t>
        </is>
      </c>
      <c r="Y452" s="426" t="inlineStr">
        <is>
          <t>Send next follow-up with traction + CTA</t>
        </is>
      </c>
      <c r="Z452" s="425" t="n">
        <v>7</v>
      </c>
      <c r="AA452" s="425">
        <f>IF(AC452="Archived",0,ROUND((IF(N452="Tier 1",35,IF(N452="Tier 2",20,8))+IF(C452="Financial Investor",15,IF(C452="Intermediary / Banker",12,8))+IF(L452="Term Sheet / Proposal",25,IF(L452="Engaged",20,IF(L452="Meeting Requested",18,IF(L452="Meeting Held",14,IF(L452="Follow Up",10,5)))))+MIN(Q452,30)+IF(S452="DUE",15,IF(S452="Next 3 Days",8,0))),0))</f>
        <v/>
      </c>
      <c r="AB452" s="425">
        <f>IF(AND(AC452="Active",OR(N452="Tier 1",N452="Tier 2"),OR(S452="DUE",S452="Next 3 Days")),"YES","")</f>
        <v/>
      </c>
      <c r="AC452" s="425">
        <f>IF(L452="Passed","Archived","Active")</f>
        <v/>
      </c>
    </row>
    <row r="453">
      <c r="A453" s="425" t="inlineStr">
        <is>
          <t>EXOS-0452</t>
        </is>
      </c>
      <c r="B453" s="425" t="inlineStr">
        <is>
          <t>John - Investor Contacts</t>
        </is>
      </c>
      <c r="C453" s="425" t="inlineStr">
        <is>
          <t>Financial Investor</t>
        </is>
      </c>
      <c r="D453" s="425" t="inlineStr">
        <is>
          <t>J2 Ventures</t>
        </is>
      </c>
      <c r="E453" s="425" t="inlineStr">
        <is>
          <t>Alexander Harstrick</t>
        </is>
      </c>
      <c r="F453" s="425" t="inlineStr"/>
      <c r="G453" s="111" t="inlineStr">
        <is>
          <t>alex@j2vp.com</t>
        </is>
      </c>
      <c r="H453" s="425" t="inlineStr"/>
      <c r="I453" s="425" t="inlineStr"/>
      <c r="J453" s="111" t="inlineStr">
        <is>
          <t>https://www.linkedin.com/in/alexanderharstrick/</t>
        </is>
      </c>
      <c r="K453" s="426" t="inlineStr">
        <is>
          <t>John Quinn</t>
        </is>
      </c>
      <c r="L453" s="426" t="inlineStr">
        <is>
          <t>Follow Up</t>
        </is>
      </c>
      <c r="M453" s="425" t="inlineStr">
        <is>
          <t>Space / Defense / Aerospace / Advanced Manufacturing</t>
        </is>
      </c>
      <c r="N453" s="426" t="inlineStr">
        <is>
          <t>Tier 2</t>
        </is>
      </c>
      <c r="O453" s="441" t="n">
        <v>45903</v>
      </c>
      <c r="P453" s="441" t="n">
        <v>45972</v>
      </c>
      <c r="Q453" s="425">
        <f>IF(P453="","",TODAY()-P453)</f>
        <v/>
      </c>
      <c r="R453" s="441">
        <f>IF(OR(L453="Passed",Z453=""),"",P453+Z453)</f>
        <v/>
      </c>
      <c r="S453" s="425">
        <f>IF(OR(R453="",L453="Passed"),"",IF(R453&lt;=TODAY(),"DUE",IF(R453&lt;=TODAY()+3,"Next 3 Days","Later")))</f>
        <v/>
      </c>
      <c r="T453" s="425" t="inlineStr"/>
      <c r="U453" s="426" t="inlineStr">
        <is>
          <t>https://www.linkedin.com/in/alexanderharstrick/</t>
        </is>
      </c>
      <c r="V453" s="426" t="inlineStr"/>
      <c r="W453" s="428" t="inlineStr">
        <is>
          <t xml:space="preserve"> |  | </t>
        </is>
      </c>
      <c r="X453" s="425" t="inlineStr">
        <is>
          <t>John - Investor Contacts!617</t>
        </is>
      </c>
      <c r="Y453" s="426" t="inlineStr">
        <is>
          <t>Send next follow-up with traction + CTA</t>
        </is>
      </c>
      <c r="Z453" s="425" t="n">
        <v>7</v>
      </c>
      <c r="AA453" s="425">
        <f>IF(AC453="Archived",0,ROUND((IF(N453="Tier 1",35,IF(N453="Tier 2",20,8))+IF(C453="Financial Investor",15,IF(C453="Intermediary / Banker",12,8))+IF(L453="Term Sheet / Proposal",25,IF(L453="Engaged",20,IF(L453="Meeting Requested",18,IF(L453="Meeting Held",14,IF(L453="Follow Up",10,5)))))+MIN(Q453,30)+IF(S453="DUE",15,IF(S453="Next 3 Days",8,0))),0))</f>
        <v/>
      </c>
      <c r="AB453" s="425">
        <f>IF(AND(AC453="Active",OR(N453="Tier 1",N453="Tier 2"),OR(S453="DUE",S453="Next 3 Days")),"YES","")</f>
        <v/>
      </c>
      <c r="AC453" s="425">
        <f>IF(L453="Passed","Archived","Active")</f>
        <v/>
      </c>
    </row>
    <row r="454">
      <c r="A454" s="425" t="inlineStr">
        <is>
          <t>EXOS-0453</t>
        </is>
      </c>
      <c r="B454" s="425" t="inlineStr">
        <is>
          <t>John - Investor Contacts</t>
        </is>
      </c>
      <c r="C454" s="425" t="inlineStr">
        <is>
          <t>Financial Investor</t>
        </is>
      </c>
      <c r="D454" s="425" t="inlineStr">
        <is>
          <t>J2 Ventures</t>
        </is>
      </c>
      <c r="E454" s="425" t="inlineStr">
        <is>
          <t>Jonathan Bronson</t>
        </is>
      </c>
      <c r="F454" s="425" t="inlineStr"/>
      <c r="G454" s="111" t="inlineStr">
        <is>
          <t>jon@j2vp.com</t>
        </is>
      </c>
      <c r="H454" s="425" t="inlineStr"/>
      <c r="I454" s="425" t="inlineStr"/>
      <c r="J454" s="111" t="inlineStr">
        <is>
          <t>https://www.linkedin.com/in/jonathanbronson/</t>
        </is>
      </c>
      <c r="K454" s="426" t="inlineStr">
        <is>
          <t>John Quinn</t>
        </is>
      </c>
      <c r="L454" s="426" t="inlineStr">
        <is>
          <t>Follow Up</t>
        </is>
      </c>
      <c r="M454" s="425" t="inlineStr">
        <is>
          <t>Space / Defense / Aerospace / Advanced Manufacturing</t>
        </is>
      </c>
      <c r="N454" s="426" t="inlineStr">
        <is>
          <t>Tier 2</t>
        </is>
      </c>
      <c r="O454" s="441" t="n">
        <v>45903</v>
      </c>
      <c r="P454" s="441" t="n">
        <v>45972</v>
      </c>
      <c r="Q454" s="425">
        <f>IF(P454="","",TODAY()-P454)</f>
        <v/>
      </c>
      <c r="R454" s="441">
        <f>IF(OR(L454="Passed",Z454=""),"",P454+Z454)</f>
        <v/>
      </c>
      <c r="S454" s="425">
        <f>IF(OR(R454="",L454="Passed"),"",IF(R454&lt;=TODAY(),"DUE",IF(R454&lt;=TODAY()+3,"Next 3 Days","Later")))</f>
        <v/>
      </c>
      <c r="T454" s="425" t="inlineStr"/>
      <c r="U454" s="426" t="inlineStr">
        <is>
          <t>https://www.linkedin.com/in/jonathanbronson/</t>
        </is>
      </c>
      <c r="V454" s="426" t="inlineStr"/>
      <c r="W454" s="428" t="inlineStr">
        <is>
          <t xml:space="preserve"> |  | </t>
        </is>
      </c>
      <c r="X454" s="425" t="inlineStr">
        <is>
          <t>John - Investor Contacts!618</t>
        </is>
      </c>
      <c r="Y454" s="426" t="inlineStr">
        <is>
          <t>Send next follow-up with traction + CTA</t>
        </is>
      </c>
      <c r="Z454" s="425" t="n">
        <v>7</v>
      </c>
      <c r="AA454" s="425">
        <f>IF(AC454="Archived",0,ROUND((IF(N454="Tier 1",35,IF(N454="Tier 2",20,8))+IF(C454="Financial Investor",15,IF(C454="Intermediary / Banker",12,8))+IF(L454="Term Sheet / Proposal",25,IF(L454="Engaged",20,IF(L454="Meeting Requested",18,IF(L454="Meeting Held",14,IF(L454="Follow Up",10,5)))))+MIN(Q454,30)+IF(S454="DUE",15,IF(S454="Next 3 Days",8,0))),0))</f>
        <v/>
      </c>
      <c r="AB454" s="425">
        <f>IF(AND(AC454="Active",OR(N454="Tier 1",N454="Tier 2"),OR(S454="DUE",S454="Next 3 Days")),"YES","")</f>
        <v/>
      </c>
      <c r="AC454" s="425">
        <f>IF(L454="Passed","Archived","Active")</f>
        <v/>
      </c>
    </row>
    <row r="455">
      <c r="A455" s="425" t="inlineStr">
        <is>
          <t>EXOS-0454</t>
        </is>
      </c>
      <c r="B455" s="425" t="inlineStr">
        <is>
          <t>John - Investor Contacts</t>
        </is>
      </c>
      <c r="C455" s="425" t="inlineStr">
        <is>
          <t>Financial Investor</t>
        </is>
      </c>
      <c r="D455" s="425" t="inlineStr">
        <is>
          <t>J2 Ventures</t>
        </is>
      </c>
      <c r="E455" s="425" t="inlineStr">
        <is>
          <t>Matt Goldman</t>
        </is>
      </c>
      <c r="F455" s="425" t="inlineStr"/>
      <c r="G455" s="111" t="inlineStr">
        <is>
          <t>matt@j2vp.com</t>
        </is>
      </c>
      <c r="H455" s="425" t="inlineStr"/>
      <c r="I455" s="425" t="inlineStr"/>
      <c r="J455" s="425" t="inlineStr"/>
      <c r="K455" s="426" t="inlineStr">
        <is>
          <t>John Quinn</t>
        </is>
      </c>
      <c r="L455" s="426" t="inlineStr">
        <is>
          <t>Follow Up</t>
        </is>
      </c>
      <c r="M455" s="425" t="inlineStr">
        <is>
          <t>Space / Defense / Aerospace / Advanced Manufacturing</t>
        </is>
      </c>
      <c r="N455" s="426" t="inlineStr">
        <is>
          <t>Tier 2</t>
        </is>
      </c>
      <c r="O455" s="441" t="n">
        <v>45903</v>
      </c>
      <c r="P455" s="441" t="n">
        <v>45972</v>
      </c>
      <c r="Q455" s="425">
        <f>IF(P455="","",TODAY()-P455)</f>
        <v/>
      </c>
      <c r="R455" s="441">
        <f>IF(OR(L455="Passed",Z455=""),"",P455+Z455)</f>
        <v/>
      </c>
      <c r="S455" s="425">
        <f>IF(OR(R455="",L455="Passed"),"",IF(R455&lt;=TODAY(),"DUE",IF(R455&lt;=TODAY()+3,"Next 3 Days","Later")))</f>
        <v/>
      </c>
      <c r="T455" s="425" t="inlineStr"/>
      <c r="U455" s="426" t="inlineStr">
        <is>
          <t>linkedin.com/in/goldman-matt</t>
        </is>
      </c>
      <c r="V455" s="426" t="inlineStr"/>
      <c r="W455" s="428" t="inlineStr">
        <is>
          <t xml:space="preserve"> |  | </t>
        </is>
      </c>
      <c r="X455" s="425" t="inlineStr">
        <is>
          <t>John - Investor Contacts!619</t>
        </is>
      </c>
      <c r="Y455" s="426" t="inlineStr">
        <is>
          <t>Send next follow-up with traction + CTA</t>
        </is>
      </c>
      <c r="Z455" s="425" t="n">
        <v>7</v>
      </c>
      <c r="AA455" s="425">
        <f>IF(AC455="Archived",0,ROUND((IF(N455="Tier 1",35,IF(N455="Tier 2",20,8))+IF(C455="Financial Investor",15,IF(C455="Intermediary / Banker",12,8))+IF(L455="Term Sheet / Proposal",25,IF(L455="Engaged",20,IF(L455="Meeting Requested",18,IF(L455="Meeting Held",14,IF(L455="Follow Up",10,5)))))+MIN(Q455,30)+IF(S455="DUE",15,IF(S455="Next 3 Days",8,0))),0))</f>
        <v/>
      </c>
      <c r="AB455" s="425">
        <f>IF(AND(AC455="Active",OR(N455="Tier 1",N455="Tier 2"),OR(S455="DUE",S455="Next 3 Days")),"YES","")</f>
        <v/>
      </c>
      <c r="AC455" s="425">
        <f>IF(L455="Passed","Archived","Active")</f>
        <v/>
      </c>
    </row>
    <row r="456">
      <c r="A456" s="425" t="inlineStr">
        <is>
          <t>EXOS-0455</t>
        </is>
      </c>
      <c r="B456" s="425" t="inlineStr">
        <is>
          <t>John - Investor Contacts</t>
        </is>
      </c>
      <c r="C456" s="425" t="inlineStr">
        <is>
          <t>Financial Investor</t>
        </is>
      </c>
      <c r="D456" s="425" t="inlineStr">
        <is>
          <t>JFLCO</t>
        </is>
      </c>
      <c r="E456" s="425" t="inlineStr">
        <is>
          <t>Louis N Mintz</t>
        </is>
      </c>
      <c r="F456" s="425" t="inlineStr"/>
      <c r="G456" s="111" t="inlineStr">
        <is>
          <t>lnm@jflpartners.com</t>
        </is>
      </c>
      <c r="H456" s="425" t="inlineStr"/>
      <c r="I456" s="425" t="inlineStr"/>
      <c r="J456" s="425" t="inlineStr"/>
      <c r="K456" s="426" t="inlineStr">
        <is>
          <t>John Quinn</t>
        </is>
      </c>
      <c r="L456" s="426" t="inlineStr">
        <is>
          <t>Follow Up</t>
        </is>
      </c>
      <c r="M456" s="425" t="inlineStr">
        <is>
          <t>Space / Defense / Aerospace / Advanced Manufacturing</t>
        </is>
      </c>
      <c r="N456" s="426" t="inlineStr">
        <is>
          <t>Tier 2</t>
        </is>
      </c>
      <c r="O456" s="441" t="n">
        <v>45967</v>
      </c>
      <c r="P456" s="441" t="n">
        <v>45985</v>
      </c>
      <c r="Q456" s="425">
        <f>IF(P456="","",TODAY()-P456)</f>
        <v/>
      </c>
      <c r="R456" s="441">
        <f>IF(OR(L456="Passed",Z456=""),"",P456+Z456)</f>
        <v/>
      </c>
      <c r="S456" s="425">
        <f>IF(OR(R456="",L456="Passed"),"",IF(R456&lt;=TODAY(),"DUE",IF(R456&lt;=TODAY()+3,"Next 3 Days","Later")))</f>
        <v/>
      </c>
      <c r="T456" s="425" t="inlineStr"/>
      <c r="U456" s="426" t="inlineStr"/>
      <c r="V456" s="426" t="inlineStr"/>
      <c r="W456" s="428" t="inlineStr">
        <is>
          <t xml:space="preserve"> | 01/14/2026 | </t>
        </is>
      </c>
      <c r="X456" s="425" t="inlineStr">
        <is>
          <t>John - Investor Contacts!845</t>
        </is>
      </c>
      <c r="Y456" s="426" t="inlineStr">
        <is>
          <t>Send next follow-up with traction + CTA</t>
        </is>
      </c>
      <c r="Z456" s="425" t="n">
        <v>7</v>
      </c>
      <c r="AA456" s="425">
        <f>IF(AC456="Archived",0,ROUND((IF(N456="Tier 1",35,IF(N456="Tier 2",20,8))+IF(C456="Financial Investor",15,IF(C456="Intermediary / Banker",12,8))+IF(L456="Term Sheet / Proposal",25,IF(L456="Engaged",20,IF(L456="Meeting Requested",18,IF(L456="Meeting Held",14,IF(L456="Follow Up",10,5)))))+MIN(Q456,30)+IF(S456="DUE",15,IF(S456="Next 3 Days",8,0))),0))</f>
        <v/>
      </c>
      <c r="AB456" s="425">
        <f>IF(AND(AC456="Active",OR(N456="Tier 1",N456="Tier 2"),OR(S456="DUE",S456="Next 3 Days")),"YES","")</f>
        <v/>
      </c>
      <c r="AC456" s="425">
        <f>IF(L456="Passed","Archived","Active")</f>
        <v/>
      </c>
    </row>
    <row r="457">
      <c r="A457" s="425" t="inlineStr">
        <is>
          <t>EXOS-0456</t>
        </is>
      </c>
      <c r="B457" s="425" t="inlineStr">
        <is>
          <t>John - Investor Contacts</t>
        </is>
      </c>
      <c r="C457" s="425" t="inlineStr">
        <is>
          <t>Financial Investor</t>
        </is>
      </c>
      <c r="D457" s="425" t="inlineStr">
        <is>
          <t>JFLCO</t>
        </is>
      </c>
      <c r="E457" s="425" t="inlineStr">
        <is>
          <t>Natalie Ramos</t>
        </is>
      </c>
      <c r="F457" s="425" t="inlineStr"/>
      <c r="G457" s="111" t="inlineStr">
        <is>
          <t>nr@jflpartners.com</t>
        </is>
      </c>
      <c r="H457" s="425" t="inlineStr"/>
      <c r="I457" s="425" t="inlineStr"/>
      <c r="J457" s="425" t="inlineStr"/>
      <c r="K457" s="426" t="inlineStr">
        <is>
          <t>John Quinn</t>
        </is>
      </c>
      <c r="L457" s="426" t="inlineStr">
        <is>
          <t>Follow Up</t>
        </is>
      </c>
      <c r="M457" s="425" t="inlineStr">
        <is>
          <t>Space / Defense / Aerospace / Advanced Manufacturing</t>
        </is>
      </c>
      <c r="N457" s="426" t="inlineStr">
        <is>
          <t>Tier 2</t>
        </is>
      </c>
      <c r="O457" s="441" t="n">
        <v>45967</v>
      </c>
      <c r="P457" s="441" t="n">
        <v>45985</v>
      </c>
      <c r="Q457" s="425">
        <f>IF(P457="","",TODAY()-P457)</f>
        <v/>
      </c>
      <c r="R457" s="441">
        <f>IF(OR(L457="Passed",Z457=""),"",P457+Z457)</f>
        <v/>
      </c>
      <c r="S457" s="425">
        <f>IF(OR(R457="",L457="Passed"),"",IF(R457&lt;=TODAY(),"DUE",IF(R457&lt;=TODAY()+3,"Next 3 Days","Later")))</f>
        <v/>
      </c>
      <c r="T457" s="425" t="inlineStr"/>
      <c r="U457" s="426" t="inlineStr"/>
      <c r="V457" s="426" t="inlineStr"/>
      <c r="W457" s="428" t="inlineStr">
        <is>
          <t xml:space="preserve"> | 01/14/2026 | </t>
        </is>
      </c>
      <c r="X457" s="425" t="inlineStr">
        <is>
          <t>John - Investor Contacts!846</t>
        </is>
      </c>
      <c r="Y457" s="426" t="inlineStr">
        <is>
          <t>Send next follow-up with traction + CTA</t>
        </is>
      </c>
      <c r="Z457" s="425" t="n">
        <v>7</v>
      </c>
      <c r="AA457" s="425">
        <f>IF(AC457="Archived",0,ROUND((IF(N457="Tier 1",35,IF(N457="Tier 2",20,8))+IF(C457="Financial Investor",15,IF(C457="Intermediary / Banker",12,8))+IF(L457="Term Sheet / Proposal",25,IF(L457="Engaged",20,IF(L457="Meeting Requested",18,IF(L457="Meeting Held",14,IF(L457="Follow Up",10,5)))))+MIN(Q457,30)+IF(S457="DUE",15,IF(S457="Next 3 Days",8,0))),0))</f>
        <v/>
      </c>
      <c r="AB457" s="425">
        <f>IF(AND(AC457="Active",OR(N457="Tier 1",N457="Tier 2"),OR(S457="DUE",S457="Next 3 Days")),"YES","")</f>
        <v/>
      </c>
      <c r="AC457" s="425">
        <f>IF(L457="Passed","Archived","Active")</f>
        <v/>
      </c>
    </row>
    <row r="458">
      <c r="A458" s="425" t="inlineStr">
        <is>
          <t>EXOS-0457</t>
        </is>
      </c>
      <c r="B458" s="425" t="inlineStr">
        <is>
          <t>John - Investor Contacts</t>
        </is>
      </c>
      <c r="C458" s="425" t="inlineStr">
        <is>
          <t>Financial Investor</t>
        </is>
      </c>
      <c r="D458" s="425" t="inlineStr">
        <is>
          <t>JFLCO</t>
        </is>
      </c>
      <c r="E458" s="425" t="inlineStr">
        <is>
          <t>Peter C Kuper</t>
        </is>
      </c>
      <c r="F458" s="425" t="inlineStr"/>
      <c r="G458" s="111" t="inlineStr">
        <is>
          <t>pck@jflpartners.com</t>
        </is>
      </c>
      <c r="H458" s="425" t="inlineStr"/>
      <c r="I458" s="425" t="inlineStr"/>
      <c r="J458" s="111" t="inlineStr">
        <is>
          <t>https://www.linkedin.com/in/peterkuper/</t>
        </is>
      </c>
      <c r="K458" s="426" t="inlineStr">
        <is>
          <t>John Quinn</t>
        </is>
      </c>
      <c r="L458" s="426" t="inlineStr">
        <is>
          <t>Follow Up</t>
        </is>
      </c>
      <c r="M458" s="425" t="inlineStr">
        <is>
          <t>Space / Defense / Aerospace / Advanced Manufacturing</t>
        </is>
      </c>
      <c r="N458" s="426" t="inlineStr">
        <is>
          <t>Tier 2</t>
        </is>
      </c>
      <c r="O458" s="441" t="n">
        <v>45967</v>
      </c>
      <c r="P458" s="441" t="n">
        <v>45985</v>
      </c>
      <c r="Q458" s="425">
        <f>IF(P458="","",TODAY()-P458)</f>
        <v/>
      </c>
      <c r="R458" s="441">
        <f>IF(OR(L458="Passed",Z458=""),"",P458+Z458)</f>
        <v/>
      </c>
      <c r="S458" s="425">
        <f>IF(OR(R458="",L458="Passed"),"",IF(R458&lt;=TODAY(),"DUE",IF(R458&lt;=TODAY()+3,"Next 3 Days","Later")))</f>
        <v/>
      </c>
      <c r="T458" s="425" t="inlineStr"/>
      <c r="U458" s="426" t="inlineStr">
        <is>
          <t>https://www.linkedin.com/in/peterkuper/</t>
        </is>
      </c>
      <c r="V458" s="426" t="inlineStr"/>
      <c r="W458" s="428" t="inlineStr">
        <is>
          <t xml:space="preserve"> | 01/14/2026 | </t>
        </is>
      </c>
      <c r="X458" s="425" t="inlineStr">
        <is>
          <t>John - Investor Contacts!844</t>
        </is>
      </c>
      <c r="Y458" s="426" t="inlineStr">
        <is>
          <t>Send next follow-up with traction + CTA</t>
        </is>
      </c>
      <c r="Z458" s="425" t="n">
        <v>7</v>
      </c>
      <c r="AA458" s="425">
        <f>IF(AC458="Archived",0,ROUND((IF(N458="Tier 1",35,IF(N458="Tier 2",20,8))+IF(C458="Financial Investor",15,IF(C458="Intermediary / Banker",12,8))+IF(L458="Term Sheet / Proposal",25,IF(L458="Engaged",20,IF(L458="Meeting Requested",18,IF(L458="Meeting Held",14,IF(L458="Follow Up",10,5)))))+MIN(Q458,30)+IF(S458="DUE",15,IF(S458="Next 3 Days",8,0))),0))</f>
        <v/>
      </c>
      <c r="AB458" s="425">
        <f>IF(AND(AC458="Active",OR(N458="Tier 1",N458="Tier 2"),OR(S458="DUE",S458="Next 3 Days")),"YES","")</f>
        <v/>
      </c>
      <c r="AC458" s="425">
        <f>IF(L458="Passed","Archived","Active")</f>
        <v/>
      </c>
    </row>
    <row r="459">
      <c r="A459" s="425" t="inlineStr">
        <is>
          <t>EXOS-0458</t>
        </is>
      </c>
      <c r="B459" s="425" t="inlineStr">
        <is>
          <t>OSC</t>
        </is>
      </c>
      <c r="C459" s="425" t="inlineStr">
        <is>
          <t>Financial Investor</t>
        </is>
      </c>
      <c r="D459" s="425" t="inlineStr">
        <is>
          <t>JH Whitney Capital Partners</t>
        </is>
      </c>
      <c r="E459" s="425" t="inlineStr"/>
      <c r="F459" s="425" t="inlineStr"/>
      <c r="G459" s="111" t="inlineStr">
        <is>
          <t>info@whitney.com</t>
        </is>
      </c>
      <c r="H459" s="425" t="inlineStr"/>
      <c r="I459" s="425" t="inlineStr">
        <is>
          <t>(203) 716-6100</t>
        </is>
      </c>
      <c r="J459" s="425" t="inlineStr"/>
      <c r="K459" s="426" t="inlineStr">
        <is>
          <t>John Quinn</t>
        </is>
      </c>
      <c r="L459" s="426" t="inlineStr">
        <is>
          <t>Follow Up</t>
        </is>
      </c>
      <c r="M459" s="425" t="inlineStr">
        <is>
          <t>Space / Defense / Aerospace / Advanced Manufacturing</t>
        </is>
      </c>
      <c r="N459" s="426" t="inlineStr">
        <is>
          <t>Tier 2</t>
        </is>
      </c>
      <c r="O459" s="441" t="n">
        <v>45854</v>
      </c>
      <c r="P459" s="441" t="n">
        <v>45922</v>
      </c>
      <c r="Q459" s="425">
        <f>IF(P459="","",TODAY()-P459)</f>
        <v/>
      </c>
      <c r="R459" s="441">
        <f>IF(OR(L459="Passed",Z459=""),"",P459+Z459)</f>
        <v/>
      </c>
      <c r="S459" s="425">
        <f>IF(OR(R459="",L459="Passed"),"",IF(R459&lt;=TODAY(),"DUE",IF(R459&lt;=TODAY()+3,"Next 3 Days","Later")))</f>
        <v/>
      </c>
      <c r="T459" s="425" t="inlineStr"/>
      <c r="U459" s="426" t="inlineStr"/>
      <c r="V459" s="426" t="inlineStr"/>
      <c r="W459" s="428" t="inlineStr"/>
      <c r="X459" s="425" t="inlineStr">
        <is>
          <t>OSC!69</t>
        </is>
      </c>
      <c r="Y459" s="426" t="inlineStr">
        <is>
          <t>Send next follow-up with traction + CTA</t>
        </is>
      </c>
      <c r="Z459" s="425" t="n">
        <v>7</v>
      </c>
      <c r="AA459" s="425">
        <f>IF(AC459="Archived",0,ROUND((IF(N459="Tier 1",35,IF(N459="Tier 2",20,8))+IF(C459="Financial Investor",15,IF(C459="Intermediary / Banker",12,8))+IF(L459="Term Sheet / Proposal",25,IF(L459="Engaged",20,IF(L459="Meeting Requested",18,IF(L459="Meeting Held",14,IF(L459="Follow Up",10,5)))))+MIN(Q459,30)+IF(S459="DUE",15,IF(S459="Next 3 Days",8,0))),0))</f>
        <v/>
      </c>
      <c r="AB459" s="425">
        <f>IF(AND(AC459="Active",OR(N459="Tier 1",N459="Tier 2"),OR(S459="DUE",S459="Next 3 Days")),"YES","")</f>
        <v/>
      </c>
      <c r="AC459" s="425">
        <f>IF(L459="Passed","Archived","Active")</f>
        <v/>
      </c>
    </row>
    <row r="460">
      <c r="A460" s="425" t="inlineStr">
        <is>
          <t>EXOS-0459</t>
        </is>
      </c>
      <c r="B460" s="425" t="inlineStr">
        <is>
          <t>John - Investor Contacts</t>
        </is>
      </c>
      <c r="C460" s="425" t="inlineStr">
        <is>
          <t>Financial Investor</t>
        </is>
      </c>
      <c r="D460" s="425" t="inlineStr">
        <is>
          <t>Jack Industries</t>
        </is>
      </c>
      <c r="E460" s="425" t="inlineStr">
        <is>
          <t>Rafferty Jackson</t>
        </is>
      </c>
      <c r="F460" s="425" t="inlineStr"/>
      <c r="G460" s="111" t="inlineStr">
        <is>
          <t>rafferty@jack.industries</t>
        </is>
      </c>
      <c r="H460" s="425" t="inlineStr"/>
      <c r="I460" s="425" t="inlineStr"/>
      <c r="J460" s="111" t="inlineStr">
        <is>
          <t>https://www.linkedin.com/in/rafferty-jackson-1626162/</t>
        </is>
      </c>
      <c r="K460" s="426" t="inlineStr">
        <is>
          <t>John Quinn</t>
        </is>
      </c>
      <c r="L460" s="426" t="inlineStr">
        <is>
          <t>Follow Up</t>
        </is>
      </c>
      <c r="M460" s="425" t="inlineStr">
        <is>
          <t>Space / Defense / Aerospace / Advanced Manufacturing</t>
        </is>
      </c>
      <c r="N460" s="426" t="inlineStr">
        <is>
          <t>Tier 2</t>
        </is>
      </c>
      <c r="O460" s="441" t="n">
        <v>45805</v>
      </c>
      <c r="P460" s="441" t="n">
        <v>45841</v>
      </c>
      <c r="Q460" s="425">
        <f>IF(P460="","",TODAY()-P460)</f>
        <v/>
      </c>
      <c r="R460" s="441">
        <f>IF(OR(L460="Passed",Z460=""),"",P460+Z460)</f>
        <v/>
      </c>
      <c r="S460" s="425">
        <f>IF(OR(R460="",L460="Passed"),"",IF(R460&lt;=TODAY(),"DUE",IF(R460&lt;=TODAY()+3,"Next 3 Days","Later")))</f>
        <v/>
      </c>
      <c r="T460" s="425" t="inlineStr"/>
      <c r="U460" s="426" t="inlineStr">
        <is>
          <t>https://www.linkedin.com/in/rafferty-jackson-1626162/</t>
        </is>
      </c>
      <c r="V460" s="426" t="inlineStr"/>
      <c r="W460" s="428" t="inlineStr">
        <is>
          <t xml:space="preserve"> |  | </t>
        </is>
      </c>
      <c r="X460" s="425" t="inlineStr">
        <is>
          <t>John - Investor Contacts!86</t>
        </is>
      </c>
      <c r="Y460" s="426" t="inlineStr">
        <is>
          <t>Send next follow-up with traction + CTA</t>
        </is>
      </c>
      <c r="Z460" s="425" t="n">
        <v>7</v>
      </c>
      <c r="AA460" s="425">
        <f>IF(AC460="Archived",0,ROUND((IF(N460="Tier 1",35,IF(N460="Tier 2",20,8))+IF(C460="Financial Investor",15,IF(C460="Intermediary / Banker",12,8))+IF(L460="Term Sheet / Proposal",25,IF(L460="Engaged",20,IF(L460="Meeting Requested",18,IF(L460="Meeting Held",14,IF(L460="Follow Up",10,5)))))+MIN(Q460,30)+IF(S460="DUE",15,IF(S460="Next 3 Days",8,0))),0))</f>
        <v/>
      </c>
      <c r="AB460" s="425">
        <f>IF(AND(AC460="Active",OR(N460="Tier 1",N460="Tier 2"),OR(S460="DUE",S460="Next 3 Days")),"YES","")</f>
        <v/>
      </c>
      <c r="AC460" s="425">
        <f>IF(L460="Passed","Archived","Active")</f>
        <v/>
      </c>
    </row>
    <row r="461">
      <c r="A461" s="425" t="inlineStr">
        <is>
          <t>EXOS-0460</t>
        </is>
      </c>
      <c r="B461" s="425" t="inlineStr">
        <is>
          <t>John - Investor Contacts</t>
        </is>
      </c>
      <c r="C461" s="425" t="inlineStr">
        <is>
          <t>Financial Investor</t>
        </is>
      </c>
      <c r="D461" s="425" t="inlineStr">
        <is>
          <t>Jump Capital</t>
        </is>
      </c>
      <c r="E461" s="425" t="inlineStr">
        <is>
          <t>Saaya Nath</t>
        </is>
      </c>
      <c r="F461" s="425" t="inlineStr"/>
      <c r="G461" s="111" t="inlineStr">
        <is>
          <t>saaya@jumpcap.com</t>
        </is>
      </c>
      <c r="H461" s="425" t="inlineStr"/>
      <c r="I461" s="425" t="inlineStr"/>
      <c r="J461" s="111" t="inlineStr">
        <is>
          <t>https://www.linkedin.com/in/saaya-pal-12ba82a3/</t>
        </is>
      </c>
      <c r="K461" s="426" t="inlineStr">
        <is>
          <t>John Quinn</t>
        </is>
      </c>
      <c r="L461" s="426" t="inlineStr">
        <is>
          <t>Follow Up</t>
        </is>
      </c>
      <c r="M461" s="425" t="inlineStr">
        <is>
          <t>Space / Defense / Aerospace / Advanced Manufacturing</t>
        </is>
      </c>
      <c r="N461" s="426" t="inlineStr">
        <is>
          <t>Tier 2</t>
        </is>
      </c>
      <c r="O461" s="441" t="n">
        <v>45898</v>
      </c>
      <c r="P461" s="441" t="n">
        <v>45929</v>
      </c>
      <c r="Q461" s="425">
        <f>IF(P461="","",TODAY()-P461)</f>
        <v/>
      </c>
      <c r="R461" s="441">
        <f>IF(OR(L461="Passed",Z461=""),"",P461+Z461)</f>
        <v/>
      </c>
      <c r="S461" s="425">
        <f>IF(OR(R461="",L461="Passed"),"",IF(R461&lt;=TODAY(),"DUE",IF(R461&lt;=TODAY()+3,"Next 3 Days","Later")))</f>
        <v/>
      </c>
      <c r="T461" s="425" t="inlineStr"/>
      <c r="U461" s="426" t="inlineStr">
        <is>
          <t>https://www.linkedin.com/in/saaya-pal-12ba82a3/</t>
        </is>
      </c>
      <c r="V461" s="426" t="inlineStr"/>
      <c r="W461" s="428" t="inlineStr">
        <is>
          <t xml:space="preserve"> | 12/05/2025 | </t>
        </is>
      </c>
      <c r="X461" s="425" t="inlineStr">
        <is>
          <t>John - Investor Contacts!586</t>
        </is>
      </c>
      <c r="Y461" s="426" t="inlineStr">
        <is>
          <t>Send next follow-up with traction + CTA</t>
        </is>
      </c>
      <c r="Z461" s="425" t="n">
        <v>7</v>
      </c>
      <c r="AA461" s="425">
        <f>IF(AC461="Archived",0,ROUND((IF(N461="Tier 1",35,IF(N461="Tier 2",20,8))+IF(C461="Financial Investor",15,IF(C461="Intermediary / Banker",12,8))+IF(L461="Term Sheet / Proposal",25,IF(L461="Engaged",20,IF(L461="Meeting Requested",18,IF(L461="Meeting Held",14,IF(L461="Follow Up",10,5)))))+MIN(Q461,30)+IF(S461="DUE",15,IF(S461="Next 3 Days",8,0))),0))</f>
        <v/>
      </c>
      <c r="AB461" s="425">
        <f>IF(AND(AC461="Active",OR(N461="Tier 1",N461="Tier 2"),OR(S461="DUE",S461="Next 3 Days")),"YES","")</f>
        <v/>
      </c>
      <c r="AC461" s="425">
        <f>IF(L461="Passed","Archived","Active")</f>
        <v/>
      </c>
    </row>
    <row r="462">
      <c r="A462" s="425" t="inlineStr">
        <is>
          <t>EXOS-0461</t>
        </is>
      </c>
      <c r="B462" s="425" t="inlineStr">
        <is>
          <t>John - Investor Contacts</t>
        </is>
      </c>
      <c r="C462" s="425" t="inlineStr">
        <is>
          <t>Financial Investor</t>
        </is>
      </c>
      <c r="D462" s="425" t="inlineStr">
        <is>
          <t>KKR</t>
        </is>
      </c>
      <c r="E462" s="425" t="inlineStr">
        <is>
          <t>Dave Welsh</t>
        </is>
      </c>
      <c r="F462" s="425" t="inlineStr"/>
      <c r="G462" s="111" t="inlineStr">
        <is>
          <t>dave.welsh@kkr.com</t>
        </is>
      </c>
      <c r="H462" s="425" t="inlineStr"/>
      <c r="I462" s="425" t="inlineStr"/>
      <c r="J462" s="111" t="inlineStr">
        <is>
          <t>https://www.linkedin.com/in/dave-welsh-903b0a8/</t>
        </is>
      </c>
      <c r="K462" s="426" t="inlineStr">
        <is>
          <t>John Quinn</t>
        </is>
      </c>
      <c r="L462" s="426" t="inlineStr">
        <is>
          <t>Follow Up</t>
        </is>
      </c>
      <c r="M462" s="425" t="inlineStr">
        <is>
          <t>Space / Defense / Aerospace / Advanced Manufacturing</t>
        </is>
      </c>
      <c r="N462" s="426" t="inlineStr">
        <is>
          <t>Tier 2</t>
        </is>
      </c>
      <c r="O462" s="441" t="n">
        <v>45968</v>
      </c>
      <c r="P462" s="441" t="n">
        <v>45986</v>
      </c>
      <c r="Q462" s="425">
        <f>IF(P462="","",TODAY()-P462)</f>
        <v/>
      </c>
      <c r="R462" s="441">
        <f>IF(OR(L462="Passed",Z462=""),"",P462+Z462)</f>
        <v/>
      </c>
      <c r="S462" s="425">
        <f>IF(OR(R462="",L462="Passed"),"",IF(R462&lt;=TODAY(),"DUE",IF(R462&lt;=TODAY()+3,"Next 3 Days","Later")))</f>
        <v/>
      </c>
      <c r="T462" s="425" t="inlineStr"/>
      <c r="U462" s="426" t="inlineStr">
        <is>
          <t>https://www.linkedin.com/in/dave-welsh-903b0a8/</t>
        </is>
      </c>
      <c r="V462" s="426" t="inlineStr"/>
      <c r="W462" s="428" t="inlineStr">
        <is>
          <t xml:space="preserve"> | 01/14/2026 | </t>
        </is>
      </c>
      <c r="X462" s="425" t="inlineStr">
        <is>
          <t>John - Investor Contacts!851</t>
        </is>
      </c>
      <c r="Y462" s="426" t="inlineStr">
        <is>
          <t>Send next follow-up with traction + CTA</t>
        </is>
      </c>
      <c r="Z462" s="425" t="n">
        <v>7</v>
      </c>
      <c r="AA462" s="425">
        <f>IF(AC462="Archived",0,ROUND((IF(N462="Tier 1",35,IF(N462="Tier 2",20,8))+IF(C462="Financial Investor",15,IF(C462="Intermediary / Banker",12,8))+IF(L462="Term Sheet / Proposal",25,IF(L462="Engaged",20,IF(L462="Meeting Requested",18,IF(L462="Meeting Held",14,IF(L462="Follow Up",10,5)))))+MIN(Q462,30)+IF(S462="DUE",15,IF(S462="Next 3 Days",8,0))),0))</f>
        <v/>
      </c>
      <c r="AB462" s="425">
        <f>IF(AND(AC462="Active",OR(N462="Tier 1",N462="Tier 2"),OR(S462="DUE",S462="Next 3 Days")),"YES","")</f>
        <v/>
      </c>
      <c r="AC462" s="425">
        <f>IF(L462="Passed","Archived","Active")</f>
        <v/>
      </c>
    </row>
    <row r="463">
      <c r="A463" s="425" t="inlineStr">
        <is>
          <t>EXOS-0462</t>
        </is>
      </c>
      <c r="B463" s="425" t="inlineStr">
        <is>
          <t>John - Investor Contacts</t>
        </is>
      </c>
      <c r="C463" s="425" t="inlineStr">
        <is>
          <t>Financial Investor</t>
        </is>
      </c>
      <c r="D463" s="425" t="inlineStr">
        <is>
          <t>KKR</t>
        </is>
      </c>
      <c r="E463" s="425" t="inlineStr">
        <is>
          <t>John Park</t>
        </is>
      </c>
      <c r="F463" s="425" t="inlineStr"/>
      <c r="G463" s="111" t="inlineStr">
        <is>
          <t>john.park@kkr.com</t>
        </is>
      </c>
      <c r="H463" s="425" t="inlineStr"/>
      <c r="I463" s="425" t="inlineStr"/>
      <c r="J463" s="111" t="inlineStr">
        <is>
          <t>https://www.linkedin.com/in/ian-sj-park/</t>
        </is>
      </c>
      <c r="K463" s="426" t="inlineStr">
        <is>
          <t>John Quinn</t>
        </is>
      </c>
      <c r="L463" s="426" t="inlineStr">
        <is>
          <t>Follow Up</t>
        </is>
      </c>
      <c r="M463" s="425" t="inlineStr">
        <is>
          <t>Space / Defense / Aerospace / Advanced Manufacturing</t>
        </is>
      </c>
      <c r="N463" s="426" t="inlineStr">
        <is>
          <t>Tier 2</t>
        </is>
      </c>
      <c r="O463" s="441" t="n">
        <v>45968</v>
      </c>
      <c r="P463" s="441" t="n">
        <v>45986</v>
      </c>
      <c r="Q463" s="425">
        <f>IF(P463="","",TODAY()-P463)</f>
        <v/>
      </c>
      <c r="R463" s="441">
        <f>IF(OR(L463="Passed",Z463=""),"",P463+Z463)</f>
        <v/>
      </c>
      <c r="S463" s="425">
        <f>IF(OR(R463="",L463="Passed"),"",IF(R463&lt;=TODAY(),"DUE",IF(R463&lt;=TODAY()+3,"Next 3 Days","Later")))</f>
        <v/>
      </c>
      <c r="T463" s="425" t="inlineStr"/>
      <c r="U463" s="426" t="inlineStr">
        <is>
          <t>https://www.linkedin.com/in/ian-sj-park/</t>
        </is>
      </c>
      <c r="V463" s="426" t="inlineStr"/>
      <c r="W463" s="428" t="inlineStr">
        <is>
          <t xml:space="preserve"> | 01/14/2026 | </t>
        </is>
      </c>
      <c r="X463" s="425" t="inlineStr">
        <is>
          <t>John - Investor Contacts!852</t>
        </is>
      </c>
      <c r="Y463" s="426" t="inlineStr">
        <is>
          <t>Send next follow-up with traction + CTA</t>
        </is>
      </c>
      <c r="Z463" s="425" t="n">
        <v>7</v>
      </c>
      <c r="AA463" s="425">
        <f>IF(AC463="Archived",0,ROUND((IF(N463="Tier 1",35,IF(N463="Tier 2",20,8))+IF(C463="Financial Investor",15,IF(C463="Intermediary / Banker",12,8))+IF(L463="Term Sheet / Proposal",25,IF(L463="Engaged",20,IF(L463="Meeting Requested",18,IF(L463="Meeting Held",14,IF(L463="Follow Up",10,5)))))+MIN(Q463,30)+IF(S463="DUE",15,IF(S463="Next 3 Days",8,0))),0))</f>
        <v/>
      </c>
      <c r="AB463" s="425">
        <f>IF(AND(AC463="Active",OR(N463="Tier 1",N463="Tier 2"),OR(S463="DUE",S463="Next 3 Days")),"YES","")</f>
        <v/>
      </c>
      <c r="AC463" s="425">
        <f>IF(L463="Passed","Archived","Active")</f>
        <v/>
      </c>
    </row>
    <row r="464">
      <c r="A464" s="425" t="inlineStr">
        <is>
          <t>EXOS-0463</t>
        </is>
      </c>
      <c r="B464" s="425" t="inlineStr">
        <is>
          <t>John - Investor Contacts</t>
        </is>
      </c>
      <c r="C464" s="425" t="inlineStr">
        <is>
          <t>Financial Investor</t>
        </is>
      </c>
      <c r="D464" s="425" t="inlineStr">
        <is>
          <t>Kerosene Ventures</t>
        </is>
      </c>
      <c r="E464" s="425" t="inlineStr">
        <is>
          <t>Janine Kick</t>
        </is>
      </c>
      <c r="F464" s="425" t="inlineStr"/>
      <c r="G464" s="111" t="inlineStr">
        <is>
          <t>janine@kerosene.vc</t>
        </is>
      </c>
      <c r="H464" s="425" t="inlineStr"/>
      <c r="I464" s="425" t="inlineStr"/>
      <c r="J464" s="111" t="inlineStr">
        <is>
          <t>https://www.linkedin.com/in/janinekick/</t>
        </is>
      </c>
      <c r="K464" s="426" t="inlineStr">
        <is>
          <t>John Quinn</t>
        </is>
      </c>
      <c r="L464" s="426" t="inlineStr">
        <is>
          <t>Follow Up</t>
        </is>
      </c>
      <c r="M464" s="425" t="inlineStr">
        <is>
          <t>Space / Defense / Aerospace / Advanced Manufacturing</t>
        </is>
      </c>
      <c r="N464" s="426" t="inlineStr">
        <is>
          <t>Tier 2</t>
        </is>
      </c>
      <c r="O464" s="441" t="n">
        <v>45898</v>
      </c>
      <c r="P464" s="441" t="n">
        <v>45929</v>
      </c>
      <c r="Q464" s="425">
        <f>IF(P464="","",TODAY()-P464)</f>
        <v/>
      </c>
      <c r="R464" s="441">
        <f>IF(OR(L464="Passed",Z464=""),"",P464+Z464)</f>
        <v/>
      </c>
      <c r="S464" s="425">
        <f>IF(OR(R464="",L464="Passed"),"",IF(R464&lt;=TODAY(),"DUE",IF(R464&lt;=TODAY()+3,"Next 3 Days","Later")))</f>
        <v/>
      </c>
      <c r="T464" s="425" t="inlineStr"/>
      <c r="U464" s="426" t="inlineStr">
        <is>
          <t>https://www.linkedin.com/in/janinekick/</t>
        </is>
      </c>
      <c r="V464" s="426" t="inlineStr"/>
      <c r="W464" s="428" t="inlineStr">
        <is>
          <t xml:space="preserve"> | 12/05/2025 | </t>
        </is>
      </c>
      <c r="X464" s="425" t="inlineStr">
        <is>
          <t>John - Investor Contacts!587</t>
        </is>
      </c>
      <c r="Y464" s="426" t="inlineStr">
        <is>
          <t>Send next follow-up with traction + CTA</t>
        </is>
      </c>
      <c r="Z464" s="425" t="n">
        <v>7</v>
      </c>
      <c r="AA464" s="425">
        <f>IF(AC464="Archived",0,ROUND((IF(N464="Tier 1",35,IF(N464="Tier 2",20,8))+IF(C464="Financial Investor",15,IF(C464="Intermediary / Banker",12,8))+IF(L464="Term Sheet / Proposal",25,IF(L464="Engaged",20,IF(L464="Meeting Requested",18,IF(L464="Meeting Held",14,IF(L464="Follow Up",10,5)))))+MIN(Q464,30)+IF(S464="DUE",15,IF(S464="Next 3 Days",8,0))),0))</f>
        <v/>
      </c>
      <c r="AB464" s="425">
        <f>IF(AND(AC464="Active",OR(N464="Tier 1",N464="Tier 2"),OR(S464="DUE",S464="Next 3 Days")),"YES","")</f>
        <v/>
      </c>
      <c r="AC464" s="425">
        <f>IF(L464="Passed","Archived","Active")</f>
        <v/>
      </c>
    </row>
    <row r="465">
      <c r="A465" s="425" t="inlineStr">
        <is>
          <t>EXOS-0464</t>
        </is>
      </c>
      <c r="B465" s="425" t="inlineStr">
        <is>
          <t>John - Investor Contacts</t>
        </is>
      </c>
      <c r="C465" s="425" t="inlineStr">
        <is>
          <t>Financial Investor</t>
        </is>
      </c>
      <c r="D465" s="425" t="inlineStr">
        <is>
          <t>Khosla Ventures</t>
        </is>
      </c>
      <c r="E465" s="425" t="inlineStr">
        <is>
          <t>Alice Brooks</t>
        </is>
      </c>
      <c r="F465" s="425" t="inlineStr"/>
      <c r="G465" s="111" t="inlineStr">
        <is>
          <t>abrooks@khoslaventures.com</t>
        </is>
      </c>
      <c r="H465" s="425" t="inlineStr"/>
      <c r="I465" s="425" t="inlineStr"/>
      <c r="J465" s="111" t="inlineStr">
        <is>
          <t>https://www.linkedin.com/in/alice-brooks-1786992a/</t>
        </is>
      </c>
      <c r="K465" s="426" t="inlineStr">
        <is>
          <t>John Quinn</t>
        </is>
      </c>
      <c r="L465" s="426" t="inlineStr">
        <is>
          <t>Follow Up</t>
        </is>
      </c>
      <c r="M465" s="425" t="inlineStr">
        <is>
          <t>Space / Defense / Aerospace / Advanced Manufacturing</t>
        </is>
      </c>
      <c r="N465" s="426" t="inlineStr">
        <is>
          <t>Tier 2</t>
        </is>
      </c>
      <c r="O465" s="441" t="n">
        <v>45792</v>
      </c>
      <c r="P465" s="441" t="n">
        <v>45814</v>
      </c>
      <c r="Q465" s="425">
        <f>IF(P465="","",TODAY()-P465)</f>
        <v/>
      </c>
      <c r="R465" s="441">
        <f>IF(OR(L465="Passed",Z465=""),"",P465+Z465)</f>
        <v/>
      </c>
      <c r="S465" s="425">
        <f>IF(OR(R465="",L465="Passed"),"",IF(R465&lt;=TODAY(),"DUE",IF(R465&lt;=TODAY()+3,"Next 3 Days","Later")))</f>
        <v/>
      </c>
      <c r="T465" s="425" t="inlineStr"/>
      <c r="U465" s="426" t="inlineStr">
        <is>
          <t>https://www.linkedin.com/in/alice-brooks-1786992a/</t>
        </is>
      </c>
      <c r="V465" s="426" t="inlineStr"/>
      <c r="W465" s="428" t="inlineStr">
        <is>
          <t xml:space="preserve"> |  | </t>
        </is>
      </c>
      <c r="X465" s="425" t="inlineStr">
        <is>
          <t>John - Investor Contacts!49</t>
        </is>
      </c>
      <c r="Y465" s="426" t="inlineStr">
        <is>
          <t>Send next follow-up with traction + CTA</t>
        </is>
      </c>
      <c r="Z465" s="425" t="n">
        <v>7</v>
      </c>
      <c r="AA465" s="425">
        <f>IF(AC465="Archived",0,ROUND((IF(N465="Tier 1",35,IF(N465="Tier 2",20,8))+IF(C465="Financial Investor",15,IF(C465="Intermediary / Banker",12,8))+IF(L465="Term Sheet / Proposal",25,IF(L465="Engaged",20,IF(L465="Meeting Requested",18,IF(L465="Meeting Held",14,IF(L465="Follow Up",10,5)))))+MIN(Q465,30)+IF(S465="DUE",15,IF(S465="Next 3 Days",8,0))),0))</f>
        <v/>
      </c>
      <c r="AB465" s="425">
        <f>IF(AND(AC465="Active",OR(N465="Tier 1",N465="Tier 2"),OR(S465="DUE",S465="Next 3 Days")),"YES","")</f>
        <v/>
      </c>
      <c r="AC465" s="425">
        <f>IF(L465="Passed","Archived","Active")</f>
        <v/>
      </c>
    </row>
    <row r="466">
      <c r="A466" s="425" t="inlineStr">
        <is>
          <t>EXOS-0465</t>
        </is>
      </c>
      <c r="B466" s="425" t="inlineStr">
        <is>
          <t>John - Investor Contacts</t>
        </is>
      </c>
      <c r="C466" s="425" t="inlineStr">
        <is>
          <t>Financial Investor</t>
        </is>
      </c>
      <c r="D466" s="425" t="inlineStr">
        <is>
          <t>Khosla Ventures</t>
        </is>
      </c>
      <c r="E466" s="425" t="inlineStr">
        <is>
          <t>Jon Chu</t>
        </is>
      </c>
      <c r="F466" s="425" t="inlineStr"/>
      <c r="G466" s="111" t="inlineStr">
        <is>
          <t>jc@khoslaventures.com</t>
        </is>
      </c>
      <c r="H466" s="425" t="inlineStr"/>
      <c r="I466" s="425" t="inlineStr"/>
      <c r="J466" s="111" t="inlineStr">
        <is>
          <t>http://linkedin.com/in/jchu/</t>
        </is>
      </c>
      <c r="K466" s="426" t="inlineStr">
        <is>
          <t>John Quinn</t>
        </is>
      </c>
      <c r="L466" s="426" t="inlineStr">
        <is>
          <t>Follow Up</t>
        </is>
      </c>
      <c r="M466" s="425" t="inlineStr">
        <is>
          <t>Space / Defense / Aerospace / Advanced Manufacturing</t>
        </is>
      </c>
      <c r="N466" s="426" t="inlineStr">
        <is>
          <t>Tier 2</t>
        </is>
      </c>
      <c r="O466" s="441" t="n">
        <v>45792</v>
      </c>
      <c r="P466" s="441" t="n">
        <v>45814</v>
      </c>
      <c r="Q466" s="425">
        <f>IF(P466="","",TODAY()-P466)</f>
        <v/>
      </c>
      <c r="R466" s="441">
        <f>IF(OR(L466="Passed",Z466=""),"",P466+Z466)</f>
        <v/>
      </c>
      <c r="S466" s="425">
        <f>IF(OR(R466="",L466="Passed"),"",IF(R466&lt;=TODAY(),"DUE",IF(R466&lt;=TODAY()+3,"Next 3 Days","Later")))</f>
        <v/>
      </c>
      <c r="T466" s="425" t="inlineStr"/>
      <c r="U466" s="426" t="inlineStr">
        <is>
          <t>http://linkedin.com/in/jchu/</t>
        </is>
      </c>
      <c r="V466" s="426" t="inlineStr"/>
      <c r="W466" s="428" t="inlineStr">
        <is>
          <t xml:space="preserve"> |  | </t>
        </is>
      </c>
      <c r="X466" s="425" t="inlineStr">
        <is>
          <t>John - Investor Contacts!50</t>
        </is>
      </c>
      <c r="Y466" s="426" t="inlineStr">
        <is>
          <t>Send next follow-up with traction + CTA</t>
        </is>
      </c>
      <c r="Z466" s="425" t="n">
        <v>7</v>
      </c>
      <c r="AA466" s="425">
        <f>IF(AC466="Archived",0,ROUND((IF(N466="Tier 1",35,IF(N466="Tier 2",20,8))+IF(C466="Financial Investor",15,IF(C466="Intermediary / Banker",12,8))+IF(L466="Term Sheet / Proposal",25,IF(L466="Engaged",20,IF(L466="Meeting Requested",18,IF(L466="Meeting Held",14,IF(L466="Follow Up",10,5)))))+MIN(Q466,30)+IF(S466="DUE",15,IF(S466="Next 3 Days",8,0))),0))</f>
        <v/>
      </c>
      <c r="AB466" s="425">
        <f>IF(AND(AC466="Active",OR(N466="Tier 1",N466="Tier 2"),OR(S466="DUE",S466="Next 3 Days")),"YES","")</f>
        <v/>
      </c>
      <c r="AC466" s="425">
        <f>IF(L466="Passed","Archived","Active")</f>
        <v/>
      </c>
    </row>
    <row r="467">
      <c r="A467" s="425" t="inlineStr">
        <is>
          <t>EXOS-0466</t>
        </is>
      </c>
      <c r="B467" s="425" t="inlineStr">
        <is>
          <t>John - Investor Contacts</t>
        </is>
      </c>
      <c r="C467" s="425" t="inlineStr">
        <is>
          <t>Financial Investor</t>
        </is>
      </c>
      <c r="D467" s="425" t="inlineStr">
        <is>
          <t>Khosla Ventures</t>
        </is>
      </c>
      <c r="E467" s="425" t="inlineStr">
        <is>
          <t>Kanu Gulati</t>
        </is>
      </c>
      <c r="F467" s="425" t="inlineStr"/>
      <c r="G467" s="111" t="inlineStr">
        <is>
          <t>kg@khoslaventures.com</t>
        </is>
      </c>
      <c r="H467" s="425" t="inlineStr"/>
      <c r="I467" s="425" t="inlineStr"/>
      <c r="J467" s="111" t="inlineStr">
        <is>
          <t>https://www.linkedin.com/in/kanugulati/</t>
        </is>
      </c>
      <c r="K467" s="426" t="inlineStr">
        <is>
          <t>John Quinn</t>
        </is>
      </c>
      <c r="L467" s="426" t="inlineStr">
        <is>
          <t>Follow Up</t>
        </is>
      </c>
      <c r="M467" s="425" t="inlineStr">
        <is>
          <t>Space / Defense / Aerospace / Advanced Manufacturing</t>
        </is>
      </c>
      <c r="N467" s="426" t="inlineStr">
        <is>
          <t>Tier 2</t>
        </is>
      </c>
      <c r="O467" s="441" t="n">
        <v>45792</v>
      </c>
      <c r="P467" s="441" t="n">
        <v>45814</v>
      </c>
      <c r="Q467" s="425">
        <f>IF(P467="","",TODAY()-P467)</f>
        <v/>
      </c>
      <c r="R467" s="441">
        <f>IF(OR(L467="Passed",Z467=""),"",P467+Z467)</f>
        <v/>
      </c>
      <c r="S467" s="425">
        <f>IF(OR(R467="",L467="Passed"),"",IF(R467&lt;=TODAY(),"DUE",IF(R467&lt;=TODAY()+3,"Next 3 Days","Later")))</f>
        <v/>
      </c>
      <c r="T467" s="425" t="inlineStr"/>
      <c r="U467" s="426" t="inlineStr">
        <is>
          <t>https://www.linkedin.com/in/kanugulati/</t>
        </is>
      </c>
      <c r="V467" s="426" t="inlineStr"/>
      <c r="W467" s="428" t="inlineStr">
        <is>
          <t xml:space="preserve"> |  | </t>
        </is>
      </c>
      <c r="X467" s="425" t="inlineStr">
        <is>
          <t>John - Investor Contacts!48</t>
        </is>
      </c>
      <c r="Y467" s="426" t="inlineStr">
        <is>
          <t>Send next follow-up with traction + CTA</t>
        </is>
      </c>
      <c r="Z467" s="425" t="n">
        <v>7</v>
      </c>
      <c r="AA467" s="425">
        <f>IF(AC467="Archived",0,ROUND((IF(N467="Tier 1",35,IF(N467="Tier 2",20,8))+IF(C467="Financial Investor",15,IF(C467="Intermediary / Banker",12,8))+IF(L467="Term Sheet / Proposal",25,IF(L467="Engaged",20,IF(L467="Meeting Requested",18,IF(L467="Meeting Held",14,IF(L467="Follow Up",10,5)))))+MIN(Q467,30)+IF(S467="DUE",15,IF(S467="Next 3 Days",8,0))),0))</f>
        <v/>
      </c>
      <c r="AB467" s="425">
        <f>IF(AND(AC467="Active",OR(N467="Tier 1",N467="Tier 2"),OR(S467="DUE",S467="Next 3 Days")),"YES","")</f>
        <v/>
      </c>
      <c r="AC467" s="425">
        <f>IF(L467="Passed","Archived","Active")</f>
        <v/>
      </c>
    </row>
    <row r="468">
      <c r="A468" s="425" t="inlineStr">
        <is>
          <t>EXOS-0467</t>
        </is>
      </c>
      <c r="B468" s="425" t="inlineStr">
        <is>
          <t>John - Investor Contacts</t>
        </is>
      </c>
      <c r="C468" s="425" t="inlineStr">
        <is>
          <t>Financial Investor</t>
        </is>
      </c>
      <c r="D468" s="425" t="inlineStr">
        <is>
          <t>Khosla Ventures</t>
        </is>
      </c>
      <c r="E468" s="425" t="inlineStr">
        <is>
          <t>Rajesh Swaminathan</t>
        </is>
      </c>
      <c r="F468" s="425" t="inlineStr"/>
      <c r="G468" s="111" t="inlineStr">
        <is>
          <t>rs@khoslaventures.com</t>
        </is>
      </c>
      <c r="H468" s="425" t="inlineStr"/>
      <c r="I468" s="425" t="inlineStr"/>
      <c r="J468" s="111" t="inlineStr">
        <is>
          <t>https://www.linkedin.com/in/rajeshswaminathan/</t>
        </is>
      </c>
      <c r="K468" s="426" t="inlineStr">
        <is>
          <t>John Quinn</t>
        </is>
      </c>
      <c r="L468" s="426" t="inlineStr">
        <is>
          <t>Follow Up</t>
        </is>
      </c>
      <c r="M468" s="425" t="inlineStr">
        <is>
          <t>Space / Defense / Aerospace / Advanced Manufacturing</t>
        </is>
      </c>
      <c r="N468" s="426" t="inlineStr">
        <is>
          <t>Tier 2</t>
        </is>
      </c>
      <c r="O468" s="441" t="n">
        <v>45792</v>
      </c>
      <c r="P468" s="441" t="n">
        <v>45814</v>
      </c>
      <c r="Q468" s="425">
        <f>IF(P468="","",TODAY()-P468)</f>
        <v/>
      </c>
      <c r="R468" s="441">
        <f>IF(OR(L468="Passed",Z468=""),"",P468+Z468)</f>
        <v/>
      </c>
      <c r="S468" s="425">
        <f>IF(OR(R468="",L468="Passed"),"",IF(R468&lt;=TODAY(),"DUE",IF(R468&lt;=TODAY()+3,"Next 3 Days","Later")))</f>
        <v/>
      </c>
      <c r="T468" s="425" t="inlineStr"/>
      <c r="U468" s="426" t="inlineStr">
        <is>
          <t>https://www.linkedin.com/in/rajeshswaminathan/</t>
        </is>
      </c>
      <c r="V468" s="426" t="inlineStr"/>
      <c r="W468" s="428" t="inlineStr">
        <is>
          <t xml:space="preserve">asked for deck / 7/7 sent deck | Deck 7-7-25 | </t>
        </is>
      </c>
      <c r="X468" s="425" t="inlineStr">
        <is>
          <t>John - Investor Contacts!47</t>
        </is>
      </c>
      <c r="Y468" s="426" t="inlineStr">
        <is>
          <t>Send next follow-up with traction + CTA</t>
        </is>
      </c>
      <c r="Z468" s="425" t="n">
        <v>7</v>
      </c>
      <c r="AA468" s="425">
        <f>IF(AC468="Archived",0,ROUND((IF(N468="Tier 1",35,IF(N468="Tier 2",20,8))+IF(C468="Financial Investor",15,IF(C468="Intermediary / Banker",12,8))+IF(L468="Term Sheet / Proposal",25,IF(L468="Engaged",20,IF(L468="Meeting Requested",18,IF(L468="Meeting Held",14,IF(L468="Follow Up",10,5)))))+MIN(Q468,30)+IF(S468="DUE",15,IF(S468="Next 3 Days",8,0))),0))</f>
        <v/>
      </c>
      <c r="AB468" s="425">
        <f>IF(AND(AC468="Active",OR(N468="Tier 1",N468="Tier 2"),OR(S468="DUE",S468="Next 3 Days")),"YES","")</f>
        <v/>
      </c>
      <c r="AC468" s="425">
        <f>IF(L468="Passed","Archived","Active")</f>
        <v/>
      </c>
    </row>
    <row r="469">
      <c r="A469" s="425" t="inlineStr">
        <is>
          <t>EXOS-0468</t>
        </is>
      </c>
      <c r="B469" s="425" t="inlineStr">
        <is>
          <t>John - Investor Contacts</t>
        </is>
      </c>
      <c r="C469" s="425" t="inlineStr">
        <is>
          <t>Financial Investor</t>
        </is>
      </c>
      <c r="D469" s="425" t="inlineStr">
        <is>
          <t>Left Lane Capital</t>
        </is>
      </c>
      <c r="E469" s="425" t="inlineStr">
        <is>
          <t>Dan Ahrens</t>
        </is>
      </c>
      <c r="F469" s="425" t="inlineStr"/>
      <c r="G469" s="111" t="inlineStr">
        <is>
          <t>dan@leftlanecap.com</t>
        </is>
      </c>
      <c r="H469" s="425" t="inlineStr"/>
      <c r="I469" s="425" t="inlineStr"/>
      <c r="J469" s="111" t="inlineStr">
        <is>
          <t>https://www.linkedin.com/in/dan-ahrens-bb77a337/</t>
        </is>
      </c>
      <c r="K469" s="426" t="inlineStr">
        <is>
          <t>John Quinn</t>
        </is>
      </c>
      <c r="L469" s="426" t="inlineStr">
        <is>
          <t>Follow Up</t>
        </is>
      </c>
      <c r="M469" s="425" t="inlineStr">
        <is>
          <t>Space / Defense / Aerospace / Advanced Manufacturing</t>
        </is>
      </c>
      <c r="N469" s="426" t="inlineStr">
        <is>
          <t>Tier 2</t>
        </is>
      </c>
      <c r="O469" s="441" t="n">
        <v>45840</v>
      </c>
      <c r="P469" s="441" t="n">
        <v>45861</v>
      </c>
      <c r="Q469" s="425">
        <f>IF(P469="","",TODAY()-P469)</f>
        <v/>
      </c>
      <c r="R469" s="441">
        <f>IF(OR(L469="Passed",Z469=""),"",P469+Z469)</f>
        <v/>
      </c>
      <c r="S469" s="425">
        <f>IF(OR(R469="",L469="Passed"),"",IF(R469&lt;=TODAY(),"DUE",IF(R469&lt;=TODAY()+3,"Next 3 Days","Later")))</f>
        <v/>
      </c>
      <c r="T469" s="425" t="inlineStr"/>
      <c r="U469" s="426" t="inlineStr">
        <is>
          <t>https://www.linkedin.com/in/dan-ahrens-bb77a337/</t>
        </is>
      </c>
      <c r="V469" s="426" t="inlineStr"/>
      <c r="W469" s="428" t="inlineStr">
        <is>
          <t xml:space="preserve"> | 12/26/2025 | </t>
        </is>
      </c>
      <c r="X469" s="425" t="inlineStr">
        <is>
          <t>John - Investor Contacts!335</t>
        </is>
      </c>
      <c r="Y469" s="426" t="inlineStr">
        <is>
          <t>Send next follow-up with traction + CTA</t>
        </is>
      </c>
      <c r="Z469" s="425" t="n">
        <v>7</v>
      </c>
      <c r="AA469" s="425">
        <f>IF(AC469="Archived",0,ROUND((IF(N469="Tier 1",35,IF(N469="Tier 2",20,8))+IF(C469="Financial Investor",15,IF(C469="Intermediary / Banker",12,8))+IF(L469="Term Sheet / Proposal",25,IF(L469="Engaged",20,IF(L469="Meeting Requested",18,IF(L469="Meeting Held",14,IF(L469="Follow Up",10,5)))))+MIN(Q469,30)+IF(S469="DUE",15,IF(S469="Next 3 Days",8,0))),0))</f>
        <v/>
      </c>
      <c r="AB469" s="425">
        <f>IF(AND(AC469="Active",OR(N469="Tier 1",N469="Tier 2"),OR(S469="DUE",S469="Next 3 Days")),"YES","")</f>
        <v/>
      </c>
      <c r="AC469" s="425">
        <f>IF(L469="Passed","Archived","Active")</f>
        <v/>
      </c>
    </row>
    <row r="470">
      <c r="A470" s="425" t="inlineStr">
        <is>
          <t>EXOS-0469</t>
        </is>
      </c>
      <c r="B470" s="425" t="inlineStr">
        <is>
          <t>John - Investor Contacts</t>
        </is>
      </c>
      <c r="C470" s="425" t="inlineStr">
        <is>
          <t>Financial Investor</t>
        </is>
      </c>
      <c r="D470" s="425" t="inlineStr">
        <is>
          <t>Left Lane Capital</t>
        </is>
      </c>
      <c r="E470" s="425" t="inlineStr">
        <is>
          <t>Harley Miller</t>
        </is>
      </c>
      <c r="F470" s="425" t="inlineStr"/>
      <c r="G470" s="111" t="inlineStr">
        <is>
          <t>harley@leftlanecap.com</t>
        </is>
      </c>
      <c r="H470" s="425" t="inlineStr"/>
      <c r="I470" s="425" t="inlineStr"/>
      <c r="J470" s="111" t="inlineStr">
        <is>
          <t>https://www.linkedin.com/in/harley-miller-4aab0521/</t>
        </is>
      </c>
      <c r="K470" s="426" t="inlineStr">
        <is>
          <t>John Quinn</t>
        </is>
      </c>
      <c r="L470" s="426" t="inlineStr">
        <is>
          <t>Follow Up</t>
        </is>
      </c>
      <c r="M470" s="425" t="inlineStr">
        <is>
          <t>Space / Defense / Aerospace / Advanced Manufacturing</t>
        </is>
      </c>
      <c r="N470" s="426" t="inlineStr">
        <is>
          <t>Tier 2</t>
        </is>
      </c>
      <c r="O470" s="441" t="n">
        <v>45840</v>
      </c>
      <c r="P470" s="441" t="n">
        <v>45861</v>
      </c>
      <c r="Q470" s="425">
        <f>IF(P470="","",TODAY()-P470)</f>
        <v/>
      </c>
      <c r="R470" s="441">
        <f>IF(OR(L470="Passed",Z470=""),"",P470+Z470)</f>
        <v/>
      </c>
      <c r="S470" s="425">
        <f>IF(OR(R470="",L470="Passed"),"",IF(R470&lt;=TODAY(),"DUE",IF(R470&lt;=TODAY()+3,"Next 3 Days","Later")))</f>
        <v/>
      </c>
      <c r="T470" s="425" t="inlineStr"/>
      <c r="U470" s="426" t="inlineStr">
        <is>
          <t>https://www.linkedin.com/in/harley-miller-4aab0521/</t>
        </is>
      </c>
      <c r="V470" s="426" t="inlineStr"/>
      <c r="W470" s="428" t="inlineStr">
        <is>
          <t xml:space="preserve"> | 12/26/2025 | </t>
        </is>
      </c>
      <c r="X470" s="425" t="inlineStr">
        <is>
          <t>John - Investor Contacts!334</t>
        </is>
      </c>
      <c r="Y470" s="426" t="inlineStr">
        <is>
          <t>Send next follow-up with traction + CTA</t>
        </is>
      </c>
      <c r="Z470" s="425" t="n">
        <v>7</v>
      </c>
      <c r="AA470" s="425">
        <f>IF(AC470="Archived",0,ROUND((IF(N470="Tier 1",35,IF(N470="Tier 2",20,8))+IF(C470="Financial Investor",15,IF(C470="Intermediary / Banker",12,8))+IF(L470="Term Sheet / Proposal",25,IF(L470="Engaged",20,IF(L470="Meeting Requested",18,IF(L470="Meeting Held",14,IF(L470="Follow Up",10,5)))))+MIN(Q470,30)+IF(S470="DUE",15,IF(S470="Next 3 Days",8,0))),0))</f>
        <v/>
      </c>
      <c r="AB470" s="425">
        <f>IF(AND(AC470="Active",OR(N470="Tier 1",N470="Tier 2"),OR(S470="DUE",S470="Next 3 Days")),"YES","")</f>
        <v/>
      </c>
      <c r="AC470" s="425">
        <f>IF(L470="Passed","Archived","Active")</f>
        <v/>
      </c>
    </row>
    <row r="471">
      <c r="A471" s="425" t="inlineStr">
        <is>
          <t>EXOS-0470</t>
        </is>
      </c>
      <c r="B471" s="425" t="inlineStr">
        <is>
          <t>John - Investor Contacts</t>
        </is>
      </c>
      <c r="C471" s="425" t="inlineStr">
        <is>
          <t>Financial Investor</t>
        </is>
      </c>
      <c r="D471" s="425" t="inlineStr">
        <is>
          <t>Left Lane Capital</t>
        </is>
      </c>
      <c r="E471" s="425" t="inlineStr">
        <is>
          <t>Jason Fiedler</t>
        </is>
      </c>
      <c r="F471" s="425" t="inlineStr"/>
      <c r="G471" s="111" t="inlineStr">
        <is>
          <t>jason@leftlanecap.com</t>
        </is>
      </c>
      <c r="H471" s="425" t="inlineStr"/>
      <c r="I471" s="425" t="inlineStr"/>
      <c r="J471" s="111" t="inlineStr">
        <is>
          <t>https://www.linkedin.com/in/fiedlerjason/</t>
        </is>
      </c>
      <c r="K471" s="426" t="inlineStr">
        <is>
          <t>John Quinn</t>
        </is>
      </c>
      <c r="L471" s="426" t="inlineStr">
        <is>
          <t>Follow Up</t>
        </is>
      </c>
      <c r="M471" s="425" t="inlineStr">
        <is>
          <t>Space / Defense / Aerospace / Advanced Manufacturing</t>
        </is>
      </c>
      <c r="N471" s="426" t="inlineStr">
        <is>
          <t>Tier 2</t>
        </is>
      </c>
      <c r="O471" s="441" t="n">
        <v>45840</v>
      </c>
      <c r="P471" s="441" t="n">
        <v>45861</v>
      </c>
      <c r="Q471" s="425">
        <f>IF(P471="","",TODAY()-P471)</f>
        <v/>
      </c>
      <c r="R471" s="441">
        <f>IF(OR(L471="Passed",Z471=""),"",P471+Z471)</f>
        <v/>
      </c>
      <c r="S471" s="425">
        <f>IF(OR(R471="",L471="Passed"),"",IF(R471&lt;=TODAY(),"DUE",IF(R471&lt;=TODAY()+3,"Next 3 Days","Later")))</f>
        <v/>
      </c>
      <c r="T471" s="425" t="inlineStr"/>
      <c r="U471" s="426" t="inlineStr">
        <is>
          <t>https://www.linkedin.com/in/fiedlerjason/</t>
        </is>
      </c>
      <c r="V471" s="426" t="inlineStr"/>
      <c r="W471" s="428" t="inlineStr">
        <is>
          <t xml:space="preserve"> | 12/26/2025 | </t>
        </is>
      </c>
      <c r="X471" s="425" t="inlineStr">
        <is>
          <t>John - Investor Contacts!332</t>
        </is>
      </c>
      <c r="Y471" s="426" t="inlineStr">
        <is>
          <t>Send next follow-up with traction + CTA</t>
        </is>
      </c>
      <c r="Z471" s="425" t="n">
        <v>7</v>
      </c>
      <c r="AA471" s="425">
        <f>IF(AC471="Archived",0,ROUND((IF(N471="Tier 1",35,IF(N471="Tier 2",20,8))+IF(C471="Financial Investor",15,IF(C471="Intermediary / Banker",12,8))+IF(L471="Term Sheet / Proposal",25,IF(L471="Engaged",20,IF(L471="Meeting Requested",18,IF(L471="Meeting Held",14,IF(L471="Follow Up",10,5)))))+MIN(Q471,30)+IF(S471="DUE",15,IF(S471="Next 3 Days",8,0))),0))</f>
        <v/>
      </c>
      <c r="AB471" s="425">
        <f>IF(AND(AC471="Active",OR(N471="Tier 1",N471="Tier 2"),OR(S471="DUE",S471="Next 3 Days")),"YES","")</f>
        <v/>
      </c>
      <c r="AC471" s="425">
        <f>IF(L471="Passed","Archived","Active")</f>
        <v/>
      </c>
    </row>
    <row r="472">
      <c r="A472" s="425" t="inlineStr">
        <is>
          <t>EXOS-0471</t>
        </is>
      </c>
      <c r="B472" s="425" t="inlineStr">
        <is>
          <t>John - Investor Contacts</t>
        </is>
      </c>
      <c r="C472" s="425" t="inlineStr">
        <is>
          <t>Financial Investor</t>
        </is>
      </c>
      <c r="D472" s="425" t="inlineStr">
        <is>
          <t>Left Lane Capital</t>
        </is>
      </c>
      <c r="E472" s="425" t="inlineStr">
        <is>
          <t>Vinny Pujji</t>
        </is>
      </c>
      <c r="F472" s="425" t="inlineStr"/>
      <c r="G472" s="111" t="inlineStr">
        <is>
          <t>vinny@leftlanecap.com</t>
        </is>
      </c>
      <c r="H472" s="425" t="inlineStr"/>
      <c r="I472" s="425" t="inlineStr"/>
      <c r="J472" s="111" t="inlineStr">
        <is>
          <t>https://www.linkedin.com/in/vpujji/</t>
        </is>
      </c>
      <c r="K472" s="426" t="inlineStr">
        <is>
          <t>John Quinn</t>
        </is>
      </c>
      <c r="L472" s="426" t="inlineStr">
        <is>
          <t>Follow Up</t>
        </is>
      </c>
      <c r="M472" s="425" t="inlineStr">
        <is>
          <t>Space / Defense / Aerospace / Advanced Manufacturing</t>
        </is>
      </c>
      <c r="N472" s="426" t="inlineStr">
        <is>
          <t>Tier 2</t>
        </is>
      </c>
      <c r="O472" s="441" t="n">
        <v>45840</v>
      </c>
      <c r="P472" s="441" t="n">
        <v>45861</v>
      </c>
      <c r="Q472" s="425">
        <f>IF(P472="","",TODAY()-P472)</f>
        <v/>
      </c>
      <c r="R472" s="441">
        <f>IF(OR(L472="Passed",Z472=""),"",P472+Z472)</f>
        <v/>
      </c>
      <c r="S472" s="425">
        <f>IF(OR(R472="",L472="Passed"),"",IF(R472&lt;=TODAY(),"DUE",IF(R472&lt;=TODAY()+3,"Next 3 Days","Later")))</f>
        <v/>
      </c>
      <c r="T472" s="425" t="inlineStr"/>
      <c r="U472" s="426" t="inlineStr">
        <is>
          <t>https://www.linkedin.com/in/vpujji/</t>
        </is>
      </c>
      <c r="V472" s="426" t="inlineStr"/>
      <c r="W472" s="428" t="inlineStr">
        <is>
          <t xml:space="preserve"> | 12/26/2025 | </t>
        </is>
      </c>
      <c r="X472" s="425" t="inlineStr">
        <is>
          <t>John - Investor Contacts!333</t>
        </is>
      </c>
      <c r="Y472" s="426" t="inlineStr">
        <is>
          <t>Send next follow-up with traction + CTA</t>
        </is>
      </c>
      <c r="Z472" s="425" t="n">
        <v>7</v>
      </c>
      <c r="AA472" s="425">
        <f>IF(AC472="Archived",0,ROUND((IF(N472="Tier 1",35,IF(N472="Tier 2",20,8))+IF(C472="Financial Investor",15,IF(C472="Intermediary / Banker",12,8))+IF(L472="Term Sheet / Proposal",25,IF(L472="Engaged",20,IF(L472="Meeting Requested",18,IF(L472="Meeting Held",14,IF(L472="Follow Up",10,5)))))+MIN(Q472,30)+IF(S472="DUE",15,IF(S472="Next 3 Days",8,0))),0))</f>
        <v/>
      </c>
      <c r="AB472" s="425">
        <f>IF(AND(AC472="Active",OR(N472="Tier 1",N472="Tier 2"),OR(S472="DUE",S472="Next 3 Days")),"YES","")</f>
        <v/>
      </c>
      <c r="AC472" s="425">
        <f>IF(L472="Passed","Archived","Active")</f>
        <v/>
      </c>
    </row>
    <row r="473">
      <c r="A473" s="425" t="inlineStr">
        <is>
          <t>EXOS-0472</t>
        </is>
      </c>
      <c r="B473" s="425" t="inlineStr">
        <is>
          <t>John - Investor Contacts</t>
        </is>
      </c>
      <c r="C473" s="425" t="inlineStr">
        <is>
          <t>Financial Investor</t>
        </is>
      </c>
      <c r="D473" s="425" t="inlineStr">
        <is>
          <t>Level 8 Ventures</t>
        </is>
      </c>
      <c r="E473" s="425" t="inlineStr">
        <is>
          <t>Séamus Hatch</t>
        </is>
      </c>
      <c r="F473" s="425" t="inlineStr"/>
      <c r="G473" s="111" t="inlineStr">
        <is>
          <t>seamus@level8.vc</t>
        </is>
      </c>
      <c r="H473" s="425" t="inlineStr"/>
      <c r="I473" s="425" t="inlineStr"/>
      <c r="J473" s="111" t="inlineStr">
        <is>
          <t>https://www.linkedin.com/in/seamushatch/</t>
        </is>
      </c>
      <c r="K473" s="426" t="inlineStr">
        <is>
          <t>John Quinn</t>
        </is>
      </c>
      <c r="L473" s="426" t="inlineStr">
        <is>
          <t>Follow Up</t>
        </is>
      </c>
      <c r="M473" s="425" t="inlineStr">
        <is>
          <t>Space / Defense / Aerospace / Advanced Manufacturing</t>
        </is>
      </c>
      <c r="N473" s="426" t="inlineStr">
        <is>
          <t>Tier 2</t>
        </is>
      </c>
      <c r="O473" s="441" t="n">
        <v>45912</v>
      </c>
      <c r="P473" s="441" t="n">
        <v>45973</v>
      </c>
      <c r="Q473" s="425">
        <f>IF(P473="","",TODAY()-P473)</f>
        <v/>
      </c>
      <c r="R473" s="441">
        <f>IF(OR(L473="Passed",Z473=""),"",P473+Z473)</f>
        <v/>
      </c>
      <c r="S473" s="425">
        <f>IF(OR(R473="",L473="Passed"),"",IF(R473&lt;=TODAY(),"DUE",IF(R473&lt;=TODAY()+3,"Next 3 Days","Later")))</f>
        <v/>
      </c>
      <c r="T473" s="425" t="inlineStr"/>
      <c r="U473" s="426" t="inlineStr">
        <is>
          <t>https://www.linkedin.com/in/seamushatch/</t>
        </is>
      </c>
      <c r="V473" s="426" t="inlineStr"/>
      <c r="W473" s="428" t="inlineStr">
        <is>
          <t xml:space="preserve"> | 12/19/2025 | </t>
        </is>
      </c>
      <c r="X473" s="425" t="inlineStr">
        <is>
          <t>John - Investor Contacts!686</t>
        </is>
      </c>
      <c r="Y473" s="426" t="inlineStr">
        <is>
          <t>Send next follow-up with traction + CTA</t>
        </is>
      </c>
      <c r="Z473" s="425" t="n">
        <v>7</v>
      </c>
      <c r="AA473" s="425">
        <f>IF(AC473="Archived",0,ROUND((IF(N473="Tier 1",35,IF(N473="Tier 2",20,8))+IF(C473="Financial Investor",15,IF(C473="Intermediary / Banker",12,8))+IF(L473="Term Sheet / Proposal",25,IF(L473="Engaged",20,IF(L473="Meeting Requested",18,IF(L473="Meeting Held",14,IF(L473="Follow Up",10,5)))))+MIN(Q473,30)+IF(S473="DUE",15,IF(S473="Next 3 Days",8,0))),0))</f>
        <v/>
      </c>
      <c r="AB473" s="425">
        <f>IF(AND(AC473="Active",OR(N473="Tier 1",N473="Tier 2"),OR(S473="DUE",S473="Next 3 Days")),"YES","")</f>
        <v/>
      </c>
      <c r="AC473" s="425">
        <f>IF(L473="Passed","Archived","Active")</f>
        <v/>
      </c>
    </row>
    <row r="474">
      <c r="A474" s="425" t="inlineStr">
        <is>
          <t>EXOS-0473</t>
        </is>
      </c>
      <c r="B474" s="425" t="inlineStr">
        <is>
          <t>OSC</t>
        </is>
      </c>
      <c r="C474" s="425" t="inlineStr">
        <is>
          <t>Financial Investor</t>
        </is>
      </c>
      <c r="D474" s="425" t="inlineStr">
        <is>
          <t>Level Equity Management</t>
        </is>
      </c>
      <c r="E474" s="425" t="inlineStr"/>
      <c r="F474" s="425" t="inlineStr"/>
      <c r="G474" s="111" t="inlineStr">
        <is>
          <t>info@levelequity.com</t>
        </is>
      </c>
      <c r="H474" s="425" t="inlineStr"/>
      <c r="I474" s="425" t="inlineStr">
        <is>
          <t>(212) 660-2470</t>
        </is>
      </c>
      <c r="J474" s="425" t="inlineStr"/>
      <c r="K474" s="426" t="inlineStr">
        <is>
          <t>John Quinn</t>
        </is>
      </c>
      <c r="L474" s="426" t="inlineStr">
        <is>
          <t>Follow Up</t>
        </is>
      </c>
      <c r="M474" s="425" t="inlineStr">
        <is>
          <t>Space / Defense / Aerospace / Advanced Manufacturing</t>
        </is>
      </c>
      <c r="N474" s="426" t="inlineStr">
        <is>
          <t>Tier 2</t>
        </is>
      </c>
      <c r="O474" s="441" t="n">
        <v>45854</v>
      </c>
      <c r="P474" s="441" t="n">
        <v>45922</v>
      </c>
      <c r="Q474" s="425">
        <f>IF(P474="","",TODAY()-P474)</f>
        <v/>
      </c>
      <c r="R474" s="441">
        <f>IF(OR(L474="Passed",Z474=""),"",P474+Z474)</f>
        <v/>
      </c>
      <c r="S474" s="425">
        <f>IF(OR(R474="",L474="Passed"),"",IF(R474&lt;=TODAY(),"DUE",IF(R474&lt;=TODAY()+3,"Next 3 Days","Later")))</f>
        <v/>
      </c>
      <c r="T474" s="425" t="inlineStr"/>
      <c r="U474" s="426" t="inlineStr"/>
      <c r="V474" s="426" t="inlineStr"/>
      <c r="W474" s="428" t="inlineStr"/>
      <c r="X474" s="425" t="inlineStr">
        <is>
          <t>OSC!70</t>
        </is>
      </c>
      <c r="Y474" s="426" t="inlineStr">
        <is>
          <t>Send next follow-up with traction + CTA</t>
        </is>
      </c>
      <c r="Z474" s="425" t="n">
        <v>7</v>
      </c>
      <c r="AA474" s="425">
        <f>IF(AC474="Archived",0,ROUND((IF(N474="Tier 1",35,IF(N474="Tier 2",20,8))+IF(C474="Financial Investor",15,IF(C474="Intermediary / Banker",12,8))+IF(L474="Term Sheet / Proposal",25,IF(L474="Engaged",20,IF(L474="Meeting Requested",18,IF(L474="Meeting Held",14,IF(L474="Follow Up",10,5)))))+MIN(Q474,30)+IF(S474="DUE",15,IF(S474="Next 3 Days",8,0))),0))</f>
        <v/>
      </c>
      <c r="AB474" s="425">
        <f>IF(AND(AC474="Active",OR(N474="Tier 1",N474="Tier 2"),OR(S474="DUE",S474="Next 3 Days")),"YES","")</f>
        <v/>
      </c>
      <c r="AC474" s="425">
        <f>IF(L474="Passed","Archived","Active")</f>
        <v/>
      </c>
    </row>
    <row r="475">
      <c r="A475" s="425" t="inlineStr">
        <is>
          <t>EXOS-0474</t>
        </is>
      </c>
      <c r="B475" s="425" t="inlineStr">
        <is>
          <t>OSC</t>
        </is>
      </c>
      <c r="C475" s="425" t="inlineStr">
        <is>
          <t>Financial Investor</t>
        </is>
      </c>
      <c r="D475" s="425" t="inlineStr">
        <is>
          <t>Level Equity Management</t>
        </is>
      </c>
      <c r="E475" s="425" t="inlineStr">
        <is>
          <t>Arthur Tingas</t>
        </is>
      </c>
      <c r="F475" s="425" t="inlineStr"/>
      <c r="G475" s="111" t="inlineStr">
        <is>
          <t>atingas@levelequity.com</t>
        </is>
      </c>
      <c r="H475" s="425" t="inlineStr"/>
      <c r="I475" s="425" t="inlineStr">
        <is>
          <t>212.660.2473</t>
        </is>
      </c>
      <c r="J475" s="425" t="inlineStr"/>
      <c r="K475" s="426" t="inlineStr">
        <is>
          <t>John Quinn</t>
        </is>
      </c>
      <c r="L475" s="426" t="inlineStr">
        <is>
          <t>Follow Up</t>
        </is>
      </c>
      <c r="M475" s="425" t="inlineStr">
        <is>
          <t>Space / Defense / Aerospace / Advanced Manufacturing</t>
        </is>
      </c>
      <c r="N475" s="426" t="inlineStr">
        <is>
          <t>Tier 2</t>
        </is>
      </c>
      <c r="O475" s="441" t="n">
        <v>45854</v>
      </c>
      <c r="P475" s="441" t="n">
        <v>45922</v>
      </c>
      <c r="Q475" s="425">
        <f>IF(P475="","",TODAY()-P475)</f>
        <v/>
      </c>
      <c r="R475" s="441">
        <f>IF(OR(L475="Passed",Z475=""),"",P475+Z475)</f>
        <v/>
      </c>
      <c r="S475" s="425">
        <f>IF(OR(R475="",L475="Passed"),"",IF(R475&lt;=TODAY(),"DUE",IF(R475&lt;=TODAY()+3,"Next 3 Days","Later")))</f>
        <v/>
      </c>
      <c r="T475" s="425" t="inlineStr"/>
      <c r="U475" s="426" t="inlineStr"/>
      <c r="V475" s="426" t="inlineStr"/>
      <c r="W475" s="428" t="inlineStr"/>
      <c r="X475" s="425" t="inlineStr">
        <is>
          <t>OSC!74</t>
        </is>
      </c>
      <c r="Y475" s="426" t="inlineStr">
        <is>
          <t>Send next follow-up with traction + CTA</t>
        </is>
      </c>
      <c r="Z475" s="425" t="n">
        <v>7</v>
      </c>
      <c r="AA475" s="425">
        <f>IF(AC475="Archived",0,ROUND((IF(N475="Tier 1",35,IF(N475="Tier 2",20,8))+IF(C475="Financial Investor",15,IF(C475="Intermediary / Banker",12,8))+IF(L475="Term Sheet / Proposal",25,IF(L475="Engaged",20,IF(L475="Meeting Requested",18,IF(L475="Meeting Held",14,IF(L475="Follow Up",10,5)))))+MIN(Q475,30)+IF(S475="DUE",15,IF(S475="Next 3 Days",8,0))),0))</f>
        <v/>
      </c>
      <c r="AB475" s="425">
        <f>IF(AND(AC475="Active",OR(N475="Tier 1",N475="Tier 2"),OR(S475="DUE",S475="Next 3 Days")),"YES","")</f>
        <v/>
      </c>
      <c r="AC475" s="425">
        <f>IF(L475="Passed","Archived","Active")</f>
        <v/>
      </c>
    </row>
    <row r="476">
      <c r="A476" s="425" t="inlineStr">
        <is>
          <t>EXOS-0475</t>
        </is>
      </c>
      <c r="B476" s="425" t="inlineStr">
        <is>
          <t>OSC</t>
        </is>
      </c>
      <c r="C476" s="425" t="inlineStr">
        <is>
          <t>Financial Investor</t>
        </is>
      </c>
      <c r="D476" s="425" t="inlineStr">
        <is>
          <t>Level Equity Management</t>
        </is>
      </c>
      <c r="E476" s="425" t="inlineStr">
        <is>
          <t>Benjamin Levin</t>
        </is>
      </c>
      <c r="F476" s="425" t="inlineStr"/>
      <c r="G476" s="111" t="inlineStr">
        <is>
          <t>blevin@levelequity.com</t>
        </is>
      </c>
      <c r="H476" s="425" t="inlineStr"/>
      <c r="I476" s="425" t="inlineStr">
        <is>
          <t>212.660.2475</t>
        </is>
      </c>
      <c r="J476" s="425" t="inlineStr"/>
      <c r="K476" s="426" t="inlineStr">
        <is>
          <t>John Quinn</t>
        </is>
      </c>
      <c r="L476" s="426" t="inlineStr">
        <is>
          <t>Follow Up</t>
        </is>
      </c>
      <c r="M476" s="425" t="inlineStr">
        <is>
          <t>Space / Defense / Aerospace / Advanced Manufacturing</t>
        </is>
      </c>
      <c r="N476" s="426" t="inlineStr">
        <is>
          <t>Tier 2</t>
        </is>
      </c>
      <c r="O476" s="441" t="n">
        <v>45854</v>
      </c>
      <c r="P476" s="441" t="n">
        <v>45922</v>
      </c>
      <c r="Q476" s="425">
        <f>IF(P476="","",TODAY()-P476)</f>
        <v/>
      </c>
      <c r="R476" s="441">
        <f>IF(OR(L476="Passed",Z476=""),"",P476+Z476)</f>
        <v/>
      </c>
      <c r="S476" s="425">
        <f>IF(OR(R476="",L476="Passed"),"",IF(R476&lt;=TODAY(),"DUE",IF(R476&lt;=TODAY()+3,"Next 3 Days","Later")))</f>
        <v/>
      </c>
      <c r="T476" s="425" t="inlineStr"/>
      <c r="U476" s="426" t="inlineStr"/>
      <c r="V476" s="426" t="inlineStr"/>
      <c r="W476" s="428" t="inlineStr"/>
      <c r="X476" s="425" t="inlineStr">
        <is>
          <t>OSC!72</t>
        </is>
      </c>
      <c r="Y476" s="426" t="inlineStr">
        <is>
          <t>Send next follow-up with traction + CTA</t>
        </is>
      </c>
      <c r="Z476" s="425" t="n">
        <v>7</v>
      </c>
      <c r="AA476" s="425">
        <f>IF(AC476="Archived",0,ROUND((IF(N476="Tier 1",35,IF(N476="Tier 2",20,8))+IF(C476="Financial Investor",15,IF(C476="Intermediary / Banker",12,8))+IF(L476="Term Sheet / Proposal",25,IF(L476="Engaged",20,IF(L476="Meeting Requested",18,IF(L476="Meeting Held",14,IF(L476="Follow Up",10,5)))))+MIN(Q476,30)+IF(S476="DUE",15,IF(S476="Next 3 Days",8,0))),0))</f>
        <v/>
      </c>
      <c r="AB476" s="425">
        <f>IF(AND(AC476="Active",OR(N476="Tier 1",N476="Tier 2"),OR(S476="DUE",S476="Next 3 Days")),"YES","")</f>
        <v/>
      </c>
      <c r="AC476" s="425">
        <f>IF(L476="Passed","Archived","Active")</f>
        <v/>
      </c>
    </row>
    <row r="477">
      <c r="A477" s="425" t="inlineStr">
        <is>
          <t>EXOS-0476</t>
        </is>
      </c>
      <c r="B477" s="425" t="inlineStr">
        <is>
          <t>OSC</t>
        </is>
      </c>
      <c r="C477" s="425" t="inlineStr">
        <is>
          <t>Financial Investor</t>
        </is>
      </c>
      <c r="D477" s="425" t="inlineStr">
        <is>
          <t>Level Equity Management</t>
        </is>
      </c>
      <c r="E477" s="425" t="inlineStr">
        <is>
          <t>Charles Chen</t>
        </is>
      </c>
      <c r="F477" s="425" t="inlineStr"/>
      <c r="G477" s="111" t="inlineStr">
        <is>
          <t>cchen@levelequity.com</t>
        </is>
      </c>
      <c r="H477" s="425" t="inlineStr"/>
      <c r="I477" s="425" t="inlineStr">
        <is>
          <t>212.993.7284</t>
        </is>
      </c>
      <c r="J477" s="425" t="inlineStr"/>
      <c r="K477" s="426" t="inlineStr">
        <is>
          <t>John Quinn</t>
        </is>
      </c>
      <c r="L477" s="426" t="inlineStr">
        <is>
          <t>Follow Up</t>
        </is>
      </c>
      <c r="M477" s="425" t="inlineStr">
        <is>
          <t>Space / Defense / Aerospace / Advanced Manufacturing</t>
        </is>
      </c>
      <c r="N477" s="426" t="inlineStr">
        <is>
          <t>Tier 2</t>
        </is>
      </c>
      <c r="O477" s="441" t="n">
        <v>45854</v>
      </c>
      <c r="P477" s="441" t="n">
        <v>45922</v>
      </c>
      <c r="Q477" s="425">
        <f>IF(P477="","",TODAY()-P477)</f>
        <v/>
      </c>
      <c r="R477" s="441">
        <f>IF(OR(L477="Passed",Z477=""),"",P477+Z477)</f>
        <v/>
      </c>
      <c r="S477" s="425">
        <f>IF(OR(R477="",L477="Passed"),"",IF(R477&lt;=TODAY(),"DUE",IF(R477&lt;=TODAY()+3,"Next 3 Days","Later")))</f>
        <v/>
      </c>
      <c r="T477" s="425" t="inlineStr"/>
      <c r="U477" s="426" t="inlineStr"/>
      <c r="V477" s="426" t="inlineStr"/>
      <c r="W477" s="428" t="inlineStr"/>
      <c r="X477" s="425" t="inlineStr">
        <is>
          <t>OSC!71</t>
        </is>
      </c>
      <c r="Y477" s="426" t="inlineStr">
        <is>
          <t>Send next follow-up with traction + CTA</t>
        </is>
      </c>
      <c r="Z477" s="425" t="n">
        <v>7</v>
      </c>
      <c r="AA477" s="425">
        <f>IF(AC477="Archived",0,ROUND((IF(N477="Tier 1",35,IF(N477="Tier 2",20,8))+IF(C477="Financial Investor",15,IF(C477="Intermediary / Banker",12,8))+IF(L477="Term Sheet / Proposal",25,IF(L477="Engaged",20,IF(L477="Meeting Requested",18,IF(L477="Meeting Held",14,IF(L477="Follow Up",10,5)))))+MIN(Q477,30)+IF(S477="DUE",15,IF(S477="Next 3 Days",8,0))),0))</f>
        <v/>
      </c>
      <c r="AB477" s="425">
        <f>IF(AND(AC477="Active",OR(N477="Tier 1",N477="Tier 2"),OR(S477="DUE",S477="Next 3 Days")),"YES","")</f>
        <v/>
      </c>
      <c r="AC477" s="425">
        <f>IF(L477="Passed","Archived","Active")</f>
        <v/>
      </c>
    </row>
    <row r="478">
      <c r="A478" s="425" t="inlineStr">
        <is>
          <t>EXOS-0477</t>
        </is>
      </c>
      <c r="B478" s="425" t="inlineStr">
        <is>
          <t>OSC</t>
        </is>
      </c>
      <c r="C478" s="425" t="inlineStr">
        <is>
          <t>Financial Investor</t>
        </is>
      </c>
      <c r="D478" s="425" t="inlineStr">
        <is>
          <t>Level Equity Management</t>
        </is>
      </c>
      <c r="E478" s="425" t="inlineStr">
        <is>
          <t>Daniel Zhang</t>
        </is>
      </c>
      <c r="F478" s="425" t="inlineStr"/>
      <c r="G478" s="111" t="inlineStr">
        <is>
          <t>dzhang@levelequity.com</t>
        </is>
      </c>
      <c r="H478" s="425" t="inlineStr"/>
      <c r="I478" s="425" t="inlineStr">
        <is>
          <t>925.549.8559</t>
        </is>
      </c>
      <c r="J478" s="425" t="inlineStr"/>
      <c r="K478" s="426" t="inlineStr">
        <is>
          <t>John Quinn</t>
        </is>
      </c>
      <c r="L478" s="426" t="inlineStr">
        <is>
          <t>Follow Up</t>
        </is>
      </c>
      <c r="M478" s="425" t="inlineStr">
        <is>
          <t>Space / Defense / Aerospace / Advanced Manufacturing</t>
        </is>
      </c>
      <c r="N478" s="426" t="inlineStr">
        <is>
          <t>Tier 2</t>
        </is>
      </c>
      <c r="O478" s="441" t="n">
        <v>45854</v>
      </c>
      <c r="P478" s="441" t="n">
        <v>45922</v>
      </c>
      <c r="Q478" s="425">
        <f>IF(P478="","",TODAY()-P478)</f>
        <v/>
      </c>
      <c r="R478" s="441">
        <f>IF(OR(L478="Passed",Z478=""),"",P478+Z478)</f>
        <v/>
      </c>
      <c r="S478" s="425">
        <f>IF(OR(R478="",L478="Passed"),"",IF(R478&lt;=TODAY(),"DUE",IF(R478&lt;=TODAY()+3,"Next 3 Days","Later")))</f>
        <v/>
      </c>
      <c r="T478" s="425" t="inlineStr"/>
      <c r="U478" s="426" t="inlineStr"/>
      <c r="V478" s="426" t="inlineStr"/>
      <c r="W478" s="428" t="inlineStr"/>
      <c r="X478" s="425" t="inlineStr">
        <is>
          <t>OSC!75</t>
        </is>
      </c>
      <c r="Y478" s="426" t="inlineStr">
        <is>
          <t>Send next follow-up with traction + CTA</t>
        </is>
      </c>
      <c r="Z478" s="425" t="n">
        <v>7</v>
      </c>
      <c r="AA478" s="425">
        <f>IF(AC478="Archived",0,ROUND((IF(N478="Tier 1",35,IF(N478="Tier 2",20,8))+IF(C478="Financial Investor",15,IF(C478="Intermediary / Banker",12,8))+IF(L478="Term Sheet / Proposal",25,IF(L478="Engaged",20,IF(L478="Meeting Requested",18,IF(L478="Meeting Held",14,IF(L478="Follow Up",10,5)))))+MIN(Q478,30)+IF(S478="DUE",15,IF(S478="Next 3 Days",8,0))),0))</f>
        <v/>
      </c>
      <c r="AB478" s="425">
        <f>IF(AND(AC478="Active",OR(N478="Tier 1",N478="Tier 2"),OR(S478="DUE",S478="Next 3 Days")),"YES","")</f>
        <v/>
      </c>
      <c r="AC478" s="425">
        <f>IF(L478="Passed","Archived","Active")</f>
        <v/>
      </c>
    </row>
    <row r="479">
      <c r="A479" s="425" t="inlineStr">
        <is>
          <t>EXOS-0478</t>
        </is>
      </c>
      <c r="B479" s="425" t="inlineStr">
        <is>
          <t>OSC</t>
        </is>
      </c>
      <c r="C479" s="425" t="inlineStr">
        <is>
          <t>Financial Investor</t>
        </is>
      </c>
      <c r="D479" s="425" t="inlineStr">
        <is>
          <t>Level Equity Management</t>
        </is>
      </c>
      <c r="E479" s="425" t="inlineStr">
        <is>
          <t>Hanna Yu</t>
        </is>
      </c>
      <c r="F479" s="425" t="inlineStr"/>
      <c r="G479" s="111" t="inlineStr">
        <is>
          <t>hyu@levelequity.com</t>
        </is>
      </c>
      <c r="H479" s="425" t="inlineStr"/>
      <c r="I479" s="425" t="inlineStr">
        <is>
          <t>847.371.1706</t>
        </is>
      </c>
      <c r="J479" s="425" t="inlineStr"/>
      <c r="K479" s="426" t="inlineStr">
        <is>
          <t>John Quinn</t>
        </is>
      </c>
      <c r="L479" s="426" t="inlineStr">
        <is>
          <t>Follow Up</t>
        </is>
      </c>
      <c r="M479" s="425" t="inlineStr">
        <is>
          <t>Space / Defense / Aerospace / Advanced Manufacturing</t>
        </is>
      </c>
      <c r="N479" s="426" t="inlineStr">
        <is>
          <t>Tier 2</t>
        </is>
      </c>
      <c r="O479" s="441" t="n">
        <v>45854</v>
      </c>
      <c r="P479" s="441" t="n">
        <v>45922</v>
      </c>
      <c r="Q479" s="425">
        <f>IF(P479="","",TODAY()-P479)</f>
        <v/>
      </c>
      <c r="R479" s="441">
        <f>IF(OR(L479="Passed",Z479=""),"",P479+Z479)</f>
        <v/>
      </c>
      <c r="S479" s="425">
        <f>IF(OR(R479="",L479="Passed"),"",IF(R479&lt;=TODAY(),"DUE",IF(R479&lt;=TODAY()+3,"Next 3 Days","Later")))</f>
        <v/>
      </c>
      <c r="T479" s="425" t="inlineStr"/>
      <c r="U479" s="426" t="inlineStr"/>
      <c r="V479" s="426" t="inlineStr"/>
      <c r="W479" s="428" t="inlineStr"/>
      <c r="X479" s="425" t="inlineStr">
        <is>
          <t>OSC!73</t>
        </is>
      </c>
      <c r="Y479" s="426" t="inlineStr">
        <is>
          <t>Send next follow-up with traction + CTA</t>
        </is>
      </c>
      <c r="Z479" s="425" t="n">
        <v>7</v>
      </c>
      <c r="AA479" s="425">
        <f>IF(AC479="Archived",0,ROUND((IF(N479="Tier 1",35,IF(N479="Tier 2",20,8))+IF(C479="Financial Investor",15,IF(C479="Intermediary / Banker",12,8))+IF(L479="Term Sheet / Proposal",25,IF(L479="Engaged",20,IF(L479="Meeting Requested",18,IF(L479="Meeting Held",14,IF(L479="Follow Up",10,5)))))+MIN(Q479,30)+IF(S479="DUE",15,IF(S479="Next 3 Days",8,0))),0))</f>
        <v/>
      </c>
      <c r="AB479" s="425">
        <f>IF(AND(AC479="Active",OR(N479="Tier 1",N479="Tier 2"),OR(S479="DUE",S479="Next 3 Days")),"YES","")</f>
        <v/>
      </c>
      <c r="AC479" s="425">
        <f>IF(L479="Passed","Archived","Active")</f>
        <v/>
      </c>
    </row>
    <row r="480">
      <c r="A480" s="425" t="inlineStr">
        <is>
          <t>EXOS-0479</t>
        </is>
      </c>
      <c r="B480" s="425" t="inlineStr">
        <is>
          <t>John - Investor Contacts</t>
        </is>
      </c>
      <c r="C480" s="425" t="inlineStr">
        <is>
          <t>Financial Investor</t>
        </is>
      </c>
      <c r="D480" s="425" t="inlineStr">
        <is>
          <t>Lewis &amp; Clark</t>
        </is>
      </c>
      <c r="E480" s="425" t="inlineStr">
        <is>
          <t>Brian Hopcraft</t>
        </is>
      </c>
      <c r="F480" s="425" t="inlineStr"/>
      <c r="G480" s="111" t="inlineStr">
        <is>
          <t>brian@lacventures.com</t>
        </is>
      </c>
      <c r="H480" s="425" t="inlineStr"/>
      <c r="I480" s="425" t="inlineStr"/>
      <c r="J480" s="111" t="inlineStr">
        <is>
          <t>https://www.linkedin.com/in/brian-hopcraft/</t>
        </is>
      </c>
      <c r="K480" s="426" t="inlineStr">
        <is>
          <t>John Quinn</t>
        </is>
      </c>
      <c r="L480" s="426" t="inlineStr">
        <is>
          <t>Follow Up</t>
        </is>
      </c>
      <c r="M480" s="425" t="inlineStr">
        <is>
          <t>Space / Defense / Aerospace / Advanced Manufacturing</t>
        </is>
      </c>
      <c r="N480" s="426" t="inlineStr">
        <is>
          <t>Tier 2</t>
        </is>
      </c>
      <c r="O480" s="441" t="n">
        <v>45898</v>
      </c>
      <c r="P480" s="441" t="n">
        <v>45929</v>
      </c>
      <c r="Q480" s="425">
        <f>IF(P480="","",TODAY()-P480)</f>
        <v/>
      </c>
      <c r="R480" s="441">
        <f>IF(OR(L480="Passed",Z480=""),"",P480+Z480)</f>
        <v/>
      </c>
      <c r="S480" s="425">
        <f>IF(OR(R480="",L480="Passed"),"",IF(R480&lt;=TODAY(),"DUE",IF(R480&lt;=TODAY()+3,"Next 3 Days","Later")))</f>
        <v/>
      </c>
      <c r="T480" s="425" t="inlineStr"/>
      <c r="U480" s="426" t="inlineStr">
        <is>
          <t>https://www.linkedin.com/in/brian-hopcraft/</t>
        </is>
      </c>
      <c r="V480" s="426" t="inlineStr"/>
      <c r="W480" s="428" t="inlineStr">
        <is>
          <t xml:space="preserve"> | 12/05/2025 | </t>
        </is>
      </c>
      <c r="X480" s="425" t="inlineStr">
        <is>
          <t>John - Investor Contacts!588</t>
        </is>
      </c>
      <c r="Y480" s="426" t="inlineStr">
        <is>
          <t>Send next follow-up with traction + CTA</t>
        </is>
      </c>
      <c r="Z480" s="425" t="n">
        <v>7</v>
      </c>
      <c r="AA480" s="425">
        <f>IF(AC480="Archived",0,ROUND((IF(N480="Tier 1",35,IF(N480="Tier 2",20,8))+IF(C480="Financial Investor",15,IF(C480="Intermediary / Banker",12,8))+IF(L480="Term Sheet / Proposal",25,IF(L480="Engaged",20,IF(L480="Meeting Requested",18,IF(L480="Meeting Held",14,IF(L480="Follow Up",10,5)))))+MIN(Q480,30)+IF(S480="DUE",15,IF(S480="Next 3 Days",8,0))),0))</f>
        <v/>
      </c>
      <c r="AB480" s="425">
        <f>IF(AND(AC480="Active",OR(N480="Tier 1",N480="Tier 2"),OR(S480="DUE",S480="Next 3 Days")),"YES","")</f>
        <v/>
      </c>
      <c r="AC480" s="425">
        <f>IF(L480="Passed","Archived","Active")</f>
        <v/>
      </c>
    </row>
    <row r="481">
      <c r="A481" s="425" t="inlineStr">
        <is>
          <t>EXOS-0480</t>
        </is>
      </c>
      <c r="B481" s="425" t="inlineStr">
        <is>
          <t>John - Investor Contacts</t>
        </is>
      </c>
      <c r="C481" s="425" t="inlineStr">
        <is>
          <t>Financial Investor</t>
        </is>
      </c>
      <c r="D481" s="425" t="inlineStr">
        <is>
          <t>Lightbank</t>
        </is>
      </c>
      <c r="E481" s="425" t="inlineStr">
        <is>
          <t>Eric Ong</t>
        </is>
      </c>
      <c r="F481" s="425" t="inlineStr"/>
      <c r="G481" s="111" t="inlineStr">
        <is>
          <t>ong@lightbank.com</t>
        </is>
      </c>
      <c r="H481" s="425" t="inlineStr"/>
      <c r="I481" s="425" t="inlineStr"/>
      <c r="J481" s="111" t="inlineStr">
        <is>
          <t>https://www.linkedin.com/in/eric0ng/</t>
        </is>
      </c>
      <c r="K481" s="426" t="inlineStr">
        <is>
          <t>John Quinn</t>
        </is>
      </c>
      <c r="L481" s="426" t="inlineStr">
        <is>
          <t>Follow Up</t>
        </is>
      </c>
      <c r="M481" s="425" t="inlineStr">
        <is>
          <t>Space / Defense / Aerospace / Advanced Manufacturing</t>
        </is>
      </c>
      <c r="N481" s="426" t="inlineStr">
        <is>
          <t>Tier 2</t>
        </is>
      </c>
      <c r="O481" s="441" t="n">
        <v>45902</v>
      </c>
      <c r="P481" s="441" t="n">
        <v>45929</v>
      </c>
      <c r="Q481" s="425">
        <f>IF(P481="","",TODAY()-P481)</f>
        <v/>
      </c>
      <c r="R481" s="441">
        <f>IF(OR(L481="Passed",Z481=""),"",P481+Z481)</f>
        <v/>
      </c>
      <c r="S481" s="425">
        <f>IF(OR(R481="",L481="Passed"),"",IF(R481&lt;=TODAY(),"DUE",IF(R481&lt;=TODAY()+3,"Next 3 Days","Later")))</f>
        <v/>
      </c>
      <c r="T481" s="425" t="inlineStr"/>
      <c r="U481" s="426" t="inlineStr">
        <is>
          <t>https://www.linkedin.com/in/eric0ng/</t>
        </is>
      </c>
      <c r="V481" s="426" t="inlineStr"/>
      <c r="W481" s="428" t="inlineStr">
        <is>
          <t xml:space="preserve"> | 12/05/2025 | </t>
        </is>
      </c>
      <c r="X481" s="425" t="inlineStr">
        <is>
          <t>John - Investor Contacts!589</t>
        </is>
      </c>
      <c r="Y481" s="426" t="inlineStr">
        <is>
          <t>Send next follow-up with traction + CTA</t>
        </is>
      </c>
      <c r="Z481" s="425" t="n">
        <v>7</v>
      </c>
      <c r="AA481" s="425">
        <f>IF(AC481="Archived",0,ROUND((IF(N481="Tier 1",35,IF(N481="Tier 2",20,8))+IF(C481="Financial Investor",15,IF(C481="Intermediary / Banker",12,8))+IF(L481="Term Sheet / Proposal",25,IF(L481="Engaged",20,IF(L481="Meeting Requested",18,IF(L481="Meeting Held",14,IF(L481="Follow Up",10,5)))))+MIN(Q481,30)+IF(S481="DUE",15,IF(S481="Next 3 Days",8,0))),0))</f>
        <v/>
      </c>
      <c r="AB481" s="425">
        <f>IF(AND(AC481="Active",OR(N481="Tier 1",N481="Tier 2"),OR(S481="DUE",S481="Next 3 Days")),"YES","")</f>
        <v/>
      </c>
      <c r="AC481" s="425">
        <f>IF(L481="Passed","Archived","Active")</f>
        <v/>
      </c>
    </row>
    <row r="482">
      <c r="A482" s="425" t="inlineStr">
        <is>
          <t>EXOS-0481</t>
        </is>
      </c>
      <c r="B482" s="425" t="inlineStr">
        <is>
          <t>John - Investor Contacts</t>
        </is>
      </c>
      <c r="C482" s="425" t="inlineStr">
        <is>
          <t>Financial Investor</t>
        </is>
      </c>
      <c r="D482" s="425" t="inlineStr">
        <is>
          <t>Lightspeed Venture Partners</t>
        </is>
      </c>
      <c r="E482" s="425" t="inlineStr">
        <is>
          <t>Anoushka Vaswani</t>
        </is>
      </c>
      <c r="F482" s="425" t="inlineStr"/>
      <c r="G482" s="111" t="inlineStr">
        <is>
          <t>anoushka@lsvp.com</t>
        </is>
      </c>
      <c r="H482" s="425" t="inlineStr"/>
      <c r="I482" s="425" t="inlineStr"/>
      <c r="J482" s="111" t="inlineStr">
        <is>
          <t>https://www.linkedin.com/in/anoushka-vaswani-aa330017/</t>
        </is>
      </c>
      <c r="K482" s="426" t="inlineStr">
        <is>
          <t>John Quinn</t>
        </is>
      </c>
      <c r="L482" s="426" t="inlineStr">
        <is>
          <t>Follow Up</t>
        </is>
      </c>
      <c r="M482" s="425" t="inlineStr">
        <is>
          <t>Space / Defense / Aerospace / Advanced Manufacturing</t>
        </is>
      </c>
      <c r="N482" s="426" t="inlineStr">
        <is>
          <t>Tier 2</t>
        </is>
      </c>
      <c r="O482" s="441" t="n">
        <v>45966</v>
      </c>
      <c r="P482" s="441" t="n">
        <v>45985</v>
      </c>
      <c r="Q482" s="425">
        <f>IF(P482="","",TODAY()-P482)</f>
        <v/>
      </c>
      <c r="R482" s="441">
        <f>IF(OR(L482="Passed",Z482=""),"",P482+Z482)</f>
        <v/>
      </c>
      <c r="S482" s="425">
        <f>IF(OR(R482="",L482="Passed"),"",IF(R482&lt;=TODAY(),"DUE",IF(R482&lt;=TODAY()+3,"Next 3 Days","Later")))</f>
        <v/>
      </c>
      <c r="T482" s="425" t="inlineStr"/>
      <c r="U482" s="426" t="inlineStr">
        <is>
          <t>https://www.linkedin.com/in/anoushka-vaswani-aa330017/</t>
        </is>
      </c>
      <c r="V482" s="426" t="inlineStr"/>
      <c r="W482" s="428" t="inlineStr">
        <is>
          <t xml:space="preserve"> | 01/14/2026 | </t>
        </is>
      </c>
      <c r="X482" s="425" t="inlineStr">
        <is>
          <t>John - Investor Contacts!841</t>
        </is>
      </c>
      <c r="Y482" s="426" t="inlineStr">
        <is>
          <t>Send next follow-up with traction + CTA</t>
        </is>
      </c>
      <c r="Z482" s="425" t="n">
        <v>7</v>
      </c>
      <c r="AA482" s="425">
        <f>IF(AC482="Archived",0,ROUND((IF(N482="Tier 1",35,IF(N482="Tier 2",20,8))+IF(C482="Financial Investor",15,IF(C482="Intermediary / Banker",12,8))+IF(L482="Term Sheet / Proposal",25,IF(L482="Engaged",20,IF(L482="Meeting Requested",18,IF(L482="Meeting Held",14,IF(L482="Follow Up",10,5)))))+MIN(Q482,30)+IF(S482="DUE",15,IF(S482="Next 3 Days",8,0))),0))</f>
        <v/>
      </c>
      <c r="AB482" s="425">
        <f>IF(AND(AC482="Active",OR(N482="Tier 1",N482="Tier 2"),OR(S482="DUE",S482="Next 3 Days")),"YES","")</f>
        <v/>
      </c>
      <c r="AC482" s="425">
        <f>IF(L482="Passed","Archived","Active")</f>
        <v/>
      </c>
    </row>
    <row r="483">
      <c r="A483" s="425" t="inlineStr">
        <is>
          <t>EXOS-0482</t>
        </is>
      </c>
      <c r="B483" s="425" t="inlineStr">
        <is>
          <t>John - Investor Contacts</t>
        </is>
      </c>
      <c r="C483" s="425" t="inlineStr">
        <is>
          <t>Financial Investor</t>
        </is>
      </c>
      <c r="D483" s="425" t="inlineStr">
        <is>
          <t>Lightspeed Venture Partners</t>
        </is>
      </c>
      <c r="E483" s="425" t="inlineStr">
        <is>
          <t>Nicole Neumarker</t>
        </is>
      </c>
      <c r="F483" s="425" t="inlineStr"/>
      <c r="G483" s="111" t="inlineStr">
        <is>
          <t>nicole.neumarker@lsvp.com</t>
        </is>
      </c>
      <c r="H483" s="425" t="inlineStr"/>
      <c r="I483" s="425" t="inlineStr"/>
      <c r="J483" s="111" t="inlineStr">
        <is>
          <t>https://www.linkedin.com/in/neumarker/</t>
        </is>
      </c>
      <c r="K483" s="426" t="inlineStr">
        <is>
          <t>John Quinn</t>
        </is>
      </c>
      <c r="L483" s="426" t="inlineStr">
        <is>
          <t>Follow Up</t>
        </is>
      </c>
      <c r="M483" s="425" t="inlineStr">
        <is>
          <t>Space / Defense / Aerospace / Advanced Manufacturing</t>
        </is>
      </c>
      <c r="N483" s="426" t="inlineStr">
        <is>
          <t>Tier 2</t>
        </is>
      </c>
      <c r="O483" s="441" t="n">
        <v>45966</v>
      </c>
      <c r="P483" s="441" t="n">
        <v>45985</v>
      </c>
      <c r="Q483" s="425">
        <f>IF(P483="","",TODAY()-P483)</f>
        <v/>
      </c>
      <c r="R483" s="441">
        <f>IF(OR(L483="Passed",Z483=""),"",P483+Z483)</f>
        <v/>
      </c>
      <c r="S483" s="425">
        <f>IF(OR(R483="",L483="Passed"),"",IF(R483&lt;=TODAY(),"DUE",IF(R483&lt;=TODAY()+3,"Next 3 Days","Later")))</f>
        <v/>
      </c>
      <c r="T483" s="425" t="inlineStr"/>
      <c r="U483" s="426" t="inlineStr">
        <is>
          <t>https://www.linkedin.com/in/neumarker/</t>
        </is>
      </c>
      <c r="V483" s="426" t="inlineStr"/>
      <c r="W483" s="428" t="inlineStr">
        <is>
          <t xml:space="preserve"> | 01/14/2026 | </t>
        </is>
      </c>
      <c r="X483" s="425" t="inlineStr">
        <is>
          <t>John - Investor Contacts!840</t>
        </is>
      </c>
      <c r="Y483" s="426" t="inlineStr">
        <is>
          <t>Send next follow-up with traction + CTA</t>
        </is>
      </c>
      <c r="Z483" s="425" t="n">
        <v>7</v>
      </c>
      <c r="AA483" s="425">
        <f>IF(AC483="Archived",0,ROUND((IF(N483="Tier 1",35,IF(N483="Tier 2",20,8))+IF(C483="Financial Investor",15,IF(C483="Intermediary / Banker",12,8))+IF(L483="Term Sheet / Proposal",25,IF(L483="Engaged",20,IF(L483="Meeting Requested",18,IF(L483="Meeting Held",14,IF(L483="Follow Up",10,5)))))+MIN(Q483,30)+IF(S483="DUE",15,IF(S483="Next 3 Days",8,0))),0))</f>
        <v/>
      </c>
      <c r="AB483" s="425">
        <f>IF(AND(AC483="Active",OR(N483="Tier 1",N483="Tier 2"),OR(S483="DUE",S483="Next 3 Days")),"YES","")</f>
        <v/>
      </c>
      <c r="AC483" s="425">
        <f>IF(L483="Passed","Archived","Active")</f>
        <v/>
      </c>
    </row>
    <row r="484">
      <c r="A484" s="425" t="inlineStr">
        <is>
          <t>EXOS-0483</t>
        </is>
      </c>
      <c r="B484" s="425" t="inlineStr">
        <is>
          <t>John - Investor Contacts</t>
        </is>
      </c>
      <c r="C484" s="425" t="inlineStr">
        <is>
          <t>Financial Investor</t>
        </is>
      </c>
      <c r="D484" s="425" t="inlineStr">
        <is>
          <t>Lightspeed Venture Partners</t>
        </is>
      </c>
      <c r="E484" s="425" t="inlineStr">
        <is>
          <t>Samer Hamadeh</t>
        </is>
      </c>
      <c r="F484" s="425" t="inlineStr"/>
      <c r="G484" s="111" t="inlineStr">
        <is>
          <t>samer@lsvp.com</t>
        </is>
      </c>
      <c r="H484" s="425" t="inlineStr"/>
      <c r="I484" s="425" t="inlineStr"/>
      <c r="J484" s="111" t="inlineStr">
        <is>
          <t>https://www.linkedin.com/in/samershamadeh/</t>
        </is>
      </c>
      <c r="K484" s="426" t="inlineStr">
        <is>
          <t>John Quinn</t>
        </is>
      </c>
      <c r="L484" s="426" t="inlineStr">
        <is>
          <t>Follow Up</t>
        </is>
      </c>
      <c r="M484" s="425" t="inlineStr">
        <is>
          <t>Space / Defense / Aerospace / Advanced Manufacturing</t>
        </is>
      </c>
      <c r="N484" s="426" t="inlineStr">
        <is>
          <t>Tier 2</t>
        </is>
      </c>
      <c r="O484" s="441" t="n">
        <v>45966</v>
      </c>
      <c r="P484" s="441" t="n">
        <v>45985</v>
      </c>
      <c r="Q484" s="425">
        <f>IF(P484="","",TODAY()-P484)</f>
        <v/>
      </c>
      <c r="R484" s="441">
        <f>IF(OR(L484="Passed",Z484=""),"",P484+Z484)</f>
        <v/>
      </c>
      <c r="S484" s="425">
        <f>IF(OR(R484="",L484="Passed"),"",IF(R484&lt;=TODAY(),"DUE",IF(R484&lt;=TODAY()+3,"Next 3 Days","Later")))</f>
        <v/>
      </c>
      <c r="T484" s="425" t="inlineStr"/>
      <c r="U484" s="426" t="inlineStr">
        <is>
          <t>https://www.linkedin.com/in/samershamadeh/</t>
        </is>
      </c>
      <c r="V484" s="426" t="inlineStr"/>
      <c r="W484" s="428" t="inlineStr">
        <is>
          <t xml:space="preserve"> | 01/14/2026 | </t>
        </is>
      </c>
      <c r="X484" s="425" t="inlineStr">
        <is>
          <t>John - Investor Contacts!839</t>
        </is>
      </c>
      <c r="Y484" s="426" t="inlineStr">
        <is>
          <t>Send next follow-up with traction + CTA</t>
        </is>
      </c>
      <c r="Z484" s="425" t="n">
        <v>7</v>
      </c>
      <c r="AA484" s="425">
        <f>IF(AC484="Archived",0,ROUND((IF(N484="Tier 1",35,IF(N484="Tier 2",20,8))+IF(C484="Financial Investor",15,IF(C484="Intermediary / Banker",12,8))+IF(L484="Term Sheet / Proposal",25,IF(L484="Engaged",20,IF(L484="Meeting Requested",18,IF(L484="Meeting Held",14,IF(L484="Follow Up",10,5)))))+MIN(Q484,30)+IF(S484="DUE",15,IF(S484="Next 3 Days",8,0))),0))</f>
        <v/>
      </c>
      <c r="AB484" s="425">
        <f>IF(AND(AC484="Active",OR(N484="Tier 1",N484="Tier 2"),OR(S484="DUE",S484="Next 3 Days")),"YES","")</f>
        <v/>
      </c>
      <c r="AC484" s="425">
        <f>IF(L484="Passed","Archived","Active")</f>
        <v/>
      </c>
    </row>
    <row r="485">
      <c r="A485" s="425" t="inlineStr">
        <is>
          <t>EXOS-0484</t>
        </is>
      </c>
      <c r="B485" s="425" t="inlineStr">
        <is>
          <t>John - Investor Contacts</t>
        </is>
      </c>
      <c r="C485" s="425" t="inlineStr">
        <is>
          <t>Financial Investor</t>
        </is>
      </c>
      <c r="D485" s="425" t="inlineStr">
        <is>
          <t>Liquid 2 Ventures</t>
        </is>
      </c>
      <c r="E485" s="425" t="inlineStr">
        <is>
          <t>Joe Montana</t>
        </is>
      </c>
      <c r="F485" s="425" t="inlineStr"/>
      <c r="G485" s="111" t="inlineStr">
        <is>
          <t>joe@liquid2.vc</t>
        </is>
      </c>
      <c r="H485" s="425" t="inlineStr"/>
      <c r="I485" s="425" t="inlineStr"/>
      <c r="J485" s="111" t="inlineStr">
        <is>
          <t>https://www.linkedin.com/in/joe-montana-464701b/</t>
        </is>
      </c>
      <c r="K485" s="426" t="inlineStr">
        <is>
          <t>John Quinn</t>
        </is>
      </c>
      <c r="L485" s="426" t="inlineStr">
        <is>
          <t>Follow Up</t>
        </is>
      </c>
      <c r="M485" s="425" t="inlineStr">
        <is>
          <t>Space / Defense / Aerospace / Advanced Manufacturing</t>
        </is>
      </c>
      <c r="N485" s="426" t="inlineStr">
        <is>
          <t>Tier 2</t>
        </is>
      </c>
      <c r="O485" s="441" t="n">
        <v>45909</v>
      </c>
      <c r="P485" s="441" t="n">
        <v>45972</v>
      </c>
      <c r="Q485" s="425">
        <f>IF(P485="","",TODAY()-P485)</f>
        <v/>
      </c>
      <c r="R485" s="441">
        <f>IF(OR(L485="Passed",Z485=""),"",P485+Z485)</f>
        <v/>
      </c>
      <c r="S485" s="425">
        <f>IF(OR(R485="",L485="Passed"),"",IF(R485&lt;=TODAY(),"DUE",IF(R485&lt;=TODAY()+3,"Next 3 Days","Later")))</f>
        <v/>
      </c>
      <c r="T485" s="425" t="inlineStr"/>
      <c r="U485" s="426" t="inlineStr">
        <is>
          <t>https://www.linkedin.com/in/joe-montana-464701b/</t>
        </is>
      </c>
      <c r="V485" s="426" t="inlineStr"/>
      <c r="W485" s="428" t="inlineStr">
        <is>
          <t xml:space="preserve"> | 12/15/2025 | </t>
        </is>
      </c>
      <c r="X485" s="425" t="inlineStr">
        <is>
          <t>John - Investor Contacts!646</t>
        </is>
      </c>
      <c r="Y485" s="426" t="inlineStr">
        <is>
          <t>Send next follow-up with traction + CTA</t>
        </is>
      </c>
      <c r="Z485" s="425" t="n">
        <v>7</v>
      </c>
      <c r="AA485" s="425">
        <f>IF(AC485="Archived",0,ROUND((IF(N485="Tier 1",35,IF(N485="Tier 2",20,8))+IF(C485="Financial Investor",15,IF(C485="Intermediary / Banker",12,8))+IF(L485="Term Sheet / Proposal",25,IF(L485="Engaged",20,IF(L485="Meeting Requested",18,IF(L485="Meeting Held",14,IF(L485="Follow Up",10,5)))))+MIN(Q485,30)+IF(S485="DUE",15,IF(S485="Next 3 Days",8,0))),0))</f>
        <v/>
      </c>
      <c r="AB485" s="425">
        <f>IF(AND(AC485="Active",OR(N485="Tier 1",N485="Tier 2"),OR(S485="DUE",S485="Next 3 Days")),"YES","")</f>
        <v/>
      </c>
      <c r="AC485" s="425">
        <f>IF(L485="Passed","Archived","Active")</f>
        <v/>
      </c>
    </row>
    <row r="486">
      <c r="A486" s="425" t="inlineStr">
        <is>
          <t>EXOS-0485</t>
        </is>
      </c>
      <c r="B486" s="425" t="inlineStr">
        <is>
          <t>John - Investor Contacts</t>
        </is>
      </c>
      <c r="C486" s="425" t="inlineStr">
        <is>
          <t>Financial Investor</t>
        </is>
      </c>
      <c r="D486" s="425" t="inlineStr">
        <is>
          <t>Liquid 2 Ventures</t>
        </is>
      </c>
      <c r="E486" s="425" t="inlineStr">
        <is>
          <t>Matthew Mulvey</t>
        </is>
      </c>
      <c r="F486" s="425" t="inlineStr"/>
      <c r="G486" s="111" t="inlineStr">
        <is>
          <t>matt@liquid2.vc</t>
        </is>
      </c>
      <c r="H486" s="425" t="inlineStr"/>
      <c r="I486" s="425" t="inlineStr"/>
      <c r="J486" s="111" t="inlineStr">
        <is>
          <t>https://www.linkedin.com/in/mattmulvey/</t>
        </is>
      </c>
      <c r="K486" s="426" t="inlineStr">
        <is>
          <t>John Quinn</t>
        </is>
      </c>
      <c r="L486" s="426" t="inlineStr">
        <is>
          <t>Follow Up</t>
        </is>
      </c>
      <c r="M486" s="425" t="inlineStr">
        <is>
          <t>Space / Defense / Aerospace / Advanced Manufacturing</t>
        </is>
      </c>
      <c r="N486" s="426" t="inlineStr">
        <is>
          <t>Tier 2</t>
        </is>
      </c>
      <c r="O486" s="441" t="n">
        <v>45909</v>
      </c>
      <c r="P486" s="441" t="n">
        <v>45973</v>
      </c>
      <c r="Q486" s="425">
        <f>IF(P486="","",TODAY()-P486)</f>
        <v/>
      </c>
      <c r="R486" s="441">
        <f>IF(OR(L486="Passed",Z486=""),"",P486+Z486)</f>
        <v/>
      </c>
      <c r="S486" s="425">
        <f>IF(OR(R486="",L486="Passed"),"",IF(R486&lt;=TODAY(),"DUE",IF(R486&lt;=TODAY()+3,"Next 3 Days","Later")))</f>
        <v/>
      </c>
      <c r="T486" s="425" t="inlineStr"/>
      <c r="U486" s="426" t="inlineStr">
        <is>
          <t>https://www.linkedin.com/in/mattmulvey/</t>
        </is>
      </c>
      <c r="V486" s="426" t="inlineStr"/>
      <c r="W486" s="428" t="inlineStr">
        <is>
          <t xml:space="preserve"> | 12/15/2025 | </t>
        </is>
      </c>
      <c r="X486" s="425" t="inlineStr">
        <is>
          <t>John - Investor Contacts!647</t>
        </is>
      </c>
      <c r="Y486" s="426" t="inlineStr">
        <is>
          <t>Send next follow-up with traction + CTA</t>
        </is>
      </c>
      <c r="Z486" s="425" t="n">
        <v>7</v>
      </c>
      <c r="AA486" s="425">
        <f>IF(AC486="Archived",0,ROUND((IF(N486="Tier 1",35,IF(N486="Tier 2",20,8))+IF(C486="Financial Investor",15,IF(C486="Intermediary / Banker",12,8))+IF(L486="Term Sheet / Proposal",25,IF(L486="Engaged",20,IF(L486="Meeting Requested",18,IF(L486="Meeting Held",14,IF(L486="Follow Up",10,5)))))+MIN(Q486,30)+IF(S486="DUE",15,IF(S486="Next 3 Days",8,0))),0))</f>
        <v/>
      </c>
      <c r="AB486" s="425">
        <f>IF(AND(AC486="Active",OR(N486="Tier 1",N486="Tier 2"),OR(S486="DUE",S486="Next 3 Days")),"YES","")</f>
        <v/>
      </c>
      <c r="AC486" s="425">
        <f>IF(L486="Passed","Archived","Active")</f>
        <v/>
      </c>
    </row>
    <row r="487">
      <c r="A487" s="425" t="inlineStr">
        <is>
          <t>EXOS-0486</t>
        </is>
      </c>
      <c r="B487" s="425" t="inlineStr">
        <is>
          <t>John - Investor Contacts</t>
        </is>
      </c>
      <c r="C487" s="425" t="inlineStr">
        <is>
          <t>Financial Investor</t>
        </is>
      </c>
      <c r="D487" s="425" t="inlineStr">
        <is>
          <t>Liquid 2 Ventures</t>
        </is>
      </c>
      <c r="E487" s="425" t="inlineStr">
        <is>
          <t>Michael Ma</t>
        </is>
      </c>
      <c r="F487" s="425" t="inlineStr"/>
      <c r="G487" s="111" t="inlineStr">
        <is>
          <t>mm@liquid2.vc</t>
        </is>
      </c>
      <c r="H487" s="425" t="inlineStr"/>
      <c r="I487" s="425" t="inlineStr"/>
      <c r="J487" s="111" t="inlineStr">
        <is>
          <t>https://www.linkedin.com/in/michaelma8/</t>
        </is>
      </c>
      <c r="K487" s="426" t="inlineStr">
        <is>
          <t>John Quinn</t>
        </is>
      </c>
      <c r="L487" s="426" t="inlineStr">
        <is>
          <t>Follow Up</t>
        </is>
      </c>
      <c r="M487" s="425" t="inlineStr">
        <is>
          <t>Space / Defense / Aerospace / Advanced Manufacturing</t>
        </is>
      </c>
      <c r="N487" s="426" t="inlineStr">
        <is>
          <t>Tier 2</t>
        </is>
      </c>
      <c r="O487" s="441" t="n">
        <v>45909</v>
      </c>
      <c r="P487" s="441" t="n">
        <v>45972</v>
      </c>
      <c r="Q487" s="425">
        <f>IF(P487="","",TODAY()-P487)</f>
        <v/>
      </c>
      <c r="R487" s="441">
        <f>IF(OR(L487="Passed",Z487=""),"",P487+Z487)</f>
        <v/>
      </c>
      <c r="S487" s="425">
        <f>IF(OR(R487="",L487="Passed"),"",IF(R487&lt;=TODAY(),"DUE",IF(R487&lt;=TODAY()+3,"Next 3 Days","Later")))</f>
        <v/>
      </c>
      <c r="T487" s="425" t="inlineStr"/>
      <c r="U487" s="426" t="inlineStr">
        <is>
          <t>https://www.linkedin.com/in/michaelma8/</t>
        </is>
      </c>
      <c r="V487" s="426" t="inlineStr"/>
      <c r="W487" s="428" t="inlineStr">
        <is>
          <t xml:space="preserve"> | 12/08/2025 | </t>
        </is>
      </c>
      <c r="X487" s="425" t="inlineStr">
        <is>
          <t>John - Investor Contacts!643</t>
        </is>
      </c>
      <c r="Y487" s="426" t="inlineStr">
        <is>
          <t>Send next follow-up with traction + CTA</t>
        </is>
      </c>
      <c r="Z487" s="425" t="n">
        <v>7</v>
      </c>
      <c r="AA487" s="425">
        <f>IF(AC487="Archived",0,ROUND((IF(N487="Tier 1",35,IF(N487="Tier 2",20,8))+IF(C487="Financial Investor",15,IF(C487="Intermediary / Banker",12,8))+IF(L487="Term Sheet / Proposal",25,IF(L487="Engaged",20,IF(L487="Meeting Requested",18,IF(L487="Meeting Held",14,IF(L487="Follow Up",10,5)))))+MIN(Q487,30)+IF(S487="DUE",15,IF(S487="Next 3 Days",8,0))),0))</f>
        <v/>
      </c>
      <c r="AB487" s="425">
        <f>IF(AND(AC487="Active",OR(N487="Tier 1",N487="Tier 2"),OR(S487="DUE",S487="Next 3 Days")),"YES","")</f>
        <v/>
      </c>
      <c r="AC487" s="425">
        <f>IF(L487="Passed","Archived","Active")</f>
        <v/>
      </c>
    </row>
    <row r="488">
      <c r="A488" s="425" t="inlineStr">
        <is>
          <t>EXOS-0487</t>
        </is>
      </c>
      <c r="B488" s="425" t="inlineStr">
        <is>
          <t>John - Investor Contacts</t>
        </is>
      </c>
      <c r="C488" s="425" t="inlineStr">
        <is>
          <t>Financial Investor</t>
        </is>
      </c>
      <c r="D488" s="425" t="inlineStr">
        <is>
          <t>Liquid 2 Ventures</t>
        </is>
      </c>
      <c r="E488" s="425" t="inlineStr">
        <is>
          <t>Mike Miller</t>
        </is>
      </c>
      <c r="F488" s="425" t="inlineStr"/>
      <c r="G488" s="111" t="inlineStr">
        <is>
          <t>mlm@liquid2.vc</t>
        </is>
      </c>
      <c r="H488" s="425" t="inlineStr"/>
      <c r="I488" s="425" t="inlineStr"/>
      <c r="J488" s="111" t="inlineStr">
        <is>
          <t>https://www.linkedin.com/in/mlmilleratmit/</t>
        </is>
      </c>
      <c r="K488" s="426" t="inlineStr">
        <is>
          <t>John Quinn</t>
        </is>
      </c>
      <c r="L488" s="426" t="inlineStr">
        <is>
          <t>Follow Up</t>
        </is>
      </c>
      <c r="M488" s="425" t="inlineStr">
        <is>
          <t>Space / Defense / Aerospace / Advanced Manufacturing</t>
        </is>
      </c>
      <c r="N488" s="426" t="inlineStr">
        <is>
          <t>Tier 2</t>
        </is>
      </c>
      <c r="O488" s="441" t="n">
        <v>45909</v>
      </c>
      <c r="P488" s="441" t="n">
        <v>45972</v>
      </c>
      <c r="Q488" s="425">
        <f>IF(P488="","",TODAY()-P488)</f>
        <v/>
      </c>
      <c r="R488" s="441">
        <f>IF(OR(L488="Passed",Z488=""),"",P488+Z488)</f>
        <v/>
      </c>
      <c r="S488" s="425">
        <f>IF(OR(R488="",L488="Passed"),"",IF(R488&lt;=TODAY(),"DUE",IF(R488&lt;=TODAY()+3,"Next 3 Days","Later")))</f>
        <v/>
      </c>
      <c r="T488" s="425" t="inlineStr"/>
      <c r="U488" s="426" t="inlineStr">
        <is>
          <t>https://www.linkedin.com/in/mlmilleratmit/</t>
        </is>
      </c>
      <c r="V488" s="426" t="inlineStr"/>
      <c r="W488" s="428" t="inlineStr">
        <is>
          <t xml:space="preserve"> | 12/15/2025 | </t>
        </is>
      </c>
      <c r="X488" s="425" t="inlineStr">
        <is>
          <t>John - Investor Contacts!645</t>
        </is>
      </c>
      <c r="Y488" s="426" t="inlineStr">
        <is>
          <t>Send next follow-up with traction + CTA</t>
        </is>
      </c>
      <c r="Z488" s="425" t="n">
        <v>7</v>
      </c>
      <c r="AA488" s="425">
        <f>IF(AC488="Archived",0,ROUND((IF(N488="Tier 1",35,IF(N488="Tier 2",20,8))+IF(C488="Financial Investor",15,IF(C488="Intermediary / Banker",12,8))+IF(L488="Term Sheet / Proposal",25,IF(L488="Engaged",20,IF(L488="Meeting Requested",18,IF(L488="Meeting Held",14,IF(L488="Follow Up",10,5)))))+MIN(Q488,30)+IF(S488="DUE",15,IF(S488="Next 3 Days",8,0))),0))</f>
        <v/>
      </c>
      <c r="AB488" s="425">
        <f>IF(AND(AC488="Active",OR(N488="Tier 1",N488="Tier 2"),OR(S488="DUE",S488="Next 3 Days")),"YES","")</f>
        <v/>
      </c>
      <c r="AC488" s="425">
        <f>IF(L488="Passed","Archived","Active")</f>
        <v/>
      </c>
    </row>
    <row r="489">
      <c r="A489" s="425" t="inlineStr">
        <is>
          <t>EXOS-0488</t>
        </is>
      </c>
      <c r="B489" s="425" t="inlineStr">
        <is>
          <t>John - Investor Contacts</t>
        </is>
      </c>
      <c r="C489" s="425" t="inlineStr">
        <is>
          <t>Financial Investor</t>
        </is>
      </c>
      <c r="D489" s="425" t="inlineStr">
        <is>
          <t>Liquid 2 Ventures</t>
        </is>
      </c>
      <c r="E489" s="425" t="inlineStr">
        <is>
          <t>Nathaniel Montana</t>
        </is>
      </c>
      <c r="F489" s="425" t="inlineStr"/>
      <c r="G489" s="111" t="inlineStr">
        <is>
          <t>nate@liquid2.vc</t>
        </is>
      </c>
      <c r="H489" s="425" t="inlineStr"/>
      <c r="I489" s="425" t="inlineStr"/>
      <c r="J489" s="425" t="inlineStr"/>
      <c r="K489" s="426" t="inlineStr">
        <is>
          <t>John Quinn</t>
        </is>
      </c>
      <c r="L489" s="426" t="inlineStr">
        <is>
          <t>Follow Up</t>
        </is>
      </c>
      <c r="M489" s="425" t="inlineStr">
        <is>
          <t>Space / Defense / Aerospace / Advanced Manufacturing</t>
        </is>
      </c>
      <c r="N489" s="426" t="inlineStr">
        <is>
          <t>Tier 2</t>
        </is>
      </c>
      <c r="O489" s="441" t="n">
        <v>45909</v>
      </c>
      <c r="P489" s="441" t="n">
        <v>45972</v>
      </c>
      <c r="Q489" s="425">
        <f>IF(P489="","",TODAY()-P489)</f>
        <v/>
      </c>
      <c r="R489" s="441">
        <f>IF(OR(L489="Passed",Z489=""),"",P489+Z489)</f>
        <v/>
      </c>
      <c r="S489" s="425">
        <f>IF(OR(R489="",L489="Passed"),"",IF(R489&lt;=TODAY(),"DUE",IF(R489&lt;=TODAY()+3,"Next 3 Days","Later")))</f>
        <v/>
      </c>
      <c r="T489" s="425" t="inlineStr"/>
      <c r="U489" s="426" t="inlineStr">
        <is>
          <t>linkedin.com/in/nathaniel-montana-86742988</t>
        </is>
      </c>
      <c r="V489" s="426" t="inlineStr"/>
      <c r="W489" s="428" t="inlineStr">
        <is>
          <t xml:space="preserve"> | 12/15/2025 | </t>
        </is>
      </c>
      <c r="X489" s="425" t="inlineStr">
        <is>
          <t>John - Investor Contacts!644</t>
        </is>
      </c>
      <c r="Y489" s="426" t="inlineStr">
        <is>
          <t>Send next follow-up with traction + CTA</t>
        </is>
      </c>
      <c r="Z489" s="425" t="n">
        <v>7</v>
      </c>
      <c r="AA489" s="425">
        <f>IF(AC489="Archived",0,ROUND((IF(N489="Tier 1",35,IF(N489="Tier 2",20,8))+IF(C489="Financial Investor",15,IF(C489="Intermediary / Banker",12,8))+IF(L489="Term Sheet / Proposal",25,IF(L489="Engaged",20,IF(L489="Meeting Requested",18,IF(L489="Meeting Held",14,IF(L489="Follow Up",10,5)))))+MIN(Q489,30)+IF(S489="DUE",15,IF(S489="Next 3 Days",8,0))),0))</f>
        <v/>
      </c>
      <c r="AB489" s="425">
        <f>IF(AND(AC489="Active",OR(N489="Tier 1",N489="Tier 2"),OR(S489="DUE",S489="Next 3 Days")),"YES","")</f>
        <v/>
      </c>
      <c r="AC489" s="425">
        <f>IF(L489="Passed","Archived","Active")</f>
        <v/>
      </c>
    </row>
    <row r="490">
      <c r="A490" s="425" t="inlineStr">
        <is>
          <t>EXOS-0489</t>
        </is>
      </c>
      <c r="B490" s="425" t="inlineStr">
        <is>
          <t>John - Investor Contacts</t>
        </is>
      </c>
      <c r="C490" s="425" t="inlineStr">
        <is>
          <t>Financial Investor</t>
        </is>
      </c>
      <c r="D490" s="425" t="inlineStr">
        <is>
          <t>Listen Ventures</t>
        </is>
      </c>
      <c r="E490" s="425" t="inlineStr">
        <is>
          <t>Rick Desai</t>
        </is>
      </c>
      <c r="F490" s="425" t="inlineStr"/>
      <c r="G490" s="111" t="inlineStr">
        <is>
          <t>rick@listen.co</t>
        </is>
      </c>
      <c r="H490" s="425" t="inlineStr"/>
      <c r="I490" s="425" t="inlineStr"/>
      <c r="J490" s="111" t="inlineStr">
        <is>
          <t>https://www.linkedin.com/in/rickpdesai/</t>
        </is>
      </c>
      <c r="K490" s="426" t="inlineStr">
        <is>
          <t>John Quinn</t>
        </is>
      </c>
      <c r="L490" s="426" t="inlineStr">
        <is>
          <t>Follow Up</t>
        </is>
      </c>
      <c r="M490" s="425" t="inlineStr">
        <is>
          <t>Space / Defense / Aerospace / Advanced Manufacturing</t>
        </is>
      </c>
      <c r="N490" s="426" t="inlineStr">
        <is>
          <t>Tier 2</t>
        </is>
      </c>
      <c r="O490" s="441" t="n">
        <v>45903</v>
      </c>
      <c r="P490" s="441" t="n">
        <v>45972</v>
      </c>
      <c r="Q490" s="425">
        <f>IF(P490="","",TODAY()-P490)</f>
        <v/>
      </c>
      <c r="R490" s="441">
        <f>IF(OR(L490="Passed",Z490=""),"",P490+Z490)</f>
        <v/>
      </c>
      <c r="S490" s="425">
        <f>IF(OR(R490="",L490="Passed"),"",IF(R490&lt;=TODAY(),"DUE",IF(R490&lt;=TODAY()+3,"Next 3 Days","Later")))</f>
        <v/>
      </c>
      <c r="T490" s="425" t="inlineStr"/>
      <c r="U490" s="426" t="inlineStr">
        <is>
          <t>https://www.linkedin.com/in/rickpdesai/</t>
        </is>
      </c>
      <c r="V490" s="426" t="inlineStr"/>
      <c r="W490" s="428" t="inlineStr">
        <is>
          <t xml:space="preserve"> | 12/05/2025 | </t>
        </is>
      </c>
      <c r="X490" s="425" t="inlineStr">
        <is>
          <t>John - Investor Contacts!607</t>
        </is>
      </c>
      <c r="Y490" s="426" t="inlineStr">
        <is>
          <t>Send next follow-up with traction + CTA</t>
        </is>
      </c>
      <c r="Z490" s="425" t="n">
        <v>7</v>
      </c>
      <c r="AA490" s="425">
        <f>IF(AC490="Archived",0,ROUND((IF(N490="Tier 1",35,IF(N490="Tier 2",20,8))+IF(C490="Financial Investor",15,IF(C490="Intermediary / Banker",12,8))+IF(L490="Term Sheet / Proposal",25,IF(L490="Engaged",20,IF(L490="Meeting Requested",18,IF(L490="Meeting Held",14,IF(L490="Follow Up",10,5)))))+MIN(Q490,30)+IF(S490="DUE",15,IF(S490="Next 3 Days",8,0))),0))</f>
        <v/>
      </c>
      <c r="AB490" s="425">
        <f>IF(AND(AC490="Active",OR(N490="Tier 1",N490="Tier 2"),OR(S490="DUE",S490="Next 3 Days")),"YES","")</f>
        <v/>
      </c>
      <c r="AC490" s="425">
        <f>IF(L490="Passed","Archived","Active")</f>
        <v/>
      </c>
    </row>
    <row r="491">
      <c r="A491" s="425" t="inlineStr">
        <is>
          <t>EXOS-0490</t>
        </is>
      </c>
      <c r="B491" s="425" t="inlineStr">
        <is>
          <t>John - Investor Contacts</t>
        </is>
      </c>
      <c r="C491" s="425" t="inlineStr">
        <is>
          <t>Financial Investor</t>
        </is>
      </c>
      <c r="D491" s="425" t="inlineStr">
        <is>
          <t>Live Oak VC</t>
        </is>
      </c>
      <c r="E491" s="425" t="inlineStr">
        <is>
          <t>Creighton Hicks</t>
        </is>
      </c>
      <c r="F491" s="425" t="inlineStr"/>
      <c r="G491" s="111" t="inlineStr">
        <is>
          <t>creighton@liveoakvp.com</t>
        </is>
      </c>
      <c r="H491" s="425" t="inlineStr"/>
      <c r="I491" s="425" t="inlineStr"/>
      <c r="J491" s="425" t="inlineStr"/>
      <c r="K491" s="426" t="inlineStr">
        <is>
          <t>John Quinn</t>
        </is>
      </c>
      <c r="L491" s="426" t="inlineStr">
        <is>
          <t>Follow Up</t>
        </is>
      </c>
      <c r="M491" s="425" t="inlineStr">
        <is>
          <t>Space / Defense / Aerospace / Advanced Manufacturing</t>
        </is>
      </c>
      <c r="N491" s="426" t="inlineStr">
        <is>
          <t>Tier 2</t>
        </is>
      </c>
      <c r="O491" s="441" t="n">
        <v>45894</v>
      </c>
      <c r="P491" s="441" t="n">
        <v>45924</v>
      </c>
      <c r="Q491" s="425">
        <f>IF(P491="","",TODAY()-P491)</f>
        <v/>
      </c>
      <c r="R491" s="441">
        <f>IF(OR(L491="Passed",Z491=""),"",P491+Z491)</f>
        <v/>
      </c>
      <c r="S491" s="425">
        <f>IF(OR(R491="",L491="Passed"),"",IF(R491&lt;=TODAY(),"DUE",IF(R491&lt;=TODAY()+3,"Next 3 Days","Later")))</f>
        <v/>
      </c>
      <c r="T491" s="425" t="inlineStr"/>
      <c r="U491" s="426" t="inlineStr">
        <is>
          <t>linkedin.com/in/creightonhicks</t>
        </is>
      </c>
      <c r="V491" s="426" t="inlineStr"/>
      <c r="W491" s="428" t="inlineStr">
        <is>
          <t xml:space="preserve"> | 12/04/2025 | </t>
        </is>
      </c>
      <c r="X491" s="425" t="inlineStr">
        <is>
          <t>John - Investor Contacts!525</t>
        </is>
      </c>
      <c r="Y491" s="426" t="inlineStr">
        <is>
          <t>Send next follow-up with traction + CTA</t>
        </is>
      </c>
      <c r="Z491" s="425" t="n">
        <v>7</v>
      </c>
      <c r="AA491" s="425">
        <f>IF(AC491="Archived",0,ROUND((IF(N491="Tier 1",35,IF(N491="Tier 2",20,8))+IF(C491="Financial Investor",15,IF(C491="Intermediary / Banker",12,8))+IF(L491="Term Sheet / Proposal",25,IF(L491="Engaged",20,IF(L491="Meeting Requested",18,IF(L491="Meeting Held",14,IF(L491="Follow Up",10,5)))))+MIN(Q491,30)+IF(S491="DUE",15,IF(S491="Next 3 Days",8,0))),0))</f>
        <v/>
      </c>
      <c r="AB491" s="425">
        <f>IF(AND(AC491="Active",OR(N491="Tier 1",N491="Tier 2"),OR(S491="DUE",S491="Next 3 Days")),"YES","")</f>
        <v/>
      </c>
      <c r="AC491" s="425">
        <f>IF(L491="Passed","Archived","Active")</f>
        <v/>
      </c>
    </row>
    <row r="492">
      <c r="A492" s="425" t="inlineStr">
        <is>
          <t>EXOS-0491</t>
        </is>
      </c>
      <c r="B492" s="425" t="inlineStr">
        <is>
          <t>John - Investor Contacts</t>
        </is>
      </c>
      <c r="C492" s="425" t="inlineStr">
        <is>
          <t>Financial Investor</t>
        </is>
      </c>
      <c r="D492" s="425" t="inlineStr">
        <is>
          <t>Live Oak VC</t>
        </is>
      </c>
      <c r="E492" s="425" t="inlineStr">
        <is>
          <t>David Stewart</t>
        </is>
      </c>
      <c r="F492" s="425" t="inlineStr"/>
      <c r="G492" s="111" t="inlineStr">
        <is>
          <t>david@liveoakvp.com</t>
        </is>
      </c>
      <c r="H492" s="425" t="inlineStr"/>
      <c r="I492" s="425" t="inlineStr"/>
      <c r="J492" s="425" t="inlineStr"/>
      <c r="K492" s="426" t="inlineStr">
        <is>
          <t>John Quinn</t>
        </is>
      </c>
      <c r="L492" s="426" t="inlineStr">
        <is>
          <t>Follow Up</t>
        </is>
      </c>
      <c r="M492" s="425" t="inlineStr">
        <is>
          <t>Space / Defense / Aerospace / Advanced Manufacturing</t>
        </is>
      </c>
      <c r="N492" s="426" t="inlineStr">
        <is>
          <t>Tier 2</t>
        </is>
      </c>
      <c r="O492" s="441" t="n">
        <v>45894</v>
      </c>
      <c r="P492" s="441" t="n">
        <v>45924</v>
      </c>
      <c r="Q492" s="425">
        <f>IF(P492="","",TODAY()-P492)</f>
        <v/>
      </c>
      <c r="R492" s="441">
        <f>IF(OR(L492="Passed",Z492=""),"",P492+Z492)</f>
        <v/>
      </c>
      <c r="S492" s="425">
        <f>IF(OR(R492="",L492="Passed"),"",IF(R492&lt;=TODAY(),"DUE",IF(R492&lt;=TODAY()+3,"Next 3 Days","Later")))</f>
        <v/>
      </c>
      <c r="T492" s="425" t="inlineStr"/>
      <c r="U492" s="426" t="inlineStr">
        <is>
          <t>linkedin.com/in/stewartdavid</t>
        </is>
      </c>
      <c r="V492" s="426" t="inlineStr"/>
      <c r="W492" s="428" t="inlineStr">
        <is>
          <t xml:space="preserve"> | 12/04/2025 | </t>
        </is>
      </c>
      <c r="X492" s="425" t="inlineStr">
        <is>
          <t>John - Investor Contacts!529</t>
        </is>
      </c>
      <c r="Y492" s="426" t="inlineStr">
        <is>
          <t>Send next follow-up with traction + CTA</t>
        </is>
      </c>
      <c r="Z492" s="425" t="n">
        <v>7</v>
      </c>
      <c r="AA492" s="425">
        <f>IF(AC492="Archived",0,ROUND((IF(N492="Tier 1",35,IF(N492="Tier 2",20,8))+IF(C492="Financial Investor",15,IF(C492="Intermediary / Banker",12,8))+IF(L492="Term Sheet / Proposal",25,IF(L492="Engaged",20,IF(L492="Meeting Requested",18,IF(L492="Meeting Held",14,IF(L492="Follow Up",10,5)))))+MIN(Q492,30)+IF(S492="DUE",15,IF(S492="Next 3 Days",8,0))),0))</f>
        <v/>
      </c>
      <c r="AB492" s="425">
        <f>IF(AND(AC492="Active",OR(N492="Tier 1",N492="Tier 2"),OR(S492="DUE",S492="Next 3 Days")),"YES","")</f>
        <v/>
      </c>
      <c r="AC492" s="425">
        <f>IF(L492="Passed","Archived","Active")</f>
        <v/>
      </c>
    </row>
    <row r="493">
      <c r="A493" s="425" t="inlineStr">
        <is>
          <t>EXOS-0492</t>
        </is>
      </c>
      <c r="B493" s="425" t="inlineStr">
        <is>
          <t>John - Investor Contacts</t>
        </is>
      </c>
      <c r="C493" s="425" t="inlineStr">
        <is>
          <t>Financial Investor</t>
        </is>
      </c>
      <c r="D493" s="425" t="inlineStr">
        <is>
          <t>Live Oak VC</t>
        </is>
      </c>
      <c r="E493" s="425" t="inlineStr">
        <is>
          <t>Krishna Srinivasan</t>
        </is>
      </c>
      <c r="F493" s="425" t="inlineStr"/>
      <c r="G493" s="111" t="inlineStr">
        <is>
          <t>krishna@liveoakvp.com</t>
        </is>
      </c>
      <c r="H493" s="425" t="inlineStr"/>
      <c r="I493" s="425" t="inlineStr"/>
      <c r="J493" s="425" t="inlineStr"/>
      <c r="K493" s="426" t="inlineStr">
        <is>
          <t>John Quinn</t>
        </is>
      </c>
      <c r="L493" s="426" t="inlineStr">
        <is>
          <t>Follow Up</t>
        </is>
      </c>
      <c r="M493" s="425" t="inlineStr">
        <is>
          <t>Space / Defense / Aerospace / Advanced Manufacturing</t>
        </is>
      </c>
      <c r="N493" s="426" t="inlineStr">
        <is>
          <t>Tier 2</t>
        </is>
      </c>
      <c r="O493" s="441" t="n">
        <v>45894</v>
      </c>
      <c r="P493" s="441" t="n">
        <v>45924</v>
      </c>
      <c r="Q493" s="425">
        <f>IF(P493="","",TODAY()-P493)</f>
        <v/>
      </c>
      <c r="R493" s="441">
        <f>IF(OR(L493="Passed",Z493=""),"",P493+Z493)</f>
        <v/>
      </c>
      <c r="S493" s="425">
        <f>IF(OR(R493="",L493="Passed"),"",IF(R493&lt;=TODAY(),"DUE",IF(R493&lt;=TODAY()+3,"Next 3 Days","Later")))</f>
        <v/>
      </c>
      <c r="T493" s="425" t="inlineStr"/>
      <c r="U493" s="426" t="inlineStr">
        <is>
          <t>linkedin.com/in/krishnasrinivasan1</t>
        </is>
      </c>
      <c r="V493" s="426" t="inlineStr"/>
      <c r="W493" s="428" t="inlineStr">
        <is>
          <t xml:space="preserve"> | 12/04/2025 | </t>
        </is>
      </c>
      <c r="X493" s="425" t="inlineStr">
        <is>
          <t>John - Investor Contacts!528</t>
        </is>
      </c>
      <c r="Y493" s="426" t="inlineStr">
        <is>
          <t>Send next follow-up with traction + CTA</t>
        </is>
      </c>
      <c r="Z493" s="425" t="n">
        <v>7</v>
      </c>
      <c r="AA493" s="425">
        <f>IF(AC493="Archived",0,ROUND((IF(N493="Tier 1",35,IF(N493="Tier 2",20,8))+IF(C493="Financial Investor",15,IF(C493="Intermediary / Banker",12,8))+IF(L493="Term Sheet / Proposal",25,IF(L493="Engaged",20,IF(L493="Meeting Requested",18,IF(L493="Meeting Held",14,IF(L493="Follow Up",10,5)))))+MIN(Q493,30)+IF(S493="DUE",15,IF(S493="Next 3 Days",8,0))),0))</f>
        <v/>
      </c>
      <c r="AB493" s="425">
        <f>IF(AND(AC493="Active",OR(N493="Tier 1",N493="Tier 2"),OR(S493="DUE",S493="Next 3 Days")),"YES","")</f>
        <v/>
      </c>
      <c r="AC493" s="425">
        <f>IF(L493="Passed","Archived","Active")</f>
        <v/>
      </c>
    </row>
    <row r="494">
      <c r="A494" s="425" t="inlineStr">
        <is>
          <t>EXOS-0493</t>
        </is>
      </c>
      <c r="B494" s="425" t="inlineStr">
        <is>
          <t>John - Investor Contacts</t>
        </is>
      </c>
      <c r="C494" s="425" t="inlineStr">
        <is>
          <t>Financial Investor</t>
        </is>
      </c>
      <c r="D494" s="425" t="inlineStr">
        <is>
          <t>Live Oak VC</t>
        </is>
      </c>
      <c r="E494" s="425" t="inlineStr">
        <is>
          <t>Mike Marcantonio</t>
        </is>
      </c>
      <c r="F494" s="425" t="inlineStr"/>
      <c r="G494" s="111" t="inlineStr">
        <is>
          <t>mike@liveoakvp.com</t>
        </is>
      </c>
      <c r="H494" s="425" t="inlineStr"/>
      <c r="I494" s="425" t="inlineStr"/>
      <c r="J494" s="111" t="inlineStr">
        <is>
          <t>https://www.linkedin.com/in/mmarcantonio9/</t>
        </is>
      </c>
      <c r="K494" s="426" t="inlineStr">
        <is>
          <t>John Quinn</t>
        </is>
      </c>
      <c r="L494" s="426" t="inlineStr">
        <is>
          <t>Follow Up</t>
        </is>
      </c>
      <c r="M494" s="425" t="inlineStr">
        <is>
          <t>Space / Defense / Aerospace / Advanced Manufacturing</t>
        </is>
      </c>
      <c r="N494" s="426" t="inlineStr">
        <is>
          <t>Tier 2</t>
        </is>
      </c>
      <c r="O494" s="441" t="n">
        <v>45894</v>
      </c>
      <c r="P494" s="441" t="n">
        <v>45924</v>
      </c>
      <c r="Q494" s="425">
        <f>IF(P494="","",TODAY()-P494)</f>
        <v/>
      </c>
      <c r="R494" s="441">
        <f>IF(OR(L494="Passed",Z494=""),"",P494+Z494)</f>
        <v/>
      </c>
      <c r="S494" s="425">
        <f>IF(OR(R494="",L494="Passed"),"",IF(R494&lt;=TODAY(),"DUE",IF(R494&lt;=TODAY()+3,"Next 3 Days","Later")))</f>
        <v/>
      </c>
      <c r="T494" s="425" t="inlineStr"/>
      <c r="U494" s="426" t="inlineStr">
        <is>
          <t>https://www.linkedin.com/in/mmarcantonio9/</t>
        </is>
      </c>
      <c r="V494" s="426" t="inlineStr"/>
      <c r="W494" s="428" t="inlineStr">
        <is>
          <t xml:space="preserve"> | 12/04/2025 | </t>
        </is>
      </c>
      <c r="X494" s="425" t="inlineStr">
        <is>
          <t>John - Investor Contacts!527</t>
        </is>
      </c>
      <c r="Y494" s="426" t="inlineStr">
        <is>
          <t>Send next follow-up with traction + CTA</t>
        </is>
      </c>
      <c r="Z494" s="425" t="n">
        <v>7</v>
      </c>
      <c r="AA494" s="425">
        <f>IF(AC494="Archived",0,ROUND((IF(N494="Tier 1",35,IF(N494="Tier 2",20,8))+IF(C494="Financial Investor",15,IF(C494="Intermediary / Banker",12,8))+IF(L494="Term Sheet / Proposal",25,IF(L494="Engaged",20,IF(L494="Meeting Requested",18,IF(L494="Meeting Held",14,IF(L494="Follow Up",10,5)))))+MIN(Q494,30)+IF(S494="DUE",15,IF(S494="Next 3 Days",8,0))),0))</f>
        <v/>
      </c>
      <c r="AB494" s="425">
        <f>IF(AND(AC494="Active",OR(N494="Tier 1",N494="Tier 2"),OR(S494="DUE",S494="Next 3 Days")),"YES","")</f>
        <v/>
      </c>
      <c r="AC494" s="425">
        <f>IF(L494="Passed","Archived","Active")</f>
        <v/>
      </c>
    </row>
    <row r="495">
      <c r="A495" s="425" t="inlineStr">
        <is>
          <t>EXOS-0494</t>
        </is>
      </c>
      <c r="B495" s="425" t="inlineStr">
        <is>
          <t>John - Investor Contacts</t>
        </is>
      </c>
      <c r="C495" s="425" t="inlineStr">
        <is>
          <t>Financial Investor</t>
        </is>
      </c>
      <c r="D495" s="425" t="inlineStr">
        <is>
          <t>Live Oak VC</t>
        </is>
      </c>
      <c r="E495" s="425" t="inlineStr">
        <is>
          <t>Venu Shamapant</t>
        </is>
      </c>
      <c r="F495" s="425" t="inlineStr"/>
      <c r="G495" s="111" t="inlineStr">
        <is>
          <t>venu@liveoakvp.com</t>
        </is>
      </c>
      <c r="H495" s="425" t="inlineStr"/>
      <c r="I495" s="425" t="inlineStr"/>
      <c r="J495" s="111" t="inlineStr">
        <is>
          <t>https://www.linkedin.com/in/venu-shamapant-7987007/</t>
        </is>
      </c>
      <c r="K495" s="426" t="inlineStr">
        <is>
          <t>John Quinn</t>
        </is>
      </c>
      <c r="L495" s="426" t="inlineStr">
        <is>
          <t>Follow Up</t>
        </is>
      </c>
      <c r="M495" s="425" t="inlineStr">
        <is>
          <t>Space / Defense / Aerospace / Advanced Manufacturing</t>
        </is>
      </c>
      <c r="N495" s="426" t="inlineStr">
        <is>
          <t>Tier 2</t>
        </is>
      </c>
      <c r="O495" s="441" t="n">
        <v>45894</v>
      </c>
      <c r="P495" s="441" t="n">
        <v>45924</v>
      </c>
      <c r="Q495" s="425">
        <f>IF(P495="","",TODAY()-P495)</f>
        <v/>
      </c>
      <c r="R495" s="441">
        <f>IF(OR(L495="Passed",Z495=""),"",P495+Z495)</f>
        <v/>
      </c>
      <c r="S495" s="425">
        <f>IF(OR(R495="",L495="Passed"),"",IF(R495&lt;=TODAY(),"DUE",IF(R495&lt;=TODAY()+3,"Next 3 Days","Later")))</f>
        <v/>
      </c>
      <c r="T495" s="425" t="inlineStr"/>
      <c r="U495" s="426" t="inlineStr">
        <is>
          <t>https://www.linkedin.com/in/venu-shamapant-7987007/</t>
        </is>
      </c>
      <c r="V495" s="426" t="inlineStr"/>
      <c r="W495" s="428" t="inlineStr">
        <is>
          <t xml:space="preserve"> | 12/04/2025 | </t>
        </is>
      </c>
      <c r="X495" s="425" t="inlineStr">
        <is>
          <t>John - Investor Contacts!526</t>
        </is>
      </c>
      <c r="Y495" s="426" t="inlineStr">
        <is>
          <t>Send next follow-up with traction + CTA</t>
        </is>
      </c>
      <c r="Z495" s="425" t="n">
        <v>7</v>
      </c>
      <c r="AA495" s="425">
        <f>IF(AC495="Archived",0,ROUND((IF(N495="Tier 1",35,IF(N495="Tier 2",20,8))+IF(C495="Financial Investor",15,IF(C495="Intermediary / Banker",12,8))+IF(L495="Term Sheet / Proposal",25,IF(L495="Engaged",20,IF(L495="Meeting Requested",18,IF(L495="Meeting Held",14,IF(L495="Follow Up",10,5)))))+MIN(Q495,30)+IF(S495="DUE",15,IF(S495="Next 3 Days",8,0))),0))</f>
        <v/>
      </c>
      <c r="AB495" s="425">
        <f>IF(AND(AC495="Active",OR(N495="Tier 1",N495="Tier 2"),OR(S495="DUE",S495="Next 3 Days")),"YES","")</f>
        <v/>
      </c>
      <c r="AC495" s="425">
        <f>IF(L495="Passed","Archived","Active")</f>
        <v/>
      </c>
    </row>
    <row r="496">
      <c r="A496" s="425" t="inlineStr">
        <is>
          <t>EXOS-0495</t>
        </is>
      </c>
      <c r="B496" s="425" t="inlineStr">
        <is>
          <t>John - Investor Contacts</t>
        </is>
      </c>
      <c r="C496" s="425" t="inlineStr">
        <is>
          <t>Financial Investor</t>
        </is>
      </c>
      <c r="D496" s="425" t="inlineStr">
        <is>
          <t>Longitude Capital</t>
        </is>
      </c>
      <c r="E496" s="425" t="inlineStr">
        <is>
          <t>Bethany Chen</t>
        </is>
      </c>
      <c r="F496" s="425" t="inlineStr"/>
      <c r="G496" s="111" t="inlineStr">
        <is>
          <t>bchen@longitudecapital.com</t>
        </is>
      </c>
      <c r="H496" s="425" t="inlineStr"/>
      <c r="I496" s="425" t="inlineStr"/>
      <c r="J496" s="425" t="inlineStr"/>
      <c r="K496" s="426" t="inlineStr">
        <is>
          <t>John Quinn</t>
        </is>
      </c>
      <c r="L496" s="426" t="inlineStr">
        <is>
          <t>Follow Up</t>
        </is>
      </c>
      <c r="M496" s="425" t="inlineStr">
        <is>
          <t>Space / Defense / Aerospace / Advanced Manufacturing</t>
        </is>
      </c>
      <c r="N496" s="426" t="inlineStr">
        <is>
          <t>Tier 2</t>
        </is>
      </c>
      <c r="O496" s="441" t="n">
        <v>45838</v>
      </c>
      <c r="P496" s="441" t="n">
        <v>45861</v>
      </c>
      <c r="Q496" s="425">
        <f>IF(P496="","",TODAY()-P496)</f>
        <v/>
      </c>
      <c r="R496" s="441">
        <f>IF(OR(L496="Passed",Z496=""),"",P496+Z496)</f>
        <v/>
      </c>
      <c r="S496" s="425">
        <f>IF(OR(R496="",L496="Passed"),"",IF(R496&lt;=TODAY(),"DUE",IF(R496&lt;=TODAY()+3,"Next 3 Days","Later")))</f>
        <v/>
      </c>
      <c r="T496" s="425" t="inlineStr"/>
      <c r="U496" s="426" t="inlineStr">
        <is>
          <t>linkedin.com/in/bethany-chen</t>
        </is>
      </c>
      <c r="V496" s="426" t="inlineStr"/>
      <c r="W496" s="428" t="inlineStr">
        <is>
          <t xml:space="preserve"> | 12/26/2025 | </t>
        </is>
      </c>
      <c r="X496" s="425" t="inlineStr">
        <is>
          <t>John - Investor Contacts!284</t>
        </is>
      </c>
      <c r="Y496" s="426" t="inlineStr">
        <is>
          <t>Send next follow-up with traction + CTA</t>
        </is>
      </c>
      <c r="Z496" s="425" t="n">
        <v>7</v>
      </c>
      <c r="AA496" s="425">
        <f>IF(AC496="Archived",0,ROUND((IF(N496="Tier 1",35,IF(N496="Tier 2",20,8))+IF(C496="Financial Investor",15,IF(C496="Intermediary / Banker",12,8))+IF(L496="Term Sheet / Proposal",25,IF(L496="Engaged",20,IF(L496="Meeting Requested",18,IF(L496="Meeting Held",14,IF(L496="Follow Up",10,5)))))+MIN(Q496,30)+IF(S496="DUE",15,IF(S496="Next 3 Days",8,0))),0))</f>
        <v/>
      </c>
      <c r="AB496" s="425">
        <f>IF(AND(AC496="Active",OR(N496="Tier 1",N496="Tier 2"),OR(S496="DUE",S496="Next 3 Days")),"YES","")</f>
        <v/>
      </c>
      <c r="AC496" s="425">
        <f>IF(L496="Passed","Archived","Active")</f>
        <v/>
      </c>
    </row>
    <row r="497">
      <c r="A497" s="425" t="inlineStr">
        <is>
          <t>EXOS-0496</t>
        </is>
      </c>
      <c r="B497" s="425" t="inlineStr">
        <is>
          <t>John - Investor Contacts</t>
        </is>
      </c>
      <c r="C497" s="425" t="inlineStr">
        <is>
          <t>Financial Investor</t>
        </is>
      </c>
      <c r="D497" s="425" t="inlineStr">
        <is>
          <t>Longitude Capital</t>
        </is>
      </c>
      <c r="E497" s="425" t="inlineStr">
        <is>
          <t>Juliet Tammenoms Bakker</t>
        </is>
      </c>
      <c r="F497" s="425" t="inlineStr"/>
      <c r="G497" s="111" t="inlineStr">
        <is>
          <t>jbakker@longitudecapital.com</t>
        </is>
      </c>
      <c r="H497" s="425" t="inlineStr"/>
      <c r="I497" s="425" t="inlineStr"/>
      <c r="J497" s="111" t="inlineStr">
        <is>
          <t>https://www.linkedin.com/in/juliet-tammenoms-bakker-2a8a6240/</t>
        </is>
      </c>
      <c r="K497" s="426" t="inlineStr">
        <is>
          <t>John Quinn</t>
        </is>
      </c>
      <c r="L497" s="426" t="inlineStr">
        <is>
          <t>Follow Up</t>
        </is>
      </c>
      <c r="M497" s="425" t="inlineStr">
        <is>
          <t>Space / Defense / Aerospace / Advanced Manufacturing</t>
        </is>
      </c>
      <c r="N497" s="426" t="inlineStr">
        <is>
          <t>Tier 2</t>
        </is>
      </c>
      <c r="O497" s="441" t="n">
        <v>45838</v>
      </c>
      <c r="P497" s="441" t="n">
        <v>45861</v>
      </c>
      <c r="Q497" s="425">
        <f>IF(P497="","",TODAY()-P497)</f>
        <v/>
      </c>
      <c r="R497" s="441">
        <f>IF(OR(L497="Passed",Z497=""),"",P497+Z497)</f>
        <v/>
      </c>
      <c r="S497" s="425">
        <f>IF(OR(R497="",L497="Passed"),"",IF(R497&lt;=TODAY(),"DUE",IF(R497&lt;=TODAY()+3,"Next 3 Days","Later")))</f>
        <v/>
      </c>
      <c r="T497" s="425" t="inlineStr"/>
      <c r="U497" s="426" t="inlineStr">
        <is>
          <t>https://www.linkedin.com/in/juliet-tammenoms-bakker-2a8a6240/</t>
        </is>
      </c>
      <c r="V497" s="426" t="inlineStr"/>
      <c r="W497" s="428" t="inlineStr">
        <is>
          <t xml:space="preserve"> | 12/26/2025 | </t>
        </is>
      </c>
      <c r="X497" s="425" t="inlineStr">
        <is>
          <t>John - Investor Contacts!283</t>
        </is>
      </c>
      <c r="Y497" s="426" t="inlineStr">
        <is>
          <t>Send next follow-up with traction + CTA</t>
        </is>
      </c>
      <c r="Z497" s="425" t="n">
        <v>7</v>
      </c>
      <c r="AA497" s="425">
        <f>IF(AC497="Archived",0,ROUND((IF(N497="Tier 1",35,IF(N497="Tier 2",20,8))+IF(C497="Financial Investor",15,IF(C497="Intermediary / Banker",12,8))+IF(L497="Term Sheet / Proposal",25,IF(L497="Engaged",20,IF(L497="Meeting Requested",18,IF(L497="Meeting Held",14,IF(L497="Follow Up",10,5)))))+MIN(Q497,30)+IF(S497="DUE",15,IF(S497="Next 3 Days",8,0))),0))</f>
        <v/>
      </c>
      <c r="AB497" s="425">
        <f>IF(AND(AC497="Active",OR(N497="Tier 1",N497="Tier 2"),OR(S497="DUE",S497="Next 3 Days")),"YES","")</f>
        <v/>
      </c>
      <c r="AC497" s="425">
        <f>IF(L497="Passed","Archived","Active")</f>
        <v/>
      </c>
    </row>
    <row r="498">
      <c r="A498" s="425" t="inlineStr">
        <is>
          <t>EXOS-0497</t>
        </is>
      </c>
      <c r="B498" s="425" t="inlineStr">
        <is>
          <t>John - Investor Contacts</t>
        </is>
      </c>
      <c r="C498" s="425" t="inlineStr">
        <is>
          <t>Financial Investor</t>
        </is>
      </c>
      <c r="D498" s="425" t="inlineStr">
        <is>
          <t>Longitude Capital</t>
        </is>
      </c>
      <c r="E498" s="425" t="inlineStr">
        <is>
          <t>Marc-Henri Galetti</t>
        </is>
      </c>
      <c r="F498" s="425" t="inlineStr"/>
      <c r="G498" s="111" t="inlineStr">
        <is>
          <t>mgalletti@longitudecapital.com</t>
        </is>
      </c>
      <c r="H498" s="425" t="inlineStr"/>
      <c r="I498" s="425" t="inlineStr"/>
      <c r="J498" s="111" t="inlineStr">
        <is>
          <t>https://www.linkedin.com/in/marc-henri-galletti-1315b45/</t>
        </is>
      </c>
      <c r="K498" s="426" t="inlineStr">
        <is>
          <t>John Quinn</t>
        </is>
      </c>
      <c r="L498" s="426" t="inlineStr">
        <is>
          <t>Follow Up</t>
        </is>
      </c>
      <c r="M498" s="425" t="inlineStr">
        <is>
          <t>Space / Defense / Aerospace / Advanced Manufacturing</t>
        </is>
      </c>
      <c r="N498" s="426" t="inlineStr">
        <is>
          <t>Tier 2</t>
        </is>
      </c>
      <c r="O498" s="441" t="n">
        <v>45838</v>
      </c>
      <c r="P498" s="441" t="n">
        <v>45861</v>
      </c>
      <c r="Q498" s="425">
        <f>IF(P498="","",TODAY()-P498)</f>
        <v/>
      </c>
      <c r="R498" s="441">
        <f>IF(OR(L498="Passed",Z498=""),"",P498+Z498)</f>
        <v/>
      </c>
      <c r="S498" s="425">
        <f>IF(OR(R498="",L498="Passed"),"",IF(R498&lt;=TODAY(),"DUE",IF(R498&lt;=TODAY()+3,"Next 3 Days","Later")))</f>
        <v/>
      </c>
      <c r="T498" s="425" t="inlineStr"/>
      <c r="U498" s="426" t="inlineStr">
        <is>
          <t>https://www.linkedin.com/in/marc-henri-galletti-1315b45/</t>
        </is>
      </c>
      <c r="V498" s="426" t="inlineStr"/>
      <c r="W498" s="428" t="inlineStr">
        <is>
          <t xml:space="preserve"> | 12/26/2025 | </t>
        </is>
      </c>
      <c r="X498" s="425" t="inlineStr">
        <is>
          <t>John - Investor Contacts!282</t>
        </is>
      </c>
      <c r="Y498" s="426" t="inlineStr">
        <is>
          <t>Send next follow-up with traction + CTA</t>
        </is>
      </c>
      <c r="Z498" s="425" t="n">
        <v>7</v>
      </c>
      <c r="AA498" s="425">
        <f>IF(AC498="Archived",0,ROUND((IF(N498="Tier 1",35,IF(N498="Tier 2",20,8))+IF(C498="Financial Investor",15,IF(C498="Intermediary / Banker",12,8))+IF(L498="Term Sheet / Proposal",25,IF(L498="Engaged",20,IF(L498="Meeting Requested",18,IF(L498="Meeting Held",14,IF(L498="Follow Up",10,5)))))+MIN(Q498,30)+IF(S498="DUE",15,IF(S498="Next 3 Days",8,0))),0))</f>
        <v/>
      </c>
      <c r="AB498" s="425">
        <f>IF(AND(AC498="Active",OR(N498="Tier 1",N498="Tier 2"),OR(S498="DUE",S498="Next 3 Days")),"YES","")</f>
        <v/>
      </c>
      <c r="AC498" s="425">
        <f>IF(L498="Passed","Archived","Active")</f>
        <v/>
      </c>
    </row>
    <row r="499">
      <c r="A499" s="425" t="inlineStr">
        <is>
          <t>EXOS-0498</t>
        </is>
      </c>
      <c r="B499" s="425" t="inlineStr">
        <is>
          <t>John - Investor Contacts</t>
        </is>
      </c>
      <c r="C499" s="425" t="inlineStr">
        <is>
          <t>Financial Investor</t>
        </is>
      </c>
      <c r="D499" s="425" t="inlineStr">
        <is>
          <t>Longitude Capital</t>
        </is>
      </c>
      <c r="E499" s="425" t="inlineStr">
        <is>
          <t>Matthew Young</t>
        </is>
      </c>
      <c r="F499" s="425" t="inlineStr"/>
      <c r="G499" s="111" t="inlineStr">
        <is>
          <t>myoung@longitudecapital.com</t>
        </is>
      </c>
      <c r="H499" s="425" t="inlineStr"/>
      <c r="I499" s="425" t="inlineStr"/>
      <c r="J499" s="425" t="inlineStr"/>
      <c r="K499" s="426" t="inlineStr">
        <is>
          <t>John Quinn</t>
        </is>
      </c>
      <c r="L499" s="426" t="inlineStr">
        <is>
          <t>Follow Up</t>
        </is>
      </c>
      <c r="M499" s="425" t="inlineStr">
        <is>
          <t>Space / Defense / Aerospace / Advanced Manufacturing</t>
        </is>
      </c>
      <c r="N499" s="426" t="inlineStr">
        <is>
          <t>Tier 2</t>
        </is>
      </c>
      <c r="O499" s="441" t="n">
        <v>45835</v>
      </c>
      <c r="P499" s="441" t="n">
        <v>45848</v>
      </c>
      <c r="Q499" s="425">
        <f>IF(P499="","",TODAY()-P499)</f>
        <v/>
      </c>
      <c r="R499" s="441">
        <f>IF(OR(L499="Passed",Z499=""),"",P499+Z499)</f>
        <v/>
      </c>
      <c r="S499" s="425">
        <f>IF(OR(R499="",L499="Passed"),"",IF(R499&lt;=TODAY(),"DUE",IF(R499&lt;=TODAY()+3,"Next 3 Days","Later")))</f>
        <v/>
      </c>
      <c r="T499" s="425" t="inlineStr"/>
      <c r="U499" s="426" t="inlineStr">
        <is>
          <t>linkedin.com/in/matthew-young-b8747713</t>
        </is>
      </c>
      <c r="V499" s="426" t="inlineStr"/>
      <c r="W499" s="428" t="inlineStr">
        <is>
          <t xml:space="preserve"> | 12/26/2025 | </t>
        </is>
      </c>
      <c r="X499" s="425" t="inlineStr">
        <is>
          <t>John - Investor Contacts!281</t>
        </is>
      </c>
      <c r="Y499" s="426" t="inlineStr">
        <is>
          <t>Send next follow-up with traction + CTA</t>
        </is>
      </c>
      <c r="Z499" s="425" t="n">
        <v>7</v>
      </c>
      <c r="AA499" s="425">
        <f>IF(AC499="Archived",0,ROUND((IF(N499="Tier 1",35,IF(N499="Tier 2",20,8))+IF(C499="Financial Investor",15,IF(C499="Intermediary / Banker",12,8))+IF(L499="Term Sheet / Proposal",25,IF(L499="Engaged",20,IF(L499="Meeting Requested",18,IF(L499="Meeting Held",14,IF(L499="Follow Up",10,5)))))+MIN(Q499,30)+IF(S499="DUE",15,IF(S499="Next 3 Days",8,0))),0))</f>
        <v/>
      </c>
      <c r="AB499" s="425">
        <f>IF(AND(AC499="Active",OR(N499="Tier 1",N499="Tier 2"),OR(S499="DUE",S499="Next 3 Days")),"YES","")</f>
        <v/>
      </c>
      <c r="AC499" s="425">
        <f>IF(L499="Passed","Archived","Active")</f>
        <v/>
      </c>
    </row>
    <row r="500">
      <c r="A500" s="425" t="inlineStr">
        <is>
          <t>EXOS-0499</t>
        </is>
      </c>
      <c r="B500" s="425" t="inlineStr">
        <is>
          <t>John - Investor Contacts</t>
        </is>
      </c>
      <c r="C500" s="425" t="inlineStr">
        <is>
          <t>Financial Investor</t>
        </is>
      </c>
      <c r="D500" s="425" t="inlineStr">
        <is>
          <t>Longitude Capital</t>
        </is>
      </c>
      <c r="E500" s="425" t="inlineStr">
        <is>
          <t>Patrick G. Enright</t>
        </is>
      </c>
      <c r="F500" s="425" t="inlineStr"/>
      <c r="G500" s="111" t="inlineStr">
        <is>
          <t>penright@longitudecapital.com</t>
        </is>
      </c>
      <c r="H500" s="425" t="inlineStr"/>
      <c r="I500" s="425" t="inlineStr"/>
      <c r="J500" s="111" t="inlineStr">
        <is>
          <t>https://www.linkedin.com/in/patrick-enright-0a936821/</t>
        </is>
      </c>
      <c r="K500" s="426" t="inlineStr">
        <is>
          <t>John Quinn</t>
        </is>
      </c>
      <c r="L500" s="426" t="inlineStr">
        <is>
          <t>Follow Up</t>
        </is>
      </c>
      <c r="M500" s="425" t="inlineStr">
        <is>
          <t>Space / Defense / Aerospace / Advanced Manufacturing</t>
        </is>
      </c>
      <c r="N500" s="426" t="inlineStr">
        <is>
          <t>Tier 2</t>
        </is>
      </c>
      <c r="O500" s="441" t="n">
        <v>45838</v>
      </c>
      <c r="P500" s="441" t="n">
        <v>45861</v>
      </c>
      <c r="Q500" s="425">
        <f>IF(P500="","",TODAY()-P500)</f>
        <v/>
      </c>
      <c r="R500" s="441">
        <f>IF(OR(L500="Passed",Z500=""),"",P500+Z500)</f>
        <v/>
      </c>
      <c r="S500" s="425">
        <f>IF(OR(R500="",L500="Passed"),"",IF(R500&lt;=TODAY(),"DUE",IF(R500&lt;=TODAY()+3,"Next 3 Days","Later")))</f>
        <v/>
      </c>
      <c r="T500" s="425" t="inlineStr"/>
      <c r="U500" s="426" t="inlineStr">
        <is>
          <t>https://www.linkedin.com/in/patrick-enright-0a936821/</t>
        </is>
      </c>
      <c r="V500" s="426" t="inlineStr"/>
      <c r="W500" s="428" t="inlineStr">
        <is>
          <t xml:space="preserve"> | 12/26/2025 | </t>
        </is>
      </c>
      <c r="X500" s="425" t="inlineStr">
        <is>
          <t>John - Investor Contacts!285</t>
        </is>
      </c>
      <c r="Y500" s="426" t="inlineStr">
        <is>
          <t>Send next follow-up with traction + CTA</t>
        </is>
      </c>
      <c r="Z500" s="425" t="n">
        <v>7</v>
      </c>
      <c r="AA500" s="425">
        <f>IF(AC500="Archived",0,ROUND((IF(N500="Tier 1",35,IF(N500="Tier 2",20,8))+IF(C500="Financial Investor",15,IF(C500="Intermediary / Banker",12,8))+IF(L500="Term Sheet / Proposal",25,IF(L500="Engaged",20,IF(L500="Meeting Requested",18,IF(L500="Meeting Held",14,IF(L500="Follow Up",10,5)))))+MIN(Q500,30)+IF(S500="DUE",15,IF(S500="Next 3 Days",8,0))),0))</f>
        <v/>
      </c>
      <c r="AB500" s="425">
        <f>IF(AND(AC500="Active",OR(N500="Tier 1",N500="Tier 2"),OR(S500="DUE",S500="Next 3 Days")),"YES","")</f>
        <v/>
      </c>
      <c r="AC500" s="425">
        <f>IF(L500="Passed","Archived","Active")</f>
        <v/>
      </c>
    </row>
    <row r="501">
      <c r="A501" s="425" t="inlineStr">
        <is>
          <t>EXOS-0500</t>
        </is>
      </c>
      <c r="B501" s="425" t="inlineStr">
        <is>
          <t>John - Investor Contacts</t>
        </is>
      </c>
      <c r="C501" s="425" t="inlineStr">
        <is>
          <t>Financial Investor</t>
        </is>
      </c>
      <c r="D501" s="425" t="inlineStr">
        <is>
          <t>Longitude Capital</t>
        </is>
      </c>
      <c r="E501" s="425" t="inlineStr">
        <is>
          <t>Trudy Vanhove</t>
        </is>
      </c>
      <c r="F501" s="425" t="inlineStr"/>
      <c r="G501" s="111" t="inlineStr">
        <is>
          <t>tvanhove@longitudecapital.com</t>
        </is>
      </c>
      <c r="H501" s="425" t="inlineStr"/>
      <c r="I501" s="425" t="inlineStr"/>
      <c r="J501" s="111" t="inlineStr">
        <is>
          <t>https://www.linkedin.com/in/trudy-vanhove/</t>
        </is>
      </c>
      <c r="K501" s="426" t="inlineStr">
        <is>
          <t>John Quinn</t>
        </is>
      </c>
      <c r="L501" s="426" t="inlineStr">
        <is>
          <t>Follow Up</t>
        </is>
      </c>
      <c r="M501" s="425" t="inlineStr">
        <is>
          <t>Space / Defense / Aerospace / Advanced Manufacturing</t>
        </is>
      </c>
      <c r="N501" s="426" t="inlineStr">
        <is>
          <t>Tier 2</t>
        </is>
      </c>
      <c r="O501" s="441" t="n">
        <v>45994</v>
      </c>
      <c r="P501" s="441" t="n">
        <v>46036</v>
      </c>
      <c r="Q501" s="425">
        <f>IF(P501="","",TODAY()-P501)</f>
        <v/>
      </c>
      <c r="R501" s="441">
        <f>IF(OR(L501="Passed",Z501=""),"",P501+Z501)</f>
        <v/>
      </c>
      <c r="S501" s="425">
        <f>IF(OR(R501="",L501="Passed"),"",IF(R501&lt;=TODAY(),"DUE",IF(R501&lt;=TODAY()+3,"Next 3 Days","Later")))</f>
        <v/>
      </c>
      <c r="T501" s="425" t="inlineStr"/>
      <c r="U501" s="426" t="inlineStr">
        <is>
          <t>https://www.linkedin.com/in/trudy-vanhove/</t>
        </is>
      </c>
      <c r="V501" s="426" t="inlineStr"/>
      <c r="W501" s="428" t="inlineStr">
        <is>
          <t xml:space="preserve"> |  | </t>
        </is>
      </c>
      <c r="X501" s="425" t="inlineStr">
        <is>
          <t>John - Investor Contacts!710</t>
        </is>
      </c>
      <c r="Y501" s="426" t="inlineStr">
        <is>
          <t>Send next follow-up with traction + CTA</t>
        </is>
      </c>
      <c r="Z501" s="425" t="n">
        <v>7</v>
      </c>
      <c r="AA501" s="425">
        <f>IF(AC501="Archived",0,ROUND((IF(N501="Tier 1",35,IF(N501="Tier 2",20,8))+IF(C501="Financial Investor",15,IF(C501="Intermediary / Banker",12,8))+IF(L501="Term Sheet / Proposal",25,IF(L501="Engaged",20,IF(L501="Meeting Requested",18,IF(L501="Meeting Held",14,IF(L501="Follow Up",10,5)))))+MIN(Q501,30)+IF(S501="DUE",15,IF(S501="Next 3 Days",8,0))),0))</f>
        <v/>
      </c>
      <c r="AB501" s="425">
        <f>IF(AND(AC501="Active",OR(N501="Tier 1",N501="Tier 2"),OR(S501="DUE",S501="Next 3 Days")),"YES","")</f>
        <v/>
      </c>
      <c r="AC501" s="425">
        <f>IF(L501="Passed","Archived","Active")</f>
        <v/>
      </c>
    </row>
    <row r="502">
      <c r="A502" s="425" t="inlineStr">
        <is>
          <t>EXOS-0501</t>
        </is>
      </c>
      <c r="B502" s="425" t="inlineStr">
        <is>
          <t>John - Investor Contacts</t>
        </is>
      </c>
      <c r="C502" s="425" t="inlineStr">
        <is>
          <t>Financial Investor</t>
        </is>
      </c>
      <c r="D502" s="425" t="inlineStr">
        <is>
          <t>Longitude Capital</t>
        </is>
      </c>
      <c r="E502" s="425" t="inlineStr">
        <is>
          <t>Zack Ely</t>
        </is>
      </c>
      <c r="F502" s="425" t="inlineStr"/>
      <c r="G502" s="111" t="inlineStr">
        <is>
          <t>zely@longitudecapital.com</t>
        </is>
      </c>
      <c r="H502" s="425" t="inlineStr"/>
      <c r="I502" s="425" t="inlineStr"/>
      <c r="J502" s="111" t="inlineStr">
        <is>
          <t>https://www.linkedin.com/in/zack-ely-062093251/</t>
        </is>
      </c>
      <c r="K502" s="426" t="inlineStr">
        <is>
          <t>John Quinn</t>
        </is>
      </c>
      <c r="L502" s="426" t="inlineStr">
        <is>
          <t>Follow Up</t>
        </is>
      </c>
      <c r="M502" s="425" t="inlineStr">
        <is>
          <t>Space / Defense / Aerospace / Advanced Manufacturing</t>
        </is>
      </c>
      <c r="N502" s="426" t="inlineStr">
        <is>
          <t>Tier 2</t>
        </is>
      </c>
      <c r="O502" s="441" t="n">
        <v>45838</v>
      </c>
      <c r="P502" s="441" t="n">
        <v>45861</v>
      </c>
      <c r="Q502" s="425">
        <f>IF(P502="","",TODAY()-P502)</f>
        <v/>
      </c>
      <c r="R502" s="441">
        <f>IF(OR(L502="Passed",Z502=""),"",P502+Z502)</f>
        <v/>
      </c>
      <c r="S502" s="425">
        <f>IF(OR(R502="",L502="Passed"),"",IF(R502&lt;=TODAY(),"DUE",IF(R502&lt;=TODAY()+3,"Next 3 Days","Later")))</f>
        <v/>
      </c>
      <c r="T502" s="425" t="inlineStr"/>
      <c r="U502" s="426" t="inlineStr">
        <is>
          <t>https://www.linkedin.com/in/zack-ely-062093251/</t>
        </is>
      </c>
      <c r="V502" s="426" t="inlineStr"/>
      <c r="W502" s="428" t="inlineStr">
        <is>
          <t xml:space="preserve"> | 12/26/2025 | </t>
        </is>
      </c>
      <c r="X502" s="425" t="inlineStr">
        <is>
          <t>John - Investor Contacts!286</t>
        </is>
      </c>
      <c r="Y502" s="426" t="inlineStr">
        <is>
          <t>Send next follow-up with traction + CTA</t>
        </is>
      </c>
      <c r="Z502" s="425" t="n">
        <v>7</v>
      </c>
      <c r="AA502" s="425">
        <f>IF(AC502="Archived",0,ROUND((IF(N502="Tier 1",35,IF(N502="Tier 2",20,8))+IF(C502="Financial Investor",15,IF(C502="Intermediary / Banker",12,8))+IF(L502="Term Sheet / Proposal",25,IF(L502="Engaged",20,IF(L502="Meeting Requested",18,IF(L502="Meeting Held",14,IF(L502="Follow Up",10,5)))))+MIN(Q502,30)+IF(S502="DUE",15,IF(S502="Next 3 Days",8,0))),0))</f>
        <v/>
      </c>
      <c r="AB502" s="425">
        <f>IF(AND(AC502="Active",OR(N502="Tier 1",N502="Tier 2"),OR(S502="DUE",S502="Next 3 Days")),"YES","")</f>
        <v/>
      </c>
      <c r="AC502" s="425">
        <f>IF(L502="Passed","Archived","Active")</f>
        <v/>
      </c>
    </row>
    <row r="503">
      <c r="A503" s="425" t="inlineStr">
        <is>
          <t>EXOS-0502</t>
        </is>
      </c>
      <c r="B503" s="425" t="inlineStr">
        <is>
          <t>John - Investor Contacts</t>
        </is>
      </c>
      <c r="C503" s="425" t="inlineStr">
        <is>
          <t>Financial Investor</t>
        </is>
      </c>
      <c r="D503" s="425" t="inlineStr">
        <is>
          <t>Loud Capital</t>
        </is>
      </c>
      <c r="E503" s="425" t="inlineStr">
        <is>
          <t>Darshan Vyas</t>
        </is>
      </c>
      <c r="F503" s="425" t="inlineStr"/>
      <c r="G503" s="111" t="inlineStr">
        <is>
          <t>darshan@loud.vc</t>
        </is>
      </c>
      <c r="H503" s="425" t="inlineStr"/>
      <c r="I503" s="425" t="inlineStr"/>
      <c r="J503" s="111" t="inlineStr">
        <is>
          <t>https://www.linkedin.com/in/darshan-vyas-02316426/</t>
        </is>
      </c>
      <c r="K503" s="426" t="inlineStr">
        <is>
          <t>John Quinn</t>
        </is>
      </c>
      <c r="L503" s="426" t="inlineStr">
        <is>
          <t>Follow Up</t>
        </is>
      </c>
      <c r="M503" s="425" t="inlineStr">
        <is>
          <t>Space / Defense / Aerospace / Advanced Manufacturing</t>
        </is>
      </c>
      <c r="N503" s="426" t="inlineStr">
        <is>
          <t>Tier 2</t>
        </is>
      </c>
      <c r="O503" s="441" t="n">
        <v>45902</v>
      </c>
      <c r="P503" s="441" t="n">
        <v>45929</v>
      </c>
      <c r="Q503" s="425">
        <f>IF(P503="","",TODAY()-P503)</f>
        <v/>
      </c>
      <c r="R503" s="441">
        <f>IF(OR(L503="Passed",Z503=""),"",P503+Z503)</f>
        <v/>
      </c>
      <c r="S503" s="425">
        <f>IF(OR(R503="",L503="Passed"),"",IF(R503&lt;=TODAY(),"DUE",IF(R503&lt;=TODAY()+3,"Next 3 Days","Later")))</f>
        <v/>
      </c>
      <c r="T503" s="425" t="inlineStr"/>
      <c r="U503" s="426" t="inlineStr">
        <is>
          <t>https://www.linkedin.com/in/darshan-vyas-02316426/</t>
        </is>
      </c>
      <c r="V503" s="426" t="inlineStr"/>
      <c r="W503" s="428" t="inlineStr">
        <is>
          <t xml:space="preserve"> | 12/05/2025 | </t>
        </is>
      </c>
      <c r="X503" s="425" t="inlineStr">
        <is>
          <t>John - Investor Contacts!590</t>
        </is>
      </c>
      <c r="Y503" s="426" t="inlineStr">
        <is>
          <t>Send next follow-up with traction + CTA</t>
        </is>
      </c>
      <c r="Z503" s="425" t="n">
        <v>7</v>
      </c>
      <c r="AA503" s="425">
        <f>IF(AC503="Archived",0,ROUND((IF(N503="Tier 1",35,IF(N503="Tier 2",20,8))+IF(C503="Financial Investor",15,IF(C503="Intermediary / Banker",12,8))+IF(L503="Term Sheet / Proposal",25,IF(L503="Engaged",20,IF(L503="Meeting Requested",18,IF(L503="Meeting Held",14,IF(L503="Follow Up",10,5)))))+MIN(Q503,30)+IF(S503="DUE",15,IF(S503="Next 3 Days",8,0))),0))</f>
        <v/>
      </c>
      <c r="AB503" s="425">
        <f>IF(AND(AC503="Active",OR(N503="Tier 1",N503="Tier 2"),OR(S503="DUE",S503="Next 3 Days")),"YES","")</f>
        <v/>
      </c>
      <c r="AC503" s="425">
        <f>IF(L503="Passed","Archived","Active")</f>
        <v/>
      </c>
    </row>
    <row r="504">
      <c r="A504" s="425" t="inlineStr">
        <is>
          <t>EXOS-0503</t>
        </is>
      </c>
      <c r="B504" s="425" t="inlineStr">
        <is>
          <t>John - Investor Contacts</t>
        </is>
      </c>
      <c r="C504" s="425" t="inlineStr">
        <is>
          <t>Financial Investor</t>
        </is>
      </c>
      <c r="D504" s="425" t="inlineStr">
        <is>
          <t>Lux Capital</t>
        </is>
      </c>
      <c r="E504" s="425" t="inlineStr">
        <is>
          <t>Brandon Reeves</t>
        </is>
      </c>
      <c r="F504" s="425" t="inlineStr"/>
      <c r="G504" s="111" t="inlineStr">
        <is>
          <t>brandon.reeves@luxcapital.com</t>
        </is>
      </c>
      <c r="H504" s="425" t="inlineStr"/>
      <c r="I504" s="425" t="inlineStr"/>
      <c r="J504" s="425" t="inlineStr"/>
      <c r="K504" s="426" t="inlineStr">
        <is>
          <t>John Quinn</t>
        </is>
      </c>
      <c r="L504" s="426" t="inlineStr">
        <is>
          <t>Follow Up</t>
        </is>
      </c>
      <c r="M504" s="425" t="inlineStr">
        <is>
          <t>Space / Defense / Aerospace / Advanced Manufacturing</t>
        </is>
      </c>
      <c r="N504" s="426" t="inlineStr">
        <is>
          <t>Tier 2</t>
        </is>
      </c>
      <c r="O504" s="441" t="n">
        <v>45908</v>
      </c>
      <c r="P504" s="441" t="n">
        <v>45972</v>
      </c>
      <c r="Q504" s="425">
        <f>IF(P504="","",TODAY()-P504)</f>
        <v/>
      </c>
      <c r="R504" s="441">
        <f>IF(OR(L504="Passed",Z504=""),"",P504+Z504)</f>
        <v/>
      </c>
      <c r="S504" s="425">
        <f>IF(OR(R504="",L504="Passed"),"",IF(R504&lt;=TODAY(),"DUE",IF(R504&lt;=TODAY()+3,"Next 3 Days","Later")))</f>
        <v/>
      </c>
      <c r="T504" s="425" t="inlineStr"/>
      <c r="U504" s="426" t="inlineStr">
        <is>
          <t>linkedin.com/in/brandonreeves1</t>
        </is>
      </c>
      <c r="V504" s="426" t="inlineStr"/>
      <c r="W504" s="428" t="inlineStr">
        <is>
          <t xml:space="preserve"> | 12/05/2025 | </t>
        </is>
      </c>
      <c r="X504" s="425" t="inlineStr">
        <is>
          <t>John - Investor Contacts!629</t>
        </is>
      </c>
      <c r="Y504" s="426" t="inlineStr">
        <is>
          <t>Send next follow-up with traction + CTA</t>
        </is>
      </c>
      <c r="Z504" s="425" t="n">
        <v>7</v>
      </c>
      <c r="AA504" s="425">
        <f>IF(AC504="Archived",0,ROUND((IF(N504="Tier 1",35,IF(N504="Tier 2",20,8))+IF(C504="Financial Investor",15,IF(C504="Intermediary / Banker",12,8))+IF(L504="Term Sheet / Proposal",25,IF(L504="Engaged",20,IF(L504="Meeting Requested",18,IF(L504="Meeting Held",14,IF(L504="Follow Up",10,5)))))+MIN(Q504,30)+IF(S504="DUE",15,IF(S504="Next 3 Days",8,0))),0))</f>
        <v/>
      </c>
      <c r="AB504" s="425">
        <f>IF(AND(AC504="Active",OR(N504="Tier 1",N504="Tier 2"),OR(S504="DUE",S504="Next 3 Days")),"YES","")</f>
        <v/>
      </c>
      <c r="AC504" s="425">
        <f>IF(L504="Passed","Archived","Active")</f>
        <v/>
      </c>
    </row>
    <row r="505">
      <c r="A505" s="425" t="inlineStr">
        <is>
          <t>EXOS-0504</t>
        </is>
      </c>
      <c r="B505" s="425" t="inlineStr">
        <is>
          <t>John - Investor Contacts</t>
        </is>
      </c>
      <c r="C505" s="425" t="inlineStr">
        <is>
          <t>Financial Investor</t>
        </is>
      </c>
      <c r="D505" s="425" t="inlineStr">
        <is>
          <t>Lux Capital</t>
        </is>
      </c>
      <c r="E505" s="425" t="inlineStr">
        <is>
          <t>Deena Shakir</t>
        </is>
      </c>
      <c r="F505" s="425" t="inlineStr"/>
      <c r="G505" s="111" t="inlineStr">
        <is>
          <t>deena.shakir@luxcapital.com</t>
        </is>
      </c>
      <c r="H505" s="425" t="inlineStr"/>
      <c r="I505" s="425" t="inlineStr"/>
      <c r="J505" s="425" t="inlineStr"/>
      <c r="K505" s="426" t="inlineStr">
        <is>
          <t>John Quinn</t>
        </is>
      </c>
      <c r="L505" s="426" t="inlineStr">
        <is>
          <t>Follow Up</t>
        </is>
      </c>
      <c r="M505" s="425" t="inlineStr">
        <is>
          <t>Space / Defense / Aerospace / Advanced Manufacturing</t>
        </is>
      </c>
      <c r="N505" s="426" t="inlineStr">
        <is>
          <t>Tier 2</t>
        </is>
      </c>
      <c r="O505" s="441" t="n">
        <v>45908</v>
      </c>
      <c r="P505" s="441" t="n">
        <v>45972</v>
      </c>
      <c r="Q505" s="425">
        <f>IF(P505="","",TODAY()-P505)</f>
        <v/>
      </c>
      <c r="R505" s="441">
        <f>IF(OR(L505="Passed",Z505=""),"",P505+Z505)</f>
        <v/>
      </c>
      <c r="S505" s="425">
        <f>IF(OR(R505="",L505="Passed"),"",IF(R505&lt;=TODAY(),"DUE",IF(R505&lt;=TODAY()+3,"Next 3 Days","Later")))</f>
        <v/>
      </c>
      <c r="T505" s="425" t="inlineStr"/>
      <c r="U505" s="426" t="inlineStr">
        <is>
          <t>linkedin.com/in/deenashakir</t>
        </is>
      </c>
      <c r="V505" s="426" t="inlineStr"/>
      <c r="W505" s="428" t="inlineStr">
        <is>
          <t xml:space="preserve"> | 12/05/2025 | </t>
        </is>
      </c>
      <c r="X505" s="425" t="inlineStr">
        <is>
          <t>John - Investor Contacts!631</t>
        </is>
      </c>
      <c r="Y505" s="426" t="inlineStr">
        <is>
          <t>Send next follow-up with traction + CTA</t>
        </is>
      </c>
      <c r="Z505" s="425" t="n">
        <v>7</v>
      </c>
      <c r="AA505" s="425">
        <f>IF(AC505="Archived",0,ROUND((IF(N505="Tier 1",35,IF(N505="Tier 2",20,8))+IF(C505="Financial Investor",15,IF(C505="Intermediary / Banker",12,8))+IF(L505="Term Sheet / Proposal",25,IF(L505="Engaged",20,IF(L505="Meeting Requested",18,IF(L505="Meeting Held",14,IF(L505="Follow Up",10,5)))))+MIN(Q505,30)+IF(S505="DUE",15,IF(S505="Next 3 Days",8,0))),0))</f>
        <v/>
      </c>
      <c r="AB505" s="425">
        <f>IF(AND(AC505="Active",OR(N505="Tier 1",N505="Tier 2"),OR(S505="DUE",S505="Next 3 Days")),"YES","")</f>
        <v/>
      </c>
      <c r="AC505" s="425">
        <f>IF(L505="Passed","Archived","Active")</f>
        <v/>
      </c>
    </row>
    <row r="506">
      <c r="A506" s="425" t="inlineStr">
        <is>
          <t>EXOS-0505</t>
        </is>
      </c>
      <c r="B506" s="425" t="inlineStr">
        <is>
          <t>John - Investor Contacts</t>
        </is>
      </c>
      <c r="C506" s="425" t="inlineStr">
        <is>
          <t>Financial Investor</t>
        </is>
      </c>
      <c r="D506" s="425" t="inlineStr">
        <is>
          <t>Lux Capital</t>
        </is>
      </c>
      <c r="E506" s="425" t="inlineStr">
        <is>
          <t>Josh Wolfe</t>
        </is>
      </c>
      <c r="F506" s="425" t="inlineStr"/>
      <c r="G506" s="111" t="inlineStr">
        <is>
          <t>josh.wolfe@luxcapital.com</t>
        </is>
      </c>
      <c r="H506" s="425" t="inlineStr"/>
      <c r="I506" s="425" t="inlineStr"/>
      <c r="J506" s="425" t="inlineStr"/>
      <c r="K506" s="426" t="inlineStr">
        <is>
          <t>John Quinn</t>
        </is>
      </c>
      <c r="L506" s="426" t="inlineStr">
        <is>
          <t>Follow Up</t>
        </is>
      </c>
      <c r="M506" s="425" t="inlineStr">
        <is>
          <t>Space / Defense / Aerospace / Advanced Manufacturing</t>
        </is>
      </c>
      <c r="N506" s="426" t="inlineStr">
        <is>
          <t>Tier 2</t>
        </is>
      </c>
      <c r="O506" s="441" t="n">
        <v>45908</v>
      </c>
      <c r="P506" s="441" t="n">
        <v>45972</v>
      </c>
      <c r="Q506" s="425">
        <f>IF(P506="","",TODAY()-P506)</f>
        <v/>
      </c>
      <c r="R506" s="441">
        <f>IF(OR(L506="Passed",Z506=""),"",P506+Z506)</f>
        <v/>
      </c>
      <c r="S506" s="425">
        <f>IF(OR(R506="",L506="Passed"),"",IF(R506&lt;=TODAY(),"DUE",IF(R506&lt;=TODAY()+3,"Next 3 Days","Later")))</f>
        <v/>
      </c>
      <c r="T506" s="425" t="inlineStr"/>
      <c r="U506" s="426" t="inlineStr">
        <is>
          <t>linkedin.com/in/josh-wolfe-7883</t>
        </is>
      </c>
      <c r="V506" s="426" t="inlineStr"/>
      <c r="W506" s="428" t="inlineStr">
        <is>
          <t xml:space="preserve"> | 12/05/2025 | </t>
        </is>
      </c>
      <c r="X506" s="425" t="inlineStr">
        <is>
          <t>John - Investor Contacts!628</t>
        </is>
      </c>
      <c r="Y506" s="426" t="inlineStr">
        <is>
          <t>Send next follow-up with traction + CTA</t>
        </is>
      </c>
      <c r="Z506" s="425" t="n">
        <v>7</v>
      </c>
      <c r="AA506" s="425">
        <f>IF(AC506="Archived",0,ROUND((IF(N506="Tier 1",35,IF(N506="Tier 2",20,8))+IF(C506="Financial Investor",15,IF(C506="Intermediary / Banker",12,8))+IF(L506="Term Sheet / Proposal",25,IF(L506="Engaged",20,IF(L506="Meeting Requested",18,IF(L506="Meeting Held",14,IF(L506="Follow Up",10,5)))))+MIN(Q506,30)+IF(S506="DUE",15,IF(S506="Next 3 Days",8,0))),0))</f>
        <v/>
      </c>
      <c r="AB506" s="425">
        <f>IF(AND(AC506="Active",OR(N506="Tier 1",N506="Tier 2"),OR(S506="DUE",S506="Next 3 Days")),"YES","")</f>
        <v/>
      </c>
      <c r="AC506" s="425">
        <f>IF(L506="Passed","Archived","Active")</f>
        <v/>
      </c>
    </row>
    <row r="507">
      <c r="A507" s="425" t="inlineStr">
        <is>
          <t>EXOS-0506</t>
        </is>
      </c>
      <c r="B507" s="425" t="inlineStr">
        <is>
          <t>John - Investor Contacts</t>
        </is>
      </c>
      <c r="C507" s="425" t="inlineStr">
        <is>
          <t>Financial Investor</t>
        </is>
      </c>
      <c r="D507" s="425" t="inlineStr">
        <is>
          <t>Lux Capital</t>
        </is>
      </c>
      <c r="E507" s="425" t="inlineStr">
        <is>
          <t>Lan Jiang</t>
        </is>
      </c>
      <c r="F507" s="425" t="inlineStr"/>
      <c r="G507" s="111" t="inlineStr">
        <is>
          <t>lan.jiang@luxcapital.com</t>
        </is>
      </c>
      <c r="H507" s="425" t="inlineStr"/>
      <c r="I507" s="425" t="inlineStr"/>
      <c r="J507" s="111" t="inlineStr">
        <is>
          <t>https://www.linkedin.com/in/lanjiang9/</t>
        </is>
      </c>
      <c r="K507" s="426" t="inlineStr">
        <is>
          <t>John Quinn</t>
        </is>
      </c>
      <c r="L507" s="426" t="inlineStr">
        <is>
          <t>Follow Up</t>
        </is>
      </c>
      <c r="M507" s="425" t="inlineStr">
        <is>
          <t>Space / Defense / Aerospace / Advanced Manufacturing</t>
        </is>
      </c>
      <c r="N507" s="426" t="inlineStr">
        <is>
          <t>Tier 2</t>
        </is>
      </c>
      <c r="O507" s="441" t="n">
        <v>45908</v>
      </c>
      <c r="P507" s="441" t="n">
        <v>45972</v>
      </c>
      <c r="Q507" s="425">
        <f>IF(P507="","",TODAY()-P507)</f>
        <v/>
      </c>
      <c r="R507" s="441">
        <f>IF(OR(L507="Passed",Z507=""),"",P507+Z507)</f>
        <v/>
      </c>
      <c r="S507" s="425">
        <f>IF(OR(R507="",L507="Passed"),"",IF(R507&lt;=TODAY(),"DUE",IF(R507&lt;=TODAY()+3,"Next 3 Days","Later")))</f>
        <v/>
      </c>
      <c r="T507" s="425" t="inlineStr"/>
      <c r="U507" s="426" t="inlineStr">
        <is>
          <t>https://www.linkedin.com/in/lanjiang9/</t>
        </is>
      </c>
      <c r="V507" s="426" t="inlineStr"/>
      <c r="W507" s="428" t="inlineStr">
        <is>
          <t xml:space="preserve"> | 12/05/2025 | </t>
        </is>
      </c>
      <c r="X507" s="425" t="inlineStr">
        <is>
          <t>John - Investor Contacts!632</t>
        </is>
      </c>
      <c r="Y507" s="426" t="inlineStr">
        <is>
          <t>Send next follow-up with traction + CTA</t>
        </is>
      </c>
      <c r="Z507" s="425" t="n">
        <v>7</v>
      </c>
      <c r="AA507" s="425">
        <f>IF(AC507="Archived",0,ROUND((IF(N507="Tier 1",35,IF(N507="Tier 2",20,8))+IF(C507="Financial Investor",15,IF(C507="Intermediary / Banker",12,8))+IF(L507="Term Sheet / Proposal",25,IF(L507="Engaged",20,IF(L507="Meeting Requested",18,IF(L507="Meeting Held",14,IF(L507="Follow Up",10,5)))))+MIN(Q507,30)+IF(S507="DUE",15,IF(S507="Next 3 Days",8,0))),0))</f>
        <v/>
      </c>
      <c r="AB507" s="425">
        <f>IF(AND(AC507="Active",OR(N507="Tier 1",N507="Tier 2"),OR(S507="DUE",S507="Next 3 Days")),"YES","")</f>
        <v/>
      </c>
      <c r="AC507" s="425">
        <f>IF(L507="Passed","Archived","Active")</f>
        <v/>
      </c>
    </row>
    <row r="508">
      <c r="A508" s="425" t="inlineStr">
        <is>
          <t>EXOS-0507</t>
        </is>
      </c>
      <c r="B508" s="425" t="inlineStr">
        <is>
          <t>John - Investor Contacts</t>
        </is>
      </c>
      <c r="C508" s="425" t="inlineStr">
        <is>
          <t>Financial Investor</t>
        </is>
      </c>
      <c r="D508" s="425" t="inlineStr">
        <is>
          <t>Lux Capital</t>
        </is>
      </c>
      <c r="E508" s="425" t="inlineStr">
        <is>
          <t>Peter Hebert</t>
        </is>
      </c>
      <c r="F508" s="425" t="inlineStr"/>
      <c r="G508" s="111" t="inlineStr">
        <is>
          <t>peter.hebert@luxcapital.com</t>
        </is>
      </c>
      <c r="H508" s="425" t="inlineStr"/>
      <c r="I508" s="425" t="inlineStr"/>
      <c r="J508" s="111" t="inlineStr">
        <is>
          <t>https://www.linkedin.com/in/peter-hebert-ab4925/</t>
        </is>
      </c>
      <c r="K508" s="426" t="inlineStr">
        <is>
          <t>John Quinn</t>
        </is>
      </c>
      <c r="L508" s="426" t="inlineStr">
        <is>
          <t>Follow Up</t>
        </is>
      </c>
      <c r="M508" s="425" t="inlineStr">
        <is>
          <t>Space / Defense / Aerospace / Advanced Manufacturing</t>
        </is>
      </c>
      <c r="N508" s="426" t="inlineStr">
        <is>
          <t>Tier 2</t>
        </is>
      </c>
      <c r="O508" s="441" t="n">
        <v>45908</v>
      </c>
      <c r="P508" s="441" t="n">
        <v>45972</v>
      </c>
      <c r="Q508" s="425">
        <f>IF(P508="","",TODAY()-P508)</f>
        <v/>
      </c>
      <c r="R508" s="441">
        <f>IF(OR(L508="Passed",Z508=""),"",P508+Z508)</f>
        <v/>
      </c>
      <c r="S508" s="425">
        <f>IF(OR(R508="",L508="Passed"),"",IF(R508&lt;=TODAY(),"DUE",IF(R508&lt;=TODAY()+3,"Next 3 Days","Later")))</f>
        <v/>
      </c>
      <c r="T508" s="425" t="inlineStr"/>
      <c r="U508" s="426" t="inlineStr">
        <is>
          <t>https://www.linkedin.com/in/peter-hebert-ab4925/</t>
        </is>
      </c>
      <c r="V508" s="426" t="inlineStr"/>
      <c r="W508" s="428" t="inlineStr">
        <is>
          <t xml:space="preserve"> | 12/05/2025 | </t>
        </is>
      </c>
      <c r="X508" s="425" t="inlineStr">
        <is>
          <t>John - Investor Contacts!630</t>
        </is>
      </c>
      <c r="Y508" s="426" t="inlineStr">
        <is>
          <t>Send next follow-up with traction + CTA</t>
        </is>
      </c>
      <c r="Z508" s="425" t="n">
        <v>7</v>
      </c>
      <c r="AA508" s="425">
        <f>IF(AC508="Archived",0,ROUND((IF(N508="Tier 1",35,IF(N508="Tier 2",20,8))+IF(C508="Financial Investor",15,IF(C508="Intermediary / Banker",12,8))+IF(L508="Term Sheet / Proposal",25,IF(L508="Engaged",20,IF(L508="Meeting Requested",18,IF(L508="Meeting Held",14,IF(L508="Follow Up",10,5)))))+MIN(Q508,30)+IF(S508="DUE",15,IF(S508="Next 3 Days",8,0))),0))</f>
        <v/>
      </c>
      <c r="AB508" s="425">
        <f>IF(AND(AC508="Active",OR(N508="Tier 1",N508="Tier 2"),OR(S508="DUE",S508="Next 3 Days")),"YES","")</f>
        <v/>
      </c>
      <c r="AC508" s="425">
        <f>IF(L508="Passed","Archived","Active")</f>
        <v/>
      </c>
    </row>
    <row r="509">
      <c r="A509" s="425" t="inlineStr">
        <is>
          <t>EXOS-0508</t>
        </is>
      </c>
      <c r="B509" s="425" t="inlineStr">
        <is>
          <t>John - Investor Contacts</t>
        </is>
      </c>
      <c r="C509" s="425" t="inlineStr">
        <is>
          <t>Financial Investor</t>
        </is>
      </c>
      <c r="D509" s="425" t="inlineStr">
        <is>
          <t>Lythical Ventures</t>
        </is>
      </c>
      <c r="E509" s="425" t="inlineStr">
        <is>
          <t>Craig Lifschutz</t>
        </is>
      </c>
      <c r="F509" s="425" t="inlineStr"/>
      <c r="G509" s="111" t="inlineStr">
        <is>
          <t>craig@lyticalventures.com</t>
        </is>
      </c>
      <c r="H509" s="425" t="inlineStr"/>
      <c r="I509" s="425" t="inlineStr"/>
      <c r="J509" s="111" t="inlineStr">
        <is>
          <t>https://www.linkedin.com/in/craiglifschutz/</t>
        </is>
      </c>
      <c r="K509" s="426" t="inlineStr">
        <is>
          <t>John Quinn</t>
        </is>
      </c>
      <c r="L509" s="426" t="inlineStr">
        <is>
          <t>Follow Up</t>
        </is>
      </c>
      <c r="M509" s="425" t="inlineStr">
        <is>
          <t>Space / Defense / Aerospace / Advanced Manufacturing</t>
        </is>
      </c>
      <c r="N509" s="426" t="inlineStr">
        <is>
          <t>Tier 2</t>
        </is>
      </c>
      <c r="O509" s="441" t="n">
        <v>45951</v>
      </c>
      <c r="P509" s="441" t="n">
        <v>45973</v>
      </c>
      <c r="Q509" s="425">
        <f>IF(P509="","",TODAY()-P509)</f>
        <v/>
      </c>
      <c r="R509" s="441">
        <f>IF(OR(L509="Passed",Z509=""),"",P509+Z509)</f>
        <v/>
      </c>
      <c r="S509" s="425">
        <f>IF(OR(R509="",L509="Passed"),"",IF(R509&lt;=TODAY(),"DUE",IF(R509&lt;=TODAY()+3,"Next 3 Days","Later")))</f>
        <v/>
      </c>
      <c r="T509" s="425" t="inlineStr"/>
      <c r="U509" s="426" t="inlineStr">
        <is>
          <t>https://www.linkedin.com/in/craiglifschutz/</t>
        </is>
      </c>
      <c r="V509" s="426" t="inlineStr"/>
      <c r="W509" s="428" t="inlineStr">
        <is>
          <t xml:space="preserve"> | 12/30/2025 | </t>
        </is>
      </c>
      <c r="X509" s="425" t="inlineStr">
        <is>
          <t>John - Investor Contacts!794</t>
        </is>
      </c>
      <c r="Y509" s="426" t="inlineStr">
        <is>
          <t>Send next follow-up with traction + CTA</t>
        </is>
      </c>
      <c r="Z509" s="425" t="n">
        <v>7</v>
      </c>
      <c r="AA509" s="425">
        <f>IF(AC509="Archived",0,ROUND((IF(N509="Tier 1",35,IF(N509="Tier 2",20,8))+IF(C509="Financial Investor",15,IF(C509="Intermediary / Banker",12,8))+IF(L509="Term Sheet / Proposal",25,IF(L509="Engaged",20,IF(L509="Meeting Requested",18,IF(L509="Meeting Held",14,IF(L509="Follow Up",10,5)))))+MIN(Q509,30)+IF(S509="DUE",15,IF(S509="Next 3 Days",8,0))),0))</f>
        <v/>
      </c>
      <c r="AB509" s="425">
        <f>IF(AND(AC509="Active",OR(N509="Tier 1",N509="Tier 2"),OR(S509="DUE",S509="Next 3 Days")),"YES","")</f>
        <v/>
      </c>
      <c r="AC509" s="425">
        <f>IF(L509="Passed","Archived","Active")</f>
        <v/>
      </c>
    </row>
    <row r="510">
      <c r="A510" s="425" t="inlineStr">
        <is>
          <t>EXOS-0509</t>
        </is>
      </c>
      <c r="B510" s="425" t="inlineStr">
        <is>
          <t>John - Investor Contacts</t>
        </is>
      </c>
      <c r="C510" s="425" t="inlineStr">
        <is>
          <t>Financial Investor</t>
        </is>
      </c>
      <c r="D510" s="425" t="inlineStr">
        <is>
          <t>Lythical Ventures</t>
        </is>
      </c>
      <c r="E510" s="425" t="inlineStr">
        <is>
          <t>Graham Carroll</t>
        </is>
      </c>
      <c r="F510" s="425" t="inlineStr"/>
      <c r="G510" s="111" t="inlineStr">
        <is>
          <t>graham@lyticalventures.com</t>
        </is>
      </c>
      <c r="H510" s="425" t="inlineStr"/>
      <c r="I510" s="425" t="inlineStr"/>
      <c r="J510" s="111" t="inlineStr">
        <is>
          <t>https://www.linkedin.com/in/carroll1/</t>
        </is>
      </c>
      <c r="K510" s="426" t="inlineStr">
        <is>
          <t>John Quinn</t>
        </is>
      </c>
      <c r="L510" s="426" t="inlineStr">
        <is>
          <t>Follow Up</t>
        </is>
      </c>
      <c r="M510" s="425" t="inlineStr">
        <is>
          <t>Space / Defense / Aerospace / Advanced Manufacturing</t>
        </is>
      </c>
      <c r="N510" s="426" t="inlineStr">
        <is>
          <t>Tier 2</t>
        </is>
      </c>
      <c r="O510" s="441" t="n">
        <v>45951</v>
      </c>
      <c r="P510" s="441" t="n">
        <v>45973</v>
      </c>
      <c r="Q510" s="425">
        <f>IF(P510="","",TODAY()-P510)</f>
        <v/>
      </c>
      <c r="R510" s="441">
        <f>IF(OR(L510="Passed",Z510=""),"",P510+Z510)</f>
        <v/>
      </c>
      <c r="S510" s="425">
        <f>IF(OR(R510="",L510="Passed"),"",IF(R510&lt;=TODAY(),"DUE",IF(R510&lt;=TODAY()+3,"Next 3 Days","Later")))</f>
        <v/>
      </c>
      <c r="T510" s="425" t="inlineStr"/>
      <c r="U510" s="426" t="inlineStr">
        <is>
          <t>https://www.linkedin.com/in/carroll1/</t>
        </is>
      </c>
      <c r="V510" s="426" t="inlineStr"/>
      <c r="W510" s="428" t="inlineStr">
        <is>
          <t xml:space="preserve"> | 12/30/2025 | </t>
        </is>
      </c>
      <c r="X510" s="425" t="inlineStr">
        <is>
          <t>John - Investor Contacts!796</t>
        </is>
      </c>
      <c r="Y510" s="426" t="inlineStr">
        <is>
          <t>Send next follow-up with traction + CTA</t>
        </is>
      </c>
      <c r="Z510" s="425" t="n">
        <v>7</v>
      </c>
      <c r="AA510" s="425">
        <f>IF(AC510="Archived",0,ROUND((IF(N510="Tier 1",35,IF(N510="Tier 2",20,8))+IF(C510="Financial Investor",15,IF(C510="Intermediary / Banker",12,8))+IF(L510="Term Sheet / Proposal",25,IF(L510="Engaged",20,IF(L510="Meeting Requested",18,IF(L510="Meeting Held",14,IF(L510="Follow Up",10,5)))))+MIN(Q510,30)+IF(S510="DUE",15,IF(S510="Next 3 Days",8,0))),0))</f>
        <v/>
      </c>
      <c r="AB510" s="425">
        <f>IF(AND(AC510="Active",OR(N510="Tier 1",N510="Tier 2"),OR(S510="DUE",S510="Next 3 Days")),"YES","")</f>
        <v/>
      </c>
      <c r="AC510" s="425">
        <f>IF(L510="Passed","Archived","Active")</f>
        <v/>
      </c>
    </row>
    <row r="511">
      <c r="A511" s="425" t="inlineStr">
        <is>
          <t>EXOS-0510</t>
        </is>
      </c>
      <c r="B511" s="425" t="inlineStr">
        <is>
          <t>John - Investor Contacts</t>
        </is>
      </c>
      <c r="C511" s="425" t="inlineStr">
        <is>
          <t>Financial Investor</t>
        </is>
      </c>
      <c r="D511" s="425" t="inlineStr">
        <is>
          <t>Lythical Ventures</t>
        </is>
      </c>
      <c r="E511" s="425" t="inlineStr">
        <is>
          <t>Lucas Nelson</t>
        </is>
      </c>
      <c r="F511" s="425" t="inlineStr"/>
      <c r="G511" s="111" t="inlineStr">
        <is>
          <t>lucas@lyticalventures.com</t>
        </is>
      </c>
      <c r="H511" s="425" t="inlineStr"/>
      <c r="I511" s="425" t="inlineStr"/>
      <c r="J511" s="111" t="inlineStr">
        <is>
          <t>https://www.linkedin.com/in/lucasnelsonvc/</t>
        </is>
      </c>
      <c r="K511" s="426" t="inlineStr">
        <is>
          <t>John Quinn</t>
        </is>
      </c>
      <c r="L511" s="426" t="inlineStr">
        <is>
          <t>Follow Up</t>
        </is>
      </c>
      <c r="M511" s="425" t="inlineStr">
        <is>
          <t>Space / Defense / Aerospace / Advanced Manufacturing</t>
        </is>
      </c>
      <c r="N511" s="426" t="inlineStr">
        <is>
          <t>Tier 2</t>
        </is>
      </c>
      <c r="O511" s="441" t="n">
        <v>45951</v>
      </c>
      <c r="P511" s="441" t="n">
        <v>45973</v>
      </c>
      <c r="Q511" s="425">
        <f>IF(P511="","",TODAY()-P511)</f>
        <v/>
      </c>
      <c r="R511" s="441">
        <f>IF(OR(L511="Passed",Z511=""),"",P511+Z511)</f>
        <v/>
      </c>
      <c r="S511" s="425">
        <f>IF(OR(R511="",L511="Passed"),"",IF(R511&lt;=TODAY(),"DUE",IF(R511&lt;=TODAY()+3,"Next 3 Days","Later")))</f>
        <v/>
      </c>
      <c r="T511" s="425" t="inlineStr"/>
      <c r="U511" s="426" t="inlineStr">
        <is>
          <t>https://www.linkedin.com/in/lucasnelsonvc/</t>
        </is>
      </c>
      <c r="V511" s="426" t="inlineStr"/>
      <c r="W511" s="428" t="inlineStr">
        <is>
          <t xml:space="preserve"> | 12/30/2025 | </t>
        </is>
      </c>
      <c r="X511" s="425" t="inlineStr">
        <is>
          <t>John - Investor Contacts!795</t>
        </is>
      </c>
      <c r="Y511" s="426" t="inlineStr">
        <is>
          <t>Send next follow-up with traction + CTA</t>
        </is>
      </c>
      <c r="Z511" s="425" t="n">
        <v>7</v>
      </c>
      <c r="AA511" s="425">
        <f>IF(AC511="Archived",0,ROUND((IF(N511="Tier 1",35,IF(N511="Tier 2",20,8))+IF(C511="Financial Investor",15,IF(C511="Intermediary / Banker",12,8))+IF(L511="Term Sheet / Proposal",25,IF(L511="Engaged",20,IF(L511="Meeting Requested",18,IF(L511="Meeting Held",14,IF(L511="Follow Up",10,5)))))+MIN(Q511,30)+IF(S511="DUE",15,IF(S511="Next 3 Days",8,0))),0))</f>
        <v/>
      </c>
      <c r="AB511" s="425">
        <f>IF(AND(AC511="Active",OR(N511="Tier 1",N511="Tier 2"),OR(S511="DUE",S511="Next 3 Days")),"YES","")</f>
        <v/>
      </c>
      <c r="AC511" s="425">
        <f>IF(L511="Passed","Archived","Active")</f>
        <v/>
      </c>
    </row>
    <row r="512">
      <c r="A512" s="425" t="inlineStr">
        <is>
          <t>EXOS-0511</t>
        </is>
      </c>
      <c r="B512" s="425" t="inlineStr">
        <is>
          <t>John - Investor Contacts</t>
        </is>
      </c>
      <c r="C512" s="425" t="inlineStr">
        <is>
          <t>Financial Investor</t>
        </is>
      </c>
      <c r="D512" s="425" t="inlineStr">
        <is>
          <t>Lythical Ventures</t>
        </is>
      </c>
      <c r="E512" s="425" t="inlineStr">
        <is>
          <t>Steve Berg</t>
        </is>
      </c>
      <c r="F512" s="425" t="inlineStr"/>
      <c r="G512" s="111" t="inlineStr">
        <is>
          <t>steve@lyticalventures.com</t>
        </is>
      </c>
      <c r="H512" s="425" t="inlineStr"/>
      <c r="I512" s="425" t="inlineStr"/>
      <c r="J512" s="111" t="inlineStr">
        <is>
          <t>https://www.linkedin.com/in/sbberg1/</t>
        </is>
      </c>
      <c r="K512" s="426" t="inlineStr">
        <is>
          <t>John Quinn</t>
        </is>
      </c>
      <c r="L512" s="426" t="inlineStr">
        <is>
          <t>Follow Up</t>
        </is>
      </c>
      <c r="M512" s="425" t="inlineStr">
        <is>
          <t>Space / Defense / Aerospace / Advanced Manufacturing</t>
        </is>
      </c>
      <c r="N512" s="426" t="inlineStr">
        <is>
          <t>Tier 2</t>
        </is>
      </c>
      <c r="O512" s="441" t="n">
        <v>45951</v>
      </c>
      <c r="P512" s="441" t="n">
        <v>45973</v>
      </c>
      <c r="Q512" s="425">
        <f>IF(P512="","",TODAY()-P512)</f>
        <v/>
      </c>
      <c r="R512" s="441">
        <f>IF(OR(L512="Passed",Z512=""),"",P512+Z512)</f>
        <v/>
      </c>
      <c r="S512" s="425">
        <f>IF(OR(R512="",L512="Passed"),"",IF(R512&lt;=TODAY(),"DUE",IF(R512&lt;=TODAY()+3,"Next 3 Days","Later")))</f>
        <v/>
      </c>
      <c r="T512" s="425" t="inlineStr"/>
      <c r="U512" s="426" t="inlineStr">
        <is>
          <t>https://www.linkedin.com/in/sbberg1/</t>
        </is>
      </c>
      <c r="V512" s="426" t="inlineStr"/>
      <c r="W512" s="428" t="inlineStr">
        <is>
          <t xml:space="preserve"> | 12/30/2025 | </t>
        </is>
      </c>
      <c r="X512" s="425" t="inlineStr">
        <is>
          <t>John - Investor Contacts!797</t>
        </is>
      </c>
      <c r="Y512" s="426" t="inlineStr">
        <is>
          <t>Send next follow-up with traction + CTA</t>
        </is>
      </c>
      <c r="Z512" s="425" t="n">
        <v>7</v>
      </c>
      <c r="AA512" s="425">
        <f>IF(AC512="Archived",0,ROUND((IF(N512="Tier 1",35,IF(N512="Tier 2",20,8))+IF(C512="Financial Investor",15,IF(C512="Intermediary / Banker",12,8))+IF(L512="Term Sheet / Proposal",25,IF(L512="Engaged",20,IF(L512="Meeting Requested",18,IF(L512="Meeting Held",14,IF(L512="Follow Up",10,5)))))+MIN(Q512,30)+IF(S512="DUE",15,IF(S512="Next 3 Days",8,0))),0))</f>
        <v/>
      </c>
      <c r="AB512" s="425">
        <f>IF(AND(AC512="Active",OR(N512="Tier 1",N512="Tier 2"),OR(S512="DUE",S512="Next 3 Days")),"YES","")</f>
        <v/>
      </c>
      <c r="AC512" s="425">
        <f>IF(L512="Passed","Archived","Active")</f>
        <v/>
      </c>
    </row>
    <row r="513">
      <c r="A513" s="425" t="inlineStr">
        <is>
          <t>EXOS-0512</t>
        </is>
      </c>
      <c r="B513" s="425" t="inlineStr">
        <is>
          <t>Derek Contacts</t>
        </is>
      </c>
      <c r="C513" s="425" t="inlineStr">
        <is>
          <t>Financial Investor</t>
        </is>
      </c>
      <c r="D513" s="425" t="inlineStr">
        <is>
          <t>M Capital Group</t>
        </is>
      </c>
      <c r="E513" s="425" t="inlineStr">
        <is>
          <t>Christian Mouchbahani</t>
        </is>
      </c>
      <c r="F513" s="425" t="inlineStr">
        <is>
          <t>Investor</t>
        </is>
      </c>
      <c r="G513" s="111" t="inlineStr">
        <is>
          <t>rhobin@mcapital-group.com</t>
        </is>
      </c>
      <c r="H513" s="425" t="inlineStr"/>
      <c r="I513" s="425" t="inlineStr"/>
      <c r="J513" s="425" t="inlineStr"/>
      <c r="K513" s="426" t="inlineStr">
        <is>
          <t>John Quinn</t>
        </is>
      </c>
      <c r="L513" s="426" t="inlineStr">
        <is>
          <t>Follow Up</t>
        </is>
      </c>
      <c r="M513" s="425" t="inlineStr">
        <is>
          <t>Space / Defense / Aerospace / Advanced Manufacturing</t>
        </is>
      </c>
      <c r="N513" s="426" t="inlineStr">
        <is>
          <t>Tier 2</t>
        </is>
      </c>
      <c r="O513" s="425" t="n"/>
      <c r="P513" s="425" t="n"/>
      <c r="Q513" s="425">
        <f>IF(P513="","",TODAY()-P513)</f>
        <v/>
      </c>
      <c r="R513" s="441">
        <f>IF(OR(L513="Passed",Z513=""),"",P513+Z513)</f>
        <v/>
      </c>
      <c r="S513" s="425">
        <f>IF(OR(R513="",L513="Passed"),"",IF(R513&lt;=TODAY(),"DUE",IF(R513&lt;=TODAY()+3,"Next 3 Days","Later")))</f>
        <v/>
      </c>
      <c r="T513" s="425" t="inlineStr"/>
      <c r="U513" s="426" t="inlineStr"/>
      <c r="V513" s="426" t="inlineStr"/>
      <c r="W513" s="428" t="inlineStr">
        <is>
          <t>materials sent / no follow up</t>
        </is>
      </c>
      <c r="X513" s="425" t="inlineStr">
        <is>
          <t>Derek Contacts!34</t>
        </is>
      </c>
      <c r="Y513" s="426" t="inlineStr">
        <is>
          <t>Send next follow-up with traction + CTA</t>
        </is>
      </c>
      <c r="Z513" s="425" t="n">
        <v>7</v>
      </c>
      <c r="AA513" s="425">
        <f>IF(AC513="Archived",0,ROUND((IF(N513="Tier 1",35,IF(N513="Tier 2",20,8))+IF(C513="Financial Investor",15,IF(C513="Intermediary / Banker",12,8))+IF(L513="Term Sheet / Proposal",25,IF(L513="Engaged",20,IF(L513="Meeting Requested",18,IF(L513="Meeting Held",14,IF(L513="Follow Up",10,5)))))+MIN(Q513,30)+IF(S513="DUE",15,IF(S513="Next 3 Days",8,0))),0))</f>
        <v/>
      </c>
      <c r="AB513" s="425">
        <f>IF(AND(AC513="Active",OR(N513="Tier 1",N513="Tier 2"),OR(S513="DUE",S513="Next 3 Days")),"YES","")</f>
        <v/>
      </c>
      <c r="AC513" s="425">
        <f>IF(L513="Passed","Archived","Active")</f>
        <v/>
      </c>
    </row>
    <row r="514">
      <c r="A514" s="425" t="inlineStr">
        <is>
          <t>EXOS-0513</t>
        </is>
      </c>
      <c r="B514" s="425" t="inlineStr">
        <is>
          <t>John - Investor Contacts</t>
        </is>
      </c>
      <c r="C514" s="425" t="inlineStr">
        <is>
          <t>Financial Investor</t>
        </is>
      </c>
      <c r="D514" s="425" t="inlineStr">
        <is>
          <t>M25</t>
        </is>
      </c>
      <c r="E514" s="425" t="inlineStr">
        <is>
          <t>Abhinaya Konduru</t>
        </is>
      </c>
      <c r="F514" s="425" t="inlineStr"/>
      <c r="G514" s="111" t="inlineStr">
        <is>
          <t>abhinaya@m25vc.com</t>
        </is>
      </c>
      <c r="H514" s="425" t="inlineStr"/>
      <c r="I514" s="425" t="inlineStr"/>
      <c r="J514" s="111" t="inlineStr">
        <is>
          <t>https://www.linkedin.com/in/itsabhinaya/</t>
        </is>
      </c>
      <c r="K514" s="426" t="inlineStr">
        <is>
          <t>John Quinn</t>
        </is>
      </c>
      <c r="L514" s="426" t="inlineStr">
        <is>
          <t>Follow Up</t>
        </is>
      </c>
      <c r="M514" s="425" t="inlineStr">
        <is>
          <t>Space / Defense / Aerospace / Advanced Manufacturing</t>
        </is>
      </c>
      <c r="N514" s="426" t="inlineStr">
        <is>
          <t>Tier 2</t>
        </is>
      </c>
      <c r="O514" s="441" t="n">
        <v>45902</v>
      </c>
      <c r="P514" s="441" t="n">
        <v>45929</v>
      </c>
      <c r="Q514" s="425">
        <f>IF(P514="","",TODAY()-P514)</f>
        <v/>
      </c>
      <c r="R514" s="441">
        <f>IF(OR(L514="Passed",Z514=""),"",P514+Z514)</f>
        <v/>
      </c>
      <c r="S514" s="425">
        <f>IF(OR(R514="",L514="Passed"),"",IF(R514&lt;=TODAY(),"DUE",IF(R514&lt;=TODAY()+3,"Next 3 Days","Later")))</f>
        <v/>
      </c>
      <c r="T514" s="425" t="inlineStr"/>
      <c r="U514" s="426" t="inlineStr">
        <is>
          <t>https://www.linkedin.com/in/itsabhinaya/</t>
        </is>
      </c>
      <c r="V514" s="426" t="inlineStr"/>
      <c r="W514" s="428" t="inlineStr">
        <is>
          <t xml:space="preserve"> |  | </t>
        </is>
      </c>
      <c r="X514" s="425" t="inlineStr">
        <is>
          <t>John - Investor Contacts!591</t>
        </is>
      </c>
      <c r="Y514" s="426" t="inlineStr">
        <is>
          <t>Send next follow-up with traction + CTA</t>
        </is>
      </c>
      <c r="Z514" s="425" t="n">
        <v>7</v>
      </c>
      <c r="AA514" s="425">
        <f>IF(AC514="Archived",0,ROUND((IF(N514="Tier 1",35,IF(N514="Tier 2",20,8))+IF(C514="Financial Investor",15,IF(C514="Intermediary / Banker",12,8))+IF(L514="Term Sheet / Proposal",25,IF(L514="Engaged",20,IF(L514="Meeting Requested",18,IF(L514="Meeting Held",14,IF(L514="Follow Up",10,5)))))+MIN(Q514,30)+IF(S514="DUE",15,IF(S514="Next 3 Days",8,0))),0))</f>
        <v/>
      </c>
      <c r="AB514" s="425">
        <f>IF(AND(AC514="Active",OR(N514="Tier 1",N514="Tier 2"),OR(S514="DUE",S514="Next 3 Days")),"YES","")</f>
        <v/>
      </c>
      <c r="AC514" s="425">
        <f>IF(L514="Passed","Archived","Active")</f>
        <v/>
      </c>
    </row>
    <row r="515">
      <c r="A515" s="425" t="inlineStr">
        <is>
          <t>EXOS-0514</t>
        </is>
      </c>
      <c r="B515" s="425" t="inlineStr">
        <is>
          <t>John - Investor Contacts</t>
        </is>
      </c>
      <c r="C515" s="425" t="inlineStr">
        <is>
          <t>Financial Investor</t>
        </is>
      </c>
      <c r="D515" s="425" t="inlineStr">
        <is>
          <t>MATH Venture Partners</t>
        </is>
      </c>
      <c r="E515" s="425" t="inlineStr">
        <is>
          <t>Mark Achler</t>
        </is>
      </c>
      <c r="F515" s="425" t="inlineStr"/>
      <c r="G515" s="111" t="inlineStr">
        <is>
          <t>mark.achler@mathventurepartners.com</t>
        </is>
      </c>
      <c r="H515" s="425" t="inlineStr"/>
      <c r="I515" s="425" t="inlineStr"/>
      <c r="J515" s="111" t="inlineStr">
        <is>
          <t>https://www.linkedin.com/in/markachler/</t>
        </is>
      </c>
      <c r="K515" s="426" t="inlineStr">
        <is>
          <t>John Quinn</t>
        </is>
      </c>
      <c r="L515" s="426" t="inlineStr">
        <is>
          <t>Follow Up</t>
        </is>
      </c>
      <c r="M515" s="425" t="inlineStr">
        <is>
          <t>Space / Defense / Aerospace / Advanced Manufacturing</t>
        </is>
      </c>
      <c r="N515" s="426" t="inlineStr">
        <is>
          <t>Tier 2</t>
        </is>
      </c>
      <c r="O515" s="441" t="n">
        <v>45902</v>
      </c>
      <c r="P515" s="441" t="n">
        <v>45929</v>
      </c>
      <c r="Q515" s="425">
        <f>IF(P515="","",TODAY()-P515)</f>
        <v/>
      </c>
      <c r="R515" s="441">
        <f>IF(OR(L515="Passed",Z515=""),"",P515+Z515)</f>
        <v/>
      </c>
      <c r="S515" s="425">
        <f>IF(OR(R515="",L515="Passed"),"",IF(R515&lt;=TODAY(),"DUE",IF(R515&lt;=TODAY()+3,"Next 3 Days","Later")))</f>
        <v/>
      </c>
      <c r="T515" s="425" t="inlineStr"/>
      <c r="U515" s="426" t="inlineStr">
        <is>
          <t>https://www.linkedin.com/in/markachler/</t>
        </is>
      </c>
      <c r="V515" s="426" t="inlineStr"/>
      <c r="W515" s="428" t="inlineStr">
        <is>
          <t xml:space="preserve"> | 12/05/2025 | </t>
        </is>
      </c>
      <c r="X515" s="425" t="inlineStr">
        <is>
          <t>John - Investor Contacts!594</t>
        </is>
      </c>
      <c r="Y515" s="426" t="inlineStr">
        <is>
          <t>Send next follow-up with traction + CTA</t>
        </is>
      </c>
      <c r="Z515" s="425" t="n">
        <v>7</v>
      </c>
      <c r="AA515" s="425">
        <f>IF(AC515="Archived",0,ROUND((IF(N515="Tier 1",35,IF(N515="Tier 2",20,8))+IF(C515="Financial Investor",15,IF(C515="Intermediary / Banker",12,8))+IF(L515="Term Sheet / Proposal",25,IF(L515="Engaged",20,IF(L515="Meeting Requested",18,IF(L515="Meeting Held",14,IF(L515="Follow Up",10,5)))))+MIN(Q515,30)+IF(S515="DUE",15,IF(S515="Next 3 Days",8,0))),0))</f>
        <v/>
      </c>
      <c r="AB515" s="425">
        <f>IF(AND(AC515="Active",OR(N515="Tier 1",N515="Tier 2"),OR(S515="DUE",S515="Next 3 Days")),"YES","")</f>
        <v/>
      </c>
      <c r="AC515" s="425">
        <f>IF(L515="Passed","Archived","Active")</f>
        <v/>
      </c>
    </row>
    <row r="516">
      <c r="A516" s="425" t="inlineStr">
        <is>
          <t>EXOS-0515</t>
        </is>
      </c>
      <c r="B516" s="425" t="inlineStr">
        <is>
          <t>John - Investor Contacts</t>
        </is>
      </c>
      <c r="C516" s="425" t="inlineStr">
        <is>
          <t>Financial Investor</t>
        </is>
      </c>
      <c r="D516" s="425" t="inlineStr">
        <is>
          <t>Managing Director</t>
        </is>
      </c>
      <c r="E516" s="425" t="inlineStr">
        <is>
          <t>Neil Bansal</t>
        </is>
      </c>
      <c r="F516" s="425" t="inlineStr"/>
      <c r="G516" s="111" t="inlineStr">
        <is>
          <t>nbansal@omers.com</t>
        </is>
      </c>
      <c r="H516" s="425" t="inlineStr"/>
      <c r="I516" s="425" t="inlineStr"/>
      <c r="J516" s="111" t="inlineStr">
        <is>
          <t>https://www.linkedin.com/in/neilbansal/</t>
        </is>
      </c>
      <c r="K516" s="426" t="inlineStr">
        <is>
          <t>John Quinn</t>
        </is>
      </c>
      <c r="L516" s="426" t="inlineStr">
        <is>
          <t>Follow Up</t>
        </is>
      </c>
      <c r="M516" s="425" t="inlineStr">
        <is>
          <t>Space / Defense / Aerospace / Advanced Manufacturing</t>
        </is>
      </c>
      <c r="N516" s="426" t="inlineStr">
        <is>
          <t>Tier 2</t>
        </is>
      </c>
      <c r="O516" s="441" t="n">
        <v>45974</v>
      </c>
      <c r="P516" s="441" t="n">
        <v>46037</v>
      </c>
      <c r="Q516" s="425">
        <f>IF(P516="","",TODAY()-P516)</f>
        <v/>
      </c>
      <c r="R516" s="441">
        <f>IF(OR(L516="Passed",Z516=""),"",P516+Z516)</f>
        <v/>
      </c>
      <c r="S516" s="425">
        <f>IF(OR(R516="",L516="Passed"),"",IF(R516&lt;=TODAY(),"DUE",IF(R516&lt;=TODAY()+3,"Next 3 Days","Later")))</f>
        <v/>
      </c>
      <c r="T516" s="425" t="inlineStr"/>
      <c r="U516" s="426" t="inlineStr">
        <is>
          <t>https://www.linkedin.com/in/neilbansal/</t>
        </is>
      </c>
      <c r="V516" s="426" t="inlineStr"/>
      <c r="W516" s="428" t="inlineStr">
        <is>
          <t xml:space="preserve"> |  | </t>
        </is>
      </c>
      <c r="X516" s="425" t="inlineStr">
        <is>
          <t>John - Investor Contacts!733</t>
        </is>
      </c>
      <c r="Y516" s="426" t="inlineStr">
        <is>
          <t>Send next follow-up with traction + CTA</t>
        </is>
      </c>
      <c r="Z516" s="425" t="n">
        <v>7</v>
      </c>
      <c r="AA516" s="425">
        <f>IF(AC516="Archived",0,ROUND((IF(N516="Tier 1",35,IF(N516="Tier 2",20,8))+IF(C516="Financial Investor",15,IF(C516="Intermediary / Banker",12,8))+IF(L516="Term Sheet / Proposal",25,IF(L516="Engaged",20,IF(L516="Meeting Requested",18,IF(L516="Meeting Held",14,IF(L516="Follow Up",10,5)))))+MIN(Q516,30)+IF(S516="DUE",15,IF(S516="Next 3 Days",8,0))),0))</f>
        <v/>
      </c>
      <c r="AB516" s="425">
        <f>IF(AND(AC516="Active",OR(N516="Tier 1",N516="Tier 2"),OR(S516="DUE",S516="Next 3 Days")),"YES","")</f>
        <v/>
      </c>
      <c r="AC516" s="425">
        <f>IF(L516="Passed","Archived","Active")</f>
        <v/>
      </c>
    </row>
    <row r="517">
      <c r="A517" s="425" t="inlineStr">
        <is>
          <t>EXOS-0516</t>
        </is>
      </c>
      <c r="B517" s="425" t="inlineStr">
        <is>
          <t>John - Investor Contacts</t>
        </is>
      </c>
      <c r="C517" s="425" t="inlineStr">
        <is>
          <t>Financial Investor</t>
        </is>
      </c>
      <c r="D517" s="425" t="inlineStr">
        <is>
          <t>Managing Director PE Multi-Managers</t>
        </is>
      </c>
      <c r="E517" s="425" t="inlineStr">
        <is>
          <t>Jean-Philippe Richaud</t>
        </is>
      </c>
      <c r="F517" s="425" t="inlineStr"/>
      <c r="G517" s="111" t="inlineStr">
        <is>
          <t>jrichaud@swen-cp.fr</t>
        </is>
      </c>
      <c r="H517" s="425" t="inlineStr"/>
      <c r="I517" s="425" t="inlineStr"/>
      <c r="J517" s="425" t="inlineStr"/>
      <c r="K517" s="426" t="inlineStr">
        <is>
          <t>John Quinn</t>
        </is>
      </c>
      <c r="L517" s="426" t="inlineStr">
        <is>
          <t>Follow Up</t>
        </is>
      </c>
      <c r="M517" s="425" t="inlineStr">
        <is>
          <t>Space / Defense / Aerospace / Advanced Manufacturing</t>
        </is>
      </c>
      <c r="N517" s="426" t="inlineStr">
        <is>
          <t>Tier 2</t>
        </is>
      </c>
      <c r="O517" s="441" t="n">
        <v>45974</v>
      </c>
      <c r="P517" s="441" t="n">
        <v>46036</v>
      </c>
      <c r="Q517" s="425">
        <f>IF(P517="","",TODAY()-P517)</f>
        <v/>
      </c>
      <c r="R517" s="441">
        <f>IF(OR(L517="Passed",Z517=""),"",P517+Z517)</f>
        <v/>
      </c>
      <c r="S517" s="425">
        <f>IF(OR(R517="",L517="Passed"),"",IF(R517&lt;=TODAY(),"DUE",IF(R517&lt;=TODAY()+3,"Next 3 Days","Later")))</f>
        <v/>
      </c>
      <c r="T517" s="425" t="inlineStr"/>
      <c r="U517" s="426" t="inlineStr">
        <is>
          <t>linkedin.com/in/jean-philippe-richaud</t>
        </is>
      </c>
      <c r="V517" s="426" t="inlineStr"/>
      <c r="W517" s="428" t="inlineStr">
        <is>
          <t xml:space="preserve"> |  | </t>
        </is>
      </c>
      <c r="X517" s="425" t="inlineStr">
        <is>
          <t>John - Investor Contacts!721</t>
        </is>
      </c>
      <c r="Y517" s="426" t="inlineStr">
        <is>
          <t>Send next follow-up with traction + CTA</t>
        </is>
      </c>
      <c r="Z517" s="425" t="n">
        <v>7</v>
      </c>
      <c r="AA517" s="425">
        <f>IF(AC517="Archived",0,ROUND((IF(N517="Tier 1",35,IF(N517="Tier 2",20,8))+IF(C517="Financial Investor",15,IF(C517="Intermediary / Banker",12,8))+IF(L517="Term Sheet / Proposal",25,IF(L517="Engaged",20,IF(L517="Meeting Requested",18,IF(L517="Meeting Held",14,IF(L517="Follow Up",10,5)))))+MIN(Q517,30)+IF(S517="DUE",15,IF(S517="Next 3 Days",8,0))),0))</f>
        <v/>
      </c>
      <c r="AB517" s="425">
        <f>IF(AND(AC517="Active",OR(N517="Tier 1",N517="Tier 2"),OR(S517="DUE",S517="Next 3 Days")),"YES","")</f>
        <v/>
      </c>
      <c r="AC517" s="425">
        <f>IF(L517="Passed","Archived","Active")</f>
        <v/>
      </c>
    </row>
    <row r="518">
      <c r="A518" s="425" t="inlineStr">
        <is>
          <t>EXOS-0517</t>
        </is>
      </c>
      <c r="B518" s="425" t="inlineStr">
        <is>
          <t>John - Investor Contacts</t>
        </is>
      </c>
      <c r="C518" s="425" t="inlineStr">
        <is>
          <t>Financial Investor</t>
        </is>
      </c>
      <c r="D518" s="425" t="inlineStr">
        <is>
          <t>Managing Director at SWEN Capital Partners</t>
        </is>
      </c>
      <c r="E518" s="425" t="inlineStr">
        <is>
          <t>Diego Felipe Aponte Vargas</t>
        </is>
      </c>
      <c r="F518" s="425" t="inlineStr"/>
      <c r="G518" s="111" t="inlineStr">
        <is>
          <t>dapontevargas@swen-cp.fr</t>
        </is>
      </c>
      <c r="H518" s="425" t="inlineStr"/>
      <c r="I518" s="425" t="inlineStr"/>
      <c r="J518" s="425" t="inlineStr"/>
      <c r="K518" s="426" t="inlineStr">
        <is>
          <t>John Quinn</t>
        </is>
      </c>
      <c r="L518" s="426" t="inlineStr">
        <is>
          <t>Follow Up</t>
        </is>
      </c>
      <c r="M518" s="425" t="inlineStr">
        <is>
          <t>Space / Defense / Aerospace / Advanced Manufacturing</t>
        </is>
      </c>
      <c r="N518" s="426" t="inlineStr">
        <is>
          <t>Tier 2</t>
        </is>
      </c>
      <c r="O518" s="441" t="n">
        <v>45974</v>
      </c>
      <c r="P518" s="441" t="n">
        <v>46037</v>
      </c>
      <c r="Q518" s="425">
        <f>IF(P518="","",TODAY()-P518)</f>
        <v/>
      </c>
      <c r="R518" s="441">
        <f>IF(OR(L518="Passed",Z518=""),"",P518+Z518)</f>
        <v/>
      </c>
      <c r="S518" s="425">
        <f>IF(OR(R518="",L518="Passed"),"",IF(R518&lt;=TODAY(),"DUE",IF(R518&lt;=TODAY()+3,"Next 3 Days","Later")))</f>
        <v/>
      </c>
      <c r="T518" s="425" t="inlineStr"/>
      <c r="U518" s="426" t="inlineStr">
        <is>
          <t>linkedin.com/in/diegoaponte</t>
        </is>
      </c>
      <c r="V518" s="426" t="inlineStr"/>
      <c r="W518" s="428" t="inlineStr">
        <is>
          <t xml:space="preserve"> |  | </t>
        </is>
      </c>
      <c r="X518" s="425" t="inlineStr">
        <is>
          <t>John - Investor Contacts!723</t>
        </is>
      </c>
      <c r="Y518" s="426" t="inlineStr">
        <is>
          <t>Send next follow-up with traction + CTA</t>
        </is>
      </c>
      <c r="Z518" s="425" t="n">
        <v>7</v>
      </c>
      <c r="AA518" s="425">
        <f>IF(AC518="Archived",0,ROUND((IF(N518="Tier 1",35,IF(N518="Tier 2",20,8))+IF(C518="Financial Investor",15,IF(C518="Intermediary / Banker",12,8))+IF(L518="Term Sheet / Proposal",25,IF(L518="Engaged",20,IF(L518="Meeting Requested",18,IF(L518="Meeting Held",14,IF(L518="Follow Up",10,5)))))+MIN(Q518,30)+IF(S518="DUE",15,IF(S518="Next 3 Days",8,0))),0))</f>
        <v/>
      </c>
      <c r="AB518" s="425">
        <f>IF(AND(AC518="Active",OR(N518="Tier 1",N518="Tier 2"),OR(S518="DUE",S518="Next 3 Days")),"YES","")</f>
        <v/>
      </c>
      <c r="AC518" s="425">
        <f>IF(L518="Passed","Archived","Active")</f>
        <v/>
      </c>
    </row>
    <row r="519">
      <c r="A519" s="425" t="inlineStr">
        <is>
          <t>EXOS-0518</t>
        </is>
      </c>
      <c r="B519" s="425" t="inlineStr">
        <is>
          <t>John - Investor Contacts</t>
        </is>
      </c>
      <c r="C519" s="425" t="inlineStr">
        <is>
          <t>Financial Investor</t>
        </is>
      </c>
      <c r="D519" s="425" t="inlineStr">
        <is>
          <t>Managing Director chez Swen Capital Partners</t>
        </is>
      </c>
      <c r="E519" s="425" t="inlineStr">
        <is>
          <t>Laurent Ghilardi</t>
        </is>
      </c>
      <c r="F519" s="425" t="inlineStr"/>
      <c r="G519" s="111" t="inlineStr">
        <is>
          <t>lghilardi@swen-cp.fr</t>
        </is>
      </c>
      <c r="H519" s="425" t="inlineStr"/>
      <c r="I519" s="425" t="inlineStr"/>
      <c r="J519" s="425" t="inlineStr"/>
      <c r="K519" s="426" t="inlineStr">
        <is>
          <t>John Quinn</t>
        </is>
      </c>
      <c r="L519" s="426" t="inlineStr">
        <is>
          <t>Follow Up</t>
        </is>
      </c>
      <c r="M519" s="425" t="inlineStr">
        <is>
          <t>Space / Defense / Aerospace / Advanced Manufacturing</t>
        </is>
      </c>
      <c r="N519" s="426" t="inlineStr">
        <is>
          <t>Tier 2</t>
        </is>
      </c>
      <c r="O519" s="441" t="n">
        <v>45974</v>
      </c>
      <c r="P519" s="441" t="n">
        <v>46037</v>
      </c>
      <c r="Q519" s="425">
        <f>IF(P519="","",TODAY()-P519)</f>
        <v/>
      </c>
      <c r="R519" s="441">
        <f>IF(OR(L519="Passed",Z519=""),"",P519+Z519)</f>
        <v/>
      </c>
      <c r="S519" s="425">
        <f>IF(OR(R519="",L519="Passed"),"",IF(R519&lt;=TODAY(),"DUE",IF(R519&lt;=TODAY()+3,"Next 3 Days","Later")))</f>
        <v/>
      </c>
      <c r="T519" s="425" t="inlineStr"/>
      <c r="U519" s="426" t="inlineStr">
        <is>
          <t>linkedin.com/in/laurentghilardi</t>
        </is>
      </c>
      <c r="V519" s="426" t="inlineStr"/>
      <c r="W519" s="428" t="inlineStr">
        <is>
          <t xml:space="preserve"> |  | </t>
        </is>
      </c>
      <c r="X519" s="425" t="inlineStr">
        <is>
          <t>John - Investor Contacts!722</t>
        </is>
      </c>
      <c r="Y519" s="426" t="inlineStr">
        <is>
          <t>Send next follow-up with traction + CTA</t>
        </is>
      </c>
      <c r="Z519" s="425" t="n">
        <v>7</v>
      </c>
      <c r="AA519" s="425">
        <f>IF(AC519="Archived",0,ROUND((IF(N519="Tier 1",35,IF(N519="Tier 2",20,8))+IF(C519="Financial Investor",15,IF(C519="Intermediary / Banker",12,8))+IF(L519="Term Sheet / Proposal",25,IF(L519="Engaged",20,IF(L519="Meeting Requested",18,IF(L519="Meeting Held",14,IF(L519="Follow Up",10,5)))))+MIN(Q519,30)+IF(S519="DUE",15,IF(S519="Next 3 Days",8,0))),0))</f>
        <v/>
      </c>
      <c r="AB519" s="425">
        <f>IF(AND(AC519="Active",OR(N519="Tier 1",N519="Tier 2"),OR(S519="DUE",S519="Next 3 Days")),"YES","")</f>
        <v/>
      </c>
      <c r="AC519" s="425">
        <f>IF(L519="Passed","Archived","Active")</f>
        <v/>
      </c>
    </row>
    <row r="520">
      <c r="A520" s="425" t="inlineStr">
        <is>
          <t>EXOS-0519</t>
        </is>
      </c>
      <c r="B520" s="425" t="inlineStr">
        <is>
          <t>John - Investor Contacts</t>
        </is>
      </c>
      <c r="C520" s="425" t="inlineStr">
        <is>
          <t>Financial Investor</t>
        </is>
      </c>
      <c r="D520" s="425" t="inlineStr">
        <is>
          <t>Managing General Partner</t>
        </is>
      </c>
      <c r="E520" s="425" t="inlineStr">
        <is>
          <t>Patrick Hennings-Huep</t>
        </is>
      </c>
      <c r="F520" s="425" t="inlineStr"/>
      <c r="G520" s="111" t="inlineStr">
        <is>
          <t>henningshuep@bo4.de</t>
        </is>
      </c>
      <c r="H520" s="425" t="inlineStr"/>
      <c r="I520" s="425" t="inlineStr"/>
      <c r="J520" s="425" t="inlineStr"/>
      <c r="K520" s="426" t="inlineStr">
        <is>
          <t>John Quinn</t>
        </is>
      </c>
      <c r="L520" s="426" t="inlineStr">
        <is>
          <t>Follow Up</t>
        </is>
      </c>
      <c r="M520" s="425" t="inlineStr">
        <is>
          <t>Space / Defense / Aerospace / Advanced Manufacturing</t>
        </is>
      </c>
      <c r="N520" s="426" t="inlineStr">
        <is>
          <t>Tier 2</t>
        </is>
      </c>
      <c r="O520" s="441" t="n">
        <v>45974</v>
      </c>
      <c r="P520" s="441" t="n">
        <v>46037</v>
      </c>
      <c r="Q520" s="425">
        <f>IF(P520="","",TODAY()-P520)</f>
        <v/>
      </c>
      <c r="R520" s="441">
        <f>IF(OR(L520="Passed",Z520=""),"",P520+Z520)</f>
        <v/>
      </c>
      <c r="S520" s="425">
        <f>IF(OR(R520="",L520="Passed"),"",IF(R520&lt;=TODAY(),"DUE",IF(R520&lt;=TODAY()+3,"Next 3 Days","Later")))</f>
        <v/>
      </c>
      <c r="T520" s="425" t="inlineStr"/>
      <c r="U520" s="426" t="inlineStr">
        <is>
          <t>linkedin.com/in/patrick-hennings-huep-a8a758a0</t>
        </is>
      </c>
      <c r="V520" s="426" t="inlineStr"/>
      <c r="W520" s="428" t="inlineStr">
        <is>
          <t xml:space="preserve"> |  | </t>
        </is>
      </c>
      <c r="X520" s="425" t="inlineStr">
        <is>
          <t>John - Investor Contacts!727</t>
        </is>
      </c>
      <c r="Y520" s="426" t="inlineStr">
        <is>
          <t>Send next follow-up with traction + CTA</t>
        </is>
      </c>
      <c r="Z520" s="425" t="n">
        <v>7</v>
      </c>
      <c r="AA520" s="425">
        <f>IF(AC520="Archived",0,ROUND((IF(N520="Tier 1",35,IF(N520="Tier 2",20,8))+IF(C520="Financial Investor",15,IF(C520="Intermediary / Banker",12,8))+IF(L520="Term Sheet / Proposal",25,IF(L520="Engaged",20,IF(L520="Meeting Requested",18,IF(L520="Meeting Held",14,IF(L520="Follow Up",10,5)))))+MIN(Q520,30)+IF(S520="DUE",15,IF(S520="Next 3 Days",8,0))),0))</f>
        <v/>
      </c>
      <c r="AB520" s="425">
        <f>IF(AND(AC520="Active",OR(N520="Tier 1",N520="Tier 2"),OR(S520="DUE",S520="Next 3 Days")),"YES","")</f>
        <v/>
      </c>
      <c r="AC520" s="425">
        <f>IF(L520="Passed","Archived","Active")</f>
        <v/>
      </c>
    </row>
    <row r="521">
      <c r="A521" s="425" t="inlineStr">
        <is>
          <t>EXOS-0520</t>
        </is>
      </c>
      <c r="B521" s="425" t="inlineStr">
        <is>
          <t>John - Investor Contacts</t>
        </is>
      </c>
      <c r="C521" s="425" t="inlineStr">
        <is>
          <t>Financial Investor</t>
        </is>
      </c>
      <c r="D521" s="425" t="inlineStr">
        <is>
          <t>Managing Partner</t>
        </is>
      </c>
      <c r="E521" s="425" t="inlineStr">
        <is>
          <t>Max Almodovar</t>
        </is>
      </c>
      <c r="F521" s="425" t="inlineStr"/>
      <c r="G521" s="111" t="inlineStr">
        <is>
          <t>max.almodovar@trilantic.com</t>
        </is>
      </c>
      <c r="H521" s="425" t="inlineStr"/>
      <c r="I521" s="425" t="inlineStr"/>
      <c r="J521" s="111" t="inlineStr">
        <is>
          <t>https://www.linkedin.com/in/max-almodovar-04676a63/</t>
        </is>
      </c>
      <c r="K521" s="426" t="inlineStr">
        <is>
          <t>John Quinn</t>
        </is>
      </c>
      <c r="L521" s="426" t="inlineStr">
        <is>
          <t>Follow Up</t>
        </is>
      </c>
      <c r="M521" s="425" t="inlineStr">
        <is>
          <t>Space / Defense / Aerospace / Advanced Manufacturing</t>
        </is>
      </c>
      <c r="N521" s="426" t="inlineStr">
        <is>
          <t>Tier 2</t>
        </is>
      </c>
      <c r="O521" s="441" t="n">
        <v>45974</v>
      </c>
      <c r="P521" s="441" t="n">
        <v>46037</v>
      </c>
      <c r="Q521" s="425">
        <f>IF(P521="","",TODAY()-P521)</f>
        <v/>
      </c>
      <c r="R521" s="441">
        <f>IF(OR(L521="Passed",Z521=""),"",P521+Z521)</f>
        <v/>
      </c>
      <c r="S521" s="425">
        <f>IF(OR(R521="",L521="Passed"),"",IF(R521&lt;=TODAY(),"DUE",IF(R521&lt;=TODAY()+3,"Next 3 Days","Later")))</f>
        <v/>
      </c>
      <c r="T521" s="425" t="inlineStr"/>
      <c r="U521" s="426" t="inlineStr">
        <is>
          <t>https://www.linkedin.com/in/max-almodovar-04676a63/</t>
        </is>
      </c>
      <c r="V521" s="426" t="inlineStr"/>
      <c r="W521" s="428" t="inlineStr">
        <is>
          <t xml:space="preserve"> |  | </t>
        </is>
      </c>
      <c r="X521" s="425" t="inlineStr">
        <is>
          <t>John - Investor Contacts!731</t>
        </is>
      </c>
      <c r="Y521" s="426" t="inlineStr">
        <is>
          <t>Send next follow-up with traction + CTA</t>
        </is>
      </c>
      <c r="Z521" s="425" t="n">
        <v>7</v>
      </c>
      <c r="AA521" s="425">
        <f>IF(AC521="Archived",0,ROUND((IF(N521="Tier 1",35,IF(N521="Tier 2",20,8))+IF(C521="Financial Investor",15,IF(C521="Intermediary / Banker",12,8))+IF(L521="Term Sheet / Proposal",25,IF(L521="Engaged",20,IF(L521="Meeting Requested",18,IF(L521="Meeting Held",14,IF(L521="Follow Up",10,5)))))+MIN(Q521,30)+IF(S521="DUE",15,IF(S521="Next 3 Days",8,0))),0))</f>
        <v/>
      </c>
      <c r="AB521" s="425">
        <f>IF(AND(AC521="Active",OR(N521="Tier 1",N521="Tier 2"),OR(S521="DUE",S521="Next 3 Days")),"YES","")</f>
        <v/>
      </c>
      <c r="AC521" s="425">
        <f>IF(L521="Passed","Archived","Active")</f>
        <v/>
      </c>
    </row>
    <row r="522">
      <c r="A522" s="425" t="inlineStr">
        <is>
          <t>EXOS-0521</t>
        </is>
      </c>
      <c r="B522" s="425" t="inlineStr">
        <is>
          <t>John - Investor Contacts</t>
        </is>
      </c>
      <c r="C522" s="425" t="inlineStr">
        <is>
          <t>Financial Investor</t>
        </is>
      </c>
      <c r="D522" s="425" t="inlineStr">
        <is>
          <t>MarlinSpike</t>
        </is>
      </c>
      <c r="E522" s="425" t="inlineStr">
        <is>
          <t>Mislav Tolusic</t>
        </is>
      </c>
      <c r="F522" s="425" t="inlineStr"/>
      <c r="G522" s="111" t="inlineStr">
        <is>
          <t>mt@marlinspike.us</t>
        </is>
      </c>
      <c r="H522" s="425" t="inlineStr"/>
      <c r="I522" s="425" t="inlineStr"/>
      <c r="J522" s="111" t="inlineStr">
        <is>
          <t>https://www.linkedin.com/in/mislav-tolusic-525a58/</t>
        </is>
      </c>
      <c r="K522" s="426" t="inlineStr">
        <is>
          <t>John Quinn</t>
        </is>
      </c>
      <c r="L522" s="426" t="inlineStr">
        <is>
          <t>Follow Up</t>
        </is>
      </c>
      <c r="M522" s="425" t="inlineStr">
        <is>
          <t>Space / Defense / Aerospace / Advanced Manufacturing</t>
        </is>
      </c>
      <c r="N522" s="426" t="inlineStr">
        <is>
          <t>Tier 2</t>
        </is>
      </c>
      <c r="O522" s="441" t="n">
        <v>45986</v>
      </c>
      <c r="P522" s="441" t="n">
        <v>46031</v>
      </c>
      <c r="Q522" s="425">
        <f>IF(P522="","",TODAY()-P522)</f>
        <v/>
      </c>
      <c r="R522" s="441">
        <f>IF(OR(L522="Passed",Z522=""),"",P522+Z522)</f>
        <v/>
      </c>
      <c r="S522" s="425">
        <f>IF(OR(R522="",L522="Passed"),"",IF(R522&lt;=TODAY(),"DUE",IF(R522&lt;=TODAY()+3,"Next 3 Days","Later")))</f>
        <v/>
      </c>
      <c r="T522" s="425" t="inlineStr"/>
      <c r="U522" s="426" t="inlineStr">
        <is>
          <t>https://www.linkedin.com/in/mislav-tolusic-525a58/</t>
        </is>
      </c>
      <c r="V522" s="426" t="inlineStr"/>
      <c r="W522" s="428" t="inlineStr">
        <is>
          <t xml:space="preserve"> | 02/26/2026 | </t>
        </is>
      </c>
      <c r="X522" s="425" t="inlineStr">
        <is>
          <t>John - Investor Contacts!866</t>
        </is>
      </c>
      <c r="Y522" s="426" t="inlineStr">
        <is>
          <t>Send next follow-up with traction + CTA</t>
        </is>
      </c>
      <c r="Z522" s="425" t="n">
        <v>7</v>
      </c>
      <c r="AA522" s="425">
        <f>IF(AC522="Archived",0,ROUND((IF(N522="Tier 1",35,IF(N522="Tier 2",20,8))+IF(C522="Financial Investor",15,IF(C522="Intermediary / Banker",12,8))+IF(L522="Term Sheet / Proposal",25,IF(L522="Engaged",20,IF(L522="Meeting Requested",18,IF(L522="Meeting Held",14,IF(L522="Follow Up",10,5)))))+MIN(Q522,30)+IF(S522="DUE",15,IF(S522="Next 3 Days",8,0))),0))</f>
        <v/>
      </c>
      <c r="AB522" s="425">
        <f>IF(AND(AC522="Active",OR(N522="Tier 1",N522="Tier 2"),OR(S522="DUE",S522="Next 3 Days")),"YES","")</f>
        <v/>
      </c>
      <c r="AC522" s="425">
        <f>IF(L522="Passed","Archived","Active")</f>
        <v/>
      </c>
    </row>
    <row r="523">
      <c r="A523" s="425" t="inlineStr">
        <is>
          <t>EXOS-0522</t>
        </is>
      </c>
      <c r="B523" s="425" t="inlineStr">
        <is>
          <t>John - Investor Contacts</t>
        </is>
      </c>
      <c r="C523" s="425" t="inlineStr">
        <is>
          <t>Financial Investor</t>
        </is>
      </c>
      <c r="D523" s="425" t="inlineStr">
        <is>
          <t>MarlinSpike</t>
        </is>
      </c>
      <c r="E523" s="425" t="inlineStr">
        <is>
          <t>Neil Keegan</t>
        </is>
      </c>
      <c r="F523" s="425" t="inlineStr"/>
      <c r="G523" s="111" t="inlineStr">
        <is>
          <t>neil@marlinspike.us</t>
        </is>
      </c>
      <c r="H523" s="425" t="inlineStr"/>
      <c r="I523" s="425" t="inlineStr"/>
      <c r="J523" s="111" t="inlineStr">
        <is>
          <t>https://www.linkedin.com/in/neil-keegan-7a845866/</t>
        </is>
      </c>
      <c r="K523" s="426" t="inlineStr">
        <is>
          <t>John Quinn</t>
        </is>
      </c>
      <c r="L523" s="426" t="inlineStr">
        <is>
          <t>Follow Up</t>
        </is>
      </c>
      <c r="M523" s="425" t="inlineStr">
        <is>
          <t>Space / Defense / Aerospace / Advanced Manufacturing</t>
        </is>
      </c>
      <c r="N523" s="426" t="inlineStr">
        <is>
          <t>Tier 2</t>
        </is>
      </c>
      <c r="O523" s="441" t="n">
        <v>45986</v>
      </c>
      <c r="P523" s="441" t="n">
        <v>46031</v>
      </c>
      <c r="Q523" s="425">
        <f>IF(P523="","",TODAY()-P523)</f>
        <v/>
      </c>
      <c r="R523" s="441">
        <f>IF(OR(L523="Passed",Z523=""),"",P523+Z523)</f>
        <v/>
      </c>
      <c r="S523" s="425">
        <f>IF(OR(R523="",L523="Passed"),"",IF(R523&lt;=TODAY(),"DUE",IF(R523&lt;=TODAY()+3,"Next 3 Days","Later")))</f>
        <v/>
      </c>
      <c r="T523" s="425" t="inlineStr"/>
      <c r="U523" s="426" t="inlineStr">
        <is>
          <t>https://www.linkedin.com/in/neil-keegan-7a845866/</t>
        </is>
      </c>
      <c r="V523" s="426" t="inlineStr"/>
      <c r="W523" s="428" t="inlineStr">
        <is>
          <t xml:space="preserve"> | 02/26/2026 | </t>
        </is>
      </c>
      <c r="X523" s="425" t="inlineStr">
        <is>
          <t>John - Investor Contacts!865</t>
        </is>
      </c>
      <c r="Y523" s="426" t="inlineStr">
        <is>
          <t>Send next follow-up with traction + CTA</t>
        </is>
      </c>
      <c r="Z523" s="425" t="n">
        <v>7</v>
      </c>
      <c r="AA523" s="425">
        <f>IF(AC523="Archived",0,ROUND((IF(N523="Tier 1",35,IF(N523="Tier 2",20,8))+IF(C523="Financial Investor",15,IF(C523="Intermediary / Banker",12,8))+IF(L523="Term Sheet / Proposal",25,IF(L523="Engaged",20,IF(L523="Meeting Requested",18,IF(L523="Meeting Held",14,IF(L523="Follow Up",10,5)))))+MIN(Q523,30)+IF(S523="DUE",15,IF(S523="Next 3 Days",8,0))),0))</f>
        <v/>
      </c>
      <c r="AB523" s="425">
        <f>IF(AND(AC523="Active",OR(N523="Tier 1",N523="Tier 2"),OR(S523="DUE",S523="Next 3 Days")),"YES","")</f>
        <v/>
      </c>
      <c r="AC523" s="425">
        <f>IF(L523="Passed","Archived","Active")</f>
        <v/>
      </c>
    </row>
    <row r="524">
      <c r="A524" s="425" t="inlineStr">
        <is>
          <t>EXOS-0523</t>
        </is>
      </c>
      <c r="B524" s="425" t="inlineStr">
        <is>
          <t>John - Investor Contacts</t>
        </is>
      </c>
      <c r="C524" s="425" t="inlineStr">
        <is>
          <t>Financial Investor</t>
        </is>
      </c>
      <c r="D524" s="425" t="inlineStr">
        <is>
          <t>MarlinSpike</t>
        </is>
      </c>
      <c r="E524" s="425" t="inlineStr">
        <is>
          <t>Nick Snoad</t>
        </is>
      </c>
      <c r="F524" s="425" t="inlineStr"/>
      <c r="G524" s="111" t="inlineStr">
        <is>
          <t>nick@marlinspike.us</t>
        </is>
      </c>
      <c r="H524" s="425" t="inlineStr"/>
      <c r="I524" s="425" t="inlineStr"/>
      <c r="J524" s="111" t="inlineStr">
        <is>
          <t>https://www.linkedin.com/in/nick-snoad-340389157/</t>
        </is>
      </c>
      <c r="K524" s="426" t="inlineStr">
        <is>
          <t>John Quinn</t>
        </is>
      </c>
      <c r="L524" s="426" t="inlineStr">
        <is>
          <t>Follow Up</t>
        </is>
      </c>
      <c r="M524" s="425" t="inlineStr">
        <is>
          <t>Space / Defense / Aerospace / Advanced Manufacturing</t>
        </is>
      </c>
      <c r="N524" s="426" t="inlineStr">
        <is>
          <t>Tier 2</t>
        </is>
      </c>
      <c r="O524" s="441" t="n">
        <v>45986</v>
      </c>
      <c r="P524" s="441" t="n">
        <v>46031</v>
      </c>
      <c r="Q524" s="425">
        <f>IF(P524="","",TODAY()-P524)</f>
        <v/>
      </c>
      <c r="R524" s="441">
        <f>IF(OR(L524="Passed",Z524=""),"",P524+Z524)</f>
        <v/>
      </c>
      <c r="S524" s="425">
        <f>IF(OR(R524="",L524="Passed"),"",IF(R524&lt;=TODAY(),"DUE",IF(R524&lt;=TODAY()+3,"Next 3 Days","Later")))</f>
        <v/>
      </c>
      <c r="T524" s="425" t="inlineStr"/>
      <c r="U524" s="426" t="inlineStr">
        <is>
          <t>https://www.linkedin.com/in/nick-snoad-340389157/</t>
        </is>
      </c>
      <c r="V524" s="426" t="inlineStr"/>
      <c r="W524" s="428" t="inlineStr">
        <is>
          <t xml:space="preserve"> | 02/26/2026 | </t>
        </is>
      </c>
      <c r="X524" s="425" t="inlineStr">
        <is>
          <t>John - Investor Contacts!863</t>
        </is>
      </c>
      <c r="Y524" s="426" t="inlineStr">
        <is>
          <t>Send next follow-up with traction + CTA</t>
        </is>
      </c>
      <c r="Z524" s="425" t="n">
        <v>7</v>
      </c>
      <c r="AA524" s="425">
        <f>IF(AC524="Archived",0,ROUND((IF(N524="Tier 1",35,IF(N524="Tier 2",20,8))+IF(C524="Financial Investor",15,IF(C524="Intermediary / Banker",12,8))+IF(L524="Term Sheet / Proposal",25,IF(L524="Engaged",20,IF(L524="Meeting Requested",18,IF(L524="Meeting Held",14,IF(L524="Follow Up",10,5)))))+MIN(Q524,30)+IF(S524="DUE",15,IF(S524="Next 3 Days",8,0))),0))</f>
        <v/>
      </c>
      <c r="AB524" s="425">
        <f>IF(AND(AC524="Active",OR(N524="Tier 1",N524="Tier 2"),OR(S524="DUE",S524="Next 3 Days")),"YES","")</f>
        <v/>
      </c>
      <c r="AC524" s="425">
        <f>IF(L524="Passed","Archived","Active")</f>
        <v/>
      </c>
    </row>
    <row r="525">
      <c r="A525" s="425" t="inlineStr">
        <is>
          <t>EXOS-0524</t>
        </is>
      </c>
      <c r="B525" s="425" t="inlineStr">
        <is>
          <t>John - Investor Contacts</t>
        </is>
      </c>
      <c r="C525" s="425" t="inlineStr">
        <is>
          <t>Financial Investor</t>
        </is>
      </c>
      <c r="D525" s="425" t="inlineStr">
        <is>
          <t>MarlinSpike</t>
        </is>
      </c>
      <c r="E525" s="425" t="inlineStr">
        <is>
          <t>Paul Haddock</t>
        </is>
      </c>
      <c r="F525" s="425" t="inlineStr"/>
      <c r="G525" s="111" t="inlineStr">
        <is>
          <t>paul.haddock888@gmail.com</t>
        </is>
      </c>
      <c r="H525" s="425" t="inlineStr"/>
      <c r="I525" s="425" t="inlineStr"/>
      <c r="J525" s="111" t="inlineStr">
        <is>
          <t>https://www.linkedin.com/in/paul-haddock-100a875/</t>
        </is>
      </c>
      <c r="K525" s="426" t="inlineStr">
        <is>
          <t>John Quinn</t>
        </is>
      </c>
      <c r="L525" s="426" t="inlineStr">
        <is>
          <t>Follow Up</t>
        </is>
      </c>
      <c r="M525" s="425" t="inlineStr">
        <is>
          <t>Space / Defense / Aerospace / Advanced Manufacturing</t>
        </is>
      </c>
      <c r="N525" s="426" t="inlineStr">
        <is>
          <t>Tier 2</t>
        </is>
      </c>
      <c r="O525" s="441" t="n">
        <v>45986</v>
      </c>
      <c r="P525" s="441" t="n">
        <v>46031</v>
      </c>
      <c r="Q525" s="425">
        <f>IF(P525="","",TODAY()-P525)</f>
        <v/>
      </c>
      <c r="R525" s="441">
        <f>IF(OR(L525="Passed",Z525=""),"",P525+Z525)</f>
        <v/>
      </c>
      <c r="S525" s="425">
        <f>IF(OR(R525="",L525="Passed"),"",IF(R525&lt;=TODAY(),"DUE",IF(R525&lt;=TODAY()+3,"Next 3 Days","Later")))</f>
        <v/>
      </c>
      <c r="T525" s="425" t="inlineStr"/>
      <c r="U525" s="426" t="inlineStr">
        <is>
          <t>https://www.linkedin.com/in/paul-haddock-100a875/</t>
        </is>
      </c>
      <c r="V525" s="426" t="inlineStr"/>
      <c r="W525" s="428" t="inlineStr">
        <is>
          <t xml:space="preserve"> | 02/26/2026 | </t>
        </is>
      </c>
      <c r="X525" s="425" t="inlineStr">
        <is>
          <t>John - Investor Contacts!867</t>
        </is>
      </c>
      <c r="Y525" s="426" t="inlineStr">
        <is>
          <t>Send next follow-up with traction + CTA</t>
        </is>
      </c>
      <c r="Z525" s="425" t="n">
        <v>7</v>
      </c>
      <c r="AA525" s="425">
        <f>IF(AC525="Archived",0,ROUND((IF(N525="Tier 1",35,IF(N525="Tier 2",20,8))+IF(C525="Financial Investor",15,IF(C525="Intermediary / Banker",12,8))+IF(L525="Term Sheet / Proposal",25,IF(L525="Engaged",20,IF(L525="Meeting Requested",18,IF(L525="Meeting Held",14,IF(L525="Follow Up",10,5)))))+MIN(Q525,30)+IF(S525="DUE",15,IF(S525="Next 3 Days",8,0))),0))</f>
        <v/>
      </c>
      <c r="AB525" s="425">
        <f>IF(AND(AC525="Active",OR(N525="Tier 1",N525="Tier 2"),OR(S525="DUE",S525="Next 3 Days")),"YES","")</f>
        <v/>
      </c>
      <c r="AC525" s="425">
        <f>IF(L525="Passed","Archived","Active")</f>
        <v/>
      </c>
    </row>
    <row r="526">
      <c r="A526" s="425" t="inlineStr">
        <is>
          <t>EXOS-0525</t>
        </is>
      </c>
      <c r="B526" s="425" t="inlineStr">
        <is>
          <t>John - Investor Contacts</t>
        </is>
      </c>
      <c r="C526" s="425" t="inlineStr">
        <is>
          <t>Financial Investor</t>
        </is>
      </c>
      <c r="D526" s="425" t="inlineStr">
        <is>
          <t>MarlinSpike</t>
        </is>
      </c>
      <c r="E526" s="425" t="inlineStr">
        <is>
          <t>Tim Buzby</t>
        </is>
      </c>
      <c r="F526" s="425" t="inlineStr"/>
      <c r="G526" s="111" t="inlineStr">
        <is>
          <t>tim@marlinspike.us</t>
        </is>
      </c>
      <c r="H526" s="425" t="inlineStr"/>
      <c r="I526" s="425" t="inlineStr"/>
      <c r="J526" s="111" t="inlineStr">
        <is>
          <t>https://www.linkedin.com/in/tim-buzby-a637675</t>
        </is>
      </c>
      <c r="K526" s="426" t="inlineStr">
        <is>
          <t>John Quinn</t>
        </is>
      </c>
      <c r="L526" s="426" t="inlineStr">
        <is>
          <t>Follow Up</t>
        </is>
      </c>
      <c r="M526" s="425" t="inlineStr">
        <is>
          <t>Space / Defense / Aerospace / Advanced Manufacturing</t>
        </is>
      </c>
      <c r="N526" s="426" t="inlineStr">
        <is>
          <t>Tier 2</t>
        </is>
      </c>
      <c r="O526" s="441" t="n">
        <v>45986</v>
      </c>
      <c r="P526" s="441" t="n">
        <v>46031</v>
      </c>
      <c r="Q526" s="425">
        <f>IF(P526="","",TODAY()-P526)</f>
        <v/>
      </c>
      <c r="R526" s="441">
        <f>IF(OR(L526="Passed",Z526=""),"",P526+Z526)</f>
        <v/>
      </c>
      <c r="S526" s="425">
        <f>IF(OR(R526="",L526="Passed"),"",IF(R526&lt;=TODAY(),"DUE",IF(R526&lt;=TODAY()+3,"Next 3 Days","Later")))</f>
        <v/>
      </c>
      <c r="T526" s="425" t="inlineStr"/>
      <c r="U526" s="426" t="inlineStr">
        <is>
          <t>https://www.linkedin.com/in/tim-buzby-a637675</t>
        </is>
      </c>
      <c r="V526" s="426" t="inlineStr"/>
      <c r="W526" s="428" t="inlineStr">
        <is>
          <t xml:space="preserve"> | 02/26/2026 | </t>
        </is>
      </c>
      <c r="X526" s="425" t="inlineStr">
        <is>
          <t>John - Investor Contacts!864</t>
        </is>
      </c>
      <c r="Y526" s="426" t="inlineStr">
        <is>
          <t>Send next follow-up with traction + CTA</t>
        </is>
      </c>
      <c r="Z526" s="425" t="n">
        <v>7</v>
      </c>
      <c r="AA526" s="425">
        <f>IF(AC526="Archived",0,ROUND((IF(N526="Tier 1",35,IF(N526="Tier 2",20,8))+IF(C526="Financial Investor",15,IF(C526="Intermediary / Banker",12,8))+IF(L526="Term Sheet / Proposal",25,IF(L526="Engaged",20,IF(L526="Meeting Requested",18,IF(L526="Meeting Held",14,IF(L526="Follow Up",10,5)))))+MIN(Q526,30)+IF(S526="DUE",15,IF(S526="Next 3 Days",8,0))),0))</f>
        <v/>
      </c>
      <c r="AB526" s="425">
        <f>IF(AND(AC526="Active",OR(N526="Tier 1",N526="Tier 2"),OR(S526="DUE",S526="Next 3 Days")),"YES","")</f>
        <v/>
      </c>
      <c r="AC526" s="425">
        <f>IF(L526="Passed","Archived","Active")</f>
        <v/>
      </c>
    </row>
    <row r="527">
      <c r="A527" s="425" t="inlineStr">
        <is>
          <t>EXOS-0526</t>
        </is>
      </c>
      <c r="B527" s="425" t="inlineStr">
        <is>
          <t>John - Investor Contacts</t>
        </is>
      </c>
      <c r="C527" s="425" t="inlineStr">
        <is>
          <t>Financial Investor</t>
        </is>
      </c>
      <c r="D527" s="425" t="inlineStr">
        <is>
          <t>Massive VC</t>
        </is>
      </c>
      <c r="E527" s="425" t="inlineStr">
        <is>
          <t>Ari Newman</t>
        </is>
      </c>
      <c r="F527" s="425" t="inlineStr"/>
      <c r="G527" s="111" t="inlineStr">
        <is>
          <t>ari@massive.vc</t>
        </is>
      </c>
      <c r="H527" s="425" t="inlineStr"/>
      <c r="I527" s="425" t="inlineStr"/>
      <c r="J527" s="111" t="inlineStr">
        <is>
          <t>https://www.linkedin.com/in/arinewman/</t>
        </is>
      </c>
      <c r="K527" s="426" t="inlineStr">
        <is>
          <t>John Quinn</t>
        </is>
      </c>
      <c r="L527" s="426" t="inlineStr">
        <is>
          <t>Follow Up</t>
        </is>
      </c>
      <c r="M527" s="425" t="inlineStr">
        <is>
          <t>Space / Defense / Aerospace / Advanced Manufacturing</t>
        </is>
      </c>
      <c r="N527" s="426" t="inlineStr">
        <is>
          <t>Tier 2</t>
        </is>
      </c>
      <c r="O527" s="441" t="n">
        <v>45910</v>
      </c>
      <c r="P527" s="441" t="n">
        <v>45973</v>
      </c>
      <c r="Q527" s="425">
        <f>IF(P527="","",TODAY()-P527)</f>
        <v/>
      </c>
      <c r="R527" s="441">
        <f>IF(OR(L527="Passed",Z527=""),"",P527+Z527)</f>
        <v/>
      </c>
      <c r="S527" s="425">
        <f>IF(OR(R527="",L527="Passed"),"",IF(R527&lt;=TODAY(),"DUE",IF(R527&lt;=TODAY()+3,"Next 3 Days","Later")))</f>
        <v/>
      </c>
      <c r="T527" s="425" t="inlineStr"/>
      <c r="U527" s="426" t="inlineStr">
        <is>
          <t>https://www.linkedin.com/in/arinewman/</t>
        </is>
      </c>
      <c r="V527" s="426" t="inlineStr"/>
      <c r="W527" s="428" t="inlineStr">
        <is>
          <t xml:space="preserve"> | 12/15/2025 | </t>
        </is>
      </c>
      <c r="X527" s="425" t="inlineStr">
        <is>
          <t>John - Investor Contacts!657</t>
        </is>
      </c>
      <c r="Y527" s="426" t="inlineStr">
        <is>
          <t>Send next follow-up with traction + CTA</t>
        </is>
      </c>
      <c r="Z527" s="425" t="n">
        <v>7</v>
      </c>
      <c r="AA527" s="425">
        <f>IF(AC527="Archived",0,ROUND((IF(N527="Tier 1",35,IF(N527="Tier 2",20,8))+IF(C527="Financial Investor",15,IF(C527="Intermediary / Banker",12,8))+IF(L527="Term Sheet / Proposal",25,IF(L527="Engaged",20,IF(L527="Meeting Requested",18,IF(L527="Meeting Held",14,IF(L527="Follow Up",10,5)))))+MIN(Q527,30)+IF(S527="DUE",15,IF(S527="Next 3 Days",8,0))),0))</f>
        <v/>
      </c>
      <c r="AB527" s="425">
        <f>IF(AND(AC527="Active",OR(N527="Tier 1",N527="Tier 2"),OR(S527="DUE",S527="Next 3 Days")),"YES","")</f>
        <v/>
      </c>
      <c r="AC527" s="425">
        <f>IF(L527="Passed","Archived","Active")</f>
        <v/>
      </c>
    </row>
    <row r="528">
      <c r="A528" s="425" t="inlineStr">
        <is>
          <t>EXOS-0527</t>
        </is>
      </c>
      <c r="B528" s="425" t="inlineStr">
        <is>
          <t>John - Investor Contacts</t>
        </is>
      </c>
      <c r="C528" s="425" t="inlineStr">
        <is>
          <t>Financial Investor</t>
        </is>
      </c>
      <c r="D528" s="425" t="inlineStr">
        <is>
          <t>Massive VC</t>
        </is>
      </c>
      <c r="E528" s="425" t="inlineStr">
        <is>
          <t>David Mandell</t>
        </is>
      </c>
      <c r="F528" s="425" t="inlineStr"/>
      <c r="G528" s="111" t="inlineStr">
        <is>
          <t>david@massive.vc</t>
        </is>
      </c>
      <c r="H528" s="425" t="inlineStr"/>
      <c r="I528" s="425" t="inlineStr"/>
      <c r="J528" s="111" t="inlineStr">
        <is>
          <t>https://www.linkedin.com/in/davidgmandell/</t>
        </is>
      </c>
      <c r="K528" s="426" t="inlineStr">
        <is>
          <t>John Quinn</t>
        </is>
      </c>
      <c r="L528" s="426" t="inlineStr">
        <is>
          <t>Follow Up</t>
        </is>
      </c>
      <c r="M528" s="425" t="inlineStr">
        <is>
          <t>Space / Defense / Aerospace / Advanced Manufacturing</t>
        </is>
      </c>
      <c r="N528" s="426" t="inlineStr">
        <is>
          <t>Tier 2</t>
        </is>
      </c>
      <c r="O528" s="441" t="n">
        <v>45910</v>
      </c>
      <c r="P528" s="441" t="n">
        <v>45973</v>
      </c>
      <c r="Q528" s="425">
        <f>IF(P528="","",TODAY()-P528)</f>
        <v/>
      </c>
      <c r="R528" s="441">
        <f>IF(OR(L528="Passed",Z528=""),"",P528+Z528)</f>
        <v/>
      </c>
      <c r="S528" s="425">
        <f>IF(OR(R528="",L528="Passed"),"",IF(R528&lt;=TODAY(),"DUE",IF(R528&lt;=TODAY()+3,"Next 3 Days","Later")))</f>
        <v/>
      </c>
      <c r="T528" s="425" t="inlineStr"/>
      <c r="U528" s="426" t="inlineStr">
        <is>
          <t>https://www.linkedin.com/in/davidgmandell/</t>
        </is>
      </c>
      <c r="V528" s="426" t="inlineStr"/>
      <c r="W528" s="428" t="inlineStr">
        <is>
          <t xml:space="preserve"> | 12/15/2025 | </t>
        </is>
      </c>
      <c r="X528" s="425" t="inlineStr">
        <is>
          <t>John - Investor Contacts!658</t>
        </is>
      </c>
      <c r="Y528" s="426" t="inlineStr">
        <is>
          <t>Send next follow-up with traction + CTA</t>
        </is>
      </c>
      <c r="Z528" s="425" t="n">
        <v>7</v>
      </c>
      <c r="AA528" s="425">
        <f>IF(AC528="Archived",0,ROUND((IF(N528="Tier 1",35,IF(N528="Tier 2",20,8))+IF(C528="Financial Investor",15,IF(C528="Intermediary / Banker",12,8))+IF(L528="Term Sheet / Proposal",25,IF(L528="Engaged",20,IF(L528="Meeting Requested",18,IF(L528="Meeting Held",14,IF(L528="Follow Up",10,5)))))+MIN(Q528,30)+IF(S528="DUE",15,IF(S528="Next 3 Days",8,0))),0))</f>
        <v/>
      </c>
      <c r="AB528" s="425">
        <f>IF(AND(AC528="Active",OR(N528="Tier 1",N528="Tier 2"),OR(S528="DUE",S528="Next 3 Days")),"YES","")</f>
        <v/>
      </c>
      <c r="AC528" s="425">
        <f>IF(L528="Passed","Archived","Active")</f>
        <v/>
      </c>
    </row>
    <row r="529">
      <c r="A529" s="425" t="inlineStr">
        <is>
          <t>EXOS-0528</t>
        </is>
      </c>
      <c r="B529" s="425" t="inlineStr">
        <is>
          <t>John - Investor Contacts</t>
        </is>
      </c>
      <c r="C529" s="425" t="inlineStr">
        <is>
          <t>Financial Investor</t>
        </is>
      </c>
      <c r="D529" s="425" t="inlineStr">
        <is>
          <t>Massive VC</t>
        </is>
      </c>
      <c r="E529" s="425" t="inlineStr">
        <is>
          <t>Maggie Rodney</t>
        </is>
      </c>
      <c r="F529" s="425" t="inlineStr"/>
      <c r="G529" s="111" t="inlineStr">
        <is>
          <t>maggie@massive.vc</t>
        </is>
      </c>
      <c r="H529" s="425" t="inlineStr"/>
      <c r="I529" s="425" t="inlineStr"/>
      <c r="J529" s="425" t="inlineStr"/>
      <c r="K529" s="426" t="inlineStr">
        <is>
          <t>John Quinn</t>
        </is>
      </c>
      <c r="L529" s="426" t="inlineStr">
        <is>
          <t>Follow Up</t>
        </is>
      </c>
      <c r="M529" s="425" t="inlineStr">
        <is>
          <t>Space / Defense / Aerospace / Advanced Manufacturing</t>
        </is>
      </c>
      <c r="N529" s="426" t="inlineStr">
        <is>
          <t>Tier 2</t>
        </is>
      </c>
      <c r="O529" s="441" t="n">
        <v>45910</v>
      </c>
      <c r="P529" s="441" t="n">
        <v>45973</v>
      </c>
      <c r="Q529" s="425">
        <f>IF(P529="","",TODAY()-P529)</f>
        <v/>
      </c>
      <c r="R529" s="441">
        <f>IF(OR(L529="Passed",Z529=""),"",P529+Z529)</f>
        <v/>
      </c>
      <c r="S529" s="425">
        <f>IF(OR(R529="",L529="Passed"),"",IF(R529&lt;=TODAY(),"DUE",IF(R529&lt;=TODAY()+3,"Next 3 Days","Later")))</f>
        <v/>
      </c>
      <c r="T529" s="425" t="inlineStr"/>
      <c r="U529" s="426" t="inlineStr">
        <is>
          <t>linkedin.com/in/maggie-rodney</t>
        </is>
      </c>
      <c r="V529" s="426" t="inlineStr"/>
      <c r="W529" s="428" t="inlineStr">
        <is>
          <t xml:space="preserve"> | 12/15/2025 | </t>
        </is>
      </c>
      <c r="X529" s="425" t="inlineStr">
        <is>
          <t>John - Investor Contacts!659</t>
        </is>
      </c>
      <c r="Y529" s="426" t="inlineStr">
        <is>
          <t>Send next follow-up with traction + CTA</t>
        </is>
      </c>
      <c r="Z529" s="425" t="n">
        <v>7</v>
      </c>
      <c r="AA529" s="425">
        <f>IF(AC529="Archived",0,ROUND((IF(N529="Tier 1",35,IF(N529="Tier 2",20,8))+IF(C529="Financial Investor",15,IF(C529="Intermediary / Banker",12,8))+IF(L529="Term Sheet / Proposal",25,IF(L529="Engaged",20,IF(L529="Meeting Requested",18,IF(L529="Meeting Held",14,IF(L529="Follow Up",10,5)))))+MIN(Q529,30)+IF(S529="DUE",15,IF(S529="Next 3 Days",8,0))),0))</f>
        <v/>
      </c>
      <c r="AB529" s="425">
        <f>IF(AND(AC529="Active",OR(N529="Tier 1",N529="Tier 2"),OR(S529="DUE",S529="Next 3 Days")),"YES","")</f>
        <v/>
      </c>
      <c r="AC529" s="425">
        <f>IF(L529="Passed","Archived","Active")</f>
        <v/>
      </c>
    </row>
    <row r="530">
      <c r="A530" s="425" t="inlineStr">
        <is>
          <t>EXOS-0529</t>
        </is>
      </c>
      <c r="B530" s="425" t="inlineStr">
        <is>
          <t>John - Investor Contacts</t>
        </is>
      </c>
      <c r="C530" s="425" t="inlineStr">
        <is>
          <t>Financial Investor</t>
        </is>
      </c>
      <c r="D530" s="425" t="inlineStr">
        <is>
          <t>Matchstick Ventures</t>
        </is>
      </c>
      <c r="E530" s="425" t="inlineStr">
        <is>
          <t>Ryan Broshar</t>
        </is>
      </c>
      <c r="F530" s="425" t="inlineStr"/>
      <c r="G530" s="111" t="inlineStr">
        <is>
          <t>ryan@matchstick.vc</t>
        </is>
      </c>
      <c r="H530" s="425" t="inlineStr"/>
      <c r="I530" s="425" t="inlineStr"/>
      <c r="J530" s="111" t="inlineStr">
        <is>
          <t>https://www.linkedin.com/in/ryanbroshar/</t>
        </is>
      </c>
      <c r="K530" s="426" t="inlineStr">
        <is>
          <t>John Quinn</t>
        </is>
      </c>
      <c r="L530" s="426" t="inlineStr">
        <is>
          <t>Follow Up</t>
        </is>
      </c>
      <c r="M530" s="425" t="inlineStr">
        <is>
          <t>Space / Defense / Aerospace / Advanced Manufacturing</t>
        </is>
      </c>
      <c r="N530" s="426" t="inlineStr">
        <is>
          <t>Tier 2</t>
        </is>
      </c>
      <c r="O530" s="441" t="n">
        <v>45902</v>
      </c>
      <c r="P530" s="441" t="n">
        <v>45929</v>
      </c>
      <c r="Q530" s="425">
        <f>IF(P530="","",TODAY()-P530)</f>
        <v/>
      </c>
      <c r="R530" s="441">
        <f>IF(OR(L530="Passed",Z530=""),"",P530+Z530)</f>
        <v/>
      </c>
      <c r="S530" s="425">
        <f>IF(OR(R530="",L530="Passed"),"",IF(R530&lt;=TODAY(),"DUE",IF(R530&lt;=TODAY()+3,"Next 3 Days","Later")))</f>
        <v/>
      </c>
      <c r="T530" s="425" t="inlineStr"/>
      <c r="U530" s="426" t="inlineStr">
        <is>
          <t>https://www.linkedin.com/in/ryanbroshar/</t>
        </is>
      </c>
      <c r="V530" s="426" t="inlineStr"/>
      <c r="W530" s="428" t="inlineStr">
        <is>
          <t xml:space="preserve"> | 12/05/2025 | </t>
        </is>
      </c>
      <c r="X530" s="425" t="inlineStr">
        <is>
          <t>John - Investor Contacts!592</t>
        </is>
      </c>
      <c r="Y530" s="426" t="inlineStr">
        <is>
          <t>Send next follow-up with traction + CTA</t>
        </is>
      </c>
      <c r="Z530" s="425" t="n">
        <v>7</v>
      </c>
      <c r="AA530" s="425">
        <f>IF(AC530="Archived",0,ROUND((IF(N530="Tier 1",35,IF(N530="Tier 2",20,8))+IF(C530="Financial Investor",15,IF(C530="Intermediary / Banker",12,8))+IF(L530="Term Sheet / Proposal",25,IF(L530="Engaged",20,IF(L530="Meeting Requested",18,IF(L530="Meeting Held",14,IF(L530="Follow Up",10,5)))))+MIN(Q530,30)+IF(S530="DUE",15,IF(S530="Next 3 Days",8,0))),0))</f>
        <v/>
      </c>
      <c r="AB530" s="425">
        <f>IF(AND(AC530="Active",OR(N530="Tier 1",N530="Tier 2"),OR(S530="DUE",S530="Next 3 Days")),"YES","")</f>
        <v/>
      </c>
      <c r="AC530" s="425">
        <f>IF(L530="Passed","Archived","Active")</f>
        <v/>
      </c>
    </row>
    <row r="531">
      <c r="A531" s="425" t="inlineStr">
        <is>
          <t>EXOS-0530</t>
        </is>
      </c>
      <c r="B531" s="425" t="inlineStr">
        <is>
          <t>John - Investor Contacts</t>
        </is>
      </c>
      <c r="C531" s="425" t="inlineStr">
        <is>
          <t>Financial Investor</t>
        </is>
      </c>
      <c r="D531" s="425" t="inlineStr">
        <is>
          <t>Matrix Partners</t>
        </is>
      </c>
      <c r="E531" s="425" t="inlineStr">
        <is>
          <t>Dana Stalder</t>
        </is>
      </c>
      <c r="F531" s="425" t="inlineStr"/>
      <c r="G531" s="111" t="inlineStr">
        <is>
          <t>dana@matrix.vc</t>
        </is>
      </c>
      <c r="H531" s="425" t="inlineStr"/>
      <c r="I531" s="425" t="inlineStr"/>
      <c r="J531" s="111" t="inlineStr">
        <is>
          <t>https://www.linkedin.com/in/dcstalder/</t>
        </is>
      </c>
      <c r="K531" s="426" t="inlineStr">
        <is>
          <t>John Quinn</t>
        </is>
      </c>
      <c r="L531" s="426" t="inlineStr">
        <is>
          <t>Follow Up</t>
        </is>
      </c>
      <c r="M531" s="425" t="inlineStr">
        <is>
          <t>Space / Defense / Aerospace / Advanced Manufacturing</t>
        </is>
      </c>
      <c r="N531" s="426" t="inlineStr">
        <is>
          <t>Tier 2</t>
        </is>
      </c>
      <c r="O531" s="441" t="n">
        <v>45792</v>
      </c>
      <c r="P531" s="441" t="n">
        <v>45841</v>
      </c>
      <c r="Q531" s="425">
        <f>IF(P531="","",TODAY()-P531)</f>
        <v/>
      </c>
      <c r="R531" s="441">
        <f>IF(OR(L531="Passed",Z531=""),"",P531+Z531)</f>
        <v/>
      </c>
      <c r="S531" s="425">
        <f>IF(OR(R531="",L531="Passed"),"",IF(R531&lt;=TODAY(),"DUE",IF(R531&lt;=TODAY()+3,"Next 3 Days","Later")))</f>
        <v/>
      </c>
      <c r="T531" s="425" t="inlineStr"/>
      <c r="U531" s="426" t="inlineStr">
        <is>
          <t>https://www.linkedin.com/in/dcstalder/</t>
        </is>
      </c>
      <c r="V531" s="426" t="inlineStr"/>
      <c r="W531" s="428" t="inlineStr">
        <is>
          <t xml:space="preserve"> |  | </t>
        </is>
      </c>
      <c r="X531" s="425" t="inlineStr">
        <is>
          <t>John - Investor Contacts!30</t>
        </is>
      </c>
      <c r="Y531" s="426" t="inlineStr">
        <is>
          <t>Send next follow-up with traction + CTA</t>
        </is>
      </c>
      <c r="Z531" s="425" t="n">
        <v>7</v>
      </c>
      <c r="AA531" s="425">
        <f>IF(AC531="Archived",0,ROUND((IF(N531="Tier 1",35,IF(N531="Tier 2",20,8))+IF(C531="Financial Investor",15,IF(C531="Intermediary / Banker",12,8))+IF(L531="Term Sheet / Proposal",25,IF(L531="Engaged",20,IF(L531="Meeting Requested",18,IF(L531="Meeting Held",14,IF(L531="Follow Up",10,5)))))+MIN(Q531,30)+IF(S531="DUE",15,IF(S531="Next 3 Days",8,0))),0))</f>
        <v/>
      </c>
      <c r="AB531" s="425">
        <f>IF(AND(AC531="Active",OR(N531="Tier 1",N531="Tier 2"),OR(S531="DUE",S531="Next 3 Days")),"YES","")</f>
        <v/>
      </c>
      <c r="AC531" s="425">
        <f>IF(L531="Passed","Archived","Active")</f>
        <v/>
      </c>
    </row>
    <row r="532">
      <c r="A532" s="425" t="inlineStr">
        <is>
          <t>EXOS-0531</t>
        </is>
      </c>
      <c r="B532" s="425" t="inlineStr">
        <is>
          <t>John - Investor Contacts</t>
        </is>
      </c>
      <c r="C532" s="425" t="inlineStr">
        <is>
          <t>Financial Investor</t>
        </is>
      </c>
      <c r="D532" s="425" t="inlineStr">
        <is>
          <t>Matrix Partners</t>
        </is>
      </c>
      <c r="E532" s="425" t="inlineStr">
        <is>
          <t>Ilya Sukhar</t>
        </is>
      </c>
      <c r="F532" s="425" t="inlineStr"/>
      <c r="G532" s="111" t="inlineStr">
        <is>
          <t>ilya@matrix.vc</t>
        </is>
      </c>
      <c r="H532" s="425" t="inlineStr"/>
      <c r="I532" s="425" t="inlineStr"/>
      <c r="J532" s="111" t="inlineStr">
        <is>
          <t>https://www.linkedin.com/in/ilyasukhar/</t>
        </is>
      </c>
      <c r="K532" s="426" t="inlineStr">
        <is>
          <t>John Quinn</t>
        </is>
      </c>
      <c r="L532" s="426" t="inlineStr">
        <is>
          <t>Follow Up</t>
        </is>
      </c>
      <c r="M532" s="425" t="inlineStr">
        <is>
          <t>Space / Defense / Aerospace / Advanced Manufacturing</t>
        </is>
      </c>
      <c r="N532" s="426" t="inlineStr">
        <is>
          <t>Tier 2</t>
        </is>
      </c>
      <c r="O532" s="441" t="n">
        <v>45792</v>
      </c>
      <c r="P532" s="441" t="n">
        <v>45841</v>
      </c>
      <c r="Q532" s="425">
        <f>IF(P532="","",TODAY()-P532)</f>
        <v/>
      </c>
      <c r="R532" s="441">
        <f>IF(OR(L532="Passed",Z532=""),"",P532+Z532)</f>
        <v/>
      </c>
      <c r="S532" s="425">
        <f>IF(OR(R532="",L532="Passed"),"",IF(R532&lt;=TODAY(),"DUE",IF(R532&lt;=TODAY()+3,"Next 3 Days","Later")))</f>
        <v/>
      </c>
      <c r="T532" s="425" t="inlineStr"/>
      <c r="U532" s="426" t="inlineStr">
        <is>
          <t>https://www.linkedin.com/in/ilyasukhar/</t>
        </is>
      </c>
      <c r="V532" s="426" t="inlineStr"/>
      <c r="W532" s="428" t="inlineStr">
        <is>
          <t xml:space="preserve"> |  | </t>
        </is>
      </c>
      <c r="X532" s="425" t="inlineStr">
        <is>
          <t>John - Investor Contacts!32</t>
        </is>
      </c>
      <c r="Y532" s="426" t="inlineStr">
        <is>
          <t>Send next follow-up with traction + CTA</t>
        </is>
      </c>
      <c r="Z532" s="425" t="n">
        <v>7</v>
      </c>
      <c r="AA532" s="425">
        <f>IF(AC532="Archived",0,ROUND((IF(N532="Tier 1",35,IF(N532="Tier 2",20,8))+IF(C532="Financial Investor",15,IF(C532="Intermediary / Banker",12,8))+IF(L532="Term Sheet / Proposal",25,IF(L532="Engaged",20,IF(L532="Meeting Requested",18,IF(L532="Meeting Held",14,IF(L532="Follow Up",10,5)))))+MIN(Q532,30)+IF(S532="DUE",15,IF(S532="Next 3 Days",8,0))),0))</f>
        <v/>
      </c>
      <c r="AB532" s="425">
        <f>IF(AND(AC532="Active",OR(N532="Tier 1",N532="Tier 2"),OR(S532="DUE",S532="Next 3 Days")),"YES","")</f>
        <v/>
      </c>
      <c r="AC532" s="425">
        <f>IF(L532="Passed","Archived","Active")</f>
        <v/>
      </c>
    </row>
    <row r="533">
      <c r="A533" s="425" t="inlineStr">
        <is>
          <t>EXOS-0532</t>
        </is>
      </c>
      <c r="B533" s="425" t="inlineStr">
        <is>
          <t>John - Investor Contacts</t>
        </is>
      </c>
      <c r="C533" s="425" t="inlineStr">
        <is>
          <t>Financial Investor</t>
        </is>
      </c>
      <c r="D533" s="425" t="inlineStr">
        <is>
          <t>Matrix Partners</t>
        </is>
      </c>
      <c r="E533" s="425" t="inlineStr">
        <is>
          <t>Kojo Osei</t>
        </is>
      </c>
      <c r="F533" s="425" t="inlineStr"/>
      <c r="G533" s="111" t="inlineStr">
        <is>
          <t>kojo@matrix.vc</t>
        </is>
      </c>
      <c r="H533" s="425" t="inlineStr"/>
      <c r="I533" s="425" t="inlineStr"/>
      <c r="J533" s="111" t="inlineStr">
        <is>
          <t>https://www.linkedin.com/in/kwosei/</t>
        </is>
      </c>
      <c r="K533" s="426" t="inlineStr">
        <is>
          <t>John Quinn</t>
        </is>
      </c>
      <c r="L533" s="426" t="inlineStr">
        <is>
          <t>Follow Up</t>
        </is>
      </c>
      <c r="M533" s="425" t="inlineStr">
        <is>
          <t>Space / Defense / Aerospace / Advanced Manufacturing</t>
        </is>
      </c>
      <c r="N533" s="426" t="inlineStr">
        <is>
          <t>Tier 2</t>
        </is>
      </c>
      <c r="O533" s="441" t="n">
        <v>45792</v>
      </c>
      <c r="P533" s="441" t="n">
        <v>45841</v>
      </c>
      <c r="Q533" s="425">
        <f>IF(P533="","",TODAY()-P533)</f>
        <v/>
      </c>
      <c r="R533" s="441">
        <f>IF(OR(L533="Passed",Z533=""),"",P533+Z533)</f>
        <v/>
      </c>
      <c r="S533" s="425">
        <f>IF(OR(R533="",L533="Passed"),"",IF(R533&lt;=TODAY(),"DUE",IF(R533&lt;=TODAY()+3,"Next 3 Days","Later")))</f>
        <v/>
      </c>
      <c r="T533" s="425" t="inlineStr"/>
      <c r="U533" s="426" t="inlineStr">
        <is>
          <t>https://www.linkedin.com/in/kwosei/</t>
        </is>
      </c>
      <c r="V533" s="426" t="inlineStr"/>
      <c r="W533" s="428" t="inlineStr">
        <is>
          <t xml:space="preserve"> |  | </t>
        </is>
      </c>
      <c r="X533" s="425" t="inlineStr">
        <is>
          <t>John - Investor Contacts!31</t>
        </is>
      </c>
      <c r="Y533" s="426" t="inlineStr">
        <is>
          <t>Send next follow-up with traction + CTA</t>
        </is>
      </c>
      <c r="Z533" s="425" t="n">
        <v>7</v>
      </c>
      <c r="AA533" s="425">
        <f>IF(AC533="Archived",0,ROUND((IF(N533="Tier 1",35,IF(N533="Tier 2",20,8))+IF(C533="Financial Investor",15,IF(C533="Intermediary / Banker",12,8))+IF(L533="Term Sheet / Proposal",25,IF(L533="Engaged",20,IF(L533="Meeting Requested",18,IF(L533="Meeting Held",14,IF(L533="Follow Up",10,5)))))+MIN(Q533,30)+IF(S533="DUE",15,IF(S533="Next 3 Days",8,0))),0))</f>
        <v/>
      </c>
      <c r="AB533" s="425">
        <f>IF(AND(AC533="Active",OR(N533="Tier 1",N533="Tier 2"),OR(S533="DUE",S533="Next 3 Days")),"YES","")</f>
        <v/>
      </c>
      <c r="AC533" s="425">
        <f>IF(L533="Passed","Archived","Active")</f>
        <v/>
      </c>
    </row>
    <row r="534">
      <c r="A534" s="425" t="inlineStr">
        <is>
          <t>EXOS-0533</t>
        </is>
      </c>
      <c r="B534" s="425" t="inlineStr">
        <is>
          <t>John - Investor Contacts</t>
        </is>
      </c>
      <c r="C534" s="425" t="inlineStr">
        <is>
          <t>Financial Investor</t>
        </is>
      </c>
      <c r="D534" s="425" t="inlineStr">
        <is>
          <t>Matrix Partners</t>
        </is>
      </c>
      <c r="E534" s="425" t="inlineStr">
        <is>
          <t>Stan Reiss</t>
        </is>
      </c>
      <c r="F534" s="425" t="inlineStr"/>
      <c r="G534" s="111" t="inlineStr">
        <is>
          <t>stan@matrix.vc</t>
        </is>
      </c>
      <c r="H534" s="425" t="inlineStr"/>
      <c r="I534" s="425" t="inlineStr"/>
      <c r="J534" s="111" t="inlineStr">
        <is>
          <t>https://www.linkedin.com/in/stanreiss/</t>
        </is>
      </c>
      <c r="K534" s="426" t="inlineStr">
        <is>
          <t>John Quinn</t>
        </is>
      </c>
      <c r="L534" s="426" t="inlineStr">
        <is>
          <t>Follow Up</t>
        </is>
      </c>
      <c r="M534" s="425" t="inlineStr">
        <is>
          <t>Space / Defense / Aerospace / Advanced Manufacturing</t>
        </is>
      </c>
      <c r="N534" s="426" t="inlineStr">
        <is>
          <t>Tier 2</t>
        </is>
      </c>
      <c r="O534" s="441" t="n">
        <v>45792</v>
      </c>
      <c r="P534" s="441" t="n">
        <v>45841</v>
      </c>
      <c r="Q534" s="425">
        <f>IF(P534="","",TODAY()-P534)</f>
        <v/>
      </c>
      <c r="R534" s="441">
        <f>IF(OR(L534="Passed",Z534=""),"",P534+Z534)</f>
        <v/>
      </c>
      <c r="S534" s="425">
        <f>IF(OR(R534="",L534="Passed"),"",IF(R534&lt;=TODAY(),"DUE",IF(R534&lt;=TODAY()+3,"Next 3 Days","Later")))</f>
        <v/>
      </c>
      <c r="T534" s="425" t="inlineStr"/>
      <c r="U534" s="426" t="inlineStr">
        <is>
          <t>https://www.linkedin.com/in/stanreiss/</t>
        </is>
      </c>
      <c r="V534" s="426" t="inlineStr"/>
      <c r="W534" s="428" t="inlineStr">
        <is>
          <t xml:space="preserve"> |  | </t>
        </is>
      </c>
      <c r="X534" s="425" t="inlineStr">
        <is>
          <t>John - Investor Contacts!33</t>
        </is>
      </c>
      <c r="Y534" s="426" t="inlineStr">
        <is>
          <t>Send next follow-up with traction + CTA</t>
        </is>
      </c>
      <c r="Z534" s="425" t="n">
        <v>7</v>
      </c>
      <c r="AA534" s="425">
        <f>IF(AC534="Archived",0,ROUND((IF(N534="Tier 1",35,IF(N534="Tier 2",20,8))+IF(C534="Financial Investor",15,IF(C534="Intermediary / Banker",12,8))+IF(L534="Term Sheet / Proposal",25,IF(L534="Engaged",20,IF(L534="Meeting Requested",18,IF(L534="Meeting Held",14,IF(L534="Follow Up",10,5)))))+MIN(Q534,30)+IF(S534="DUE",15,IF(S534="Next 3 Days",8,0))),0))</f>
        <v/>
      </c>
      <c r="AB534" s="425">
        <f>IF(AND(AC534="Active",OR(N534="Tier 1",N534="Tier 2"),OR(S534="DUE",S534="Next 3 Days")),"YES","")</f>
        <v/>
      </c>
      <c r="AC534" s="425">
        <f>IF(L534="Passed","Archived","Active")</f>
        <v/>
      </c>
    </row>
    <row r="535">
      <c r="A535" s="425" t="inlineStr">
        <is>
          <t>EXOS-0534</t>
        </is>
      </c>
      <c r="B535" s="425" t="inlineStr">
        <is>
          <t>John - Investor Contacts</t>
        </is>
      </c>
      <c r="C535" s="425" t="inlineStr">
        <is>
          <t>Financial Investor</t>
        </is>
      </c>
      <c r="D535" s="425" t="inlineStr">
        <is>
          <t>Maveron</t>
        </is>
      </c>
      <c r="E535" s="425" t="inlineStr">
        <is>
          <t>Dan Levitan</t>
        </is>
      </c>
      <c r="F535" s="425" t="inlineStr"/>
      <c r="G535" s="111" t="inlineStr">
        <is>
          <t>dlevitan@maveron.com</t>
        </is>
      </c>
      <c r="H535" s="425" t="inlineStr"/>
      <c r="I535" s="425" t="inlineStr"/>
      <c r="J535" s="111" t="inlineStr">
        <is>
          <t>https://www.linkedin.com/in/dlevitan/</t>
        </is>
      </c>
      <c r="K535" s="426" t="inlineStr">
        <is>
          <t>John Quinn</t>
        </is>
      </c>
      <c r="L535" s="426" t="inlineStr">
        <is>
          <t>Follow Up</t>
        </is>
      </c>
      <c r="M535" s="425" t="inlineStr">
        <is>
          <t>Space / Defense / Aerospace / Advanced Manufacturing</t>
        </is>
      </c>
      <c r="N535" s="426" t="inlineStr">
        <is>
          <t>Tier 2</t>
        </is>
      </c>
      <c r="O535" s="441" t="n">
        <v>45792</v>
      </c>
      <c r="P535" s="441" t="n">
        <v>45841</v>
      </c>
      <c r="Q535" s="425">
        <f>IF(P535="","",TODAY()-P535)</f>
        <v/>
      </c>
      <c r="R535" s="441">
        <f>IF(OR(L535="Passed",Z535=""),"",P535+Z535)</f>
        <v/>
      </c>
      <c r="S535" s="425">
        <f>IF(OR(R535="",L535="Passed"),"",IF(R535&lt;=TODAY(),"DUE",IF(R535&lt;=TODAY()+3,"Next 3 Days","Later")))</f>
        <v/>
      </c>
      <c r="T535" s="425" t="inlineStr"/>
      <c r="U535" s="426" t="inlineStr">
        <is>
          <t>https://www.linkedin.com/in/dlevitan/</t>
        </is>
      </c>
      <c r="V535" s="426" t="inlineStr"/>
      <c r="W535" s="428" t="inlineStr">
        <is>
          <t xml:space="preserve"> | out of office till 6/15 | </t>
        </is>
      </c>
      <c r="X535" s="425" t="inlineStr">
        <is>
          <t>John - Investor Contacts!60</t>
        </is>
      </c>
      <c r="Y535" s="426" t="inlineStr">
        <is>
          <t>Send next follow-up with traction + CTA</t>
        </is>
      </c>
      <c r="Z535" s="425" t="n">
        <v>7</v>
      </c>
      <c r="AA535" s="425">
        <f>IF(AC535="Archived",0,ROUND((IF(N535="Tier 1",35,IF(N535="Tier 2",20,8))+IF(C535="Financial Investor",15,IF(C535="Intermediary / Banker",12,8))+IF(L535="Term Sheet / Proposal",25,IF(L535="Engaged",20,IF(L535="Meeting Requested",18,IF(L535="Meeting Held",14,IF(L535="Follow Up",10,5)))))+MIN(Q535,30)+IF(S535="DUE",15,IF(S535="Next 3 Days",8,0))),0))</f>
        <v/>
      </c>
      <c r="AB535" s="425">
        <f>IF(AND(AC535="Active",OR(N535="Tier 1",N535="Tier 2"),OR(S535="DUE",S535="Next 3 Days")),"YES","")</f>
        <v/>
      </c>
      <c r="AC535" s="425">
        <f>IF(L535="Passed","Archived","Active")</f>
        <v/>
      </c>
    </row>
    <row r="536">
      <c r="A536" s="425" t="inlineStr">
        <is>
          <t>EXOS-0535</t>
        </is>
      </c>
      <c r="B536" s="425" t="inlineStr">
        <is>
          <t>John - Investor Contacts</t>
        </is>
      </c>
      <c r="C536" s="425" t="inlineStr">
        <is>
          <t>Financial Investor</t>
        </is>
      </c>
      <c r="D536" s="425" t="inlineStr">
        <is>
          <t>McKesson Ventures</t>
        </is>
      </c>
      <c r="E536" s="425" t="inlineStr">
        <is>
          <t>Lizzie Lee</t>
        </is>
      </c>
      <c r="F536" s="425" t="inlineStr"/>
      <c r="G536" s="111" t="inlineStr">
        <is>
          <t>elizabeth.lee@mckesson.com</t>
        </is>
      </c>
      <c r="H536" s="425" t="inlineStr"/>
      <c r="I536" s="425" t="inlineStr"/>
      <c r="J536" s="111" t="inlineStr">
        <is>
          <t>https://www.linkedin.com/in/elizabeth-evans-lee/</t>
        </is>
      </c>
      <c r="K536" s="426" t="inlineStr">
        <is>
          <t>John Quinn</t>
        </is>
      </c>
      <c r="L536" s="426" t="inlineStr">
        <is>
          <t>Follow Up</t>
        </is>
      </c>
      <c r="M536" s="425" t="inlineStr">
        <is>
          <t>Space / Defense / Aerospace / Advanced Manufacturing</t>
        </is>
      </c>
      <c r="N536" s="426" t="inlineStr">
        <is>
          <t>Tier 2</t>
        </is>
      </c>
      <c r="O536" s="441" t="n">
        <v>45930</v>
      </c>
      <c r="P536" s="441" t="n">
        <v>45973</v>
      </c>
      <c r="Q536" s="425">
        <f>IF(P536="","",TODAY()-P536)</f>
        <v/>
      </c>
      <c r="R536" s="441">
        <f>IF(OR(L536="Passed",Z536=""),"",P536+Z536)</f>
        <v/>
      </c>
      <c r="S536" s="425">
        <f>IF(OR(R536="",L536="Passed"),"",IF(R536&lt;=TODAY(),"DUE",IF(R536&lt;=TODAY()+3,"Next 3 Days","Later")))</f>
        <v/>
      </c>
      <c r="T536" s="425" t="inlineStr"/>
      <c r="U536" s="426" t="inlineStr">
        <is>
          <t>https://www.linkedin.com/in/elizabeth-evans-lee/</t>
        </is>
      </c>
      <c r="V536" s="426" t="inlineStr"/>
      <c r="W536" s="428" t="inlineStr">
        <is>
          <t xml:space="preserve"> | 12/19/2025 | </t>
        </is>
      </c>
      <c r="X536" s="425" t="inlineStr">
        <is>
          <t>John - Investor Contacts!690</t>
        </is>
      </c>
      <c r="Y536" s="426" t="inlineStr">
        <is>
          <t>Send next follow-up with traction + CTA</t>
        </is>
      </c>
      <c r="Z536" s="425" t="n">
        <v>7</v>
      </c>
      <c r="AA536" s="425">
        <f>IF(AC536="Archived",0,ROUND((IF(N536="Tier 1",35,IF(N536="Tier 2",20,8))+IF(C536="Financial Investor",15,IF(C536="Intermediary / Banker",12,8))+IF(L536="Term Sheet / Proposal",25,IF(L536="Engaged",20,IF(L536="Meeting Requested",18,IF(L536="Meeting Held",14,IF(L536="Follow Up",10,5)))))+MIN(Q536,30)+IF(S536="DUE",15,IF(S536="Next 3 Days",8,0))),0))</f>
        <v/>
      </c>
      <c r="AB536" s="425">
        <f>IF(AND(AC536="Active",OR(N536="Tier 1",N536="Tier 2"),OR(S536="DUE",S536="Next 3 Days")),"YES","")</f>
        <v/>
      </c>
      <c r="AC536" s="425">
        <f>IF(L536="Passed","Archived","Active")</f>
        <v/>
      </c>
    </row>
    <row r="537">
      <c r="A537" s="425" t="inlineStr">
        <is>
          <t>EXOS-0536</t>
        </is>
      </c>
      <c r="B537" s="425" t="inlineStr">
        <is>
          <t>John - Investor Contacts</t>
        </is>
      </c>
      <c r="C537" s="425" t="inlineStr">
        <is>
          <t>Financial Investor</t>
        </is>
      </c>
      <c r="D537" s="425" t="inlineStr">
        <is>
          <t>Menlo Ventures</t>
        </is>
      </c>
      <c r="E537" s="425" t="inlineStr">
        <is>
          <t>Matt Murphy</t>
        </is>
      </c>
      <c r="F537" s="425" t="inlineStr"/>
      <c r="G537" s="111" t="inlineStr">
        <is>
          <t>matt@menlovc.com</t>
        </is>
      </c>
      <c r="H537" s="425" t="inlineStr"/>
      <c r="I537" s="425" t="inlineStr"/>
      <c r="J537" s="111" t="inlineStr">
        <is>
          <t>https://www.linkedin.com/in/matt-murphy-0415543/</t>
        </is>
      </c>
      <c r="K537" s="426" t="inlineStr">
        <is>
          <t>John Quinn</t>
        </is>
      </c>
      <c r="L537" s="426" t="inlineStr">
        <is>
          <t>Follow Up</t>
        </is>
      </c>
      <c r="M537" s="425" t="inlineStr">
        <is>
          <t>Space / Defense / Aerospace / Advanced Manufacturing</t>
        </is>
      </c>
      <c r="N537" s="426" t="inlineStr">
        <is>
          <t>Tier 2</t>
        </is>
      </c>
      <c r="O537" s="441" t="n">
        <v>45792</v>
      </c>
      <c r="P537" s="441" t="n">
        <v>45841</v>
      </c>
      <c r="Q537" s="425">
        <f>IF(P537="","",TODAY()-P537)</f>
        <v/>
      </c>
      <c r="R537" s="441">
        <f>IF(OR(L537="Passed",Z537=""),"",P537+Z537)</f>
        <v/>
      </c>
      <c r="S537" s="425">
        <f>IF(OR(R537="",L537="Passed"),"",IF(R537&lt;=TODAY(),"DUE",IF(R537&lt;=TODAY()+3,"Next 3 Days","Later")))</f>
        <v/>
      </c>
      <c r="T537" s="425" t="inlineStr"/>
      <c r="U537" s="426" t="inlineStr">
        <is>
          <t>https://www.linkedin.com/in/matt-murphy-0415543/</t>
        </is>
      </c>
      <c r="V537" s="426" t="inlineStr"/>
      <c r="W537" s="428" t="inlineStr">
        <is>
          <t xml:space="preserve"> |  | </t>
        </is>
      </c>
      <c r="X537" s="425" t="inlineStr">
        <is>
          <t>John - Investor Contacts!29</t>
        </is>
      </c>
      <c r="Y537" s="426" t="inlineStr">
        <is>
          <t>Send next follow-up with traction + CTA</t>
        </is>
      </c>
      <c r="Z537" s="425" t="n">
        <v>7</v>
      </c>
      <c r="AA537" s="425">
        <f>IF(AC537="Archived",0,ROUND((IF(N537="Tier 1",35,IF(N537="Tier 2",20,8))+IF(C537="Financial Investor",15,IF(C537="Intermediary / Banker",12,8))+IF(L537="Term Sheet / Proposal",25,IF(L537="Engaged",20,IF(L537="Meeting Requested",18,IF(L537="Meeting Held",14,IF(L537="Follow Up",10,5)))))+MIN(Q537,30)+IF(S537="DUE",15,IF(S537="Next 3 Days",8,0))),0))</f>
        <v/>
      </c>
      <c r="AB537" s="425">
        <f>IF(AND(AC537="Active",OR(N537="Tier 1",N537="Tier 2"),OR(S537="DUE",S537="Next 3 Days")),"YES","")</f>
        <v/>
      </c>
      <c r="AC537" s="425">
        <f>IF(L537="Passed","Archived","Active")</f>
        <v/>
      </c>
    </row>
    <row r="538">
      <c r="A538" s="425" t="inlineStr">
        <is>
          <t>EXOS-0537</t>
        </is>
      </c>
      <c r="B538" s="425" t="inlineStr">
        <is>
          <t>John - Investor Contacts</t>
        </is>
      </c>
      <c r="C538" s="425" t="inlineStr">
        <is>
          <t>Financial Investor</t>
        </is>
      </c>
      <c r="D538" s="425" t="inlineStr">
        <is>
          <t>Menlo Ventures</t>
        </is>
      </c>
      <c r="E538" s="425" t="inlineStr">
        <is>
          <t>Tim Tully</t>
        </is>
      </c>
      <c r="F538" s="425" t="inlineStr"/>
      <c r="G538" s="111" t="inlineStr">
        <is>
          <t>tim@menlovc.com</t>
        </is>
      </c>
      <c r="H538" s="425" t="inlineStr"/>
      <c r="I538" s="425" t="inlineStr"/>
      <c r="J538" s="111" t="inlineStr">
        <is>
          <t>https://www.linkedin.com/in/timothytully/</t>
        </is>
      </c>
      <c r="K538" s="426" t="inlineStr">
        <is>
          <t>John Quinn</t>
        </is>
      </c>
      <c r="L538" s="426" t="inlineStr">
        <is>
          <t>Follow Up</t>
        </is>
      </c>
      <c r="M538" s="425" t="inlineStr">
        <is>
          <t>Space / Defense / Aerospace / Advanced Manufacturing</t>
        </is>
      </c>
      <c r="N538" s="426" t="inlineStr">
        <is>
          <t>Tier 2</t>
        </is>
      </c>
      <c r="O538" s="441" t="n">
        <v>45792</v>
      </c>
      <c r="P538" s="441" t="n">
        <v>45841</v>
      </c>
      <c r="Q538" s="425">
        <f>IF(P538="","",TODAY()-P538)</f>
        <v/>
      </c>
      <c r="R538" s="441">
        <f>IF(OR(L538="Passed",Z538=""),"",P538+Z538)</f>
        <v/>
      </c>
      <c r="S538" s="425">
        <f>IF(OR(R538="",L538="Passed"),"",IF(R538&lt;=TODAY(),"DUE",IF(R538&lt;=TODAY()+3,"Next 3 Days","Later")))</f>
        <v/>
      </c>
      <c r="T538" s="425" t="inlineStr"/>
      <c r="U538" s="426" t="inlineStr">
        <is>
          <t>https://www.linkedin.com/in/timothytully/</t>
        </is>
      </c>
      <c r="V538" s="426" t="inlineStr"/>
      <c r="W538" s="428" t="inlineStr">
        <is>
          <t xml:space="preserve"> |  | </t>
        </is>
      </c>
      <c r="X538" s="425" t="inlineStr">
        <is>
          <t>John - Investor Contacts!28</t>
        </is>
      </c>
      <c r="Y538" s="426" t="inlineStr">
        <is>
          <t>Send next follow-up with traction + CTA</t>
        </is>
      </c>
      <c r="Z538" s="425" t="n">
        <v>7</v>
      </c>
      <c r="AA538" s="425">
        <f>IF(AC538="Archived",0,ROUND((IF(N538="Tier 1",35,IF(N538="Tier 2",20,8))+IF(C538="Financial Investor",15,IF(C538="Intermediary / Banker",12,8))+IF(L538="Term Sheet / Proposal",25,IF(L538="Engaged",20,IF(L538="Meeting Requested",18,IF(L538="Meeting Held",14,IF(L538="Follow Up",10,5)))))+MIN(Q538,30)+IF(S538="DUE",15,IF(S538="Next 3 Days",8,0))),0))</f>
        <v/>
      </c>
      <c r="AB538" s="425">
        <f>IF(AND(AC538="Active",OR(N538="Tier 1",N538="Tier 2"),OR(S538="DUE",S538="Next 3 Days")),"YES","")</f>
        <v/>
      </c>
      <c r="AC538" s="425">
        <f>IF(L538="Passed","Archived","Active")</f>
        <v/>
      </c>
    </row>
    <row r="539">
      <c r="A539" s="425" t="inlineStr">
        <is>
          <t>EXOS-0538</t>
        </is>
      </c>
      <c r="B539" s="425" t="inlineStr">
        <is>
          <t>John - Investor Contacts</t>
        </is>
      </c>
      <c r="C539" s="425" t="inlineStr">
        <is>
          <t>Financial Investor</t>
        </is>
      </c>
      <c r="D539" s="425" t="inlineStr">
        <is>
          <t>Mercury Fund</t>
        </is>
      </c>
      <c r="E539" s="425" t="inlineStr">
        <is>
          <t>Adrian Fortino</t>
        </is>
      </c>
      <c r="F539" s="425" t="inlineStr"/>
      <c r="G539" s="111" t="inlineStr">
        <is>
          <t>adrian@mercuryfund.com</t>
        </is>
      </c>
      <c r="H539" s="425" t="inlineStr"/>
      <c r="I539" s="425" t="inlineStr"/>
      <c r="J539" s="111" t="inlineStr">
        <is>
          <t>https://www.linkedin.com/in/adrianfortino/</t>
        </is>
      </c>
      <c r="K539" s="426" t="inlineStr">
        <is>
          <t>John Quinn</t>
        </is>
      </c>
      <c r="L539" s="426" t="inlineStr">
        <is>
          <t>Follow Up</t>
        </is>
      </c>
      <c r="M539" s="425" t="inlineStr">
        <is>
          <t>Space / Defense / Aerospace / Advanced Manufacturing</t>
        </is>
      </c>
      <c r="N539" s="426" t="inlineStr">
        <is>
          <t>Tier 2</t>
        </is>
      </c>
      <c r="O539" s="441" t="n">
        <v>45902</v>
      </c>
      <c r="P539" s="441" t="n">
        <v>45929</v>
      </c>
      <c r="Q539" s="425">
        <f>IF(P539="","",TODAY()-P539)</f>
        <v/>
      </c>
      <c r="R539" s="441">
        <f>IF(OR(L539="Passed",Z539=""),"",P539+Z539)</f>
        <v/>
      </c>
      <c r="S539" s="425">
        <f>IF(OR(R539="",L539="Passed"),"",IF(R539&lt;=TODAY(),"DUE",IF(R539&lt;=TODAY()+3,"Next 3 Days","Later")))</f>
        <v/>
      </c>
      <c r="T539" s="425" t="inlineStr"/>
      <c r="U539" s="426" t="inlineStr">
        <is>
          <t>https://www.linkedin.com/in/adrianfortino/</t>
        </is>
      </c>
      <c r="V539" s="426" t="inlineStr"/>
      <c r="W539" s="428" t="inlineStr">
        <is>
          <t xml:space="preserve"> | 12/05/2025 | </t>
        </is>
      </c>
      <c r="X539" s="425" t="inlineStr">
        <is>
          <t>John - Investor Contacts!593</t>
        </is>
      </c>
      <c r="Y539" s="426" t="inlineStr">
        <is>
          <t>Send next follow-up with traction + CTA</t>
        </is>
      </c>
      <c r="Z539" s="425" t="n">
        <v>7</v>
      </c>
      <c r="AA539" s="425">
        <f>IF(AC539="Archived",0,ROUND((IF(N539="Tier 1",35,IF(N539="Tier 2",20,8))+IF(C539="Financial Investor",15,IF(C539="Intermediary / Banker",12,8))+IF(L539="Term Sheet / Proposal",25,IF(L539="Engaged",20,IF(L539="Meeting Requested",18,IF(L539="Meeting Held",14,IF(L539="Follow Up",10,5)))))+MIN(Q539,30)+IF(S539="DUE",15,IF(S539="Next 3 Days",8,0))),0))</f>
        <v/>
      </c>
      <c r="AB539" s="425">
        <f>IF(AND(AC539="Active",OR(N539="Tier 1",N539="Tier 2"),OR(S539="DUE",S539="Next 3 Days")),"YES","")</f>
        <v/>
      </c>
      <c r="AC539" s="425">
        <f>IF(L539="Passed","Archived","Active")</f>
        <v/>
      </c>
    </row>
    <row r="540">
      <c r="A540" s="425" t="inlineStr">
        <is>
          <t>EXOS-0539</t>
        </is>
      </c>
      <c r="B540" s="425" t="inlineStr">
        <is>
          <t>OSC</t>
        </is>
      </c>
      <c r="C540" s="425" t="inlineStr">
        <is>
          <t>Financial Investor</t>
        </is>
      </c>
      <c r="D540" s="425" t="inlineStr">
        <is>
          <t>Michigan Capital</t>
        </is>
      </c>
      <c r="E540" s="425" t="inlineStr">
        <is>
          <t>Dale Grogan</t>
        </is>
      </c>
      <c r="F540" s="425" t="inlineStr"/>
      <c r="G540" s="111" t="inlineStr">
        <is>
          <t>dale@michigancapitalnetwork.com</t>
        </is>
      </c>
      <c r="H540" s="425" t="inlineStr"/>
      <c r="I540" s="425" t="inlineStr">
        <is>
          <t>616.644.6024</t>
        </is>
      </c>
      <c r="J540" s="425" t="inlineStr"/>
      <c r="K540" s="426" t="inlineStr">
        <is>
          <t>John Quinn</t>
        </is>
      </c>
      <c r="L540" s="426" t="inlineStr">
        <is>
          <t>Follow Up</t>
        </is>
      </c>
      <c r="M540" s="425" t="inlineStr">
        <is>
          <t>Space / Defense / Aerospace / Advanced Manufacturing</t>
        </is>
      </c>
      <c r="N540" s="426" t="inlineStr">
        <is>
          <t>Tier 2</t>
        </is>
      </c>
      <c r="O540" s="441" t="n">
        <v>45853</v>
      </c>
      <c r="P540" s="441" t="n">
        <v>45922</v>
      </c>
      <c r="Q540" s="425">
        <f>IF(P540="","",TODAY()-P540)</f>
        <v/>
      </c>
      <c r="R540" s="441">
        <f>IF(OR(L540="Passed",Z540=""),"",P540+Z540)</f>
        <v/>
      </c>
      <c r="S540" s="425">
        <f>IF(OR(R540="",L540="Passed"),"",IF(R540&lt;=TODAY(),"DUE",IF(R540&lt;=TODAY()+3,"Next 3 Days","Later")))</f>
        <v/>
      </c>
      <c r="T540" s="425" t="inlineStr"/>
      <c r="U540" s="426" t="inlineStr"/>
      <c r="V540" s="426" t="inlineStr"/>
      <c r="W540" s="428" t="inlineStr"/>
      <c r="X540" s="425" t="inlineStr">
        <is>
          <t>OSC!34</t>
        </is>
      </c>
      <c r="Y540" s="426" t="inlineStr">
        <is>
          <t>Send next follow-up with traction + CTA</t>
        </is>
      </c>
      <c r="Z540" s="425" t="n">
        <v>7</v>
      </c>
      <c r="AA540" s="425">
        <f>IF(AC540="Archived",0,ROUND((IF(N540="Tier 1",35,IF(N540="Tier 2",20,8))+IF(C540="Financial Investor",15,IF(C540="Intermediary / Banker",12,8))+IF(L540="Term Sheet / Proposal",25,IF(L540="Engaged",20,IF(L540="Meeting Requested",18,IF(L540="Meeting Held",14,IF(L540="Follow Up",10,5)))))+MIN(Q540,30)+IF(S540="DUE",15,IF(S540="Next 3 Days",8,0))),0))</f>
        <v/>
      </c>
      <c r="AB540" s="425">
        <f>IF(AND(AC540="Active",OR(N540="Tier 1",N540="Tier 2"),OR(S540="DUE",S540="Next 3 Days")),"YES","")</f>
        <v/>
      </c>
      <c r="AC540" s="425">
        <f>IF(L540="Passed","Archived","Active")</f>
        <v/>
      </c>
    </row>
    <row r="541">
      <c r="A541" s="425" t="inlineStr">
        <is>
          <t>EXOS-0540</t>
        </is>
      </c>
      <c r="B541" s="425" t="inlineStr">
        <is>
          <t>John - Investor Contacts | OSC</t>
        </is>
      </c>
      <c r="C541" s="425" t="inlineStr">
        <is>
          <t>Financial Investor</t>
        </is>
      </c>
      <c r="D541" s="425" t="inlineStr">
        <is>
          <t>Michigan Capital</t>
        </is>
      </c>
      <c r="E541" s="425" t="inlineStr">
        <is>
          <t>Paul Damato</t>
        </is>
      </c>
      <c r="F541" s="425" t="inlineStr"/>
      <c r="G541" s="111" t="inlineStr">
        <is>
          <t>paul@michigancapitalnetwork.com</t>
        </is>
      </c>
      <c r="H541" s="425" t="inlineStr"/>
      <c r="I541" s="425" t="inlineStr"/>
      <c r="J541" s="111" t="inlineStr">
        <is>
          <t>https://www.linkedin.com/in/paul-damato-405536a</t>
        </is>
      </c>
      <c r="K541" s="426" t="inlineStr">
        <is>
          <t>John Quinn</t>
        </is>
      </c>
      <c r="L541" s="426" t="inlineStr">
        <is>
          <t>Follow Up</t>
        </is>
      </c>
      <c r="M541" s="425" t="inlineStr">
        <is>
          <t>Space / Defense / Aerospace / Advanced Manufacturing</t>
        </is>
      </c>
      <c r="N541" s="426" t="inlineStr">
        <is>
          <t>Tier 2</t>
        </is>
      </c>
      <c r="O541" s="441" t="n">
        <v>45814</v>
      </c>
      <c r="P541" s="441" t="n">
        <v>45922</v>
      </c>
      <c r="Q541" s="425">
        <f>IF(P541="","",TODAY()-P541)</f>
        <v/>
      </c>
      <c r="R541" s="441">
        <f>IF(OR(L541="Passed",Z541=""),"",P541+Z541)</f>
        <v/>
      </c>
      <c r="S541" s="425">
        <f>IF(OR(R541="",L541="Passed"),"",IF(R541&lt;=TODAY(),"DUE",IF(R541&lt;=TODAY()+3,"Next 3 Days","Later")))</f>
        <v/>
      </c>
      <c r="T541" s="425" t="inlineStr"/>
      <c r="U541" s="426" t="inlineStr">
        <is>
          <t>https://www.linkedin.com/in/paul-damato-405536a</t>
        </is>
      </c>
      <c r="V541" s="426" t="inlineStr"/>
      <c r="W541" s="428" t="inlineStr"/>
      <c r="X541" s="425" t="inlineStr">
        <is>
          <t>John - Investor Contacts!139 | OSC!7</t>
        </is>
      </c>
      <c r="Y541" s="426" t="inlineStr">
        <is>
          <t>Send next follow-up with traction + CTA</t>
        </is>
      </c>
      <c r="Z541" s="425" t="n">
        <v>7</v>
      </c>
      <c r="AA541" s="425">
        <f>IF(AC541="Archived",0,ROUND((IF(N541="Tier 1",35,IF(N541="Tier 2",20,8))+IF(C541="Financial Investor",15,IF(C541="Intermediary / Banker",12,8))+IF(L541="Term Sheet / Proposal",25,IF(L541="Engaged",20,IF(L541="Meeting Requested",18,IF(L541="Meeting Held",14,IF(L541="Follow Up",10,5)))))+MIN(Q541,30)+IF(S541="DUE",15,IF(S541="Next 3 Days",8,0))),0))</f>
        <v/>
      </c>
      <c r="AB541" s="425">
        <f>IF(AND(AC541="Active",OR(N541="Tier 1",N541="Tier 2"),OR(S541="DUE",S541="Next 3 Days")),"YES","")</f>
        <v/>
      </c>
      <c r="AC541" s="425">
        <f>IF(L541="Passed","Archived","Active")</f>
        <v/>
      </c>
    </row>
    <row r="542">
      <c r="A542" s="425" t="inlineStr">
        <is>
          <t>EXOS-0541</t>
        </is>
      </c>
      <c r="B542" s="425" t="inlineStr">
        <is>
          <t>OSC</t>
        </is>
      </c>
      <c r="C542" s="425" t="inlineStr">
        <is>
          <t>Financial Investor</t>
        </is>
      </c>
      <c r="D542" s="425" t="inlineStr">
        <is>
          <t>Michigan Capital</t>
        </is>
      </c>
      <c r="E542" s="425" t="inlineStr">
        <is>
          <t>Sapna Patel</t>
        </is>
      </c>
      <c r="F542" s="425" t="inlineStr"/>
      <c r="G542" s="111" t="inlineStr">
        <is>
          <t>sapna@michigancapitalnetwork.com</t>
        </is>
      </c>
      <c r="H542" s="425" t="inlineStr"/>
      <c r="I542" s="425" t="inlineStr"/>
      <c r="J542" s="425" t="inlineStr"/>
      <c r="K542" s="426" t="inlineStr">
        <is>
          <t>John Quinn</t>
        </is>
      </c>
      <c r="L542" s="426" t="inlineStr">
        <is>
          <t>Follow Up</t>
        </is>
      </c>
      <c r="M542" s="425" t="inlineStr">
        <is>
          <t>Space / Defense / Aerospace / Advanced Manufacturing</t>
        </is>
      </c>
      <c r="N542" s="426" t="inlineStr">
        <is>
          <t>Tier 2</t>
        </is>
      </c>
      <c r="O542" s="441" t="n">
        <v>45853</v>
      </c>
      <c r="P542" s="441" t="n">
        <v>45882</v>
      </c>
      <c r="Q542" s="425">
        <f>IF(P542="","",TODAY()-P542)</f>
        <v/>
      </c>
      <c r="R542" s="441">
        <f>IF(OR(L542="Passed",Z542=""),"",P542+Z542)</f>
        <v/>
      </c>
      <c r="S542" s="425">
        <f>IF(OR(R542="",L542="Passed"),"",IF(R542&lt;=TODAY(),"DUE",IF(R542&lt;=TODAY()+3,"Next 3 Days","Later")))</f>
        <v/>
      </c>
      <c r="T542" s="425" t="inlineStr"/>
      <c r="U542" s="426" t="inlineStr"/>
      <c r="V542" s="426" t="inlineStr"/>
      <c r="W542" s="428" t="inlineStr"/>
      <c r="X542" s="425" t="inlineStr">
        <is>
          <t>OSC!35</t>
        </is>
      </c>
      <c r="Y542" s="426" t="inlineStr">
        <is>
          <t>Send next follow-up with traction + CTA</t>
        </is>
      </c>
      <c r="Z542" s="425" t="n">
        <v>7</v>
      </c>
      <c r="AA542" s="425">
        <f>IF(AC542="Archived",0,ROUND((IF(N542="Tier 1",35,IF(N542="Tier 2",20,8))+IF(C542="Financial Investor",15,IF(C542="Intermediary / Banker",12,8))+IF(L542="Term Sheet / Proposal",25,IF(L542="Engaged",20,IF(L542="Meeting Requested",18,IF(L542="Meeting Held",14,IF(L542="Follow Up",10,5)))))+MIN(Q542,30)+IF(S542="DUE",15,IF(S542="Next 3 Days",8,0))),0))</f>
        <v/>
      </c>
      <c r="AB542" s="425">
        <f>IF(AND(AC542="Active",OR(N542="Tier 1",N542="Tier 2"),OR(S542="DUE",S542="Next 3 Days")),"YES","")</f>
        <v/>
      </c>
      <c r="AC542" s="425">
        <f>IF(L542="Passed","Archived","Active")</f>
        <v/>
      </c>
    </row>
    <row r="543">
      <c r="A543" s="425" t="inlineStr">
        <is>
          <t>EXOS-0542</t>
        </is>
      </c>
      <c r="B543" s="425" t="inlineStr">
        <is>
          <t>John - Investor Contacts</t>
        </is>
      </c>
      <c r="C543" s="425" t="inlineStr">
        <is>
          <t>Financial Investor</t>
        </is>
      </c>
      <c r="D543" s="425" t="inlineStr">
        <is>
          <t>Mighty Capital</t>
        </is>
      </c>
      <c r="E543" s="425" t="inlineStr">
        <is>
          <t>Iris S. Chan</t>
        </is>
      </c>
      <c r="F543" s="425" t="inlineStr"/>
      <c r="G543" s="111" t="inlineStr">
        <is>
          <t>iris@mighty.capital</t>
        </is>
      </c>
      <c r="H543" s="425" t="inlineStr"/>
      <c r="I543" s="425" t="inlineStr"/>
      <c r="J543" s="111" t="inlineStr">
        <is>
          <t>https://www.linkedin.com/in/iris-s-chan-b0622535/</t>
        </is>
      </c>
      <c r="K543" s="426" t="inlineStr">
        <is>
          <t>John Quinn</t>
        </is>
      </c>
      <c r="L543" s="426" t="inlineStr">
        <is>
          <t>Follow Up</t>
        </is>
      </c>
      <c r="M543" s="425" t="inlineStr">
        <is>
          <t>Space / Defense / Aerospace / Advanced Manufacturing</t>
        </is>
      </c>
      <c r="N543" s="426" t="inlineStr">
        <is>
          <t>Tier 2</t>
        </is>
      </c>
      <c r="O543" s="441" t="n">
        <v>45891</v>
      </c>
      <c r="P543" s="441" t="n">
        <v>45923</v>
      </c>
      <c r="Q543" s="425">
        <f>IF(P543="","",TODAY()-P543)</f>
        <v/>
      </c>
      <c r="R543" s="441">
        <f>IF(OR(L543="Passed",Z543=""),"",P543+Z543)</f>
        <v/>
      </c>
      <c r="S543" s="425">
        <f>IF(OR(R543="",L543="Passed"),"",IF(R543&lt;=TODAY(),"DUE",IF(R543&lt;=TODAY()+3,"Next 3 Days","Later")))</f>
        <v/>
      </c>
      <c r="T543" s="425" t="inlineStr"/>
      <c r="U543" s="426" t="inlineStr">
        <is>
          <t>https://www.linkedin.com/in/iris-s-chan-b0622535/</t>
        </is>
      </c>
      <c r="V543" s="426" t="inlineStr"/>
      <c r="W543" s="428" t="inlineStr">
        <is>
          <t xml:space="preserve"> | 12/03/2025 | </t>
        </is>
      </c>
      <c r="X543" s="425" t="inlineStr">
        <is>
          <t>John - Investor Contacts!514</t>
        </is>
      </c>
      <c r="Y543" s="426" t="inlineStr">
        <is>
          <t>Send next follow-up with traction + CTA</t>
        </is>
      </c>
      <c r="Z543" s="425" t="n">
        <v>7</v>
      </c>
      <c r="AA543" s="425">
        <f>IF(AC543="Archived",0,ROUND((IF(N543="Tier 1",35,IF(N543="Tier 2",20,8))+IF(C543="Financial Investor",15,IF(C543="Intermediary / Banker",12,8))+IF(L543="Term Sheet / Proposal",25,IF(L543="Engaged",20,IF(L543="Meeting Requested",18,IF(L543="Meeting Held",14,IF(L543="Follow Up",10,5)))))+MIN(Q543,30)+IF(S543="DUE",15,IF(S543="Next 3 Days",8,0))),0))</f>
        <v/>
      </c>
      <c r="AB543" s="425">
        <f>IF(AND(AC543="Active",OR(N543="Tier 1",N543="Tier 2"),OR(S543="DUE",S543="Next 3 Days")),"YES","")</f>
        <v/>
      </c>
      <c r="AC543" s="425">
        <f>IF(L543="Passed","Archived","Active")</f>
        <v/>
      </c>
    </row>
    <row r="544">
      <c r="A544" s="425" t="inlineStr">
        <is>
          <t>EXOS-0543</t>
        </is>
      </c>
      <c r="B544" s="425" t="inlineStr">
        <is>
          <t>John - Investor Contacts</t>
        </is>
      </c>
      <c r="C544" s="425" t="inlineStr">
        <is>
          <t>Financial Investor</t>
        </is>
      </c>
      <c r="D544" s="425" t="inlineStr">
        <is>
          <t>Mighty Capital</t>
        </is>
      </c>
      <c r="E544" s="425" t="inlineStr">
        <is>
          <t>Jennifer Vancini</t>
        </is>
      </c>
      <c r="F544" s="425" t="inlineStr"/>
      <c r="G544" s="111" t="inlineStr">
        <is>
          <t>jennifer@mighty.capital</t>
        </is>
      </c>
      <c r="H544" s="425" t="inlineStr"/>
      <c r="I544" s="425" t="inlineStr"/>
      <c r="J544" s="111" t="inlineStr">
        <is>
          <t>https://www.linkedin.com/in/jennifer-vancini-2765b4/</t>
        </is>
      </c>
      <c r="K544" s="426" t="inlineStr">
        <is>
          <t>John Quinn</t>
        </is>
      </c>
      <c r="L544" s="426" t="inlineStr">
        <is>
          <t>Follow Up</t>
        </is>
      </c>
      <c r="M544" s="425" t="inlineStr">
        <is>
          <t>Space / Defense / Aerospace / Advanced Manufacturing</t>
        </is>
      </c>
      <c r="N544" s="426" t="inlineStr">
        <is>
          <t>Tier 2</t>
        </is>
      </c>
      <c r="O544" s="441" t="n">
        <v>45891</v>
      </c>
      <c r="P544" s="441" t="n">
        <v>45924</v>
      </c>
      <c r="Q544" s="425">
        <f>IF(P544="","",TODAY()-P544)</f>
        <v/>
      </c>
      <c r="R544" s="441">
        <f>IF(OR(L544="Passed",Z544=""),"",P544+Z544)</f>
        <v/>
      </c>
      <c r="S544" s="425">
        <f>IF(OR(R544="",L544="Passed"),"",IF(R544&lt;=TODAY(),"DUE",IF(R544&lt;=TODAY()+3,"Next 3 Days","Later")))</f>
        <v/>
      </c>
      <c r="T544" s="425" t="inlineStr"/>
      <c r="U544" s="426" t="inlineStr">
        <is>
          <t>https://www.linkedin.com/in/jennifer-vancini-2765b4/</t>
        </is>
      </c>
      <c r="V544" s="426" t="inlineStr"/>
      <c r="W544" s="428" t="inlineStr">
        <is>
          <t xml:space="preserve"> | 12/03/2025 | </t>
        </is>
      </c>
      <c r="X544" s="425" t="inlineStr">
        <is>
          <t>John - Investor Contacts!515</t>
        </is>
      </c>
      <c r="Y544" s="426" t="inlineStr">
        <is>
          <t>Send next follow-up with traction + CTA</t>
        </is>
      </c>
      <c r="Z544" s="425" t="n">
        <v>7</v>
      </c>
      <c r="AA544" s="425">
        <f>IF(AC544="Archived",0,ROUND((IF(N544="Tier 1",35,IF(N544="Tier 2",20,8))+IF(C544="Financial Investor",15,IF(C544="Intermediary / Banker",12,8))+IF(L544="Term Sheet / Proposal",25,IF(L544="Engaged",20,IF(L544="Meeting Requested",18,IF(L544="Meeting Held",14,IF(L544="Follow Up",10,5)))))+MIN(Q544,30)+IF(S544="DUE",15,IF(S544="Next 3 Days",8,0))),0))</f>
        <v/>
      </c>
      <c r="AB544" s="425">
        <f>IF(AND(AC544="Active",OR(N544="Tier 1",N544="Tier 2"),OR(S544="DUE",S544="Next 3 Days")),"YES","")</f>
        <v/>
      </c>
      <c r="AC544" s="425">
        <f>IF(L544="Passed","Archived","Active")</f>
        <v/>
      </c>
    </row>
    <row r="545">
      <c r="A545" s="425" t="inlineStr">
        <is>
          <t>EXOS-0544</t>
        </is>
      </c>
      <c r="B545" s="425" t="inlineStr">
        <is>
          <t>John - Investor Contacts</t>
        </is>
      </c>
      <c r="C545" s="425" t="inlineStr">
        <is>
          <t>Financial Investor</t>
        </is>
      </c>
      <c r="D545" s="425" t="inlineStr">
        <is>
          <t>Mighty Capital</t>
        </is>
      </c>
      <c r="E545" s="425" t="inlineStr">
        <is>
          <t>SC Moatti</t>
        </is>
      </c>
      <c r="F545" s="425" t="inlineStr"/>
      <c r="G545" s="111" t="inlineStr">
        <is>
          <t>sc@mighty.capital</t>
        </is>
      </c>
      <c r="H545" s="425" t="inlineStr"/>
      <c r="I545" s="425" t="inlineStr"/>
      <c r="J545" s="111" t="inlineStr">
        <is>
          <t>https://www.linkedin.com/in/scmoatti/</t>
        </is>
      </c>
      <c r="K545" s="426" t="inlineStr">
        <is>
          <t>John Quinn</t>
        </is>
      </c>
      <c r="L545" s="426" t="inlineStr">
        <is>
          <t>Follow Up</t>
        </is>
      </c>
      <c r="M545" s="425" t="inlineStr">
        <is>
          <t>Space / Defense / Aerospace / Advanced Manufacturing</t>
        </is>
      </c>
      <c r="N545" s="426" t="inlineStr">
        <is>
          <t>Tier 2</t>
        </is>
      </c>
      <c r="O545" s="441" t="n">
        <v>45891</v>
      </c>
      <c r="P545" s="441" t="n">
        <v>46036</v>
      </c>
      <c r="Q545" s="425">
        <f>IF(P545="","",TODAY()-P545)</f>
        <v/>
      </c>
      <c r="R545" s="441">
        <f>IF(OR(L545="Passed",Z545=""),"",P545+Z545)</f>
        <v/>
      </c>
      <c r="S545" s="425">
        <f>IF(OR(R545="",L545="Passed"),"",IF(R545&lt;=TODAY(),"DUE",IF(R545&lt;=TODAY()+3,"Next 3 Days","Later")))</f>
        <v/>
      </c>
      <c r="T545" s="425" t="inlineStr"/>
      <c r="U545" s="426" t="inlineStr">
        <is>
          <t>linkedin.com/in/scmoatti | https://www.linkedin.com/in/scmoatti/</t>
        </is>
      </c>
      <c r="V545" s="426" t="inlineStr"/>
      <c r="W545" s="428" t="inlineStr">
        <is>
          <t>(2 email threads going - also sent email on 12/2)</t>
        </is>
      </c>
      <c r="X545" s="425" t="inlineStr">
        <is>
          <t>John - Investor Contacts!516 | John - Investor Contacts!700</t>
        </is>
      </c>
      <c r="Y545" s="426" t="inlineStr">
        <is>
          <t>Send next follow-up with traction + CTA</t>
        </is>
      </c>
      <c r="Z545" s="425" t="n">
        <v>7</v>
      </c>
      <c r="AA545" s="425">
        <f>IF(AC545="Archived",0,ROUND((IF(N545="Tier 1",35,IF(N545="Tier 2",20,8))+IF(C545="Financial Investor",15,IF(C545="Intermediary / Banker",12,8))+IF(L545="Term Sheet / Proposal",25,IF(L545="Engaged",20,IF(L545="Meeting Requested",18,IF(L545="Meeting Held",14,IF(L545="Follow Up",10,5)))))+MIN(Q545,30)+IF(S545="DUE",15,IF(S545="Next 3 Days",8,0))),0))</f>
        <v/>
      </c>
      <c r="AB545" s="425">
        <f>IF(AND(AC545="Active",OR(N545="Tier 1",N545="Tier 2"),OR(S545="DUE",S545="Next 3 Days")),"YES","")</f>
        <v/>
      </c>
      <c r="AC545" s="425">
        <f>IF(L545="Passed","Archived","Active")</f>
        <v/>
      </c>
    </row>
    <row r="546">
      <c r="A546" s="425" t="inlineStr">
        <is>
          <t>EXOS-0545</t>
        </is>
      </c>
      <c r="B546" s="425" t="inlineStr">
        <is>
          <t>John - Investor Contacts</t>
        </is>
      </c>
      <c r="C546" s="425" t="inlineStr">
        <is>
          <t>Financial Investor</t>
        </is>
      </c>
      <c r="D546" s="425" t="inlineStr">
        <is>
          <t>Mighty Capital</t>
        </is>
      </c>
      <c r="E546" s="425" t="inlineStr">
        <is>
          <t>Sharran Deora</t>
        </is>
      </c>
      <c r="F546" s="425" t="inlineStr"/>
      <c r="G546" s="111" t="inlineStr">
        <is>
          <t>sharran@mighty.capital</t>
        </is>
      </c>
      <c r="H546" s="425" t="inlineStr"/>
      <c r="I546" s="425" t="inlineStr"/>
      <c r="J546" s="111" t="inlineStr">
        <is>
          <t>https://www.linkedin.com/in/sharrand/</t>
        </is>
      </c>
      <c r="K546" s="426" t="inlineStr">
        <is>
          <t>John Quinn</t>
        </is>
      </c>
      <c r="L546" s="426" t="inlineStr">
        <is>
          <t>Follow Up</t>
        </is>
      </c>
      <c r="M546" s="425" t="inlineStr">
        <is>
          <t>Space / Defense / Aerospace / Advanced Manufacturing</t>
        </is>
      </c>
      <c r="N546" s="426" t="inlineStr">
        <is>
          <t>Tier 2</t>
        </is>
      </c>
      <c r="O546" s="441" t="n">
        <v>45891</v>
      </c>
      <c r="P546" s="441" t="n">
        <v>45924</v>
      </c>
      <c r="Q546" s="425">
        <f>IF(P546="","",TODAY()-P546)</f>
        <v/>
      </c>
      <c r="R546" s="441">
        <f>IF(OR(L546="Passed",Z546=""),"",P546+Z546)</f>
        <v/>
      </c>
      <c r="S546" s="425">
        <f>IF(OR(R546="",L546="Passed"),"",IF(R546&lt;=TODAY(),"DUE",IF(R546&lt;=TODAY()+3,"Next 3 Days","Later")))</f>
        <v/>
      </c>
      <c r="T546" s="425" t="inlineStr"/>
      <c r="U546" s="426" t="inlineStr">
        <is>
          <t>https://www.linkedin.com/in/sharrand/</t>
        </is>
      </c>
      <c r="V546" s="426" t="inlineStr"/>
      <c r="W546" s="428" t="inlineStr">
        <is>
          <t xml:space="preserve"> | 12/03/2025 | </t>
        </is>
      </c>
      <c r="X546" s="425" t="inlineStr">
        <is>
          <t>John - Investor Contacts!517</t>
        </is>
      </c>
      <c r="Y546" s="426" t="inlineStr">
        <is>
          <t>Send next follow-up with traction + CTA</t>
        </is>
      </c>
      <c r="Z546" s="425" t="n">
        <v>7</v>
      </c>
      <c r="AA546" s="425">
        <f>IF(AC546="Archived",0,ROUND((IF(N546="Tier 1",35,IF(N546="Tier 2",20,8))+IF(C546="Financial Investor",15,IF(C546="Intermediary / Banker",12,8))+IF(L546="Term Sheet / Proposal",25,IF(L546="Engaged",20,IF(L546="Meeting Requested",18,IF(L546="Meeting Held",14,IF(L546="Follow Up",10,5)))))+MIN(Q546,30)+IF(S546="DUE",15,IF(S546="Next 3 Days",8,0))),0))</f>
        <v/>
      </c>
      <c r="AB546" s="425">
        <f>IF(AND(AC546="Active",OR(N546="Tier 1",N546="Tier 2"),OR(S546="DUE",S546="Next 3 Days")),"YES","")</f>
        <v/>
      </c>
      <c r="AC546" s="425">
        <f>IF(L546="Passed","Archived","Active")</f>
        <v/>
      </c>
    </row>
    <row r="547">
      <c r="A547" s="425" t="inlineStr">
        <is>
          <t>EXOS-0546</t>
        </is>
      </c>
      <c r="B547" s="425" t="inlineStr">
        <is>
          <t>John - Investor Contacts</t>
        </is>
      </c>
      <c r="C547" s="425" t="inlineStr">
        <is>
          <t>Financial Investor</t>
        </is>
      </c>
      <c r="D547" s="425" t="inlineStr">
        <is>
          <t>Mikal Ventures</t>
        </is>
      </c>
      <c r="E547" s="425" t="inlineStr">
        <is>
          <t>Christopher Malter</t>
        </is>
      </c>
      <c r="F547" s="425" t="inlineStr"/>
      <c r="G547" s="111" t="inlineStr">
        <is>
          <t>chris.malter@mikalventures.com</t>
        </is>
      </c>
      <c r="H547" s="425" t="inlineStr"/>
      <c r="I547" s="425" t="inlineStr"/>
      <c r="J547" s="111" t="inlineStr">
        <is>
          <t>https://www.linkedin.com/in/christopher-malter-035636/</t>
        </is>
      </c>
      <c r="K547" s="426" t="inlineStr">
        <is>
          <t>John Quinn</t>
        </is>
      </c>
      <c r="L547" s="426" t="inlineStr">
        <is>
          <t>Follow Up</t>
        </is>
      </c>
      <c r="M547" s="425" t="inlineStr">
        <is>
          <t>Space / Defense / Aerospace / Advanced Manufacturing</t>
        </is>
      </c>
      <c r="N547" s="426" t="inlineStr">
        <is>
          <t>Tier 2</t>
        </is>
      </c>
      <c r="O547" s="441" t="n">
        <v>45839</v>
      </c>
      <c r="P547" s="441" t="n">
        <v>45923</v>
      </c>
      <c r="Q547" s="425">
        <f>IF(P547="","",TODAY()-P547)</f>
        <v/>
      </c>
      <c r="R547" s="441">
        <f>IF(OR(L547="Passed",Z547=""),"",P547+Z547)</f>
        <v/>
      </c>
      <c r="S547" s="425">
        <f>IF(OR(R547="",L547="Passed"),"",IF(R547&lt;=TODAY(),"DUE",IF(R547&lt;=TODAY()+3,"Next 3 Days","Later")))</f>
        <v/>
      </c>
      <c r="T547" s="425" t="inlineStr"/>
      <c r="U547" s="426" t="inlineStr">
        <is>
          <t>https://www.linkedin.com/in/christopher-malter-035636/ | linkedin.com/in/christopher-malter-035636</t>
        </is>
      </c>
      <c r="V547" s="426" t="inlineStr"/>
      <c r="W547" s="428" t="inlineStr">
        <is>
          <t>12/26/2025 | 12/03/2025</t>
        </is>
      </c>
      <c r="X547" s="425" t="inlineStr">
        <is>
          <t>John - Investor Contacts!293 | John - Investor Contacts!507</t>
        </is>
      </c>
      <c r="Y547" s="426" t="inlineStr">
        <is>
          <t>Send next follow-up with traction + CTA</t>
        </is>
      </c>
      <c r="Z547" s="425" t="n">
        <v>7</v>
      </c>
      <c r="AA547" s="425">
        <f>IF(AC547="Archived",0,ROUND((IF(N547="Tier 1",35,IF(N547="Tier 2",20,8))+IF(C547="Financial Investor",15,IF(C547="Intermediary / Banker",12,8))+IF(L547="Term Sheet / Proposal",25,IF(L547="Engaged",20,IF(L547="Meeting Requested",18,IF(L547="Meeting Held",14,IF(L547="Follow Up",10,5)))))+MIN(Q547,30)+IF(S547="DUE",15,IF(S547="Next 3 Days",8,0))),0))</f>
        <v/>
      </c>
      <c r="AB547" s="425">
        <f>IF(AND(AC547="Active",OR(N547="Tier 1",N547="Tier 2"),OR(S547="DUE",S547="Next 3 Days")),"YES","")</f>
        <v/>
      </c>
      <c r="AC547" s="425">
        <f>IF(L547="Passed","Archived","Active")</f>
        <v/>
      </c>
    </row>
    <row r="548">
      <c r="A548" s="425" t="inlineStr">
        <is>
          <t>EXOS-0547</t>
        </is>
      </c>
      <c r="B548" s="425" t="inlineStr">
        <is>
          <t>John - Investor Contacts</t>
        </is>
      </c>
      <c r="C548" s="425" t="inlineStr">
        <is>
          <t>Financial Investor</t>
        </is>
      </c>
      <c r="D548" s="425" t="inlineStr">
        <is>
          <t>Mikal Ventures</t>
        </is>
      </c>
      <c r="E548" s="425" t="inlineStr">
        <is>
          <t>Michael Cunningham</t>
        </is>
      </c>
      <c r="F548" s="425" t="inlineStr"/>
      <c r="G548" s="111" t="inlineStr">
        <is>
          <t>mike.cunningham@mikalventures.com</t>
        </is>
      </c>
      <c r="H548" s="425" t="inlineStr"/>
      <c r="I548" s="425" t="inlineStr"/>
      <c r="J548" s="111" t="inlineStr">
        <is>
          <t>https://www.linkedin.com/in/michaeljcunningham10/</t>
        </is>
      </c>
      <c r="K548" s="426" t="inlineStr">
        <is>
          <t>John Quinn</t>
        </is>
      </c>
      <c r="L548" s="426" t="inlineStr">
        <is>
          <t>Follow Up</t>
        </is>
      </c>
      <c r="M548" s="425" t="inlineStr">
        <is>
          <t>Space / Defense / Aerospace / Advanced Manufacturing</t>
        </is>
      </c>
      <c r="N548" s="426" t="inlineStr">
        <is>
          <t>Tier 2</t>
        </is>
      </c>
      <c r="O548" s="441" t="n">
        <v>45839</v>
      </c>
      <c r="P548" s="441" t="n">
        <v>45923</v>
      </c>
      <c r="Q548" s="425">
        <f>IF(P548="","",TODAY()-P548)</f>
        <v/>
      </c>
      <c r="R548" s="441">
        <f>IF(OR(L548="Passed",Z548=""),"",P548+Z548)</f>
        <v/>
      </c>
      <c r="S548" s="425">
        <f>IF(OR(R548="",L548="Passed"),"",IF(R548&lt;=TODAY(),"DUE",IF(R548&lt;=TODAY()+3,"Next 3 Days","Later")))</f>
        <v/>
      </c>
      <c r="T548" s="425" t="inlineStr"/>
      <c r="U548" s="426" t="inlineStr">
        <is>
          <t>https://www.linkedin.com/in/michaeljcunningham10/ | https://www.linkedin.com/in/michaeljcunningham10</t>
        </is>
      </c>
      <c r="V548" s="426" t="inlineStr"/>
      <c r="W548" s="428" t="inlineStr">
        <is>
          <t>12/26/2025 | 12/03/2025</t>
        </is>
      </c>
      <c r="X548" s="425" t="inlineStr">
        <is>
          <t>John - Investor Contacts!292 | John - Investor Contacts!506</t>
        </is>
      </c>
      <c r="Y548" s="426" t="inlineStr">
        <is>
          <t>Send next follow-up with traction + CTA</t>
        </is>
      </c>
      <c r="Z548" s="425" t="n">
        <v>7</v>
      </c>
      <c r="AA548" s="425">
        <f>IF(AC548="Archived",0,ROUND((IF(N548="Tier 1",35,IF(N548="Tier 2",20,8))+IF(C548="Financial Investor",15,IF(C548="Intermediary / Banker",12,8))+IF(L548="Term Sheet / Proposal",25,IF(L548="Engaged",20,IF(L548="Meeting Requested",18,IF(L548="Meeting Held",14,IF(L548="Follow Up",10,5)))))+MIN(Q548,30)+IF(S548="DUE",15,IF(S548="Next 3 Days",8,0))),0))</f>
        <v/>
      </c>
      <c r="AB548" s="425">
        <f>IF(AND(AC548="Active",OR(N548="Tier 1",N548="Tier 2"),OR(S548="DUE",S548="Next 3 Days")),"YES","")</f>
        <v/>
      </c>
      <c r="AC548" s="425">
        <f>IF(L548="Passed","Archived","Active")</f>
        <v/>
      </c>
    </row>
    <row r="549">
      <c r="A549" s="425" t="inlineStr">
        <is>
          <t>EXOS-0548</t>
        </is>
      </c>
      <c r="B549" s="425" t="inlineStr">
        <is>
          <t>John - Investor Contacts</t>
        </is>
      </c>
      <c r="C549" s="425" t="inlineStr">
        <is>
          <t>Financial Investor</t>
        </is>
      </c>
      <c r="D549" s="425" t="inlineStr">
        <is>
          <t>Mikal Ventures</t>
        </is>
      </c>
      <c r="E549" s="425" t="inlineStr">
        <is>
          <t>the team</t>
        </is>
      </c>
      <c r="F549" s="425" t="inlineStr"/>
      <c r="G549" s="111" t="inlineStr">
        <is>
          <t>info@mikalventures.com</t>
        </is>
      </c>
      <c r="H549" s="425" t="inlineStr"/>
      <c r="I549" s="425" t="inlineStr"/>
      <c r="J549" s="425" t="inlineStr"/>
      <c r="K549" s="426" t="inlineStr">
        <is>
          <t>John Quinn</t>
        </is>
      </c>
      <c r="L549" s="426" t="inlineStr">
        <is>
          <t>Follow Up</t>
        </is>
      </c>
      <c r="M549" s="425" t="inlineStr">
        <is>
          <t>Space / Defense / Aerospace / Advanced Manufacturing</t>
        </is>
      </c>
      <c r="N549" s="426" t="inlineStr">
        <is>
          <t>Tier 2</t>
        </is>
      </c>
      <c r="O549" s="441" t="n">
        <v>45839</v>
      </c>
      <c r="P549" s="441" t="n">
        <v>45923</v>
      </c>
      <c r="Q549" s="425">
        <f>IF(P549="","",TODAY()-P549)</f>
        <v/>
      </c>
      <c r="R549" s="441">
        <f>IF(OR(L549="Passed",Z549=""),"",P549+Z549)</f>
        <v/>
      </c>
      <c r="S549" s="425">
        <f>IF(OR(R549="",L549="Passed"),"",IF(R549&lt;=TODAY(),"DUE",IF(R549&lt;=TODAY()+3,"Next 3 Days","Later")))</f>
        <v/>
      </c>
      <c r="T549" s="425" t="inlineStr"/>
      <c r="U549" s="426" t="inlineStr"/>
      <c r="V549" s="426" t="inlineStr"/>
      <c r="W549" s="428" t="inlineStr">
        <is>
          <t>12/26/2025 | 12/03/2025</t>
        </is>
      </c>
      <c r="X549" s="425" t="inlineStr">
        <is>
          <t>John - Investor Contacts!294 | John - Investor Contacts!505</t>
        </is>
      </c>
      <c r="Y549" s="426" t="inlineStr">
        <is>
          <t>Send next follow-up with traction + CTA</t>
        </is>
      </c>
      <c r="Z549" s="425" t="n">
        <v>7</v>
      </c>
      <c r="AA549" s="425">
        <f>IF(AC549="Archived",0,ROUND((IF(N549="Tier 1",35,IF(N549="Tier 2",20,8))+IF(C549="Financial Investor",15,IF(C549="Intermediary / Banker",12,8))+IF(L549="Term Sheet / Proposal",25,IF(L549="Engaged",20,IF(L549="Meeting Requested",18,IF(L549="Meeting Held",14,IF(L549="Follow Up",10,5)))))+MIN(Q549,30)+IF(S549="DUE",15,IF(S549="Next 3 Days",8,0))),0))</f>
        <v/>
      </c>
      <c r="AB549" s="425">
        <f>IF(AND(AC549="Active",OR(N549="Tier 1",N549="Tier 2"),OR(S549="DUE",S549="Next 3 Days")),"YES","")</f>
        <v/>
      </c>
      <c r="AC549" s="425">
        <f>IF(L549="Passed","Archived","Active")</f>
        <v/>
      </c>
    </row>
    <row r="550">
      <c r="A550" s="425" t="inlineStr">
        <is>
          <t>EXOS-0549</t>
        </is>
      </c>
      <c r="B550" s="425" t="inlineStr">
        <is>
          <t>John - Investor Contacts</t>
        </is>
      </c>
      <c r="C550" s="425" t="inlineStr">
        <is>
          <t>Financial Investor</t>
        </is>
      </c>
      <c r="D550" s="425" t="inlineStr">
        <is>
          <t>Mirante Partners</t>
        </is>
      </c>
      <c r="E550" s="425" t="inlineStr">
        <is>
          <t>Diego Rosario</t>
        </is>
      </c>
      <c r="F550" s="425" t="inlineStr"/>
      <c r="G550" s="111" t="inlineStr">
        <is>
          <t>diego.rosario@mirantepartners.com</t>
        </is>
      </c>
      <c r="H550" s="425" t="inlineStr"/>
      <c r="I550" s="425" t="inlineStr"/>
      <c r="J550" s="425" t="inlineStr"/>
      <c r="K550" s="426" t="inlineStr">
        <is>
          <t>John Quinn</t>
        </is>
      </c>
      <c r="L550" s="426" t="inlineStr">
        <is>
          <t>Follow Up</t>
        </is>
      </c>
      <c r="M550" s="425" t="inlineStr">
        <is>
          <t>Space / Defense / Aerospace / Advanced Manufacturing</t>
        </is>
      </c>
      <c r="N550" s="426" t="inlineStr">
        <is>
          <t>Tier 2</t>
        </is>
      </c>
      <c r="O550" s="441" t="n">
        <v>45832</v>
      </c>
      <c r="P550" s="441" t="n">
        <v>45848</v>
      </c>
      <c r="Q550" s="425">
        <f>IF(P550="","",TODAY()-P550)</f>
        <v/>
      </c>
      <c r="R550" s="441">
        <f>IF(OR(L550="Passed",Z550=""),"",P550+Z550)</f>
        <v/>
      </c>
      <c r="S550" s="425">
        <f>IF(OR(R550="",L550="Passed"),"",IF(R550&lt;=TODAY(),"DUE",IF(R550&lt;=TODAY()+3,"Next 3 Days","Later")))</f>
        <v/>
      </c>
      <c r="T550" s="425" t="inlineStr"/>
      <c r="U550" s="426" t="inlineStr">
        <is>
          <t>linkedin.com/in/diego-pimentel-do-rosario</t>
        </is>
      </c>
      <c r="V550" s="426" t="inlineStr"/>
      <c r="W550" s="428" t="inlineStr">
        <is>
          <t xml:space="preserve"> | 12/23/2025 | </t>
        </is>
      </c>
      <c r="X550" s="425" t="inlineStr">
        <is>
          <t>John - Investor Contacts!246</t>
        </is>
      </c>
      <c r="Y550" s="426" t="inlineStr">
        <is>
          <t>Send next follow-up with traction + CTA</t>
        </is>
      </c>
      <c r="Z550" s="425" t="n">
        <v>7</v>
      </c>
      <c r="AA550" s="425">
        <f>IF(AC550="Archived",0,ROUND((IF(N550="Tier 1",35,IF(N550="Tier 2",20,8))+IF(C550="Financial Investor",15,IF(C550="Intermediary / Banker",12,8))+IF(L550="Term Sheet / Proposal",25,IF(L550="Engaged",20,IF(L550="Meeting Requested",18,IF(L550="Meeting Held",14,IF(L550="Follow Up",10,5)))))+MIN(Q550,30)+IF(S550="DUE",15,IF(S550="Next 3 Days",8,0))),0))</f>
        <v/>
      </c>
      <c r="AB550" s="425">
        <f>IF(AND(AC550="Active",OR(N550="Tier 1",N550="Tier 2"),OR(S550="DUE",S550="Next 3 Days")),"YES","")</f>
        <v/>
      </c>
      <c r="AC550" s="425">
        <f>IF(L550="Passed","Archived","Active")</f>
        <v/>
      </c>
    </row>
    <row r="551">
      <c r="A551" s="425" t="inlineStr">
        <is>
          <t>EXOS-0550</t>
        </is>
      </c>
      <c r="B551" s="425" t="inlineStr">
        <is>
          <t>John - Investor Contacts</t>
        </is>
      </c>
      <c r="C551" s="425" t="inlineStr">
        <is>
          <t>Financial Investor</t>
        </is>
      </c>
      <c r="D551" s="425" t="inlineStr">
        <is>
          <t>Mirante Partners</t>
        </is>
      </c>
      <c r="E551" s="425" t="inlineStr">
        <is>
          <t>Fred Wang</t>
        </is>
      </c>
      <c r="F551" s="425" t="inlineStr"/>
      <c r="G551" s="111" t="inlineStr">
        <is>
          <t>fred.wang@mirantepartners.com</t>
        </is>
      </c>
      <c r="H551" s="425" t="inlineStr"/>
      <c r="I551" s="425" t="inlineStr"/>
      <c r="J551" s="111" t="inlineStr">
        <is>
          <t>https://www.linkedin.com/in/fredswang</t>
        </is>
      </c>
      <c r="K551" s="426" t="inlineStr">
        <is>
          <t>John Quinn</t>
        </is>
      </c>
      <c r="L551" s="426" t="inlineStr">
        <is>
          <t>Follow Up</t>
        </is>
      </c>
      <c r="M551" s="425" t="inlineStr">
        <is>
          <t>Space / Defense / Aerospace / Advanced Manufacturing</t>
        </is>
      </c>
      <c r="N551" s="426" t="inlineStr">
        <is>
          <t>Tier 2</t>
        </is>
      </c>
      <c r="O551" s="441" t="n">
        <v>45832</v>
      </c>
      <c r="P551" s="441" t="n">
        <v>45848</v>
      </c>
      <c r="Q551" s="425">
        <f>IF(P551="","",TODAY()-P551)</f>
        <v/>
      </c>
      <c r="R551" s="441">
        <f>IF(OR(L551="Passed",Z551=""),"",P551+Z551)</f>
        <v/>
      </c>
      <c r="S551" s="425">
        <f>IF(OR(R551="",L551="Passed"),"",IF(R551&lt;=TODAY(),"DUE",IF(R551&lt;=TODAY()+3,"Next 3 Days","Later")))</f>
        <v/>
      </c>
      <c r="T551" s="425" t="inlineStr"/>
      <c r="U551" s="426" t="inlineStr">
        <is>
          <t>https://www.linkedin.com/in/fredswang</t>
        </is>
      </c>
      <c r="V551" s="426" t="inlineStr"/>
      <c r="W551" s="428" t="inlineStr">
        <is>
          <t xml:space="preserve"> | 12/23/2025 | </t>
        </is>
      </c>
      <c r="X551" s="425" t="inlineStr">
        <is>
          <t>John - Investor Contacts!245</t>
        </is>
      </c>
      <c r="Y551" s="426" t="inlineStr">
        <is>
          <t>Send next follow-up with traction + CTA</t>
        </is>
      </c>
      <c r="Z551" s="425" t="n">
        <v>7</v>
      </c>
      <c r="AA551" s="425">
        <f>IF(AC551="Archived",0,ROUND((IF(N551="Tier 1",35,IF(N551="Tier 2",20,8))+IF(C551="Financial Investor",15,IF(C551="Intermediary / Banker",12,8))+IF(L551="Term Sheet / Proposal",25,IF(L551="Engaged",20,IF(L551="Meeting Requested",18,IF(L551="Meeting Held",14,IF(L551="Follow Up",10,5)))))+MIN(Q551,30)+IF(S551="DUE",15,IF(S551="Next 3 Days",8,0))),0))</f>
        <v/>
      </c>
      <c r="AB551" s="425">
        <f>IF(AND(AC551="Active",OR(N551="Tier 1",N551="Tier 2"),OR(S551="DUE",S551="Next 3 Days")),"YES","")</f>
        <v/>
      </c>
      <c r="AC551" s="425">
        <f>IF(L551="Passed","Archived","Active")</f>
        <v/>
      </c>
    </row>
    <row r="552">
      <c r="A552" s="425" t="inlineStr">
        <is>
          <t>EXOS-0551</t>
        </is>
      </c>
      <c r="B552" s="425" t="inlineStr">
        <is>
          <t>John - Investor Contacts</t>
        </is>
      </c>
      <c r="C552" s="425" t="inlineStr">
        <is>
          <t>Financial Investor</t>
        </is>
      </c>
      <c r="D552" s="425" t="inlineStr">
        <is>
          <t>Mission OG</t>
        </is>
      </c>
      <c r="E552" s="425" t="inlineStr">
        <is>
          <t>Andy Newcomb</t>
        </is>
      </c>
      <c r="F552" s="425" t="inlineStr"/>
      <c r="G552" s="111" t="inlineStr">
        <is>
          <t>andy@missionog.com</t>
        </is>
      </c>
      <c r="H552" s="425" t="inlineStr"/>
      <c r="I552" s="425" t="inlineStr"/>
      <c r="J552" s="111" t="inlineStr">
        <is>
          <t>https://www.linkedin.com/in/andy-newcomb-a37454/</t>
        </is>
      </c>
      <c r="K552" s="426" t="inlineStr">
        <is>
          <t>John Quinn</t>
        </is>
      </c>
      <c r="L552" s="426" t="inlineStr">
        <is>
          <t>Follow Up</t>
        </is>
      </c>
      <c r="M552" s="425" t="inlineStr">
        <is>
          <t>Space / Defense / Aerospace / Advanced Manufacturing</t>
        </is>
      </c>
      <c r="N552" s="426" t="inlineStr">
        <is>
          <t>Tier 2</t>
        </is>
      </c>
      <c r="O552" s="441" t="n">
        <v>45861</v>
      </c>
      <c r="P552" s="441" t="n">
        <v>45890</v>
      </c>
      <c r="Q552" s="425">
        <f>IF(P552="","",TODAY()-P552)</f>
        <v/>
      </c>
      <c r="R552" s="441">
        <f>IF(OR(L552="Passed",Z552=""),"",P552+Z552)</f>
        <v/>
      </c>
      <c r="S552" s="425">
        <f>IF(OR(R552="",L552="Passed"),"",IF(R552&lt;=TODAY(),"DUE",IF(R552&lt;=TODAY()+3,"Next 3 Days","Later")))</f>
        <v/>
      </c>
      <c r="T552" s="425" t="inlineStr"/>
      <c r="U552" s="426" t="inlineStr">
        <is>
          <t>https://www.linkedin.com/in/andy-newcomb-a37454/</t>
        </is>
      </c>
      <c r="V552" s="426" t="inlineStr"/>
      <c r="W552" s="428" t="inlineStr">
        <is>
          <t xml:space="preserve"> | 12/29/2025 | </t>
        </is>
      </c>
      <c r="X552" s="425" t="inlineStr">
        <is>
          <t>John - Investor Contacts!428</t>
        </is>
      </c>
      <c r="Y552" s="426" t="inlineStr">
        <is>
          <t>Send next follow-up with traction + CTA</t>
        </is>
      </c>
      <c r="Z552" s="425" t="n">
        <v>7</v>
      </c>
      <c r="AA552" s="425">
        <f>IF(AC552="Archived",0,ROUND((IF(N552="Tier 1",35,IF(N552="Tier 2",20,8))+IF(C552="Financial Investor",15,IF(C552="Intermediary / Banker",12,8))+IF(L552="Term Sheet / Proposal",25,IF(L552="Engaged",20,IF(L552="Meeting Requested",18,IF(L552="Meeting Held",14,IF(L552="Follow Up",10,5)))))+MIN(Q552,30)+IF(S552="DUE",15,IF(S552="Next 3 Days",8,0))),0))</f>
        <v/>
      </c>
      <c r="AB552" s="425">
        <f>IF(AND(AC552="Active",OR(N552="Tier 1",N552="Tier 2"),OR(S552="DUE",S552="Next 3 Days")),"YES","")</f>
        <v/>
      </c>
      <c r="AC552" s="425">
        <f>IF(L552="Passed","Archived","Active")</f>
        <v/>
      </c>
    </row>
    <row r="553">
      <c r="A553" s="425" t="inlineStr">
        <is>
          <t>EXOS-0552</t>
        </is>
      </c>
      <c r="B553" s="425" t="inlineStr">
        <is>
          <t>John - Investor Contacts</t>
        </is>
      </c>
      <c r="C553" s="425" t="inlineStr">
        <is>
          <t>Financial Investor</t>
        </is>
      </c>
      <c r="D553" s="425" t="inlineStr">
        <is>
          <t>Mission OG</t>
        </is>
      </c>
      <c r="E553" s="425" t="inlineStr">
        <is>
          <t>George Krautzel</t>
        </is>
      </c>
      <c r="F553" s="425" t="inlineStr"/>
      <c r="G553" s="111" t="inlineStr">
        <is>
          <t>george@missionog.com</t>
        </is>
      </c>
      <c r="H553" s="425" t="inlineStr"/>
      <c r="I553" s="425" t="inlineStr"/>
      <c r="J553" s="111" t="inlineStr">
        <is>
          <t>https://www.linkedin.com/in/georgekrautzel/</t>
        </is>
      </c>
      <c r="K553" s="426" t="inlineStr">
        <is>
          <t>John Quinn</t>
        </is>
      </c>
      <c r="L553" s="426" t="inlineStr">
        <is>
          <t>Follow Up</t>
        </is>
      </c>
      <c r="M553" s="425" t="inlineStr">
        <is>
          <t>Space / Defense / Aerospace / Advanced Manufacturing</t>
        </is>
      </c>
      <c r="N553" s="426" t="inlineStr">
        <is>
          <t>Tier 2</t>
        </is>
      </c>
      <c r="O553" s="441" t="n">
        <v>45861</v>
      </c>
      <c r="P553" s="441" t="n">
        <v>45890</v>
      </c>
      <c r="Q553" s="425">
        <f>IF(P553="","",TODAY()-P553)</f>
        <v/>
      </c>
      <c r="R553" s="441">
        <f>IF(OR(L553="Passed",Z553=""),"",P553+Z553)</f>
        <v/>
      </c>
      <c r="S553" s="425">
        <f>IF(OR(R553="",L553="Passed"),"",IF(R553&lt;=TODAY(),"DUE",IF(R553&lt;=TODAY()+3,"Next 3 Days","Later")))</f>
        <v/>
      </c>
      <c r="T553" s="425" t="inlineStr"/>
      <c r="U553" s="426" t="inlineStr">
        <is>
          <t>https://www.linkedin.com/in/georgekrautzel/</t>
        </is>
      </c>
      <c r="V553" s="426" t="inlineStr"/>
      <c r="W553" s="428" t="inlineStr">
        <is>
          <t xml:space="preserve"> | 12/29/2025 | submit a business plan: submissions@missionog.com</t>
        </is>
      </c>
      <c r="X553" s="425" t="inlineStr">
        <is>
          <t>John - Investor Contacts!426</t>
        </is>
      </c>
      <c r="Y553" s="426" t="inlineStr">
        <is>
          <t>Send next follow-up with traction + CTA</t>
        </is>
      </c>
      <c r="Z553" s="425" t="n">
        <v>7</v>
      </c>
      <c r="AA553" s="425">
        <f>IF(AC553="Archived",0,ROUND((IF(N553="Tier 1",35,IF(N553="Tier 2",20,8))+IF(C553="Financial Investor",15,IF(C553="Intermediary / Banker",12,8))+IF(L553="Term Sheet / Proposal",25,IF(L553="Engaged",20,IF(L553="Meeting Requested",18,IF(L553="Meeting Held",14,IF(L553="Follow Up",10,5)))))+MIN(Q553,30)+IF(S553="DUE",15,IF(S553="Next 3 Days",8,0))),0))</f>
        <v/>
      </c>
      <c r="AB553" s="425">
        <f>IF(AND(AC553="Active",OR(N553="Tier 1",N553="Tier 2"),OR(S553="DUE",S553="Next 3 Days")),"YES","")</f>
        <v/>
      </c>
      <c r="AC553" s="425">
        <f>IF(L553="Passed","Archived","Active")</f>
        <v/>
      </c>
    </row>
    <row r="554">
      <c r="A554" s="425" t="inlineStr">
        <is>
          <t>EXOS-0553</t>
        </is>
      </c>
      <c r="B554" s="425" t="inlineStr">
        <is>
          <t>John - Investor Contacts</t>
        </is>
      </c>
      <c r="C554" s="425" t="inlineStr">
        <is>
          <t>Financial Investor</t>
        </is>
      </c>
      <c r="D554" s="425" t="inlineStr">
        <is>
          <t>Mission OG</t>
        </is>
      </c>
      <c r="E554" s="425" t="inlineStr">
        <is>
          <t>Kevin Leonard</t>
        </is>
      </c>
      <c r="F554" s="425" t="inlineStr"/>
      <c r="G554" s="111" t="inlineStr">
        <is>
          <t>kleonard@missionog.com</t>
        </is>
      </c>
      <c r="H554" s="425" t="inlineStr"/>
      <c r="I554" s="425" t="inlineStr"/>
      <c r="J554" s="111" t="inlineStr">
        <is>
          <t>https://www.linkedin.com/in/kevinmarcleonard/</t>
        </is>
      </c>
      <c r="K554" s="426" t="inlineStr">
        <is>
          <t>John Quinn</t>
        </is>
      </c>
      <c r="L554" s="426" t="inlineStr">
        <is>
          <t>Follow Up</t>
        </is>
      </c>
      <c r="M554" s="425" t="inlineStr">
        <is>
          <t>Space / Defense / Aerospace / Advanced Manufacturing</t>
        </is>
      </c>
      <c r="N554" s="426" t="inlineStr">
        <is>
          <t>Tier 2</t>
        </is>
      </c>
      <c r="O554" s="441" t="n">
        <v>45861</v>
      </c>
      <c r="P554" s="441" t="n">
        <v>45890</v>
      </c>
      <c r="Q554" s="425">
        <f>IF(P554="","",TODAY()-P554)</f>
        <v/>
      </c>
      <c r="R554" s="441">
        <f>IF(OR(L554="Passed",Z554=""),"",P554+Z554)</f>
        <v/>
      </c>
      <c r="S554" s="425">
        <f>IF(OR(R554="",L554="Passed"),"",IF(R554&lt;=TODAY(),"DUE",IF(R554&lt;=TODAY()+3,"Next 3 Days","Later")))</f>
        <v/>
      </c>
      <c r="T554" s="425" t="inlineStr"/>
      <c r="U554" s="426" t="inlineStr">
        <is>
          <t>https://www.linkedin.com/in/kevinmarcleonard/</t>
        </is>
      </c>
      <c r="V554" s="426" t="inlineStr"/>
      <c r="W554" s="428" t="inlineStr">
        <is>
          <t xml:space="preserve"> | 12/29/2025 | </t>
        </is>
      </c>
      <c r="X554" s="425" t="inlineStr">
        <is>
          <t>John - Investor Contacts!427</t>
        </is>
      </c>
      <c r="Y554" s="426" t="inlineStr">
        <is>
          <t>Send next follow-up with traction + CTA</t>
        </is>
      </c>
      <c r="Z554" s="425" t="n">
        <v>7</v>
      </c>
      <c r="AA554" s="425">
        <f>IF(AC554="Archived",0,ROUND((IF(N554="Tier 1",35,IF(N554="Tier 2",20,8))+IF(C554="Financial Investor",15,IF(C554="Intermediary / Banker",12,8))+IF(L554="Term Sheet / Proposal",25,IF(L554="Engaged",20,IF(L554="Meeting Requested",18,IF(L554="Meeting Held",14,IF(L554="Follow Up",10,5)))))+MIN(Q554,30)+IF(S554="DUE",15,IF(S554="Next 3 Days",8,0))),0))</f>
        <v/>
      </c>
      <c r="AB554" s="425">
        <f>IF(AND(AC554="Active",OR(N554="Tier 1",N554="Tier 2"),OR(S554="DUE",S554="Next 3 Days")),"YES","")</f>
        <v/>
      </c>
      <c r="AC554" s="425">
        <f>IF(L554="Passed","Archived","Active")</f>
        <v/>
      </c>
    </row>
    <row r="555">
      <c r="A555" s="425" t="inlineStr">
        <is>
          <t>EXOS-0554</t>
        </is>
      </c>
      <c r="B555" s="425" t="inlineStr">
        <is>
          <t>John - Investor Contacts</t>
        </is>
      </c>
      <c r="C555" s="425" t="inlineStr">
        <is>
          <t>Financial Investor</t>
        </is>
      </c>
      <c r="D555" s="425" t="inlineStr">
        <is>
          <t>Mission OG</t>
        </is>
      </c>
      <c r="E555" s="425" t="inlineStr">
        <is>
          <t>Michael Heller</t>
        </is>
      </c>
      <c r="F555" s="425" t="inlineStr"/>
      <c r="G555" s="111" t="inlineStr">
        <is>
          <t>michael@missionog.com</t>
        </is>
      </c>
      <c r="H555" s="425" t="inlineStr"/>
      <c r="I555" s="425" t="inlineStr"/>
      <c r="J555" s="111" t="inlineStr">
        <is>
          <t>https://www.linkedin.com/in/michael-heller-62a6249/</t>
        </is>
      </c>
      <c r="K555" s="426" t="inlineStr">
        <is>
          <t>John Quinn</t>
        </is>
      </c>
      <c r="L555" s="426" t="inlineStr">
        <is>
          <t>Follow Up</t>
        </is>
      </c>
      <c r="M555" s="425" t="inlineStr">
        <is>
          <t>Space / Defense / Aerospace / Advanced Manufacturing</t>
        </is>
      </c>
      <c r="N555" s="426" t="inlineStr">
        <is>
          <t>Tier 2</t>
        </is>
      </c>
      <c r="O555" s="441" t="n">
        <v>45861</v>
      </c>
      <c r="P555" s="441" t="n">
        <v>45890</v>
      </c>
      <c r="Q555" s="425">
        <f>IF(P555="","",TODAY()-P555)</f>
        <v/>
      </c>
      <c r="R555" s="441">
        <f>IF(OR(L555="Passed",Z555=""),"",P555+Z555)</f>
        <v/>
      </c>
      <c r="S555" s="425">
        <f>IF(OR(R555="",L555="Passed"),"",IF(R555&lt;=TODAY(),"DUE",IF(R555&lt;=TODAY()+3,"Next 3 Days","Later")))</f>
        <v/>
      </c>
      <c r="T555" s="425" t="inlineStr"/>
      <c r="U555" s="426" t="inlineStr">
        <is>
          <t>https://www.linkedin.com/in/michael-heller-62a6249/</t>
        </is>
      </c>
      <c r="V555" s="426" t="inlineStr"/>
      <c r="W555" s="428" t="inlineStr">
        <is>
          <t xml:space="preserve"> | 12/29/2025 | hello@vesey.vc</t>
        </is>
      </c>
      <c r="X555" s="425" t="inlineStr">
        <is>
          <t>John - Investor Contacts!429</t>
        </is>
      </c>
      <c r="Y555" s="426" t="inlineStr">
        <is>
          <t>Send next follow-up with traction + CTA</t>
        </is>
      </c>
      <c r="Z555" s="425" t="n">
        <v>7</v>
      </c>
      <c r="AA555" s="425">
        <f>IF(AC555="Archived",0,ROUND((IF(N555="Tier 1",35,IF(N555="Tier 2",20,8))+IF(C555="Financial Investor",15,IF(C555="Intermediary / Banker",12,8))+IF(L555="Term Sheet / Proposal",25,IF(L555="Engaged",20,IF(L555="Meeting Requested",18,IF(L555="Meeting Held",14,IF(L555="Follow Up",10,5)))))+MIN(Q555,30)+IF(S555="DUE",15,IF(S555="Next 3 Days",8,0))),0))</f>
        <v/>
      </c>
      <c r="AB555" s="425">
        <f>IF(AND(AC555="Active",OR(N555="Tier 1",N555="Tier 2"),OR(S555="DUE",S555="Next 3 Days")),"YES","")</f>
        <v/>
      </c>
      <c r="AC555" s="425">
        <f>IF(L555="Passed","Archived","Active")</f>
        <v/>
      </c>
    </row>
    <row r="556">
      <c r="A556" s="425" t="inlineStr">
        <is>
          <t>EXOS-0555</t>
        </is>
      </c>
      <c r="B556" s="425" t="inlineStr">
        <is>
          <t>John - Investor Contacts</t>
        </is>
      </c>
      <c r="C556" s="425" t="inlineStr">
        <is>
          <t>Financial Investor</t>
        </is>
      </c>
      <c r="D556" s="425" t="inlineStr">
        <is>
          <t>Moderne Ventures</t>
        </is>
      </c>
      <c r="E556" s="425" t="inlineStr">
        <is>
          <t>Carolyn Kwon</t>
        </is>
      </c>
      <c r="F556" s="425" t="inlineStr"/>
      <c r="G556" s="111" t="inlineStr">
        <is>
          <t>carolyn@moderneventures.com</t>
        </is>
      </c>
      <c r="H556" s="425" t="inlineStr"/>
      <c r="I556" s="425" t="inlineStr"/>
      <c r="J556" s="111" t="inlineStr">
        <is>
          <t>https://www.linkedin.com/in/carolynkwon/</t>
        </is>
      </c>
      <c r="K556" s="426" t="inlineStr">
        <is>
          <t>John Quinn</t>
        </is>
      </c>
      <c r="L556" s="426" t="inlineStr">
        <is>
          <t>Follow Up</t>
        </is>
      </c>
      <c r="M556" s="425" t="inlineStr">
        <is>
          <t>Space / Defense / Aerospace / Advanced Manufacturing</t>
        </is>
      </c>
      <c r="N556" s="426" t="inlineStr">
        <is>
          <t>Tier 2</t>
        </is>
      </c>
      <c r="O556" s="441" t="n">
        <v>45903</v>
      </c>
      <c r="P556" s="441" t="n">
        <v>45972</v>
      </c>
      <c r="Q556" s="425">
        <f>IF(P556="","",TODAY()-P556)</f>
        <v/>
      </c>
      <c r="R556" s="441">
        <f>IF(OR(L556="Passed",Z556=""),"",P556+Z556)</f>
        <v/>
      </c>
      <c r="S556" s="425">
        <f>IF(OR(R556="",L556="Passed"),"",IF(R556&lt;=TODAY(),"DUE",IF(R556&lt;=TODAY()+3,"Next 3 Days","Later")))</f>
        <v/>
      </c>
      <c r="T556" s="425" t="inlineStr"/>
      <c r="U556" s="426" t="inlineStr">
        <is>
          <t>https://www.linkedin.com/in/carolynkwon/</t>
        </is>
      </c>
      <c r="V556" s="426" t="inlineStr"/>
      <c r="W556" s="428" t="inlineStr">
        <is>
          <t xml:space="preserve"> | 12/05/2025 | </t>
        </is>
      </c>
      <c r="X556" s="425" t="inlineStr">
        <is>
          <t>John - Investor Contacts!595</t>
        </is>
      </c>
      <c r="Y556" s="426" t="inlineStr">
        <is>
          <t>Send next follow-up with traction + CTA</t>
        </is>
      </c>
      <c r="Z556" s="425" t="n">
        <v>7</v>
      </c>
      <c r="AA556" s="425">
        <f>IF(AC556="Archived",0,ROUND((IF(N556="Tier 1",35,IF(N556="Tier 2",20,8))+IF(C556="Financial Investor",15,IF(C556="Intermediary / Banker",12,8))+IF(L556="Term Sheet / Proposal",25,IF(L556="Engaged",20,IF(L556="Meeting Requested",18,IF(L556="Meeting Held",14,IF(L556="Follow Up",10,5)))))+MIN(Q556,30)+IF(S556="DUE",15,IF(S556="Next 3 Days",8,0))),0))</f>
        <v/>
      </c>
      <c r="AB556" s="425">
        <f>IF(AND(AC556="Active",OR(N556="Tier 1",N556="Tier 2"),OR(S556="DUE",S556="Next 3 Days")),"YES","")</f>
        <v/>
      </c>
      <c r="AC556" s="425">
        <f>IF(L556="Passed","Archived","Active")</f>
        <v/>
      </c>
    </row>
    <row r="557">
      <c r="A557" s="425" t="inlineStr">
        <is>
          <t>EXOS-0556</t>
        </is>
      </c>
      <c r="B557" s="425" t="inlineStr">
        <is>
          <t>John - Investor Contacts</t>
        </is>
      </c>
      <c r="C557" s="425" t="inlineStr">
        <is>
          <t>Financial Investor</t>
        </is>
      </c>
      <c r="D557" s="425" t="inlineStr">
        <is>
          <t>Moneta VC</t>
        </is>
      </c>
      <c r="E557" s="425" t="inlineStr">
        <is>
          <t>Aasim Hasan</t>
        </is>
      </c>
      <c r="F557" s="425" t="inlineStr"/>
      <c r="G557" s="111" t="inlineStr">
        <is>
          <t>ahasan@monetaventures.com</t>
        </is>
      </c>
      <c r="H557" s="425" t="inlineStr"/>
      <c r="I557" s="425" t="inlineStr"/>
      <c r="J557" s="111" t="inlineStr">
        <is>
          <t>https://www.linkedin.com/in/aasimhasan/</t>
        </is>
      </c>
      <c r="K557" s="426" t="inlineStr">
        <is>
          <t>John Quinn</t>
        </is>
      </c>
      <c r="L557" s="426" t="inlineStr">
        <is>
          <t>Follow Up</t>
        </is>
      </c>
      <c r="M557" s="425" t="inlineStr">
        <is>
          <t>Space / Defense / Aerospace / Advanced Manufacturing</t>
        </is>
      </c>
      <c r="N557" s="426" t="inlineStr">
        <is>
          <t>Tier 2</t>
        </is>
      </c>
      <c r="O557" s="441" t="n">
        <v>45805</v>
      </c>
      <c r="P557" s="441" t="n">
        <v>45821</v>
      </c>
      <c r="Q557" s="425">
        <f>IF(P557="","",TODAY()-P557)</f>
        <v/>
      </c>
      <c r="R557" s="441">
        <f>IF(OR(L557="Passed",Z557=""),"",P557+Z557)</f>
        <v/>
      </c>
      <c r="S557" s="425">
        <f>IF(OR(R557="",L557="Passed"),"",IF(R557&lt;=TODAY(),"DUE",IF(R557&lt;=TODAY()+3,"Next 3 Days","Later")))</f>
        <v/>
      </c>
      <c r="T557" s="425" t="inlineStr"/>
      <c r="U557" s="426" t="inlineStr">
        <is>
          <t>https://www.linkedin.com/in/aasimhasan/</t>
        </is>
      </c>
      <c r="V557" s="426" t="inlineStr"/>
      <c r="W557" s="428" t="inlineStr">
        <is>
          <t xml:space="preserve"> | outside their scope | </t>
        </is>
      </c>
      <c r="X557" s="425" t="inlineStr">
        <is>
          <t>John - Investor Contacts!94</t>
        </is>
      </c>
      <c r="Y557" s="426" t="inlineStr">
        <is>
          <t>Send next follow-up with traction + CTA</t>
        </is>
      </c>
      <c r="Z557" s="425" t="n">
        <v>7</v>
      </c>
      <c r="AA557" s="425">
        <f>IF(AC557="Archived",0,ROUND((IF(N557="Tier 1",35,IF(N557="Tier 2",20,8))+IF(C557="Financial Investor",15,IF(C557="Intermediary / Banker",12,8))+IF(L557="Term Sheet / Proposal",25,IF(L557="Engaged",20,IF(L557="Meeting Requested",18,IF(L557="Meeting Held",14,IF(L557="Follow Up",10,5)))))+MIN(Q557,30)+IF(S557="DUE",15,IF(S557="Next 3 Days",8,0))),0))</f>
        <v/>
      </c>
      <c r="AB557" s="425">
        <f>IF(AND(AC557="Active",OR(N557="Tier 1",N557="Tier 2"),OR(S557="DUE",S557="Next 3 Days")),"YES","")</f>
        <v/>
      </c>
      <c r="AC557" s="425">
        <f>IF(L557="Passed","Archived","Active")</f>
        <v/>
      </c>
    </row>
    <row r="558">
      <c r="A558" s="425" t="inlineStr">
        <is>
          <t>EXOS-0557</t>
        </is>
      </c>
      <c r="B558" s="425" t="inlineStr">
        <is>
          <t>John - Investor Contacts</t>
        </is>
      </c>
      <c r="C558" s="425" t="inlineStr">
        <is>
          <t>Financial Investor</t>
        </is>
      </c>
      <c r="D558" s="425" t="inlineStr">
        <is>
          <t>Moneta VC</t>
        </is>
      </c>
      <c r="E558" s="425" t="inlineStr">
        <is>
          <t>Ashu Bhalla</t>
        </is>
      </c>
      <c r="F558" s="425" t="inlineStr"/>
      <c r="G558" s="111" t="inlineStr">
        <is>
          <t>ashu@moneta.vc</t>
        </is>
      </c>
      <c r="H558" s="425" t="inlineStr"/>
      <c r="I558" s="425" t="inlineStr"/>
      <c r="J558" s="111" t="inlineStr">
        <is>
          <t>https://www.linkedin.com/in/ashu-bhalla-b44bb73/</t>
        </is>
      </c>
      <c r="K558" s="426" t="inlineStr">
        <is>
          <t>John Quinn</t>
        </is>
      </c>
      <c r="L558" s="426" t="inlineStr">
        <is>
          <t>Follow Up</t>
        </is>
      </c>
      <c r="M558" s="425" t="inlineStr">
        <is>
          <t>Space / Defense / Aerospace / Advanced Manufacturing</t>
        </is>
      </c>
      <c r="N558" s="426" t="inlineStr">
        <is>
          <t>Tier 2</t>
        </is>
      </c>
      <c r="O558" s="441" t="n">
        <v>45805</v>
      </c>
      <c r="P558" s="441" t="n">
        <v>45821</v>
      </c>
      <c r="Q558" s="425">
        <f>IF(P558="","",TODAY()-P558)</f>
        <v/>
      </c>
      <c r="R558" s="441">
        <f>IF(OR(L558="Passed",Z558=""),"",P558+Z558)</f>
        <v/>
      </c>
      <c r="S558" s="425">
        <f>IF(OR(R558="",L558="Passed"),"",IF(R558&lt;=TODAY(),"DUE",IF(R558&lt;=TODAY()+3,"Next 3 Days","Later")))</f>
        <v/>
      </c>
      <c r="T558" s="425" t="inlineStr"/>
      <c r="U558" s="426" t="inlineStr">
        <is>
          <t>https://www.linkedin.com/in/ashu-bhalla-b44bb73/</t>
        </is>
      </c>
      <c r="V558" s="426" t="inlineStr"/>
      <c r="W558" s="428" t="inlineStr">
        <is>
          <t xml:space="preserve"> | Moneta Application: https://moneta.vc/get-funding/ | </t>
        </is>
      </c>
      <c r="X558" s="425" t="inlineStr">
        <is>
          <t>John - Investor Contacts!91</t>
        </is>
      </c>
      <c r="Y558" s="426" t="inlineStr">
        <is>
          <t>Send next follow-up with traction + CTA</t>
        </is>
      </c>
      <c r="Z558" s="425" t="n">
        <v>7</v>
      </c>
      <c r="AA558" s="425">
        <f>IF(AC558="Archived",0,ROUND((IF(N558="Tier 1",35,IF(N558="Tier 2",20,8))+IF(C558="Financial Investor",15,IF(C558="Intermediary / Banker",12,8))+IF(L558="Term Sheet / Proposal",25,IF(L558="Engaged",20,IF(L558="Meeting Requested",18,IF(L558="Meeting Held",14,IF(L558="Follow Up",10,5)))))+MIN(Q558,30)+IF(S558="DUE",15,IF(S558="Next 3 Days",8,0))),0))</f>
        <v/>
      </c>
      <c r="AB558" s="425">
        <f>IF(AND(AC558="Active",OR(N558="Tier 1",N558="Tier 2"),OR(S558="DUE",S558="Next 3 Days")),"YES","")</f>
        <v/>
      </c>
      <c r="AC558" s="425">
        <f>IF(L558="Passed","Archived","Active")</f>
        <v/>
      </c>
    </row>
    <row r="559">
      <c r="A559" s="425" t="inlineStr">
        <is>
          <t>EXOS-0558</t>
        </is>
      </c>
      <c r="B559" s="425" t="inlineStr">
        <is>
          <t>John - Investor Contacts</t>
        </is>
      </c>
      <c r="C559" s="425" t="inlineStr">
        <is>
          <t>Financial Investor</t>
        </is>
      </c>
      <c r="D559" s="425" t="inlineStr">
        <is>
          <t>Moneta VC</t>
        </is>
      </c>
      <c r="E559" s="425" t="inlineStr">
        <is>
          <t>Brent Kelton</t>
        </is>
      </c>
      <c r="F559" s="425" t="inlineStr"/>
      <c r="G559" s="111" t="inlineStr">
        <is>
          <t>brent@moneta.vc</t>
        </is>
      </c>
      <c r="H559" s="425" t="inlineStr"/>
      <c r="I559" s="425" t="inlineStr"/>
      <c r="J559" s="111" t="inlineStr">
        <is>
          <t>https://www.linkedin.com/in/brentvkelton/</t>
        </is>
      </c>
      <c r="K559" s="426" t="inlineStr">
        <is>
          <t>John Quinn</t>
        </is>
      </c>
      <c r="L559" s="426" t="inlineStr">
        <is>
          <t>Follow Up</t>
        </is>
      </c>
      <c r="M559" s="425" t="inlineStr">
        <is>
          <t>Space / Defense / Aerospace / Advanced Manufacturing</t>
        </is>
      </c>
      <c r="N559" s="426" t="inlineStr">
        <is>
          <t>Tier 2</t>
        </is>
      </c>
      <c r="O559" s="441" t="n">
        <v>45805</v>
      </c>
      <c r="P559" s="441" t="n">
        <v>45821</v>
      </c>
      <c r="Q559" s="425">
        <f>IF(P559="","",TODAY()-P559)</f>
        <v/>
      </c>
      <c r="R559" s="441">
        <f>IF(OR(L559="Passed",Z559=""),"",P559+Z559)</f>
        <v/>
      </c>
      <c r="S559" s="425">
        <f>IF(OR(R559="",L559="Passed"),"",IF(R559&lt;=TODAY(),"DUE",IF(R559&lt;=TODAY()+3,"Next 3 Days","Later")))</f>
        <v/>
      </c>
      <c r="T559" s="425" t="inlineStr"/>
      <c r="U559" s="426" t="inlineStr">
        <is>
          <t>https://www.linkedin.com/in/brentvkelton/</t>
        </is>
      </c>
      <c r="V559" s="426" t="inlineStr"/>
      <c r="W559" s="428" t="inlineStr">
        <is>
          <t xml:space="preserve"> |  | </t>
        </is>
      </c>
      <c r="X559" s="425" t="inlineStr">
        <is>
          <t>John - Investor Contacts!95</t>
        </is>
      </c>
      <c r="Y559" s="426" t="inlineStr">
        <is>
          <t>Send next follow-up with traction + CTA</t>
        </is>
      </c>
      <c r="Z559" s="425" t="n">
        <v>7</v>
      </c>
      <c r="AA559" s="425">
        <f>IF(AC559="Archived",0,ROUND((IF(N559="Tier 1",35,IF(N559="Tier 2",20,8))+IF(C559="Financial Investor",15,IF(C559="Intermediary / Banker",12,8))+IF(L559="Term Sheet / Proposal",25,IF(L559="Engaged",20,IF(L559="Meeting Requested",18,IF(L559="Meeting Held",14,IF(L559="Follow Up",10,5)))))+MIN(Q559,30)+IF(S559="DUE",15,IF(S559="Next 3 Days",8,0))),0))</f>
        <v/>
      </c>
      <c r="AB559" s="425">
        <f>IF(AND(AC559="Active",OR(N559="Tier 1",N559="Tier 2"),OR(S559="DUE",S559="Next 3 Days")),"YES","")</f>
        <v/>
      </c>
      <c r="AC559" s="425">
        <f>IF(L559="Passed","Archived","Active")</f>
        <v/>
      </c>
    </row>
    <row r="560">
      <c r="A560" s="425" t="inlineStr">
        <is>
          <t>EXOS-0559</t>
        </is>
      </c>
      <c r="B560" s="425" t="inlineStr">
        <is>
          <t>John - Investor Contacts</t>
        </is>
      </c>
      <c r="C560" s="425" t="inlineStr">
        <is>
          <t>Financial Investor</t>
        </is>
      </c>
      <c r="D560" s="425" t="inlineStr">
        <is>
          <t>Moneta VC</t>
        </is>
      </c>
      <c r="E560" s="425" t="inlineStr">
        <is>
          <t>Lokesh Sikaria</t>
        </is>
      </c>
      <c r="F560" s="425" t="inlineStr"/>
      <c r="G560" s="111" t="inlineStr">
        <is>
          <t>lsikaria@monetaventures.com</t>
        </is>
      </c>
      <c r="H560" s="425" t="inlineStr"/>
      <c r="I560" s="425" t="inlineStr"/>
      <c r="J560" s="111" t="inlineStr">
        <is>
          <t>https://www.linkedin.com/in/lokeshsikaria/</t>
        </is>
      </c>
      <c r="K560" s="426" t="inlineStr">
        <is>
          <t>John Quinn</t>
        </is>
      </c>
      <c r="L560" s="426" t="inlineStr">
        <is>
          <t>Follow Up</t>
        </is>
      </c>
      <c r="M560" s="425" t="inlineStr">
        <is>
          <t>Space / Defense / Aerospace / Advanced Manufacturing</t>
        </is>
      </c>
      <c r="N560" s="426" t="inlineStr">
        <is>
          <t>Tier 2</t>
        </is>
      </c>
      <c r="O560" s="441" t="n">
        <v>45805</v>
      </c>
      <c r="P560" s="441" t="n">
        <v>45821</v>
      </c>
      <c r="Q560" s="425">
        <f>IF(P560="","",TODAY()-P560)</f>
        <v/>
      </c>
      <c r="R560" s="441">
        <f>IF(OR(L560="Passed",Z560=""),"",P560+Z560)</f>
        <v/>
      </c>
      <c r="S560" s="425">
        <f>IF(OR(R560="",L560="Passed"),"",IF(R560&lt;=TODAY(),"DUE",IF(R560&lt;=TODAY()+3,"Next 3 Days","Later")))</f>
        <v/>
      </c>
      <c r="T560" s="425" t="inlineStr"/>
      <c r="U560" s="426" t="inlineStr">
        <is>
          <t>https://www.linkedin.com/in/lokeshsikaria/</t>
        </is>
      </c>
      <c r="V560" s="426" t="inlineStr"/>
      <c r="W560" s="428" t="inlineStr">
        <is>
          <t xml:space="preserve"> |  | </t>
        </is>
      </c>
      <c r="X560" s="425" t="inlineStr">
        <is>
          <t>John - Investor Contacts!93</t>
        </is>
      </c>
      <c r="Y560" s="426" t="inlineStr">
        <is>
          <t>Send next follow-up with traction + CTA</t>
        </is>
      </c>
      <c r="Z560" s="425" t="n">
        <v>7</v>
      </c>
      <c r="AA560" s="425">
        <f>IF(AC560="Archived",0,ROUND((IF(N560="Tier 1",35,IF(N560="Tier 2",20,8))+IF(C560="Financial Investor",15,IF(C560="Intermediary / Banker",12,8))+IF(L560="Term Sheet / Proposal",25,IF(L560="Engaged",20,IF(L560="Meeting Requested",18,IF(L560="Meeting Held",14,IF(L560="Follow Up",10,5)))))+MIN(Q560,30)+IF(S560="DUE",15,IF(S560="Next 3 Days",8,0))),0))</f>
        <v/>
      </c>
      <c r="AB560" s="425">
        <f>IF(AND(AC560="Active",OR(N560="Tier 1",N560="Tier 2"),OR(S560="DUE",S560="Next 3 Days")),"YES","")</f>
        <v/>
      </c>
      <c r="AC560" s="425">
        <f>IF(L560="Passed","Archived","Active")</f>
        <v/>
      </c>
    </row>
    <row r="561">
      <c r="A561" s="425" t="inlineStr">
        <is>
          <t>EXOS-0560</t>
        </is>
      </c>
      <c r="B561" s="425" t="inlineStr">
        <is>
          <t>John - Investor Contacts</t>
        </is>
      </c>
      <c r="C561" s="425" t="inlineStr">
        <is>
          <t>Financial Investor</t>
        </is>
      </c>
      <c r="D561" s="425" t="inlineStr">
        <is>
          <t>Moneta VC</t>
        </is>
      </c>
      <c r="E561" s="425" t="inlineStr">
        <is>
          <t>Vaibhav Nadgauda</t>
        </is>
      </c>
      <c r="F561" s="425" t="inlineStr"/>
      <c r="G561" s="111" t="inlineStr">
        <is>
          <t>vnadgauda@monetaventures.com</t>
        </is>
      </c>
      <c r="H561" s="425" t="inlineStr"/>
      <c r="I561" s="425" t="inlineStr"/>
      <c r="J561" s="111" t="inlineStr">
        <is>
          <t>https://www.linkedin.com/in/vaibhav-nadgauda-0655799/</t>
        </is>
      </c>
      <c r="K561" s="426" t="inlineStr">
        <is>
          <t>John Quinn</t>
        </is>
      </c>
      <c r="L561" s="426" t="inlineStr">
        <is>
          <t>Follow Up</t>
        </is>
      </c>
      <c r="M561" s="425" t="inlineStr">
        <is>
          <t>Space / Defense / Aerospace / Advanced Manufacturing</t>
        </is>
      </c>
      <c r="N561" s="426" t="inlineStr">
        <is>
          <t>Tier 2</t>
        </is>
      </c>
      <c r="O561" s="441" t="n">
        <v>45805</v>
      </c>
      <c r="P561" s="441" t="n">
        <v>45821</v>
      </c>
      <c r="Q561" s="425">
        <f>IF(P561="","",TODAY()-P561)</f>
        <v/>
      </c>
      <c r="R561" s="441">
        <f>IF(OR(L561="Passed",Z561=""),"",P561+Z561)</f>
        <v/>
      </c>
      <c r="S561" s="425">
        <f>IF(OR(R561="",L561="Passed"),"",IF(R561&lt;=TODAY(),"DUE",IF(R561&lt;=TODAY()+3,"Next 3 Days","Later")))</f>
        <v/>
      </c>
      <c r="T561" s="425" t="inlineStr"/>
      <c r="U561" s="426" t="inlineStr">
        <is>
          <t>https://www.linkedin.com/in/vaibhav-nadgauda-0655799/</t>
        </is>
      </c>
      <c r="V561" s="426" t="inlineStr"/>
      <c r="W561" s="428" t="inlineStr">
        <is>
          <t xml:space="preserve"> |  | </t>
        </is>
      </c>
      <c r="X561" s="425" t="inlineStr">
        <is>
          <t>John - Investor Contacts!92</t>
        </is>
      </c>
      <c r="Y561" s="426" t="inlineStr">
        <is>
          <t>Send next follow-up with traction + CTA</t>
        </is>
      </c>
      <c r="Z561" s="425" t="n">
        <v>7</v>
      </c>
      <c r="AA561" s="425">
        <f>IF(AC561="Archived",0,ROUND((IF(N561="Tier 1",35,IF(N561="Tier 2",20,8))+IF(C561="Financial Investor",15,IF(C561="Intermediary / Banker",12,8))+IF(L561="Term Sheet / Proposal",25,IF(L561="Engaged",20,IF(L561="Meeting Requested",18,IF(L561="Meeting Held",14,IF(L561="Follow Up",10,5)))))+MIN(Q561,30)+IF(S561="DUE",15,IF(S561="Next 3 Days",8,0))),0))</f>
        <v/>
      </c>
      <c r="AB561" s="425">
        <f>IF(AND(AC561="Active",OR(N561="Tier 1",N561="Tier 2"),OR(S561="DUE",S561="Next 3 Days")),"YES","")</f>
        <v/>
      </c>
      <c r="AC561" s="425">
        <f>IF(L561="Passed","Archived","Active")</f>
        <v/>
      </c>
    </row>
    <row r="562">
      <c r="A562" s="425" t="inlineStr">
        <is>
          <t>EXOS-0561</t>
        </is>
      </c>
      <c r="B562" s="425" t="inlineStr">
        <is>
          <t>John - Investor Contacts</t>
        </is>
      </c>
      <c r="C562" s="425" t="inlineStr">
        <is>
          <t>Financial Investor</t>
        </is>
      </c>
      <c r="D562" s="425" t="inlineStr">
        <is>
          <t>Moonshots Capital</t>
        </is>
      </c>
      <c r="E562" s="425" t="inlineStr">
        <is>
          <t>Craig Cummings</t>
        </is>
      </c>
      <c r="F562" s="425" t="inlineStr"/>
      <c r="G562" s="111" t="inlineStr">
        <is>
          <t>craig@moonshotscapital.com</t>
        </is>
      </c>
      <c r="H562" s="425" t="inlineStr"/>
      <c r="I562" s="425" t="inlineStr"/>
      <c r="J562" s="111" t="inlineStr">
        <is>
          <t>https://www.linkedin.com/in/unleashcraig/</t>
        </is>
      </c>
      <c r="K562" s="426" t="inlineStr">
        <is>
          <t>John Quinn</t>
        </is>
      </c>
      <c r="L562" s="426" t="inlineStr">
        <is>
          <t>Follow Up</t>
        </is>
      </c>
      <c r="M562" s="425" t="inlineStr">
        <is>
          <t>Space / Defense / Aerospace / Advanced Manufacturing</t>
        </is>
      </c>
      <c r="N562" s="426" t="inlineStr">
        <is>
          <t>Tier 2</t>
        </is>
      </c>
      <c r="O562" s="441" t="n">
        <v>45793</v>
      </c>
      <c r="P562" s="441" t="n">
        <v>45848</v>
      </c>
      <c r="Q562" s="425">
        <f>IF(P562="","",TODAY()-P562)</f>
        <v/>
      </c>
      <c r="R562" s="441">
        <f>IF(OR(L562="Passed",Z562=""),"",P562+Z562)</f>
        <v/>
      </c>
      <c r="S562" s="425">
        <f>IF(OR(R562="",L562="Passed"),"",IF(R562&lt;=TODAY(),"DUE",IF(R562&lt;=TODAY()+3,"Next 3 Days","Later")))</f>
        <v/>
      </c>
      <c r="T562" s="425" t="inlineStr"/>
      <c r="U562" s="426" t="inlineStr">
        <is>
          <t>https://www.linkedin.com/in/unleashcraig/ | https://www.linkedin.com/in/unleashcraig</t>
        </is>
      </c>
      <c r="V562" s="426" t="inlineStr"/>
      <c r="W562" s="428" t="inlineStr">
        <is>
          <t>sent one pager on 6/23 OSC direct question 7-11</t>
        </is>
      </c>
      <c r="X562" s="425" t="inlineStr">
        <is>
          <t>John - Investor Contacts!74 | John - Investor Contacts!132</t>
        </is>
      </c>
      <c r="Y562" s="426" t="inlineStr">
        <is>
          <t>Send next follow-up with traction + CTA</t>
        </is>
      </c>
      <c r="Z562" s="425" t="n">
        <v>7</v>
      </c>
      <c r="AA562" s="425">
        <f>IF(AC562="Archived",0,ROUND((IF(N562="Tier 1",35,IF(N562="Tier 2",20,8))+IF(C562="Financial Investor",15,IF(C562="Intermediary / Banker",12,8))+IF(L562="Term Sheet / Proposal",25,IF(L562="Engaged",20,IF(L562="Meeting Requested",18,IF(L562="Meeting Held",14,IF(L562="Follow Up",10,5)))))+MIN(Q562,30)+IF(S562="DUE",15,IF(S562="Next 3 Days",8,0))),0))</f>
        <v/>
      </c>
      <c r="AB562" s="425">
        <f>IF(AND(AC562="Active",OR(N562="Tier 1",N562="Tier 2"),OR(S562="DUE",S562="Next 3 Days")),"YES","")</f>
        <v/>
      </c>
      <c r="AC562" s="425">
        <f>IF(L562="Passed","Archived","Active")</f>
        <v/>
      </c>
    </row>
    <row r="563">
      <c r="A563" s="425" t="inlineStr">
        <is>
          <t>EXOS-0562</t>
        </is>
      </c>
      <c r="B563" s="425" t="inlineStr">
        <is>
          <t>John - Investor Contacts</t>
        </is>
      </c>
      <c r="C563" s="425" t="inlineStr">
        <is>
          <t>Financial Investor</t>
        </is>
      </c>
      <c r="D563" s="425" t="inlineStr">
        <is>
          <t>Moonshots Capital</t>
        </is>
      </c>
      <c r="E563" s="425" t="inlineStr">
        <is>
          <t>LTC Brian Titus Noble</t>
        </is>
      </c>
      <c r="F563" s="425" t="inlineStr"/>
      <c r="G563" s="111" t="inlineStr">
        <is>
          <t>titus@moonshotscapital.com</t>
        </is>
      </c>
      <c r="H563" s="425" t="inlineStr"/>
      <c r="I563" s="425" t="inlineStr"/>
      <c r="J563" s="111" t="inlineStr">
        <is>
          <t>https://www.linkedin.com/in/titus-noble-8873b314/</t>
        </is>
      </c>
      <c r="K563" s="426" t="inlineStr">
        <is>
          <t>John Quinn</t>
        </is>
      </c>
      <c r="L563" s="426" t="inlineStr">
        <is>
          <t>Follow Up</t>
        </is>
      </c>
      <c r="M563" s="425" t="inlineStr">
        <is>
          <t>Space / Defense / Aerospace / Advanced Manufacturing</t>
        </is>
      </c>
      <c r="N563" s="426" t="inlineStr">
        <is>
          <t>Tier 2</t>
        </is>
      </c>
      <c r="O563" s="441" t="n">
        <v>45793</v>
      </c>
      <c r="P563" s="441" t="n">
        <v>45813</v>
      </c>
      <c r="Q563" s="425">
        <f>IF(P563="","",TODAY()-P563)</f>
        <v/>
      </c>
      <c r="R563" s="441">
        <f>IF(OR(L563="Passed",Z563=""),"",P563+Z563)</f>
        <v/>
      </c>
      <c r="S563" s="425">
        <f>IF(OR(R563="",L563="Passed"),"",IF(R563&lt;=TODAY(),"DUE",IF(R563&lt;=TODAY()+3,"Next 3 Days","Later")))</f>
        <v/>
      </c>
      <c r="T563" s="425" t="inlineStr"/>
      <c r="U563" s="426" t="inlineStr">
        <is>
          <t>https://www.linkedin.com/in/titus-noble-8873b314/</t>
        </is>
      </c>
      <c r="V563" s="426" t="inlineStr"/>
      <c r="W563" s="428" t="inlineStr">
        <is>
          <t xml:space="preserve"> |  | </t>
        </is>
      </c>
      <c r="X563" s="425" t="inlineStr">
        <is>
          <t>John - Investor Contacts!76</t>
        </is>
      </c>
      <c r="Y563" s="426" t="inlineStr">
        <is>
          <t>Send next follow-up with traction + CTA</t>
        </is>
      </c>
      <c r="Z563" s="425" t="n">
        <v>7</v>
      </c>
      <c r="AA563" s="425">
        <f>IF(AC563="Archived",0,ROUND((IF(N563="Tier 1",35,IF(N563="Tier 2",20,8))+IF(C563="Financial Investor",15,IF(C563="Intermediary / Banker",12,8))+IF(L563="Term Sheet / Proposal",25,IF(L563="Engaged",20,IF(L563="Meeting Requested",18,IF(L563="Meeting Held",14,IF(L563="Follow Up",10,5)))))+MIN(Q563,30)+IF(S563="DUE",15,IF(S563="Next 3 Days",8,0))),0))</f>
        <v/>
      </c>
      <c r="AB563" s="425">
        <f>IF(AND(AC563="Active",OR(N563="Tier 1",N563="Tier 2"),OR(S563="DUE",S563="Next 3 Days")),"YES","")</f>
        <v/>
      </c>
      <c r="AC563" s="425">
        <f>IF(L563="Passed","Archived","Active")</f>
        <v/>
      </c>
    </row>
    <row r="564">
      <c r="A564" s="425" t="inlineStr">
        <is>
          <t>EXOS-0563</t>
        </is>
      </c>
      <c r="B564" s="425" t="inlineStr">
        <is>
          <t>John - Investor Contacts</t>
        </is>
      </c>
      <c r="C564" s="425" t="inlineStr">
        <is>
          <t>Financial Investor</t>
        </is>
      </c>
      <c r="D564" s="425" t="inlineStr">
        <is>
          <t>Moonshots Capital</t>
        </is>
      </c>
      <c r="E564" s="425" t="inlineStr">
        <is>
          <t>Mac Hoffman</t>
        </is>
      </c>
      <c r="F564" s="425" t="inlineStr"/>
      <c r="G564" s="111" t="inlineStr">
        <is>
          <t>mac@moonshotscapital.com</t>
        </is>
      </c>
      <c r="H564" s="425" t="inlineStr"/>
      <c r="I564" s="425" t="inlineStr"/>
      <c r="J564" s="111" t="inlineStr">
        <is>
          <t>https://www.linkedin.com/in/machoffman/</t>
        </is>
      </c>
      <c r="K564" s="426" t="inlineStr">
        <is>
          <t>John Quinn</t>
        </is>
      </c>
      <c r="L564" s="426" t="inlineStr">
        <is>
          <t>Follow Up</t>
        </is>
      </c>
      <c r="M564" s="425" t="inlineStr">
        <is>
          <t>Space / Defense / Aerospace / Advanced Manufacturing</t>
        </is>
      </c>
      <c r="N564" s="426" t="inlineStr">
        <is>
          <t>Tier 2</t>
        </is>
      </c>
      <c r="O564" s="441" t="n">
        <v>45793</v>
      </c>
      <c r="P564" s="441" t="n">
        <v>45813</v>
      </c>
      <c r="Q564" s="425">
        <f>IF(P564="","",TODAY()-P564)</f>
        <v/>
      </c>
      <c r="R564" s="441">
        <f>IF(OR(L564="Passed",Z564=""),"",P564+Z564)</f>
        <v/>
      </c>
      <c r="S564" s="425">
        <f>IF(OR(R564="",L564="Passed"),"",IF(R564&lt;=TODAY(),"DUE",IF(R564&lt;=TODAY()+3,"Next 3 Days","Later")))</f>
        <v/>
      </c>
      <c r="T564" s="425" t="inlineStr"/>
      <c r="U564" s="426" t="inlineStr">
        <is>
          <t>https://www.linkedin.com/in/machoffman/</t>
        </is>
      </c>
      <c r="V564" s="426" t="inlineStr"/>
      <c r="W564" s="428" t="inlineStr">
        <is>
          <t xml:space="preserve"> | Moonshots Application:  https://www.moonshotscapital.com/submit-your-startup-for-early-stage-investment/ | </t>
        </is>
      </c>
      <c r="X564" s="425" t="inlineStr">
        <is>
          <t>John - Investor Contacts!75</t>
        </is>
      </c>
      <c r="Y564" s="426" t="inlineStr">
        <is>
          <t>Send next follow-up with traction + CTA</t>
        </is>
      </c>
      <c r="Z564" s="425" t="n">
        <v>7</v>
      </c>
      <c r="AA564" s="425">
        <f>IF(AC564="Archived",0,ROUND((IF(N564="Tier 1",35,IF(N564="Tier 2",20,8))+IF(C564="Financial Investor",15,IF(C564="Intermediary / Banker",12,8))+IF(L564="Term Sheet / Proposal",25,IF(L564="Engaged",20,IF(L564="Meeting Requested",18,IF(L564="Meeting Held",14,IF(L564="Follow Up",10,5)))))+MIN(Q564,30)+IF(S564="DUE",15,IF(S564="Next 3 Days",8,0))),0))</f>
        <v/>
      </c>
      <c r="AB564" s="425">
        <f>IF(AND(AC564="Active",OR(N564="Tier 1",N564="Tier 2"),OR(S564="DUE",S564="Next 3 Days")),"YES","")</f>
        <v/>
      </c>
      <c r="AC564" s="425">
        <f>IF(L564="Passed","Archived","Active")</f>
        <v/>
      </c>
    </row>
    <row r="565">
      <c r="A565" s="425" t="inlineStr">
        <is>
          <t>EXOS-0564</t>
        </is>
      </c>
      <c r="B565" s="425" t="inlineStr">
        <is>
          <t>John - Investor Contacts</t>
        </is>
      </c>
      <c r="C565" s="425" t="inlineStr">
        <is>
          <t>Financial Investor</t>
        </is>
      </c>
      <c r="D565" s="425" t="inlineStr">
        <is>
          <t>Moxxie VC</t>
        </is>
      </c>
      <c r="E565" s="425" t="inlineStr">
        <is>
          <t>Alex Roetter</t>
        </is>
      </c>
      <c r="F565" s="425" t="inlineStr"/>
      <c r="G565" s="111" t="inlineStr">
        <is>
          <t>alex@moxxie.vc</t>
        </is>
      </c>
      <c r="H565" s="425" t="inlineStr"/>
      <c r="I565" s="425" t="inlineStr"/>
      <c r="J565" s="425" t="inlineStr"/>
      <c r="K565" s="426" t="inlineStr">
        <is>
          <t>John Quinn</t>
        </is>
      </c>
      <c r="L565" s="426" t="inlineStr">
        <is>
          <t>Follow Up</t>
        </is>
      </c>
      <c r="M565" s="425" t="inlineStr">
        <is>
          <t>Space / Defense / Aerospace / Advanced Manufacturing</t>
        </is>
      </c>
      <c r="N565" s="426" t="inlineStr">
        <is>
          <t>Tier 2</t>
        </is>
      </c>
      <c r="O565" s="441" t="n">
        <v>45848</v>
      </c>
      <c r="P565" s="441" t="n">
        <v>45861</v>
      </c>
      <c r="Q565" s="425">
        <f>IF(P565="","",TODAY()-P565)</f>
        <v/>
      </c>
      <c r="R565" s="441">
        <f>IF(OR(L565="Passed",Z565=""),"",P565+Z565)</f>
        <v/>
      </c>
      <c r="S565" s="425">
        <f>IF(OR(R565="",L565="Passed"),"",IF(R565&lt;=TODAY(),"DUE",IF(R565&lt;=TODAY()+3,"Next 3 Days","Later")))</f>
        <v/>
      </c>
      <c r="T565" s="425" t="inlineStr"/>
      <c r="U565" s="426" t="inlineStr">
        <is>
          <t>linkedin.com/in/alex-roetter</t>
        </is>
      </c>
      <c r="V565" s="426" t="inlineStr"/>
      <c r="W565" s="428" t="inlineStr">
        <is>
          <t xml:space="preserve"> | 12/26/2025 | </t>
        </is>
      </c>
      <c r="X565" s="425" t="inlineStr">
        <is>
          <t>John - Investor Contacts!391</t>
        </is>
      </c>
      <c r="Y565" s="426" t="inlineStr">
        <is>
          <t>Send next follow-up with traction + CTA</t>
        </is>
      </c>
      <c r="Z565" s="425" t="n">
        <v>7</v>
      </c>
      <c r="AA565" s="425">
        <f>IF(AC565="Archived",0,ROUND((IF(N565="Tier 1",35,IF(N565="Tier 2",20,8))+IF(C565="Financial Investor",15,IF(C565="Intermediary / Banker",12,8))+IF(L565="Term Sheet / Proposal",25,IF(L565="Engaged",20,IF(L565="Meeting Requested",18,IF(L565="Meeting Held",14,IF(L565="Follow Up",10,5)))))+MIN(Q565,30)+IF(S565="DUE",15,IF(S565="Next 3 Days",8,0))),0))</f>
        <v/>
      </c>
      <c r="AB565" s="425">
        <f>IF(AND(AC565="Active",OR(N565="Tier 1",N565="Tier 2"),OR(S565="DUE",S565="Next 3 Days")),"YES","")</f>
        <v/>
      </c>
      <c r="AC565" s="425">
        <f>IF(L565="Passed","Archived","Active")</f>
        <v/>
      </c>
    </row>
    <row r="566">
      <c r="A566" s="425" t="inlineStr">
        <is>
          <t>EXOS-0565</t>
        </is>
      </c>
      <c r="B566" s="425" t="inlineStr">
        <is>
          <t>John - Investor Contacts</t>
        </is>
      </c>
      <c r="C566" s="425" t="inlineStr">
        <is>
          <t>Financial Investor</t>
        </is>
      </c>
      <c r="D566" s="425" t="inlineStr">
        <is>
          <t>Moxxie VC</t>
        </is>
      </c>
      <c r="E566" s="425" t="inlineStr">
        <is>
          <t>Ashwin Lalendran</t>
        </is>
      </c>
      <c r="F566" s="425" t="inlineStr"/>
      <c r="G566" s="111" t="inlineStr">
        <is>
          <t>ashwin@moxxie.vc</t>
        </is>
      </c>
      <c r="H566" s="425" t="inlineStr"/>
      <c r="I566" s="425" t="inlineStr"/>
      <c r="J566" s="111" t="inlineStr">
        <is>
          <t>https://www.linkedin.com/in/ashwinl/</t>
        </is>
      </c>
      <c r="K566" s="426" t="inlineStr">
        <is>
          <t>John Quinn</t>
        </is>
      </c>
      <c r="L566" s="426" t="inlineStr">
        <is>
          <t>Follow Up</t>
        </is>
      </c>
      <c r="M566" s="425" t="inlineStr">
        <is>
          <t>Space / Defense / Aerospace / Advanced Manufacturing</t>
        </is>
      </c>
      <c r="N566" s="426" t="inlineStr">
        <is>
          <t>Tier 2</t>
        </is>
      </c>
      <c r="O566" s="441" t="n">
        <v>45848</v>
      </c>
      <c r="P566" s="441" t="n">
        <v>45861</v>
      </c>
      <c r="Q566" s="425">
        <f>IF(P566="","",TODAY()-P566)</f>
        <v/>
      </c>
      <c r="R566" s="441">
        <f>IF(OR(L566="Passed",Z566=""),"",P566+Z566)</f>
        <v/>
      </c>
      <c r="S566" s="425">
        <f>IF(OR(R566="",L566="Passed"),"",IF(R566&lt;=TODAY(),"DUE",IF(R566&lt;=TODAY()+3,"Next 3 Days","Later")))</f>
        <v/>
      </c>
      <c r="T566" s="425" t="inlineStr"/>
      <c r="U566" s="426" t="inlineStr">
        <is>
          <t>https://www.linkedin.com/in/ashwinl/</t>
        </is>
      </c>
      <c r="V566" s="426" t="inlineStr"/>
      <c r="W566" s="428" t="inlineStr">
        <is>
          <t xml:space="preserve"> | 12/26/2025 | </t>
        </is>
      </c>
      <c r="X566" s="425" t="inlineStr">
        <is>
          <t>John - Investor Contacts!393</t>
        </is>
      </c>
      <c r="Y566" s="426" t="inlineStr">
        <is>
          <t>Send next follow-up with traction + CTA</t>
        </is>
      </c>
      <c r="Z566" s="425" t="n">
        <v>7</v>
      </c>
      <c r="AA566" s="425">
        <f>IF(AC566="Archived",0,ROUND((IF(N566="Tier 1",35,IF(N566="Tier 2",20,8))+IF(C566="Financial Investor",15,IF(C566="Intermediary / Banker",12,8))+IF(L566="Term Sheet / Proposal",25,IF(L566="Engaged",20,IF(L566="Meeting Requested",18,IF(L566="Meeting Held",14,IF(L566="Follow Up",10,5)))))+MIN(Q566,30)+IF(S566="DUE",15,IF(S566="Next 3 Days",8,0))),0))</f>
        <v/>
      </c>
      <c r="AB566" s="425">
        <f>IF(AND(AC566="Active",OR(N566="Tier 1",N566="Tier 2"),OR(S566="DUE",S566="Next 3 Days")),"YES","")</f>
        <v/>
      </c>
      <c r="AC566" s="425">
        <f>IF(L566="Passed","Archived","Active")</f>
        <v/>
      </c>
    </row>
    <row r="567">
      <c r="A567" s="425" t="inlineStr">
        <is>
          <t>EXOS-0566</t>
        </is>
      </c>
      <c r="B567" s="425" t="inlineStr">
        <is>
          <t>John - Investor Contacts</t>
        </is>
      </c>
      <c r="C567" s="425" t="inlineStr">
        <is>
          <t>Financial Investor</t>
        </is>
      </c>
      <c r="D567" s="425" t="inlineStr">
        <is>
          <t>Moxxie VC</t>
        </is>
      </c>
      <c r="E567" s="425" t="inlineStr">
        <is>
          <t>Katie Jacobs Stanton</t>
        </is>
      </c>
      <c r="F567" s="425" t="inlineStr"/>
      <c r="G567" s="111" t="inlineStr">
        <is>
          <t>katie@moxxie.vc</t>
        </is>
      </c>
      <c r="H567" s="425" t="inlineStr"/>
      <c r="I567" s="425" t="inlineStr"/>
      <c r="J567" s="425" t="inlineStr"/>
      <c r="K567" s="426" t="inlineStr">
        <is>
          <t>John Quinn</t>
        </is>
      </c>
      <c r="L567" s="426" t="inlineStr">
        <is>
          <t>Follow Up</t>
        </is>
      </c>
      <c r="M567" s="425" t="inlineStr">
        <is>
          <t>Space / Defense / Aerospace / Advanced Manufacturing</t>
        </is>
      </c>
      <c r="N567" s="426" t="inlineStr">
        <is>
          <t>Tier 2</t>
        </is>
      </c>
      <c r="O567" s="441" t="n">
        <v>45848</v>
      </c>
      <c r="P567" s="441" t="n">
        <v>45861</v>
      </c>
      <c r="Q567" s="425">
        <f>IF(P567="","",TODAY()-P567)</f>
        <v/>
      </c>
      <c r="R567" s="441">
        <f>IF(OR(L567="Passed",Z567=""),"",P567+Z567)</f>
        <v/>
      </c>
      <c r="S567" s="425">
        <f>IF(OR(R567="",L567="Passed"),"",IF(R567&lt;=TODAY(),"DUE",IF(R567&lt;=TODAY()+3,"Next 3 Days","Later")))</f>
        <v/>
      </c>
      <c r="T567" s="425" t="inlineStr"/>
      <c r="U567" s="426" t="inlineStr">
        <is>
          <t>linkedin.com/in/katiestanton</t>
        </is>
      </c>
      <c r="V567" s="426" t="inlineStr"/>
      <c r="W567" s="428" t="inlineStr">
        <is>
          <t xml:space="preserve"> | 12/26/2025 | </t>
        </is>
      </c>
      <c r="X567" s="425" t="inlineStr">
        <is>
          <t>John - Investor Contacts!390</t>
        </is>
      </c>
      <c r="Y567" s="426" t="inlineStr">
        <is>
          <t>Send next follow-up with traction + CTA</t>
        </is>
      </c>
      <c r="Z567" s="425" t="n">
        <v>7</v>
      </c>
      <c r="AA567" s="425">
        <f>IF(AC567="Archived",0,ROUND((IF(N567="Tier 1",35,IF(N567="Tier 2",20,8))+IF(C567="Financial Investor",15,IF(C567="Intermediary / Banker",12,8))+IF(L567="Term Sheet / Proposal",25,IF(L567="Engaged",20,IF(L567="Meeting Requested",18,IF(L567="Meeting Held",14,IF(L567="Follow Up",10,5)))))+MIN(Q567,30)+IF(S567="DUE",15,IF(S567="Next 3 Days",8,0))),0))</f>
        <v/>
      </c>
      <c r="AB567" s="425">
        <f>IF(AND(AC567="Active",OR(N567="Tier 1",N567="Tier 2"),OR(S567="DUE",S567="Next 3 Days")),"YES","")</f>
        <v/>
      </c>
      <c r="AC567" s="425">
        <f>IF(L567="Passed","Archived","Active")</f>
        <v/>
      </c>
    </row>
    <row r="568">
      <c r="A568" s="425" t="inlineStr">
        <is>
          <t>EXOS-0567</t>
        </is>
      </c>
      <c r="B568" s="425" t="inlineStr">
        <is>
          <t>John - Investor Contacts</t>
        </is>
      </c>
      <c r="C568" s="425" t="inlineStr">
        <is>
          <t>Financial Investor</t>
        </is>
      </c>
      <c r="D568" s="425" t="inlineStr">
        <is>
          <t>Moxxie VC</t>
        </is>
      </c>
      <c r="E568" s="425" t="inlineStr">
        <is>
          <t>Prateek Joshi</t>
        </is>
      </c>
      <c r="F568" s="425" t="inlineStr"/>
      <c r="G568" s="111" t="inlineStr">
        <is>
          <t>prateek@moxxie.vc</t>
        </is>
      </c>
      <c r="H568" s="425" t="inlineStr"/>
      <c r="I568" s="425" t="inlineStr"/>
      <c r="J568" s="111" t="inlineStr">
        <is>
          <t>https://www.linkedin.com/in/prateek-joshi-infinite/</t>
        </is>
      </c>
      <c r="K568" s="426" t="inlineStr">
        <is>
          <t>John Quinn</t>
        </is>
      </c>
      <c r="L568" s="426" t="inlineStr">
        <is>
          <t>Follow Up</t>
        </is>
      </c>
      <c r="M568" s="425" t="inlineStr">
        <is>
          <t>Space / Defense / Aerospace / Advanced Manufacturing</t>
        </is>
      </c>
      <c r="N568" s="426" t="inlineStr">
        <is>
          <t>Tier 2</t>
        </is>
      </c>
      <c r="O568" s="441" t="n">
        <v>45848</v>
      </c>
      <c r="P568" s="441" t="n">
        <v>45861</v>
      </c>
      <c r="Q568" s="425">
        <f>IF(P568="","",TODAY()-P568)</f>
        <v/>
      </c>
      <c r="R568" s="441">
        <f>IF(OR(L568="Passed",Z568=""),"",P568+Z568)</f>
        <v/>
      </c>
      <c r="S568" s="425">
        <f>IF(OR(R568="",L568="Passed"),"",IF(R568&lt;=TODAY(),"DUE",IF(R568&lt;=TODAY()+3,"Next 3 Days","Later")))</f>
        <v/>
      </c>
      <c r="T568" s="425" t="inlineStr"/>
      <c r="U568" s="426" t="inlineStr">
        <is>
          <t>https://www.linkedin.com/in/prateek-joshi-infinite/</t>
        </is>
      </c>
      <c r="V568" s="426" t="inlineStr"/>
      <c r="W568" s="428" t="inlineStr">
        <is>
          <t xml:space="preserve"> | 12/26/2025 | </t>
        </is>
      </c>
      <c r="X568" s="425" t="inlineStr">
        <is>
          <t>John - Investor Contacts!392</t>
        </is>
      </c>
      <c r="Y568" s="426" t="inlineStr">
        <is>
          <t>Send next follow-up with traction + CTA</t>
        </is>
      </c>
      <c r="Z568" s="425" t="n">
        <v>7</v>
      </c>
      <c r="AA568" s="425">
        <f>IF(AC568="Archived",0,ROUND((IF(N568="Tier 1",35,IF(N568="Tier 2",20,8))+IF(C568="Financial Investor",15,IF(C568="Intermediary / Banker",12,8))+IF(L568="Term Sheet / Proposal",25,IF(L568="Engaged",20,IF(L568="Meeting Requested",18,IF(L568="Meeting Held",14,IF(L568="Follow Up",10,5)))))+MIN(Q568,30)+IF(S568="DUE",15,IF(S568="Next 3 Days",8,0))),0))</f>
        <v/>
      </c>
      <c r="AB568" s="425">
        <f>IF(AND(AC568="Active",OR(N568="Tier 1",N568="Tier 2"),OR(S568="DUE",S568="Next 3 Days")),"YES","")</f>
        <v/>
      </c>
      <c r="AC568" s="425">
        <f>IF(L568="Passed","Archived","Active")</f>
        <v/>
      </c>
    </row>
    <row r="569">
      <c r="A569" s="425" t="inlineStr">
        <is>
          <t>EXOS-0568</t>
        </is>
      </c>
      <c r="B569" s="425" t="inlineStr">
        <is>
          <t>John - Investor Contacts</t>
        </is>
      </c>
      <c r="C569" s="425" t="inlineStr">
        <is>
          <t>Financial Investor</t>
        </is>
      </c>
      <c r="D569" s="425" t="inlineStr">
        <is>
          <t>Mutual Capital Partners</t>
        </is>
      </c>
      <c r="E569" s="425" t="inlineStr">
        <is>
          <t>Liz Todia</t>
        </is>
      </c>
      <c r="F569" s="425" t="inlineStr"/>
      <c r="G569" s="111" t="inlineStr">
        <is>
          <t>ltodia@mutualcapitalpartners.com</t>
        </is>
      </c>
      <c r="H569" s="425" t="inlineStr"/>
      <c r="I569" s="425" t="inlineStr"/>
      <c r="J569" s="111" t="inlineStr">
        <is>
          <t>https://www.linkedin.com/in/ltodia/</t>
        </is>
      </c>
      <c r="K569" s="426" t="inlineStr">
        <is>
          <t>John Quinn</t>
        </is>
      </c>
      <c r="L569" s="426" t="inlineStr">
        <is>
          <t>Follow Up</t>
        </is>
      </c>
      <c r="M569" s="425" t="inlineStr">
        <is>
          <t>Space / Defense / Aerospace / Advanced Manufacturing</t>
        </is>
      </c>
      <c r="N569" s="426" t="inlineStr">
        <is>
          <t>Tier 2</t>
        </is>
      </c>
      <c r="O569" s="441" t="n">
        <v>45903</v>
      </c>
      <c r="P569" s="441" t="n">
        <v>45972</v>
      </c>
      <c r="Q569" s="425">
        <f>IF(P569="","",TODAY()-P569)</f>
        <v/>
      </c>
      <c r="R569" s="441">
        <f>IF(OR(L569="Passed",Z569=""),"",P569+Z569)</f>
        <v/>
      </c>
      <c r="S569" s="425">
        <f>IF(OR(R569="",L569="Passed"),"",IF(R569&lt;=TODAY(),"DUE",IF(R569&lt;=TODAY()+3,"Next 3 Days","Later")))</f>
        <v/>
      </c>
      <c r="T569" s="425" t="inlineStr"/>
      <c r="U569" s="426" t="inlineStr">
        <is>
          <t>https://www.linkedin.com/in/ltodia/</t>
        </is>
      </c>
      <c r="V569" s="426" t="inlineStr"/>
      <c r="W569" s="428" t="inlineStr">
        <is>
          <t xml:space="preserve"> | 12/05/2025 | </t>
        </is>
      </c>
      <c r="X569" s="425" t="inlineStr">
        <is>
          <t>John - Investor Contacts!597</t>
        </is>
      </c>
      <c r="Y569" s="426" t="inlineStr">
        <is>
          <t>Send next follow-up with traction + CTA</t>
        </is>
      </c>
      <c r="Z569" s="425" t="n">
        <v>7</v>
      </c>
      <c r="AA569" s="425">
        <f>IF(AC569="Archived",0,ROUND((IF(N569="Tier 1",35,IF(N569="Tier 2",20,8))+IF(C569="Financial Investor",15,IF(C569="Intermediary / Banker",12,8))+IF(L569="Term Sheet / Proposal",25,IF(L569="Engaged",20,IF(L569="Meeting Requested",18,IF(L569="Meeting Held",14,IF(L569="Follow Up",10,5)))))+MIN(Q569,30)+IF(S569="DUE",15,IF(S569="Next 3 Days",8,0))),0))</f>
        <v/>
      </c>
      <c r="AB569" s="425">
        <f>IF(AND(AC569="Active",OR(N569="Tier 1",N569="Tier 2"),OR(S569="DUE",S569="Next 3 Days")),"YES","")</f>
        <v/>
      </c>
      <c r="AC569" s="425">
        <f>IF(L569="Passed","Archived","Active")</f>
        <v/>
      </c>
    </row>
    <row r="570">
      <c r="A570" s="425" t="inlineStr">
        <is>
          <t>EXOS-0569</t>
        </is>
      </c>
      <c r="B570" s="425" t="inlineStr">
        <is>
          <t>John - Investor Contacts</t>
        </is>
      </c>
      <c r="C570" s="425" t="inlineStr">
        <is>
          <t>Financial Investor</t>
        </is>
      </c>
      <c r="D570" s="425" t="inlineStr">
        <is>
          <t>NA Ventures</t>
        </is>
      </c>
      <c r="E570" s="425" t="inlineStr">
        <is>
          <t>Simon Cote</t>
        </is>
      </c>
      <c r="F570" s="425" t="inlineStr"/>
      <c r="G570" s="111" t="inlineStr">
        <is>
          <t>sim.cote@bnc.ca</t>
        </is>
      </c>
      <c r="H570" s="425" t="inlineStr"/>
      <c r="I570" s="425" t="inlineStr"/>
      <c r="J570" s="111" t="inlineStr">
        <is>
          <t>https://www.linkedin.com/in/simon-cote-35072a7/</t>
        </is>
      </c>
      <c r="K570" s="426" t="inlineStr">
        <is>
          <t>John Quinn</t>
        </is>
      </c>
      <c r="L570" s="426" t="inlineStr">
        <is>
          <t>Follow Up</t>
        </is>
      </c>
      <c r="M570" s="425" t="inlineStr">
        <is>
          <t>Space / Defense / Aerospace / Advanced Manufacturing</t>
        </is>
      </c>
      <c r="N570" s="426" t="inlineStr">
        <is>
          <t>Tier 2</t>
        </is>
      </c>
      <c r="O570" s="441" t="n">
        <v>45839</v>
      </c>
      <c r="P570" s="441" t="n">
        <v>45861</v>
      </c>
      <c r="Q570" s="425">
        <f>IF(P570="","",TODAY()-P570)</f>
        <v/>
      </c>
      <c r="R570" s="441">
        <f>IF(OR(L570="Passed",Z570=""),"",P570+Z570)</f>
        <v/>
      </c>
      <c r="S570" s="425">
        <f>IF(OR(R570="",L570="Passed"),"",IF(R570&lt;=TODAY(),"DUE",IF(R570&lt;=TODAY()+3,"Next 3 Days","Later")))</f>
        <v/>
      </c>
      <c r="T570" s="425" t="inlineStr"/>
      <c r="U570" s="426" t="inlineStr">
        <is>
          <t>https://www.linkedin.com/in/simon-cote-35072a7/</t>
        </is>
      </c>
      <c r="V570" s="426" t="inlineStr"/>
      <c r="W570" s="428" t="inlineStr">
        <is>
          <t xml:space="preserve"> | 12/26/2025 | </t>
        </is>
      </c>
      <c r="X570" s="425" t="inlineStr">
        <is>
          <t>John - Investor Contacts!303</t>
        </is>
      </c>
      <c r="Y570" s="426" t="inlineStr">
        <is>
          <t>Send next follow-up with traction + CTA</t>
        </is>
      </c>
      <c r="Z570" s="425" t="n">
        <v>7</v>
      </c>
      <c r="AA570" s="425">
        <f>IF(AC570="Archived",0,ROUND((IF(N570="Tier 1",35,IF(N570="Tier 2",20,8))+IF(C570="Financial Investor",15,IF(C570="Intermediary / Banker",12,8))+IF(L570="Term Sheet / Proposal",25,IF(L570="Engaged",20,IF(L570="Meeting Requested",18,IF(L570="Meeting Held",14,IF(L570="Follow Up",10,5)))))+MIN(Q570,30)+IF(S570="DUE",15,IF(S570="Next 3 Days",8,0))),0))</f>
        <v/>
      </c>
      <c r="AB570" s="425">
        <f>IF(AND(AC570="Active",OR(N570="Tier 1",N570="Tier 2"),OR(S570="DUE",S570="Next 3 Days")),"YES","")</f>
        <v/>
      </c>
      <c r="AC570" s="425">
        <f>IF(L570="Passed","Archived","Active")</f>
        <v/>
      </c>
    </row>
    <row r="571">
      <c r="A571" s="425" t="inlineStr">
        <is>
          <t>EXOS-0570</t>
        </is>
      </c>
      <c r="B571" s="425" t="inlineStr">
        <is>
          <t>John - Investor Contacts</t>
        </is>
      </c>
      <c r="C571" s="425" t="inlineStr">
        <is>
          <t>Financial Investor</t>
        </is>
      </c>
      <c r="D571" s="425" t="inlineStr">
        <is>
          <t>NA Ventures</t>
        </is>
      </c>
      <c r="E571" s="425" t="inlineStr">
        <is>
          <t>the team</t>
        </is>
      </c>
      <c r="F571" s="425" t="inlineStr"/>
      <c r="G571" s="111" t="inlineStr">
        <is>
          <t>naventures@nbc.ca</t>
        </is>
      </c>
      <c r="H571" s="425" t="inlineStr"/>
      <c r="I571" s="425" t="inlineStr"/>
      <c r="J571" s="425" t="inlineStr"/>
      <c r="K571" s="426" t="inlineStr">
        <is>
          <t>John Quinn</t>
        </is>
      </c>
      <c r="L571" s="426" t="inlineStr">
        <is>
          <t>Follow Up</t>
        </is>
      </c>
      <c r="M571" s="425" t="inlineStr">
        <is>
          <t>Space / Defense / Aerospace / Advanced Manufacturing</t>
        </is>
      </c>
      <c r="N571" s="426" t="inlineStr">
        <is>
          <t>Tier 2</t>
        </is>
      </c>
      <c r="O571" s="441" t="n">
        <v>45839</v>
      </c>
      <c r="P571" s="441" t="n">
        <v>45861</v>
      </c>
      <c r="Q571" s="425">
        <f>IF(P571="","",TODAY()-P571)</f>
        <v/>
      </c>
      <c r="R571" s="441">
        <f>IF(OR(L571="Passed",Z571=""),"",P571+Z571)</f>
        <v/>
      </c>
      <c r="S571" s="425">
        <f>IF(OR(R571="",L571="Passed"),"",IF(R571&lt;=TODAY(),"DUE",IF(R571&lt;=TODAY()+3,"Next 3 Days","Later")))</f>
        <v/>
      </c>
      <c r="T571" s="425" t="inlineStr"/>
      <c r="U571" s="426" t="inlineStr"/>
      <c r="V571" s="426" t="inlineStr"/>
      <c r="W571" s="428" t="inlineStr">
        <is>
          <t xml:space="preserve"> | 12/26/2025 | </t>
        </is>
      </c>
      <c r="X571" s="425" t="inlineStr">
        <is>
          <t>John - Investor Contacts!304</t>
        </is>
      </c>
      <c r="Y571" s="426" t="inlineStr">
        <is>
          <t>Send next follow-up with traction + CTA</t>
        </is>
      </c>
      <c r="Z571" s="425" t="n">
        <v>7</v>
      </c>
      <c r="AA571" s="425">
        <f>IF(AC571="Archived",0,ROUND((IF(N571="Tier 1",35,IF(N571="Tier 2",20,8))+IF(C571="Financial Investor",15,IF(C571="Intermediary / Banker",12,8))+IF(L571="Term Sheet / Proposal",25,IF(L571="Engaged",20,IF(L571="Meeting Requested",18,IF(L571="Meeting Held",14,IF(L571="Follow Up",10,5)))))+MIN(Q571,30)+IF(S571="DUE",15,IF(S571="Next 3 Days",8,0))),0))</f>
        <v/>
      </c>
      <c r="AB571" s="425">
        <f>IF(AND(AC571="Active",OR(N571="Tier 1",N571="Tier 2"),OR(S571="DUE",S571="Next 3 Days")),"YES","")</f>
        <v/>
      </c>
      <c r="AC571" s="425">
        <f>IF(L571="Passed","Archived","Active")</f>
        <v/>
      </c>
    </row>
    <row r="572">
      <c r="A572" s="425" t="inlineStr">
        <is>
          <t>EXOS-0571</t>
        </is>
      </c>
      <c r="B572" s="425" t="inlineStr">
        <is>
          <t>John - Investor Contacts</t>
        </is>
      </c>
      <c r="C572" s="425" t="inlineStr">
        <is>
          <t>Financial Investor</t>
        </is>
      </c>
      <c r="D572" s="425" t="inlineStr">
        <is>
          <t>NEA</t>
        </is>
      </c>
      <c r="E572" s="425" t="inlineStr">
        <is>
          <t>Andrew Schoen</t>
        </is>
      </c>
      <c r="F572" s="425" t="inlineStr"/>
      <c r="G572" s="111" t="inlineStr">
        <is>
          <t>aschoen@nea.com</t>
        </is>
      </c>
      <c r="H572" s="425" t="inlineStr"/>
      <c r="I572" s="425" t="inlineStr"/>
      <c r="J572" s="425" t="inlineStr"/>
      <c r="K572" s="426" t="inlineStr">
        <is>
          <t>John Quinn</t>
        </is>
      </c>
      <c r="L572" s="426" t="inlineStr">
        <is>
          <t>Follow Up</t>
        </is>
      </c>
      <c r="M572" s="425" t="inlineStr">
        <is>
          <t>Space / Defense / Aerospace / Advanced Manufacturing</t>
        </is>
      </c>
      <c r="N572" s="426" t="inlineStr">
        <is>
          <t>Tier 2</t>
        </is>
      </c>
      <c r="O572" s="441" t="n">
        <v>45878</v>
      </c>
      <c r="P572" s="441" t="n">
        <v>45890</v>
      </c>
      <c r="Q572" s="425">
        <f>IF(P572="","",TODAY()-P572)</f>
        <v/>
      </c>
      <c r="R572" s="441">
        <f>IF(OR(L572="Passed",Z572=""),"",P572+Z572)</f>
        <v/>
      </c>
      <c r="S572" s="425">
        <f>IF(OR(R572="",L572="Passed"),"",IF(R572&lt;=TODAY(),"DUE",IF(R572&lt;=TODAY()+3,"Next 3 Days","Later")))</f>
        <v/>
      </c>
      <c r="T572" s="425" t="inlineStr"/>
      <c r="U572" s="426" t="inlineStr">
        <is>
          <t>linkedin.com/in/andrewaschoen</t>
        </is>
      </c>
      <c r="V572" s="426" t="inlineStr"/>
      <c r="W572" s="428" t="inlineStr">
        <is>
          <t xml:space="preserve"> | 12/30/2025 | </t>
        </is>
      </c>
      <c r="X572" s="425" t="inlineStr">
        <is>
          <t>John - Investor Contacts!465</t>
        </is>
      </c>
      <c r="Y572" s="426" t="inlineStr">
        <is>
          <t>Send next follow-up with traction + CTA</t>
        </is>
      </c>
      <c r="Z572" s="425" t="n">
        <v>7</v>
      </c>
      <c r="AA572" s="425">
        <f>IF(AC572="Archived",0,ROUND((IF(N572="Tier 1",35,IF(N572="Tier 2",20,8))+IF(C572="Financial Investor",15,IF(C572="Intermediary / Banker",12,8))+IF(L572="Term Sheet / Proposal",25,IF(L572="Engaged",20,IF(L572="Meeting Requested",18,IF(L572="Meeting Held",14,IF(L572="Follow Up",10,5)))))+MIN(Q572,30)+IF(S572="DUE",15,IF(S572="Next 3 Days",8,0))),0))</f>
        <v/>
      </c>
      <c r="AB572" s="425">
        <f>IF(AND(AC572="Active",OR(N572="Tier 1",N572="Tier 2"),OR(S572="DUE",S572="Next 3 Days")),"YES","")</f>
        <v/>
      </c>
      <c r="AC572" s="425">
        <f>IF(L572="Passed","Archived","Active")</f>
        <v/>
      </c>
    </row>
    <row r="573">
      <c r="A573" s="425" t="inlineStr">
        <is>
          <t>EXOS-0572</t>
        </is>
      </c>
      <c r="B573" s="425" t="inlineStr">
        <is>
          <t>John - Investor Contacts</t>
        </is>
      </c>
      <c r="C573" s="425" t="inlineStr">
        <is>
          <t>Financial Investor</t>
        </is>
      </c>
      <c r="D573" s="425" t="inlineStr">
        <is>
          <t>NEA</t>
        </is>
      </c>
      <c r="E573" s="425" t="inlineStr">
        <is>
          <t>Aya Somai</t>
        </is>
      </c>
      <c r="F573" s="425" t="inlineStr"/>
      <c r="G573" s="111" t="inlineStr">
        <is>
          <t>asomai@nea.com</t>
        </is>
      </c>
      <c r="H573" s="425" t="inlineStr"/>
      <c r="I573" s="425" t="inlineStr"/>
      <c r="J573" s="111" t="inlineStr">
        <is>
          <t>https://www.linkedin.com/in/aya-somai-25612080/</t>
        </is>
      </c>
      <c r="K573" s="426" t="inlineStr">
        <is>
          <t>John Quinn</t>
        </is>
      </c>
      <c r="L573" s="426" t="inlineStr">
        <is>
          <t>Follow Up</t>
        </is>
      </c>
      <c r="M573" s="425" t="inlineStr">
        <is>
          <t>Space / Defense / Aerospace / Advanced Manufacturing</t>
        </is>
      </c>
      <c r="N573" s="426" t="inlineStr">
        <is>
          <t>Tier 2</t>
        </is>
      </c>
      <c r="O573" s="441" t="n">
        <v>45994</v>
      </c>
      <c r="P573" s="441" t="n">
        <v>46036</v>
      </c>
      <c r="Q573" s="425">
        <f>IF(P573="","",TODAY()-P573)</f>
        <v/>
      </c>
      <c r="R573" s="441">
        <f>IF(OR(L573="Passed",Z573=""),"",P573+Z573)</f>
        <v/>
      </c>
      <c r="S573" s="425">
        <f>IF(OR(R573="",L573="Passed"),"",IF(R573&lt;=TODAY(),"DUE",IF(R573&lt;=TODAY()+3,"Next 3 Days","Later")))</f>
        <v/>
      </c>
      <c r="T573" s="425" t="inlineStr"/>
      <c r="U573" s="426" t="inlineStr">
        <is>
          <t>https://www.linkedin.com/in/aya-somai-25612080/</t>
        </is>
      </c>
      <c r="V573" s="426" t="inlineStr"/>
      <c r="W573" s="428" t="inlineStr">
        <is>
          <t xml:space="preserve"> |  | </t>
        </is>
      </c>
      <c r="X573" s="425" t="inlineStr">
        <is>
          <t>John - Investor Contacts!707</t>
        </is>
      </c>
      <c r="Y573" s="426" t="inlineStr">
        <is>
          <t>Send next follow-up with traction + CTA</t>
        </is>
      </c>
      <c r="Z573" s="425" t="n">
        <v>7</v>
      </c>
      <c r="AA573" s="425">
        <f>IF(AC573="Archived",0,ROUND((IF(N573="Tier 1",35,IF(N573="Tier 2",20,8))+IF(C573="Financial Investor",15,IF(C573="Intermediary / Banker",12,8))+IF(L573="Term Sheet / Proposal",25,IF(L573="Engaged",20,IF(L573="Meeting Requested",18,IF(L573="Meeting Held",14,IF(L573="Follow Up",10,5)))))+MIN(Q573,30)+IF(S573="DUE",15,IF(S573="Next 3 Days",8,0))),0))</f>
        <v/>
      </c>
      <c r="AB573" s="425">
        <f>IF(AND(AC573="Active",OR(N573="Tier 1",N573="Tier 2"),OR(S573="DUE",S573="Next 3 Days")),"YES","")</f>
        <v/>
      </c>
      <c r="AC573" s="425">
        <f>IF(L573="Passed","Archived","Active")</f>
        <v/>
      </c>
    </row>
    <row r="574">
      <c r="A574" s="425" t="inlineStr">
        <is>
          <t>EXOS-0573</t>
        </is>
      </c>
      <c r="B574" s="425" t="inlineStr">
        <is>
          <t>John - Investor Contacts</t>
        </is>
      </c>
      <c r="C574" s="425" t="inlineStr">
        <is>
          <t>Financial Investor</t>
        </is>
      </c>
      <c r="D574" s="425" t="inlineStr">
        <is>
          <t>NEA</t>
        </is>
      </c>
      <c r="E574" s="425" t="inlineStr">
        <is>
          <t>Mohamad Makhzoumi</t>
        </is>
      </c>
      <c r="F574" s="425" t="inlineStr"/>
      <c r="G574" s="111" t="inlineStr">
        <is>
          <t>mmakhzoumi@nea.com</t>
        </is>
      </c>
      <c r="H574" s="425" t="inlineStr"/>
      <c r="I574" s="425" t="inlineStr"/>
      <c r="J574" s="111" t="inlineStr">
        <is>
          <t>https://www.linkedin.com/in/mohamad-makhzoumi-37368334/</t>
        </is>
      </c>
      <c r="K574" s="426" t="inlineStr">
        <is>
          <t>John Quinn</t>
        </is>
      </c>
      <c r="L574" s="426" t="inlineStr">
        <is>
          <t>Follow Up</t>
        </is>
      </c>
      <c r="M574" s="425" t="inlineStr">
        <is>
          <t>Space / Defense / Aerospace / Advanced Manufacturing</t>
        </is>
      </c>
      <c r="N574" s="426" t="inlineStr">
        <is>
          <t>Tier 2</t>
        </is>
      </c>
      <c r="O574" s="441" t="n">
        <v>45878</v>
      </c>
      <c r="P574" s="441" t="n">
        <v>45890</v>
      </c>
      <c r="Q574" s="425">
        <f>IF(P574="","",TODAY()-P574)</f>
        <v/>
      </c>
      <c r="R574" s="441">
        <f>IF(OR(L574="Passed",Z574=""),"",P574+Z574)</f>
        <v/>
      </c>
      <c r="S574" s="425">
        <f>IF(OR(R574="",L574="Passed"),"",IF(R574&lt;=TODAY(),"DUE",IF(R574&lt;=TODAY()+3,"Next 3 Days","Later")))</f>
        <v/>
      </c>
      <c r="T574" s="425" t="inlineStr"/>
      <c r="U574" s="426" t="inlineStr">
        <is>
          <t>https://www.linkedin.com/in/mohamad-makhzoumi-37368334/</t>
        </is>
      </c>
      <c r="V574" s="426" t="inlineStr"/>
      <c r="W574" s="428" t="inlineStr">
        <is>
          <t xml:space="preserve"> |  | </t>
        </is>
      </c>
      <c r="X574" s="425" t="inlineStr">
        <is>
          <t>John - Investor Contacts!466</t>
        </is>
      </c>
      <c r="Y574" s="426" t="inlineStr">
        <is>
          <t>Send next follow-up with traction + CTA</t>
        </is>
      </c>
      <c r="Z574" s="425" t="n">
        <v>7</v>
      </c>
      <c r="AA574" s="425">
        <f>IF(AC574="Archived",0,ROUND((IF(N574="Tier 1",35,IF(N574="Tier 2",20,8))+IF(C574="Financial Investor",15,IF(C574="Intermediary / Banker",12,8))+IF(L574="Term Sheet / Proposal",25,IF(L574="Engaged",20,IF(L574="Meeting Requested",18,IF(L574="Meeting Held",14,IF(L574="Follow Up",10,5)))))+MIN(Q574,30)+IF(S574="DUE",15,IF(S574="Next 3 Days",8,0))),0))</f>
        <v/>
      </c>
      <c r="AB574" s="425">
        <f>IF(AND(AC574="Active",OR(N574="Tier 1",N574="Tier 2"),OR(S574="DUE",S574="Next 3 Days")),"YES","")</f>
        <v/>
      </c>
      <c r="AC574" s="425">
        <f>IF(L574="Passed","Archived","Active")</f>
        <v/>
      </c>
    </row>
    <row r="575">
      <c r="A575" s="425" t="inlineStr">
        <is>
          <t>EXOS-0574</t>
        </is>
      </c>
      <c r="B575" s="425" t="inlineStr">
        <is>
          <t>John - Investor Contacts</t>
        </is>
      </c>
      <c r="C575" s="425" t="inlineStr">
        <is>
          <t>Financial Investor</t>
        </is>
      </c>
      <c r="D575" s="425" t="inlineStr">
        <is>
          <t>NEA</t>
        </is>
      </c>
      <c r="E575" s="425" t="inlineStr">
        <is>
          <t>Mustafa Neemuchwala</t>
        </is>
      </c>
      <c r="F575" s="425" t="inlineStr"/>
      <c r="G575" s="111" t="inlineStr">
        <is>
          <t>mneemuchwala@nea.com</t>
        </is>
      </c>
      <c r="H575" s="425" t="inlineStr"/>
      <c r="I575" s="425" t="inlineStr"/>
      <c r="J575" s="425" t="inlineStr"/>
      <c r="K575" s="426" t="inlineStr">
        <is>
          <t>John Quinn</t>
        </is>
      </c>
      <c r="L575" s="426" t="inlineStr">
        <is>
          <t>Follow Up</t>
        </is>
      </c>
      <c r="M575" s="425" t="inlineStr">
        <is>
          <t>Space / Defense / Aerospace / Advanced Manufacturing</t>
        </is>
      </c>
      <c r="N575" s="426" t="inlineStr">
        <is>
          <t>Tier 2</t>
        </is>
      </c>
      <c r="O575" s="441" t="n">
        <v>45878</v>
      </c>
      <c r="P575" s="441" t="n">
        <v>45890</v>
      </c>
      <c r="Q575" s="425">
        <f>IF(P575="","",TODAY()-P575)</f>
        <v/>
      </c>
      <c r="R575" s="441">
        <f>IF(OR(L575="Passed",Z575=""),"",P575+Z575)</f>
        <v/>
      </c>
      <c r="S575" s="425">
        <f>IF(OR(R575="",L575="Passed"),"",IF(R575&lt;=TODAY(),"DUE",IF(R575&lt;=TODAY()+3,"Next 3 Days","Later")))</f>
        <v/>
      </c>
      <c r="T575" s="425" t="inlineStr"/>
      <c r="U575" s="426" t="inlineStr">
        <is>
          <t>linkedin.com/in/mustafaneemuchwala</t>
        </is>
      </c>
      <c r="V575" s="426" t="inlineStr"/>
      <c r="W575" s="428" t="inlineStr">
        <is>
          <t xml:space="preserve"> | 12/30/2025 | interested but no new investments until begining of 2026, wants to chat then</t>
        </is>
      </c>
      <c r="X575" s="425" t="inlineStr">
        <is>
          <t>John - Investor Contacts!463</t>
        </is>
      </c>
      <c r="Y575" s="426" t="inlineStr">
        <is>
          <t>Send next follow-up with traction + CTA</t>
        </is>
      </c>
      <c r="Z575" s="425" t="n">
        <v>7</v>
      </c>
      <c r="AA575" s="425">
        <f>IF(AC575="Archived",0,ROUND((IF(N575="Tier 1",35,IF(N575="Tier 2",20,8))+IF(C575="Financial Investor",15,IF(C575="Intermediary / Banker",12,8))+IF(L575="Term Sheet / Proposal",25,IF(L575="Engaged",20,IF(L575="Meeting Requested",18,IF(L575="Meeting Held",14,IF(L575="Follow Up",10,5)))))+MIN(Q575,30)+IF(S575="DUE",15,IF(S575="Next 3 Days",8,0))),0))</f>
        <v/>
      </c>
      <c r="AB575" s="425">
        <f>IF(AND(AC575="Active",OR(N575="Tier 1",N575="Tier 2"),OR(S575="DUE",S575="Next 3 Days")),"YES","")</f>
        <v/>
      </c>
      <c r="AC575" s="425">
        <f>IF(L575="Passed","Archived","Active")</f>
        <v/>
      </c>
    </row>
    <row r="576">
      <c r="A576" s="425" t="inlineStr">
        <is>
          <t>EXOS-0575</t>
        </is>
      </c>
      <c r="B576" s="425" t="inlineStr">
        <is>
          <t>John - Investor Contacts</t>
        </is>
      </c>
      <c r="C576" s="425" t="inlineStr">
        <is>
          <t>Financial Investor</t>
        </is>
      </c>
      <c r="D576" s="425" t="inlineStr">
        <is>
          <t>NEA</t>
        </is>
      </c>
      <c r="E576" s="425" t="inlineStr">
        <is>
          <t>Rick Yang</t>
        </is>
      </c>
      <c r="F576" s="425" t="inlineStr"/>
      <c r="G576" s="111" t="inlineStr">
        <is>
          <t>ryang@nea.com</t>
        </is>
      </c>
      <c r="H576" s="425" t="inlineStr"/>
      <c r="I576" s="425" t="inlineStr"/>
      <c r="J576" s="111" t="inlineStr">
        <is>
          <t>https://www.linkedin.com/in/rickcyang/</t>
        </is>
      </c>
      <c r="K576" s="426" t="inlineStr">
        <is>
          <t>John Quinn</t>
        </is>
      </c>
      <c r="L576" s="426" t="inlineStr">
        <is>
          <t>Follow Up</t>
        </is>
      </c>
      <c r="M576" s="425" t="inlineStr">
        <is>
          <t>Space / Defense / Aerospace / Advanced Manufacturing</t>
        </is>
      </c>
      <c r="N576" s="426" t="inlineStr">
        <is>
          <t>Tier 2</t>
        </is>
      </c>
      <c r="O576" s="441" t="n">
        <v>45878</v>
      </c>
      <c r="P576" s="441" t="n">
        <v>45890</v>
      </c>
      <c r="Q576" s="425">
        <f>IF(P576="","",TODAY()-P576)</f>
        <v/>
      </c>
      <c r="R576" s="441">
        <f>IF(OR(L576="Passed",Z576=""),"",P576+Z576)</f>
        <v/>
      </c>
      <c r="S576" s="425">
        <f>IF(OR(R576="",L576="Passed"),"",IF(R576&lt;=TODAY(),"DUE",IF(R576&lt;=TODAY()+3,"Next 3 Days","Later")))</f>
        <v/>
      </c>
      <c r="T576" s="425" t="inlineStr"/>
      <c r="U576" s="426" t="inlineStr">
        <is>
          <t>https://www.linkedin.com/in/rickcyang/</t>
        </is>
      </c>
      <c r="V576" s="426" t="inlineStr"/>
      <c r="W576" s="428" t="inlineStr">
        <is>
          <t xml:space="preserve"> | 12/30/2025 | </t>
        </is>
      </c>
      <c r="X576" s="425" t="inlineStr">
        <is>
          <t>John - Investor Contacts!464</t>
        </is>
      </c>
      <c r="Y576" s="426" t="inlineStr">
        <is>
          <t>Send next follow-up with traction + CTA</t>
        </is>
      </c>
      <c r="Z576" s="425" t="n">
        <v>7</v>
      </c>
      <c r="AA576" s="425">
        <f>IF(AC576="Archived",0,ROUND((IF(N576="Tier 1",35,IF(N576="Tier 2",20,8))+IF(C576="Financial Investor",15,IF(C576="Intermediary / Banker",12,8))+IF(L576="Term Sheet / Proposal",25,IF(L576="Engaged",20,IF(L576="Meeting Requested",18,IF(L576="Meeting Held",14,IF(L576="Follow Up",10,5)))))+MIN(Q576,30)+IF(S576="DUE",15,IF(S576="Next 3 Days",8,0))),0))</f>
        <v/>
      </c>
      <c r="AB576" s="425">
        <f>IF(AND(AC576="Active",OR(N576="Tier 1",N576="Tier 2"),OR(S576="DUE",S576="Next 3 Days")),"YES","")</f>
        <v/>
      </c>
      <c r="AC576" s="425">
        <f>IF(L576="Passed","Archived","Active")</f>
        <v/>
      </c>
    </row>
    <row r="577">
      <c r="A577" s="425" t="inlineStr">
        <is>
          <t>EXOS-0576</t>
        </is>
      </c>
      <c r="B577" s="425" t="inlineStr">
        <is>
          <t>John - Investor Contacts</t>
        </is>
      </c>
      <c r="C577" s="425" t="inlineStr">
        <is>
          <t>Financial Investor</t>
        </is>
      </c>
      <c r="D577" s="425" t="inlineStr">
        <is>
          <t>NEA</t>
        </is>
      </c>
      <c r="E577" s="425" t="inlineStr">
        <is>
          <t>Tiffany Luck</t>
        </is>
      </c>
      <c r="F577" s="425" t="inlineStr"/>
      <c r="G577" s="111" t="inlineStr">
        <is>
          <t>tluck@nea.com</t>
        </is>
      </c>
      <c r="H577" s="425" t="inlineStr"/>
      <c r="I577" s="425" t="inlineStr"/>
      <c r="J577" s="111" t="inlineStr">
        <is>
          <t>https://www.linkedin.com/in/tluck/</t>
        </is>
      </c>
      <c r="K577" s="426" t="inlineStr">
        <is>
          <t>John Quinn</t>
        </is>
      </c>
      <c r="L577" s="426" t="inlineStr">
        <is>
          <t>Follow Up</t>
        </is>
      </c>
      <c r="M577" s="425" t="inlineStr">
        <is>
          <t>Space / Defense / Aerospace / Advanced Manufacturing</t>
        </is>
      </c>
      <c r="N577" s="426" t="inlineStr">
        <is>
          <t>Tier 2</t>
        </is>
      </c>
      <c r="O577" s="441" t="n">
        <v>45878</v>
      </c>
      <c r="P577" s="441" t="n">
        <v>45890</v>
      </c>
      <c r="Q577" s="425">
        <f>IF(P577="","",TODAY()-P577)</f>
        <v/>
      </c>
      <c r="R577" s="441">
        <f>IF(OR(L577="Passed",Z577=""),"",P577+Z577)</f>
        <v/>
      </c>
      <c r="S577" s="425">
        <f>IF(OR(R577="",L577="Passed"),"",IF(R577&lt;=TODAY(),"DUE",IF(R577&lt;=TODAY()+3,"Next 3 Days","Later")))</f>
        <v/>
      </c>
      <c r="T577" s="425" t="inlineStr"/>
      <c r="U577" s="426" t="inlineStr">
        <is>
          <t>https://www.linkedin.com/in/tluck/</t>
        </is>
      </c>
      <c r="V577" s="426" t="inlineStr"/>
      <c r="W577" s="428" t="inlineStr">
        <is>
          <t xml:space="preserve"> | 12/30/2025 | </t>
        </is>
      </c>
      <c r="X577" s="425" t="inlineStr">
        <is>
          <t>John - Investor Contacts!467</t>
        </is>
      </c>
      <c r="Y577" s="426" t="inlineStr">
        <is>
          <t>Send next follow-up with traction + CTA</t>
        </is>
      </c>
      <c r="Z577" s="425" t="n">
        <v>7</v>
      </c>
      <c r="AA577" s="425">
        <f>IF(AC577="Archived",0,ROUND((IF(N577="Tier 1",35,IF(N577="Tier 2",20,8))+IF(C577="Financial Investor",15,IF(C577="Intermediary / Banker",12,8))+IF(L577="Term Sheet / Proposal",25,IF(L577="Engaged",20,IF(L577="Meeting Requested",18,IF(L577="Meeting Held",14,IF(L577="Follow Up",10,5)))))+MIN(Q577,30)+IF(S577="DUE",15,IF(S577="Next 3 Days",8,0))),0))</f>
        <v/>
      </c>
      <c r="AB577" s="425">
        <f>IF(AND(AC577="Active",OR(N577="Tier 1",N577="Tier 2"),OR(S577="DUE",S577="Next 3 Days")),"YES","")</f>
        <v/>
      </c>
      <c r="AC577" s="425">
        <f>IF(L577="Passed","Archived","Active")</f>
        <v/>
      </c>
    </row>
    <row r="578">
      <c r="A578" s="425" t="inlineStr">
        <is>
          <t>EXOS-0577</t>
        </is>
      </c>
      <c r="B578" s="425" t="inlineStr">
        <is>
          <t>John - Investor Contacts</t>
        </is>
      </c>
      <c r="C578" s="425" t="inlineStr">
        <is>
          <t>Financial Investor</t>
        </is>
      </c>
      <c r="D578" s="425" t="inlineStr">
        <is>
          <t>NEXA Capital Partners</t>
        </is>
      </c>
      <c r="E578" s="425" t="inlineStr">
        <is>
          <t>Michael Dyment</t>
        </is>
      </c>
      <c r="F578" s="425" t="inlineStr"/>
      <c r="G578" s="111" t="inlineStr">
        <is>
          <t>michael.j.dyment@nexacapital.com</t>
        </is>
      </c>
      <c r="H578" s="425" t="inlineStr"/>
      <c r="I578" s="425" t="inlineStr"/>
      <c r="J578" s="111" t="inlineStr">
        <is>
          <t>https://www.linkedin.com/in/michael-j-dyment-85b2688/</t>
        </is>
      </c>
      <c r="K578" s="426" t="inlineStr">
        <is>
          <t>John Quinn</t>
        </is>
      </c>
      <c r="L578" s="426" t="inlineStr">
        <is>
          <t>Follow Up</t>
        </is>
      </c>
      <c r="M578" s="425" t="inlineStr">
        <is>
          <t>Space / Defense / Aerospace / Advanced Manufacturing</t>
        </is>
      </c>
      <c r="N578" s="426" t="inlineStr">
        <is>
          <t>Tier 2</t>
        </is>
      </c>
      <c r="O578" s="441" t="n">
        <v>45805</v>
      </c>
      <c r="P578" s="441" t="n">
        <v>45841</v>
      </c>
      <c r="Q578" s="425">
        <f>IF(P578="","",TODAY()-P578)</f>
        <v/>
      </c>
      <c r="R578" s="441">
        <f>IF(OR(L578="Passed",Z578=""),"",P578+Z578)</f>
        <v/>
      </c>
      <c r="S578" s="425">
        <f>IF(OR(R578="",L578="Passed"),"",IF(R578&lt;=TODAY(),"DUE",IF(R578&lt;=TODAY()+3,"Next 3 Days","Later")))</f>
        <v/>
      </c>
      <c r="T578" s="425" t="inlineStr"/>
      <c r="U578" s="426" t="inlineStr">
        <is>
          <t>https://www.linkedin.com/in/michael-j-dyment-85b2688/</t>
        </is>
      </c>
      <c r="V578" s="426" t="inlineStr"/>
      <c r="W578" s="428" t="inlineStr">
        <is>
          <t xml:space="preserve"> |  | </t>
        </is>
      </c>
      <c r="X578" s="425" t="inlineStr">
        <is>
          <t>John - Investor Contacts!88</t>
        </is>
      </c>
      <c r="Y578" s="426" t="inlineStr">
        <is>
          <t>Send next follow-up with traction + CTA</t>
        </is>
      </c>
      <c r="Z578" s="425" t="n">
        <v>7</v>
      </c>
      <c r="AA578" s="425">
        <f>IF(AC578="Archived",0,ROUND((IF(N578="Tier 1",35,IF(N578="Tier 2",20,8))+IF(C578="Financial Investor",15,IF(C578="Intermediary / Banker",12,8))+IF(L578="Term Sheet / Proposal",25,IF(L578="Engaged",20,IF(L578="Meeting Requested",18,IF(L578="Meeting Held",14,IF(L578="Follow Up",10,5)))))+MIN(Q578,30)+IF(S578="DUE",15,IF(S578="Next 3 Days",8,0))),0))</f>
        <v/>
      </c>
      <c r="AB578" s="425">
        <f>IF(AND(AC578="Active",OR(N578="Tier 1",N578="Tier 2"),OR(S578="DUE",S578="Next 3 Days")),"YES","")</f>
        <v/>
      </c>
      <c r="AC578" s="425">
        <f>IF(L578="Passed","Archived","Active")</f>
        <v/>
      </c>
    </row>
    <row r="579">
      <c r="A579" s="425" t="inlineStr">
        <is>
          <t>EXOS-0578</t>
        </is>
      </c>
      <c r="B579" s="425" t="inlineStr">
        <is>
          <t>John - Investor Contacts</t>
        </is>
      </c>
      <c r="C579" s="425" t="inlineStr">
        <is>
          <t>Financial Investor</t>
        </is>
      </c>
      <c r="D579" s="425" t="inlineStr">
        <is>
          <t>Narya Capital Management</t>
        </is>
      </c>
      <c r="E579" s="425" t="inlineStr">
        <is>
          <t>Falon Donohue</t>
        </is>
      </c>
      <c r="F579" s="425" t="inlineStr"/>
      <c r="G579" s="111" t="inlineStr">
        <is>
          <t>falon@naryavc.com</t>
        </is>
      </c>
      <c r="H579" s="425" t="inlineStr"/>
      <c r="I579" s="425" t="inlineStr"/>
      <c r="J579" s="111" t="inlineStr">
        <is>
          <t>https://www.linkedin.com/in/falondonohue/</t>
        </is>
      </c>
      <c r="K579" s="426" t="inlineStr">
        <is>
          <t>John Quinn</t>
        </is>
      </c>
      <c r="L579" s="426" t="inlineStr">
        <is>
          <t>Follow Up</t>
        </is>
      </c>
      <c r="M579" s="425" t="inlineStr">
        <is>
          <t>Space / Defense / Aerospace / Advanced Manufacturing</t>
        </is>
      </c>
      <c r="N579" s="426" t="inlineStr">
        <is>
          <t>Tier 2</t>
        </is>
      </c>
      <c r="O579" s="441" t="n">
        <v>45903</v>
      </c>
      <c r="P579" s="441" t="n">
        <v>45972</v>
      </c>
      <c r="Q579" s="425">
        <f>IF(P579="","",TODAY()-P579)</f>
        <v/>
      </c>
      <c r="R579" s="441">
        <f>IF(OR(L579="Passed",Z579=""),"",P579+Z579)</f>
        <v/>
      </c>
      <c r="S579" s="425">
        <f>IF(OR(R579="",L579="Passed"),"",IF(R579&lt;=TODAY(),"DUE",IF(R579&lt;=TODAY()+3,"Next 3 Days","Later")))</f>
        <v/>
      </c>
      <c r="T579" s="425" t="inlineStr"/>
      <c r="U579" s="426" t="inlineStr">
        <is>
          <t>https://www.linkedin.com/in/falondonohue/</t>
        </is>
      </c>
      <c r="V579" s="426" t="inlineStr"/>
      <c r="W579" s="428" t="inlineStr">
        <is>
          <t xml:space="preserve"> | 12/05/2025 | </t>
        </is>
      </c>
      <c r="X579" s="425" t="inlineStr">
        <is>
          <t>John - Investor Contacts!598</t>
        </is>
      </c>
      <c r="Y579" s="426" t="inlineStr">
        <is>
          <t>Send next follow-up with traction + CTA</t>
        </is>
      </c>
      <c r="Z579" s="425" t="n">
        <v>7</v>
      </c>
      <c r="AA579" s="425">
        <f>IF(AC579="Archived",0,ROUND((IF(N579="Tier 1",35,IF(N579="Tier 2",20,8))+IF(C579="Financial Investor",15,IF(C579="Intermediary / Banker",12,8))+IF(L579="Term Sheet / Proposal",25,IF(L579="Engaged",20,IF(L579="Meeting Requested",18,IF(L579="Meeting Held",14,IF(L579="Follow Up",10,5)))))+MIN(Q579,30)+IF(S579="DUE",15,IF(S579="Next 3 Days",8,0))),0))</f>
        <v/>
      </c>
      <c r="AB579" s="425">
        <f>IF(AND(AC579="Active",OR(N579="Tier 1",N579="Tier 2"),OR(S579="DUE",S579="Next 3 Days")),"YES","")</f>
        <v/>
      </c>
      <c r="AC579" s="425">
        <f>IF(L579="Passed","Archived","Active")</f>
        <v/>
      </c>
    </row>
    <row r="580">
      <c r="A580" s="425" t="inlineStr">
        <is>
          <t>EXOS-0579</t>
        </is>
      </c>
      <c r="B580" s="425" t="inlineStr">
        <is>
          <t>John - Investor Contacts</t>
        </is>
      </c>
      <c r="C580" s="425" t="inlineStr">
        <is>
          <t>Financial Investor</t>
        </is>
      </c>
      <c r="D580" s="425" t="inlineStr">
        <is>
          <t>New North VC</t>
        </is>
      </c>
      <c r="E580" s="425" t="inlineStr">
        <is>
          <t>Jeremy Hitchcock</t>
        </is>
      </c>
      <c r="F580" s="425" t="inlineStr"/>
      <c r="G580" s="111" t="inlineStr">
        <is>
          <t>jeremy@newnorthventures.com</t>
        </is>
      </c>
      <c r="H580" s="425" t="inlineStr"/>
      <c r="I580" s="425" t="inlineStr"/>
      <c r="J580" s="111" t="inlineStr">
        <is>
          <t>https://www.newnorthvc.com/jeremyhitchcock</t>
        </is>
      </c>
      <c r="K580" s="426" t="inlineStr">
        <is>
          <t>John Quinn</t>
        </is>
      </c>
      <c r="L580" s="426" t="inlineStr">
        <is>
          <t>Follow Up</t>
        </is>
      </c>
      <c r="M580" s="425" t="inlineStr">
        <is>
          <t>Space / Defense / Aerospace / Advanced Manufacturing</t>
        </is>
      </c>
      <c r="N580" s="426" t="inlineStr">
        <is>
          <t>Tier 2</t>
        </is>
      </c>
      <c r="O580" s="441" t="n">
        <v>45814</v>
      </c>
      <c r="P580" s="441" t="n">
        <v>45841</v>
      </c>
      <c r="Q580" s="425">
        <f>IF(P580="","",TODAY()-P580)</f>
        <v/>
      </c>
      <c r="R580" s="441">
        <f>IF(OR(L580="Passed",Z580=""),"",P580+Z580)</f>
        <v/>
      </c>
      <c r="S580" s="425">
        <f>IF(OR(R580="",L580="Passed"),"",IF(R580&lt;=TODAY(),"DUE",IF(R580&lt;=TODAY()+3,"Next 3 Days","Later")))</f>
        <v/>
      </c>
      <c r="T580" s="425" t="inlineStr"/>
      <c r="U580" s="426" t="inlineStr">
        <is>
          <t>https://www.newnorthvc.com/jeremyhitchcock</t>
        </is>
      </c>
      <c r="V580" s="426" t="inlineStr"/>
      <c r="W580" s="428" t="inlineStr">
        <is>
          <t xml:space="preserve">Clayton is no longer with NNV | sent deck to Clayton on 6/12- resend to alex@newnorthventures.com)  Clayton gone and Jeremy? | </t>
        </is>
      </c>
      <c r="X580" s="425" t="inlineStr">
        <is>
          <t>John - Investor Contacts!135</t>
        </is>
      </c>
      <c r="Y580" s="426" t="inlineStr">
        <is>
          <t>Send next follow-up with traction + CTA</t>
        </is>
      </c>
      <c r="Z580" s="425" t="n">
        <v>7</v>
      </c>
      <c r="AA580" s="425">
        <f>IF(AC580="Archived",0,ROUND((IF(N580="Tier 1",35,IF(N580="Tier 2",20,8))+IF(C580="Financial Investor",15,IF(C580="Intermediary / Banker",12,8))+IF(L580="Term Sheet / Proposal",25,IF(L580="Engaged",20,IF(L580="Meeting Requested",18,IF(L580="Meeting Held",14,IF(L580="Follow Up",10,5)))))+MIN(Q580,30)+IF(S580="DUE",15,IF(S580="Next 3 Days",8,0))),0))</f>
        <v/>
      </c>
      <c r="AB580" s="425">
        <f>IF(AND(AC580="Active",OR(N580="Tier 1",N580="Tier 2"),OR(S580="DUE",S580="Next 3 Days")),"YES","")</f>
        <v/>
      </c>
      <c r="AC580" s="425">
        <f>IF(L580="Passed","Archived","Active")</f>
        <v/>
      </c>
    </row>
    <row r="581">
      <c r="A581" s="425" t="inlineStr">
        <is>
          <t>EXOS-0580</t>
        </is>
      </c>
      <c r="B581" s="425" t="inlineStr">
        <is>
          <t>John - Investor Contacts</t>
        </is>
      </c>
      <c r="C581" s="425" t="inlineStr">
        <is>
          <t>Financial Investor</t>
        </is>
      </c>
      <c r="D581" s="425" t="inlineStr">
        <is>
          <t>Next Gen Growth Partners</t>
        </is>
      </c>
      <c r="E581" s="425" t="inlineStr">
        <is>
          <t>Brian O'Connor</t>
        </is>
      </c>
      <c r="F581" s="425" t="inlineStr"/>
      <c r="G581" s="111" t="inlineStr">
        <is>
          <t>boconnor@nextgengp.com</t>
        </is>
      </c>
      <c r="H581" s="425" t="inlineStr"/>
      <c r="I581" s="425" t="inlineStr"/>
      <c r="J581" s="425" t="inlineStr"/>
      <c r="K581" s="426" t="inlineStr">
        <is>
          <t>John Quinn</t>
        </is>
      </c>
      <c r="L581" s="426" t="inlineStr">
        <is>
          <t>Follow Up</t>
        </is>
      </c>
      <c r="M581" s="425" t="inlineStr">
        <is>
          <t>Space / Defense / Aerospace / Advanced Manufacturing</t>
        </is>
      </c>
      <c r="N581" s="426" t="inlineStr">
        <is>
          <t>Tier 2</t>
        </is>
      </c>
      <c r="O581" s="441" t="n">
        <v>45833</v>
      </c>
      <c r="P581" s="441" t="n">
        <v>45848</v>
      </c>
      <c r="Q581" s="425">
        <f>IF(P581="","",TODAY()-P581)</f>
        <v/>
      </c>
      <c r="R581" s="441">
        <f>IF(OR(L581="Passed",Z581=""),"",P581+Z581)</f>
        <v/>
      </c>
      <c r="S581" s="425">
        <f>IF(OR(R581="",L581="Passed"),"",IF(R581&lt;=TODAY(),"DUE",IF(R581&lt;=TODAY()+3,"Next 3 Days","Later")))</f>
        <v/>
      </c>
      <c r="T581" s="425" t="inlineStr"/>
      <c r="U581" s="426" t="inlineStr">
        <is>
          <t>linkedin.com/in/brian-o-connor-7638204</t>
        </is>
      </c>
      <c r="V581" s="426" t="inlineStr"/>
      <c r="W581" s="428" t="inlineStr">
        <is>
          <t xml:space="preserve"> | 12/23/2025 | </t>
        </is>
      </c>
      <c r="X581" s="425" t="inlineStr">
        <is>
          <t>John - Investor Contacts!265</t>
        </is>
      </c>
      <c r="Y581" s="426" t="inlineStr">
        <is>
          <t>Send next follow-up with traction + CTA</t>
        </is>
      </c>
      <c r="Z581" s="425" t="n">
        <v>7</v>
      </c>
      <c r="AA581" s="425">
        <f>IF(AC581="Archived",0,ROUND((IF(N581="Tier 1",35,IF(N581="Tier 2",20,8))+IF(C581="Financial Investor",15,IF(C581="Intermediary / Banker",12,8))+IF(L581="Term Sheet / Proposal",25,IF(L581="Engaged",20,IF(L581="Meeting Requested",18,IF(L581="Meeting Held",14,IF(L581="Follow Up",10,5)))))+MIN(Q581,30)+IF(S581="DUE",15,IF(S581="Next 3 Days",8,0))),0))</f>
        <v/>
      </c>
      <c r="AB581" s="425">
        <f>IF(AND(AC581="Active",OR(N581="Tier 1",N581="Tier 2"),OR(S581="DUE",S581="Next 3 Days")),"YES","")</f>
        <v/>
      </c>
      <c r="AC581" s="425">
        <f>IF(L581="Passed","Archived","Active")</f>
        <v/>
      </c>
    </row>
    <row r="582">
      <c r="A582" s="425" t="inlineStr">
        <is>
          <t>EXOS-0581</t>
        </is>
      </c>
      <c r="B582" s="425" t="inlineStr">
        <is>
          <t>John - Investor Contacts</t>
        </is>
      </c>
      <c r="C582" s="425" t="inlineStr">
        <is>
          <t>Financial Investor</t>
        </is>
      </c>
      <c r="D582" s="425" t="inlineStr">
        <is>
          <t>Next Gen Growth Partners</t>
        </is>
      </c>
      <c r="E582" s="425" t="inlineStr">
        <is>
          <t>Eric Wilson</t>
        </is>
      </c>
      <c r="F582" s="425" t="inlineStr"/>
      <c r="G582" s="111" t="inlineStr">
        <is>
          <t>ewilson@nextgengp.com</t>
        </is>
      </c>
      <c r="H582" s="425" t="inlineStr"/>
      <c r="I582" s="425" t="inlineStr"/>
      <c r="J582" s="111" t="inlineStr">
        <is>
          <t>https://www.linkedin.com/in/ericrwilson/</t>
        </is>
      </c>
      <c r="K582" s="426" t="inlineStr">
        <is>
          <t>John Quinn</t>
        </is>
      </c>
      <c r="L582" s="426" t="inlineStr">
        <is>
          <t>Follow Up</t>
        </is>
      </c>
      <c r="M582" s="425" t="inlineStr">
        <is>
          <t>Space / Defense / Aerospace / Advanced Manufacturing</t>
        </is>
      </c>
      <c r="N582" s="426" t="inlineStr">
        <is>
          <t>Tier 2</t>
        </is>
      </c>
      <c r="O582" s="441" t="n">
        <v>45834</v>
      </c>
      <c r="P582" s="441" t="n">
        <v>45848</v>
      </c>
      <c r="Q582" s="425">
        <f>IF(P582="","",TODAY()-P582)</f>
        <v/>
      </c>
      <c r="R582" s="441">
        <f>IF(OR(L582="Passed",Z582=""),"",P582+Z582)</f>
        <v/>
      </c>
      <c r="S582" s="425">
        <f>IF(OR(R582="",L582="Passed"),"",IF(R582&lt;=TODAY(),"DUE",IF(R582&lt;=TODAY()+3,"Next 3 Days","Later")))</f>
        <v/>
      </c>
      <c r="T582" s="425" t="inlineStr"/>
      <c r="U582" s="426" t="inlineStr">
        <is>
          <t>https://www.linkedin.com/in/ericrwilson/</t>
        </is>
      </c>
      <c r="V582" s="426" t="inlineStr"/>
      <c r="W582" s="428" t="inlineStr">
        <is>
          <t xml:space="preserve"> | 12/23/2025 | </t>
        </is>
      </c>
      <c r="X582" s="425" t="inlineStr">
        <is>
          <t>John - Investor Contacts!267</t>
        </is>
      </c>
      <c r="Y582" s="426" t="inlineStr">
        <is>
          <t>Send next follow-up with traction + CTA</t>
        </is>
      </c>
      <c r="Z582" s="425" t="n">
        <v>7</v>
      </c>
      <c r="AA582" s="425">
        <f>IF(AC582="Archived",0,ROUND((IF(N582="Tier 1",35,IF(N582="Tier 2",20,8))+IF(C582="Financial Investor",15,IF(C582="Intermediary / Banker",12,8))+IF(L582="Term Sheet / Proposal",25,IF(L582="Engaged",20,IF(L582="Meeting Requested",18,IF(L582="Meeting Held",14,IF(L582="Follow Up",10,5)))))+MIN(Q582,30)+IF(S582="DUE",15,IF(S582="Next 3 Days",8,0))),0))</f>
        <v/>
      </c>
      <c r="AB582" s="425">
        <f>IF(AND(AC582="Active",OR(N582="Tier 1",N582="Tier 2"),OR(S582="DUE",S582="Next 3 Days")),"YES","")</f>
        <v/>
      </c>
      <c r="AC582" s="425">
        <f>IF(L582="Passed","Archived","Active")</f>
        <v/>
      </c>
    </row>
    <row r="583">
      <c r="A583" s="425" t="inlineStr">
        <is>
          <t>EXOS-0582</t>
        </is>
      </c>
      <c r="B583" s="425" t="inlineStr">
        <is>
          <t>John - Investor Contacts</t>
        </is>
      </c>
      <c r="C583" s="425" t="inlineStr">
        <is>
          <t>Financial Investor</t>
        </is>
      </c>
      <c r="D583" s="425" t="inlineStr">
        <is>
          <t>Next Gen Growth Partners</t>
        </is>
      </c>
      <c r="E583" s="425" t="inlineStr">
        <is>
          <t>Jim Bland</t>
        </is>
      </c>
      <c r="F583" s="425" t="inlineStr"/>
      <c r="G583" s="111" t="inlineStr">
        <is>
          <t>jbland@nextgengp.com</t>
        </is>
      </c>
      <c r="H583" s="425" t="inlineStr"/>
      <c r="I583" s="425" t="inlineStr"/>
      <c r="J583" s="111" t="inlineStr">
        <is>
          <t>https://www.linkedin.com/in/jim-bland-0bb1b4/</t>
        </is>
      </c>
      <c r="K583" s="426" t="inlineStr">
        <is>
          <t>John Quinn</t>
        </is>
      </c>
      <c r="L583" s="426" t="inlineStr">
        <is>
          <t>Follow Up</t>
        </is>
      </c>
      <c r="M583" s="425" t="inlineStr">
        <is>
          <t>Space / Defense / Aerospace / Advanced Manufacturing</t>
        </is>
      </c>
      <c r="N583" s="426" t="inlineStr">
        <is>
          <t>Tier 2</t>
        </is>
      </c>
      <c r="O583" s="441" t="n">
        <v>45834</v>
      </c>
      <c r="P583" s="441" t="n">
        <v>45848</v>
      </c>
      <c r="Q583" s="425">
        <f>IF(P583="","",TODAY()-P583)</f>
        <v/>
      </c>
      <c r="R583" s="441">
        <f>IF(OR(L583="Passed",Z583=""),"",P583+Z583)</f>
        <v/>
      </c>
      <c r="S583" s="425">
        <f>IF(OR(R583="",L583="Passed"),"",IF(R583&lt;=TODAY(),"DUE",IF(R583&lt;=TODAY()+3,"Next 3 Days","Later")))</f>
        <v/>
      </c>
      <c r="T583" s="425" t="inlineStr"/>
      <c r="U583" s="426" t="inlineStr">
        <is>
          <t>https://www.linkedin.com/in/jim-bland-0bb1b4/</t>
        </is>
      </c>
      <c r="V583" s="426" t="inlineStr"/>
      <c r="W583" s="428" t="inlineStr">
        <is>
          <t xml:space="preserve"> | 12/23/2025 | </t>
        </is>
      </c>
      <c r="X583" s="425" t="inlineStr">
        <is>
          <t>John - Investor Contacts!268</t>
        </is>
      </c>
      <c r="Y583" s="426" t="inlineStr">
        <is>
          <t>Send next follow-up with traction + CTA</t>
        </is>
      </c>
      <c r="Z583" s="425" t="n">
        <v>7</v>
      </c>
      <c r="AA583" s="425">
        <f>IF(AC583="Archived",0,ROUND((IF(N583="Tier 1",35,IF(N583="Tier 2",20,8))+IF(C583="Financial Investor",15,IF(C583="Intermediary / Banker",12,8))+IF(L583="Term Sheet / Proposal",25,IF(L583="Engaged",20,IF(L583="Meeting Requested",18,IF(L583="Meeting Held",14,IF(L583="Follow Up",10,5)))))+MIN(Q583,30)+IF(S583="DUE",15,IF(S583="Next 3 Days",8,0))),0))</f>
        <v/>
      </c>
      <c r="AB583" s="425">
        <f>IF(AND(AC583="Active",OR(N583="Tier 1",N583="Tier 2"),OR(S583="DUE",S583="Next 3 Days")),"YES","")</f>
        <v/>
      </c>
      <c r="AC583" s="425">
        <f>IF(L583="Passed","Archived","Active")</f>
        <v/>
      </c>
    </row>
    <row r="584">
      <c r="A584" s="425" t="inlineStr">
        <is>
          <t>EXOS-0583</t>
        </is>
      </c>
      <c r="B584" s="425" t="inlineStr">
        <is>
          <t>John - Investor Contacts</t>
        </is>
      </c>
      <c r="C584" s="425" t="inlineStr">
        <is>
          <t>Financial Investor</t>
        </is>
      </c>
      <c r="D584" s="425" t="inlineStr">
        <is>
          <t>Next Gen Growth Partners</t>
        </is>
      </c>
      <c r="E584" s="425" t="inlineStr">
        <is>
          <t>Nicholas Olmstead</t>
        </is>
      </c>
      <c r="F584" s="425" t="inlineStr"/>
      <c r="G584" s="111" t="inlineStr">
        <is>
          <t>nolmstead@nextgengp.com</t>
        </is>
      </c>
      <c r="H584" s="425" t="inlineStr"/>
      <c r="I584" s="425" t="inlineStr"/>
      <c r="J584" s="111" t="inlineStr">
        <is>
          <t>https://www.linkedin.com/in/nicholas-olmstead</t>
        </is>
      </c>
      <c r="K584" s="426" t="inlineStr">
        <is>
          <t>John Quinn</t>
        </is>
      </c>
      <c r="L584" s="426" t="inlineStr">
        <is>
          <t>Follow Up</t>
        </is>
      </c>
      <c r="M584" s="425" t="inlineStr">
        <is>
          <t>Space / Defense / Aerospace / Advanced Manufacturing</t>
        </is>
      </c>
      <c r="N584" s="426" t="inlineStr">
        <is>
          <t>Tier 2</t>
        </is>
      </c>
      <c r="O584" s="441" t="n">
        <v>45834</v>
      </c>
      <c r="P584" s="441" t="n">
        <v>45848</v>
      </c>
      <c r="Q584" s="425">
        <f>IF(P584="","",TODAY()-P584)</f>
        <v/>
      </c>
      <c r="R584" s="441">
        <f>IF(OR(L584="Passed",Z584=""),"",P584+Z584)</f>
        <v/>
      </c>
      <c r="S584" s="425">
        <f>IF(OR(R584="",L584="Passed"),"",IF(R584&lt;=TODAY(),"DUE",IF(R584&lt;=TODAY()+3,"Next 3 Days","Later")))</f>
        <v/>
      </c>
      <c r="T584" s="425" t="inlineStr"/>
      <c r="U584" s="426" t="inlineStr">
        <is>
          <t>https://www.linkedin.com/in/nicholas-olmstead</t>
        </is>
      </c>
      <c r="V584" s="426" t="inlineStr"/>
      <c r="W584" s="428" t="inlineStr">
        <is>
          <t xml:space="preserve"> | 12/23/2025 | </t>
        </is>
      </c>
      <c r="X584" s="425" t="inlineStr">
        <is>
          <t>John - Investor Contacts!266</t>
        </is>
      </c>
      <c r="Y584" s="426" t="inlineStr">
        <is>
          <t>Send next follow-up with traction + CTA</t>
        </is>
      </c>
      <c r="Z584" s="425" t="n">
        <v>7</v>
      </c>
      <c r="AA584" s="425">
        <f>IF(AC584="Archived",0,ROUND((IF(N584="Tier 1",35,IF(N584="Tier 2",20,8))+IF(C584="Financial Investor",15,IF(C584="Intermediary / Banker",12,8))+IF(L584="Term Sheet / Proposal",25,IF(L584="Engaged",20,IF(L584="Meeting Requested",18,IF(L584="Meeting Held",14,IF(L584="Follow Up",10,5)))))+MIN(Q584,30)+IF(S584="DUE",15,IF(S584="Next 3 Days",8,0))),0))</f>
        <v/>
      </c>
      <c r="AB584" s="425">
        <f>IF(AND(AC584="Active",OR(N584="Tier 1",N584="Tier 2"),OR(S584="DUE",S584="Next 3 Days")),"YES","")</f>
        <v/>
      </c>
      <c r="AC584" s="425">
        <f>IF(L584="Passed","Archived","Active")</f>
        <v/>
      </c>
    </row>
    <row r="585">
      <c r="A585" s="425" t="inlineStr">
        <is>
          <t>EXOS-0584</t>
        </is>
      </c>
      <c r="B585" s="425" t="inlineStr">
        <is>
          <t>John - Investor Contacts</t>
        </is>
      </c>
      <c r="C585" s="425" t="inlineStr">
        <is>
          <t>Financial Investor</t>
        </is>
      </c>
      <c r="D585" s="425" t="inlineStr">
        <is>
          <t>Next Gen Growth Partners</t>
        </is>
      </c>
      <c r="E585" s="425" t="inlineStr">
        <is>
          <t>Rich Herrick</t>
        </is>
      </c>
      <c r="F585" s="425" t="inlineStr"/>
      <c r="G585" s="111" t="inlineStr">
        <is>
          <t>rherrick@nextgengp.com</t>
        </is>
      </c>
      <c r="H585" s="425" t="inlineStr"/>
      <c r="I585" s="425" t="inlineStr"/>
      <c r="J585" s="111" t="inlineStr">
        <is>
          <t>https://www.linkedin.com/in/rich-herrick-a156ba3/</t>
        </is>
      </c>
      <c r="K585" s="426" t="inlineStr">
        <is>
          <t>John Quinn</t>
        </is>
      </c>
      <c r="L585" s="426" t="inlineStr">
        <is>
          <t>Follow Up</t>
        </is>
      </c>
      <c r="M585" s="425" t="inlineStr">
        <is>
          <t>Space / Defense / Aerospace / Advanced Manufacturing</t>
        </is>
      </c>
      <c r="N585" s="426" t="inlineStr">
        <is>
          <t>Tier 2</t>
        </is>
      </c>
      <c r="O585" s="441" t="n">
        <v>45833</v>
      </c>
      <c r="P585" s="441" t="n">
        <v>45848</v>
      </c>
      <c r="Q585" s="425">
        <f>IF(P585="","",TODAY()-P585)</f>
        <v/>
      </c>
      <c r="R585" s="441">
        <f>IF(OR(L585="Passed",Z585=""),"",P585+Z585)</f>
        <v/>
      </c>
      <c r="S585" s="425">
        <f>IF(OR(R585="",L585="Passed"),"",IF(R585&lt;=TODAY(),"DUE",IF(R585&lt;=TODAY()+3,"Next 3 Days","Later")))</f>
        <v/>
      </c>
      <c r="T585" s="425" t="inlineStr"/>
      <c r="U585" s="426" t="inlineStr">
        <is>
          <t>https://www.linkedin.com/in/rich-herrick-a156ba3/</t>
        </is>
      </c>
      <c r="V585" s="426" t="inlineStr"/>
      <c r="W585" s="428" t="inlineStr">
        <is>
          <t xml:space="preserve"> | 12/23/2025 | </t>
        </is>
      </c>
      <c r="X585" s="425" t="inlineStr">
        <is>
          <t>John - Investor Contacts!264</t>
        </is>
      </c>
      <c r="Y585" s="426" t="inlineStr">
        <is>
          <t>Send next follow-up with traction + CTA</t>
        </is>
      </c>
      <c r="Z585" s="425" t="n">
        <v>7</v>
      </c>
      <c r="AA585" s="425">
        <f>IF(AC585="Archived",0,ROUND((IF(N585="Tier 1",35,IF(N585="Tier 2",20,8))+IF(C585="Financial Investor",15,IF(C585="Intermediary / Banker",12,8))+IF(L585="Term Sheet / Proposal",25,IF(L585="Engaged",20,IF(L585="Meeting Requested",18,IF(L585="Meeting Held",14,IF(L585="Follow Up",10,5)))))+MIN(Q585,30)+IF(S585="DUE",15,IF(S585="Next 3 Days",8,0))),0))</f>
        <v/>
      </c>
      <c r="AB585" s="425">
        <f>IF(AND(AC585="Active",OR(N585="Tier 1",N585="Tier 2"),OR(S585="DUE",S585="Next 3 Days")),"YES","")</f>
        <v/>
      </c>
      <c r="AC585" s="425">
        <f>IF(L585="Passed","Archived","Active")</f>
        <v/>
      </c>
    </row>
    <row r="586">
      <c r="A586" s="425" t="inlineStr">
        <is>
          <t>EXOS-0585</t>
        </is>
      </c>
      <c r="B586" s="425" t="inlineStr">
        <is>
          <t>John - Investor Contacts</t>
        </is>
      </c>
      <c r="C586" s="425" t="inlineStr">
        <is>
          <t>Financial Investor</t>
        </is>
      </c>
      <c r="D586" s="425" t="inlineStr">
        <is>
          <t>NightDragon</t>
        </is>
      </c>
      <c r="E586" s="425" t="inlineStr">
        <is>
          <t>Amy De Salvatore</t>
        </is>
      </c>
      <c r="F586" s="425" t="inlineStr"/>
      <c r="G586" s="111" t="inlineStr">
        <is>
          <t>amy@nightdragon.com</t>
        </is>
      </c>
      <c r="H586" s="425" t="inlineStr"/>
      <c r="I586" s="425" t="inlineStr"/>
      <c r="J586" s="111" t="inlineStr">
        <is>
          <t>https://www.linkedin.com/in/amy-de-salvatore-995607/</t>
        </is>
      </c>
      <c r="K586" s="426" t="inlineStr">
        <is>
          <t>John Quinn</t>
        </is>
      </c>
      <c r="L586" s="426" t="inlineStr">
        <is>
          <t>Follow Up</t>
        </is>
      </c>
      <c r="M586" s="425" t="inlineStr">
        <is>
          <t>Space / Defense / Aerospace / Advanced Manufacturing</t>
        </is>
      </c>
      <c r="N586" s="426" t="inlineStr">
        <is>
          <t>Tier 2</t>
        </is>
      </c>
      <c r="O586" s="441" t="n">
        <v>45946</v>
      </c>
      <c r="P586" s="441" t="n">
        <v>45973</v>
      </c>
      <c r="Q586" s="425">
        <f>IF(P586="","",TODAY()-P586)</f>
        <v/>
      </c>
      <c r="R586" s="441">
        <f>IF(OR(L586="Passed",Z586=""),"",P586+Z586)</f>
        <v/>
      </c>
      <c r="S586" s="425">
        <f>IF(OR(R586="",L586="Passed"),"",IF(R586&lt;=TODAY(),"DUE",IF(R586&lt;=TODAY()+3,"Next 3 Days","Later")))</f>
        <v/>
      </c>
      <c r="T586" s="425" t="inlineStr"/>
      <c r="U586" s="426" t="inlineStr">
        <is>
          <t>https://www.linkedin.com/in/amy-de-salvatore-995607/</t>
        </is>
      </c>
      <c r="V586" s="426" t="inlineStr"/>
      <c r="W586" s="428" t="inlineStr">
        <is>
          <t xml:space="preserve"> | 12/30/2025 | </t>
        </is>
      </c>
      <c r="X586" s="425" t="inlineStr">
        <is>
          <t>John - Investor Contacts!770</t>
        </is>
      </c>
      <c r="Y586" s="426" t="inlineStr">
        <is>
          <t>Send next follow-up with traction + CTA</t>
        </is>
      </c>
      <c r="Z586" s="425" t="n">
        <v>7</v>
      </c>
      <c r="AA586" s="425">
        <f>IF(AC586="Archived",0,ROUND((IF(N586="Tier 1",35,IF(N586="Tier 2",20,8))+IF(C586="Financial Investor",15,IF(C586="Intermediary / Banker",12,8))+IF(L586="Term Sheet / Proposal",25,IF(L586="Engaged",20,IF(L586="Meeting Requested",18,IF(L586="Meeting Held",14,IF(L586="Follow Up",10,5)))))+MIN(Q586,30)+IF(S586="DUE",15,IF(S586="Next 3 Days",8,0))),0))</f>
        <v/>
      </c>
      <c r="AB586" s="425">
        <f>IF(AND(AC586="Active",OR(N586="Tier 1",N586="Tier 2"),OR(S586="DUE",S586="Next 3 Days")),"YES","")</f>
        <v/>
      </c>
      <c r="AC586" s="425">
        <f>IF(L586="Passed","Archived","Active")</f>
        <v/>
      </c>
    </row>
    <row r="587">
      <c r="A587" s="425" t="inlineStr">
        <is>
          <t>EXOS-0586</t>
        </is>
      </c>
      <c r="B587" s="425" t="inlineStr">
        <is>
          <t>John - Investor Contacts</t>
        </is>
      </c>
      <c r="C587" s="425" t="inlineStr">
        <is>
          <t>Financial Investor</t>
        </is>
      </c>
      <c r="D587" s="425" t="inlineStr">
        <is>
          <t>NightDragon</t>
        </is>
      </c>
      <c r="E587" s="425" t="inlineStr">
        <is>
          <t>Barbara Massa</t>
        </is>
      </c>
      <c r="F587" s="425" t="inlineStr"/>
      <c r="G587" s="111" t="inlineStr">
        <is>
          <t>barbara@nightdragon.com</t>
        </is>
      </c>
      <c r="H587" s="425" t="inlineStr"/>
      <c r="I587" s="425" t="inlineStr"/>
      <c r="J587" s="111" t="inlineStr">
        <is>
          <t>https://www.linkedin.com/in/barbaramassa/</t>
        </is>
      </c>
      <c r="K587" s="426" t="inlineStr">
        <is>
          <t>John Quinn</t>
        </is>
      </c>
      <c r="L587" s="426" t="inlineStr">
        <is>
          <t>Follow Up</t>
        </is>
      </c>
      <c r="M587" s="425" t="inlineStr">
        <is>
          <t>Space / Defense / Aerospace / Advanced Manufacturing</t>
        </is>
      </c>
      <c r="N587" s="426" t="inlineStr">
        <is>
          <t>Tier 2</t>
        </is>
      </c>
      <c r="O587" s="441" t="n">
        <v>45946</v>
      </c>
      <c r="P587" s="441" t="n">
        <v>45973</v>
      </c>
      <c r="Q587" s="425">
        <f>IF(P587="","",TODAY()-P587)</f>
        <v/>
      </c>
      <c r="R587" s="441">
        <f>IF(OR(L587="Passed",Z587=""),"",P587+Z587)</f>
        <v/>
      </c>
      <c r="S587" s="425">
        <f>IF(OR(R587="",L587="Passed"),"",IF(R587&lt;=TODAY(),"DUE",IF(R587&lt;=TODAY()+3,"Next 3 Days","Later")))</f>
        <v/>
      </c>
      <c r="T587" s="425" t="inlineStr"/>
      <c r="U587" s="426" t="inlineStr">
        <is>
          <t>https://www.linkedin.com/in/barbaramassa/</t>
        </is>
      </c>
      <c r="V587" s="426" t="inlineStr"/>
      <c r="W587" s="428" t="inlineStr">
        <is>
          <t xml:space="preserve"> | 12/18/2025 | </t>
        </is>
      </c>
      <c r="X587" s="425" t="inlineStr">
        <is>
          <t>John - Investor Contacts!769</t>
        </is>
      </c>
      <c r="Y587" s="426" t="inlineStr">
        <is>
          <t>Send next follow-up with traction + CTA</t>
        </is>
      </c>
      <c r="Z587" s="425" t="n">
        <v>7</v>
      </c>
      <c r="AA587" s="425">
        <f>IF(AC587="Archived",0,ROUND((IF(N587="Tier 1",35,IF(N587="Tier 2",20,8))+IF(C587="Financial Investor",15,IF(C587="Intermediary / Banker",12,8))+IF(L587="Term Sheet / Proposal",25,IF(L587="Engaged",20,IF(L587="Meeting Requested",18,IF(L587="Meeting Held",14,IF(L587="Follow Up",10,5)))))+MIN(Q587,30)+IF(S587="DUE",15,IF(S587="Next 3 Days",8,0))),0))</f>
        <v/>
      </c>
      <c r="AB587" s="425">
        <f>IF(AND(AC587="Active",OR(N587="Tier 1",N587="Tier 2"),OR(S587="DUE",S587="Next 3 Days")),"YES","")</f>
        <v/>
      </c>
      <c r="AC587" s="425">
        <f>IF(L587="Passed","Archived","Active")</f>
        <v/>
      </c>
    </row>
    <row r="588">
      <c r="A588" s="425" t="inlineStr">
        <is>
          <t>EXOS-0587</t>
        </is>
      </c>
      <c r="B588" s="425" t="inlineStr">
        <is>
          <t>John - Investor Contacts</t>
        </is>
      </c>
      <c r="C588" s="425" t="inlineStr">
        <is>
          <t>Financial Investor</t>
        </is>
      </c>
      <c r="D588" s="425" t="inlineStr">
        <is>
          <t>NightDragon</t>
        </is>
      </c>
      <c r="E588" s="425" t="inlineStr">
        <is>
          <t>Hannah Huffman</t>
        </is>
      </c>
      <c r="F588" s="425" t="inlineStr"/>
      <c r="G588" s="111" t="inlineStr">
        <is>
          <t>hannah@nightdragon.com</t>
        </is>
      </c>
      <c r="H588" s="425" t="inlineStr"/>
      <c r="I588" s="425" t="inlineStr"/>
      <c r="J588" s="111" t="inlineStr">
        <is>
          <t>https://www.linkedin.com/in/hannahhuffman2422/</t>
        </is>
      </c>
      <c r="K588" s="426" t="inlineStr">
        <is>
          <t>John Quinn</t>
        </is>
      </c>
      <c r="L588" s="426" t="inlineStr">
        <is>
          <t>Follow Up</t>
        </is>
      </c>
      <c r="M588" s="425" t="inlineStr">
        <is>
          <t>Space / Defense / Aerospace / Advanced Manufacturing</t>
        </is>
      </c>
      <c r="N588" s="426" t="inlineStr">
        <is>
          <t>Tier 2</t>
        </is>
      </c>
      <c r="O588" s="441" t="n">
        <v>45946</v>
      </c>
      <c r="P588" s="441" t="n">
        <v>45973</v>
      </c>
      <c r="Q588" s="425">
        <f>IF(P588="","",TODAY()-P588)</f>
        <v/>
      </c>
      <c r="R588" s="441">
        <f>IF(OR(L588="Passed",Z588=""),"",P588+Z588)</f>
        <v/>
      </c>
      <c r="S588" s="425">
        <f>IF(OR(R588="",L588="Passed"),"",IF(R588&lt;=TODAY(),"DUE",IF(R588&lt;=TODAY()+3,"Next 3 Days","Later")))</f>
        <v/>
      </c>
      <c r="T588" s="425" t="inlineStr"/>
      <c r="U588" s="426" t="inlineStr">
        <is>
          <t>https://www.linkedin.com/in/hannahhuffman2422/</t>
        </is>
      </c>
      <c r="V588" s="426" t="inlineStr"/>
      <c r="W588" s="428" t="inlineStr">
        <is>
          <t xml:space="preserve"> | 12/30/2025 | </t>
        </is>
      </c>
      <c r="X588" s="425" t="inlineStr">
        <is>
          <t>John - Investor Contacts!771</t>
        </is>
      </c>
      <c r="Y588" s="426" t="inlineStr">
        <is>
          <t>Send next follow-up with traction + CTA</t>
        </is>
      </c>
      <c r="Z588" s="425" t="n">
        <v>7</v>
      </c>
      <c r="AA588" s="425">
        <f>IF(AC588="Archived",0,ROUND((IF(N588="Tier 1",35,IF(N588="Tier 2",20,8))+IF(C588="Financial Investor",15,IF(C588="Intermediary / Banker",12,8))+IF(L588="Term Sheet / Proposal",25,IF(L588="Engaged",20,IF(L588="Meeting Requested",18,IF(L588="Meeting Held",14,IF(L588="Follow Up",10,5)))))+MIN(Q588,30)+IF(S588="DUE",15,IF(S588="Next 3 Days",8,0))),0))</f>
        <v/>
      </c>
      <c r="AB588" s="425">
        <f>IF(AND(AC588="Active",OR(N588="Tier 1",N588="Tier 2"),OR(S588="DUE",S588="Next 3 Days")),"YES","")</f>
        <v/>
      </c>
      <c r="AC588" s="425">
        <f>IF(L588="Passed","Archived","Active")</f>
        <v/>
      </c>
    </row>
    <row r="589">
      <c r="A589" s="425" t="inlineStr">
        <is>
          <t>EXOS-0588</t>
        </is>
      </c>
      <c r="B589" s="425" t="inlineStr">
        <is>
          <t>John - Investor Contacts</t>
        </is>
      </c>
      <c r="C589" s="425" t="inlineStr">
        <is>
          <t>Financial Investor</t>
        </is>
      </c>
      <c r="D589" s="425" t="inlineStr">
        <is>
          <t>NightDragon</t>
        </is>
      </c>
      <c r="E589" s="425" t="inlineStr">
        <is>
          <t>Morgan Kyauk</t>
        </is>
      </c>
      <c r="F589" s="425" t="inlineStr"/>
      <c r="G589" s="111" t="inlineStr">
        <is>
          <t>morgan@nightdragon.com</t>
        </is>
      </c>
      <c r="H589" s="425" t="inlineStr"/>
      <c r="I589" s="425" t="inlineStr"/>
      <c r="J589" s="111" t="inlineStr">
        <is>
          <t>https://www.linkedin.com/in/mkyauk/</t>
        </is>
      </c>
      <c r="K589" s="426" t="inlineStr">
        <is>
          <t>John Quinn</t>
        </is>
      </c>
      <c r="L589" s="426" t="inlineStr">
        <is>
          <t>Follow Up</t>
        </is>
      </c>
      <c r="M589" s="425" t="inlineStr">
        <is>
          <t>Space / Defense / Aerospace / Advanced Manufacturing</t>
        </is>
      </c>
      <c r="N589" s="426" t="inlineStr">
        <is>
          <t>Tier 2</t>
        </is>
      </c>
      <c r="O589" s="441" t="n">
        <v>45946</v>
      </c>
      <c r="P589" s="441" t="n">
        <v>45973</v>
      </c>
      <c r="Q589" s="425">
        <f>IF(P589="","",TODAY()-P589)</f>
        <v/>
      </c>
      <c r="R589" s="441">
        <f>IF(OR(L589="Passed",Z589=""),"",P589+Z589)</f>
        <v/>
      </c>
      <c r="S589" s="425">
        <f>IF(OR(R589="",L589="Passed"),"",IF(R589&lt;=TODAY(),"DUE",IF(R589&lt;=TODAY()+3,"Next 3 Days","Later")))</f>
        <v/>
      </c>
      <c r="T589" s="425" t="inlineStr"/>
      <c r="U589" s="426" t="inlineStr">
        <is>
          <t>https://www.linkedin.com/in/mkyauk/</t>
        </is>
      </c>
      <c r="V589" s="426" t="inlineStr"/>
      <c r="W589" s="428" t="inlineStr">
        <is>
          <t xml:space="preserve"> | 12/30/2025 | </t>
        </is>
      </c>
      <c r="X589" s="425" t="inlineStr">
        <is>
          <t>John - Investor Contacts!772</t>
        </is>
      </c>
      <c r="Y589" s="426" t="inlineStr">
        <is>
          <t>Send next follow-up with traction + CTA</t>
        </is>
      </c>
      <c r="Z589" s="425" t="n">
        <v>7</v>
      </c>
      <c r="AA589" s="425">
        <f>IF(AC589="Archived",0,ROUND((IF(N589="Tier 1",35,IF(N589="Tier 2",20,8))+IF(C589="Financial Investor",15,IF(C589="Intermediary / Banker",12,8))+IF(L589="Term Sheet / Proposal",25,IF(L589="Engaged",20,IF(L589="Meeting Requested",18,IF(L589="Meeting Held",14,IF(L589="Follow Up",10,5)))))+MIN(Q589,30)+IF(S589="DUE",15,IF(S589="Next 3 Days",8,0))),0))</f>
        <v/>
      </c>
      <c r="AB589" s="425">
        <f>IF(AND(AC589="Active",OR(N589="Tier 1",N589="Tier 2"),OR(S589="DUE",S589="Next 3 Days")),"YES","")</f>
        <v/>
      </c>
      <c r="AC589" s="425">
        <f>IF(L589="Passed","Archived","Active")</f>
        <v/>
      </c>
    </row>
    <row r="590">
      <c r="A590" s="425" t="inlineStr">
        <is>
          <t>EXOS-0589</t>
        </is>
      </c>
      <c r="B590" s="425" t="inlineStr">
        <is>
          <t>John - Investor Contacts</t>
        </is>
      </c>
      <c r="C590" s="425" t="inlineStr">
        <is>
          <t>Financial Investor</t>
        </is>
      </c>
      <c r="D590" s="425" t="inlineStr">
        <is>
          <t>NightDragon</t>
        </is>
      </c>
      <c r="E590" s="425" t="inlineStr">
        <is>
          <t>Sridhar Jayanthi</t>
        </is>
      </c>
      <c r="F590" s="425" t="inlineStr"/>
      <c r="G590" s="111" t="inlineStr">
        <is>
          <t>jayanthi.sridhar@gmail.com</t>
        </is>
      </c>
      <c r="H590" s="425" t="inlineStr"/>
      <c r="I590" s="425" t="inlineStr"/>
      <c r="J590" s="111" t="inlineStr">
        <is>
          <t>https://www.linkedin.com/in/sridharjayanthi/</t>
        </is>
      </c>
      <c r="K590" s="426" t="inlineStr">
        <is>
          <t>John Quinn</t>
        </is>
      </c>
      <c r="L590" s="426" t="inlineStr">
        <is>
          <t>Follow Up</t>
        </is>
      </c>
      <c r="M590" s="425" t="inlineStr">
        <is>
          <t>Space / Defense / Aerospace / Advanced Manufacturing</t>
        </is>
      </c>
      <c r="N590" s="426" t="inlineStr">
        <is>
          <t>Tier 2</t>
        </is>
      </c>
      <c r="O590" s="441" t="n">
        <v>45946</v>
      </c>
      <c r="P590" s="441" t="n">
        <v>45973</v>
      </c>
      <c r="Q590" s="425">
        <f>IF(P590="","",TODAY()-P590)</f>
        <v/>
      </c>
      <c r="R590" s="441">
        <f>IF(OR(L590="Passed",Z590=""),"",P590+Z590)</f>
        <v/>
      </c>
      <c r="S590" s="425">
        <f>IF(OR(R590="",L590="Passed"),"",IF(R590&lt;=TODAY(),"DUE",IF(R590&lt;=TODAY()+3,"Next 3 Days","Later")))</f>
        <v/>
      </c>
      <c r="T590" s="425" t="inlineStr"/>
      <c r="U590" s="426" t="inlineStr">
        <is>
          <t>https://www.linkedin.com/in/sridharjayanthi/</t>
        </is>
      </c>
      <c r="V590" s="426" t="inlineStr"/>
      <c r="W590" s="428" t="inlineStr">
        <is>
          <t xml:space="preserve"> | 12/30/2025 | </t>
        </is>
      </c>
      <c r="X590" s="425" t="inlineStr">
        <is>
          <t>John - Investor Contacts!774</t>
        </is>
      </c>
      <c r="Y590" s="426" t="inlineStr">
        <is>
          <t>Send next follow-up with traction + CTA</t>
        </is>
      </c>
      <c r="Z590" s="425" t="n">
        <v>7</v>
      </c>
      <c r="AA590" s="425">
        <f>IF(AC590="Archived",0,ROUND((IF(N590="Tier 1",35,IF(N590="Tier 2",20,8))+IF(C590="Financial Investor",15,IF(C590="Intermediary / Banker",12,8))+IF(L590="Term Sheet / Proposal",25,IF(L590="Engaged",20,IF(L590="Meeting Requested",18,IF(L590="Meeting Held",14,IF(L590="Follow Up",10,5)))))+MIN(Q590,30)+IF(S590="DUE",15,IF(S590="Next 3 Days",8,0))),0))</f>
        <v/>
      </c>
      <c r="AB590" s="425">
        <f>IF(AND(AC590="Active",OR(N590="Tier 1",N590="Tier 2"),OR(S590="DUE",S590="Next 3 Days")),"YES","")</f>
        <v/>
      </c>
      <c r="AC590" s="425">
        <f>IF(L590="Passed","Archived","Active")</f>
        <v/>
      </c>
    </row>
    <row r="591">
      <c r="A591" s="425" t="inlineStr">
        <is>
          <t>EXOS-0590</t>
        </is>
      </c>
      <c r="B591" s="425" t="inlineStr">
        <is>
          <t>John - Investor Contacts</t>
        </is>
      </c>
      <c r="C591" s="425" t="inlineStr">
        <is>
          <t>Financial Investor</t>
        </is>
      </c>
      <c r="D591" s="425" t="inlineStr">
        <is>
          <t>NightDragon</t>
        </is>
      </c>
      <c r="E591" s="425" t="inlineStr">
        <is>
          <t>Thomas Pompidou</t>
        </is>
      </c>
      <c r="F591" s="425" t="inlineStr"/>
      <c r="G591" s="111" t="inlineStr">
        <is>
          <t>thomas@nightdragon.com</t>
        </is>
      </c>
      <c r="H591" s="425" t="inlineStr"/>
      <c r="I591" s="425" t="inlineStr"/>
      <c r="J591" s="111" t="inlineStr">
        <is>
          <t>https://www.linkedin.com/in/thomas-pompidou-1101b6285/</t>
        </is>
      </c>
      <c r="K591" s="426" t="inlineStr">
        <is>
          <t>John Quinn</t>
        </is>
      </c>
      <c r="L591" s="426" t="inlineStr">
        <is>
          <t>Follow Up</t>
        </is>
      </c>
      <c r="M591" s="425" t="inlineStr">
        <is>
          <t>Space / Defense / Aerospace / Advanced Manufacturing</t>
        </is>
      </c>
      <c r="N591" s="426" t="inlineStr">
        <is>
          <t>Tier 2</t>
        </is>
      </c>
      <c r="O591" s="441" t="n">
        <v>45946</v>
      </c>
      <c r="P591" s="441" t="n">
        <v>45973</v>
      </c>
      <c r="Q591" s="425">
        <f>IF(P591="","",TODAY()-P591)</f>
        <v/>
      </c>
      <c r="R591" s="441">
        <f>IF(OR(L591="Passed",Z591=""),"",P591+Z591)</f>
        <v/>
      </c>
      <c r="S591" s="425">
        <f>IF(OR(R591="",L591="Passed"),"",IF(R591&lt;=TODAY(),"DUE",IF(R591&lt;=TODAY()+3,"Next 3 Days","Later")))</f>
        <v/>
      </c>
      <c r="T591" s="425" t="inlineStr"/>
      <c r="U591" s="426" t="inlineStr">
        <is>
          <t>https://www.linkedin.com/in/thomas-pompidou-1101b6285/</t>
        </is>
      </c>
      <c r="V591" s="426" t="inlineStr"/>
      <c r="W591" s="428" t="inlineStr">
        <is>
          <t xml:space="preserve"> | 12/30/2025 | </t>
        </is>
      </c>
      <c r="X591" s="425" t="inlineStr">
        <is>
          <t>John - Investor Contacts!773</t>
        </is>
      </c>
      <c r="Y591" s="426" t="inlineStr">
        <is>
          <t>Send next follow-up with traction + CTA</t>
        </is>
      </c>
      <c r="Z591" s="425" t="n">
        <v>7</v>
      </c>
      <c r="AA591" s="425">
        <f>IF(AC591="Archived",0,ROUND((IF(N591="Tier 1",35,IF(N591="Tier 2",20,8))+IF(C591="Financial Investor",15,IF(C591="Intermediary / Banker",12,8))+IF(L591="Term Sheet / Proposal",25,IF(L591="Engaged",20,IF(L591="Meeting Requested",18,IF(L591="Meeting Held",14,IF(L591="Follow Up",10,5)))))+MIN(Q591,30)+IF(S591="DUE",15,IF(S591="Next 3 Days",8,0))),0))</f>
        <v/>
      </c>
      <c r="AB591" s="425">
        <f>IF(AND(AC591="Active",OR(N591="Tier 1",N591="Tier 2"),OR(S591="DUE",S591="Next 3 Days")),"YES","")</f>
        <v/>
      </c>
      <c r="AC591" s="425">
        <f>IF(L591="Passed","Archived","Active")</f>
        <v/>
      </c>
    </row>
    <row r="592">
      <c r="A592" s="425" t="inlineStr">
        <is>
          <t>EXOS-0591</t>
        </is>
      </c>
      <c r="B592" s="425" t="inlineStr">
        <is>
          <t>John - Investor Contacts</t>
        </is>
      </c>
      <c r="C592" s="425" t="inlineStr">
        <is>
          <t>Financial Investor</t>
        </is>
      </c>
      <c r="D592" s="425" t="inlineStr">
        <is>
          <t>Noblis Ventures</t>
        </is>
      </c>
      <c r="E592" s="425" t="inlineStr">
        <is>
          <t>Matt Monaco</t>
        </is>
      </c>
      <c r="F592" s="425" t="inlineStr"/>
      <c r="G592" s="111" t="inlineStr">
        <is>
          <t>matthew.monaco@noblis.org</t>
        </is>
      </c>
      <c r="H592" s="425" t="inlineStr"/>
      <c r="I592" s="425" t="inlineStr"/>
      <c r="J592" s="111" t="inlineStr">
        <is>
          <t>https://www.linkedin.com/in/matthewkmonaco/</t>
        </is>
      </c>
      <c r="K592" s="426" t="inlineStr">
        <is>
          <t>John Quinn</t>
        </is>
      </c>
      <c r="L592" s="426" t="inlineStr">
        <is>
          <t>Follow Up</t>
        </is>
      </c>
      <c r="M592" s="425" t="inlineStr">
        <is>
          <t>Space / Defense / Aerospace / Advanced Manufacturing</t>
        </is>
      </c>
      <c r="N592" s="426" t="inlineStr">
        <is>
          <t>Tier 2</t>
        </is>
      </c>
      <c r="O592" s="441" t="n">
        <v>45903</v>
      </c>
      <c r="P592" s="441" t="n">
        <v>45972</v>
      </c>
      <c r="Q592" s="425">
        <f>IF(P592="","",TODAY()-P592)</f>
        <v/>
      </c>
      <c r="R592" s="441">
        <f>IF(OR(L592="Passed",Z592=""),"",P592+Z592)</f>
        <v/>
      </c>
      <c r="S592" s="425">
        <f>IF(OR(R592="",L592="Passed"),"",IF(R592&lt;=TODAY(),"DUE",IF(R592&lt;=TODAY()+3,"Next 3 Days","Later")))</f>
        <v/>
      </c>
      <c r="T592" s="425" t="inlineStr"/>
      <c r="U592" s="426" t="inlineStr">
        <is>
          <t>https://www.linkedin.com/in/matthewkmonaco/</t>
        </is>
      </c>
      <c r="V592" s="426" t="inlineStr"/>
      <c r="W592" s="428" t="inlineStr">
        <is>
          <t xml:space="preserve"> | 12/05/2025 | </t>
        </is>
      </c>
      <c r="X592" s="425" t="inlineStr">
        <is>
          <t>John - Investor Contacts!614</t>
        </is>
      </c>
      <c r="Y592" s="426" t="inlineStr">
        <is>
          <t>Send next follow-up with traction + CTA</t>
        </is>
      </c>
      <c r="Z592" s="425" t="n">
        <v>7</v>
      </c>
      <c r="AA592" s="425">
        <f>IF(AC592="Archived",0,ROUND((IF(N592="Tier 1",35,IF(N592="Tier 2",20,8))+IF(C592="Financial Investor",15,IF(C592="Intermediary / Banker",12,8))+IF(L592="Term Sheet / Proposal",25,IF(L592="Engaged",20,IF(L592="Meeting Requested",18,IF(L592="Meeting Held",14,IF(L592="Follow Up",10,5)))))+MIN(Q592,30)+IF(S592="DUE",15,IF(S592="Next 3 Days",8,0))),0))</f>
        <v/>
      </c>
      <c r="AB592" s="425">
        <f>IF(AND(AC592="Active",OR(N592="Tier 1",N592="Tier 2"),OR(S592="DUE",S592="Next 3 Days")),"YES","")</f>
        <v/>
      </c>
      <c r="AC592" s="425">
        <f>IF(L592="Passed","Archived","Active")</f>
        <v/>
      </c>
    </row>
    <row r="593">
      <c r="A593" s="425" t="inlineStr">
        <is>
          <t>EXOS-0592</t>
        </is>
      </c>
      <c r="B593" s="425" t="inlineStr">
        <is>
          <t>John - Investor Contacts</t>
        </is>
      </c>
      <c r="C593" s="425" t="inlineStr">
        <is>
          <t>Financial Investor</t>
        </is>
      </c>
      <c r="D593" s="425" t="inlineStr">
        <is>
          <t>Noblis Ventures</t>
        </is>
      </c>
      <c r="E593" s="425" t="inlineStr">
        <is>
          <t>Matt Salter</t>
        </is>
      </c>
      <c r="F593" s="425" t="inlineStr"/>
      <c r="G593" s="111" t="inlineStr">
        <is>
          <t>matt.salter@noblis.org</t>
        </is>
      </c>
      <c r="H593" s="425" t="inlineStr"/>
      <c r="I593" s="425" t="inlineStr"/>
      <c r="J593" s="111" t="inlineStr">
        <is>
          <t>https://www.linkedin.com/in/mattksalter/</t>
        </is>
      </c>
      <c r="K593" s="426" t="inlineStr">
        <is>
          <t>John Quinn</t>
        </is>
      </c>
      <c r="L593" s="426" t="inlineStr">
        <is>
          <t>Follow Up</t>
        </is>
      </c>
      <c r="M593" s="425" t="inlineStr">
        <is>
          <t>Space / Defense / Aerospace / Advanced Manufacturing</t>
        </is>
      </c>
      <c r="N593" s="426" t="inlineStr">
        <is>
          <t>Tier 2</t>
        </is>
      </c>
      <c r="O593" s="441" t="n">
        <v>45903</v>
      </c>
      <c r="P593" s="441" t="n">
        <v>45972</v>
      </c>
      <c r="Q593" s="425">
        <f>IF(P593="","",TODAY()-P593)</f>
        <v/>
      </c>
      <c r="R593" s="441">
        <f>IF(OR(L593="Passed",Z593=""),"",P593+Z593)</f>
        <v/>
      </c>
      <c r="S593" s="425">
        <f>IF(OR(R593="",L593="Passed"),"",IF(R593&lt;=TODAY(),"DUE",IF(R593&lt;=TODAY()+3,"Next 3 Days","Later")))</f>
        <v/>
      </c>
      <c r="T593" s="425" t="inlineStr"/>
      <c r="U593" s="426" t="inlineStr">
        <is>
          <t>https://www.linkedin.com/in/mattksalter/</t>
        </is>
      </c>
      <c r="V593" s="426" t="inlineStr"/>
      <c r="W593" s="428" t="inlineStr">
        <is>
          <t xml:space="preserve"> | 12/05/2025 | </t>
        </is>
      </c>
      <c r="X593" s="425" t="inlineStr">
        <is>
          <t>John - Investor Contacts!616</t>
        </is>
      </c>
      <c r="Y593" s="426" t="inlineStr">
        <is>
          <t>Send next follow-up with traction + CTA</t>
        </is>
      </c>
      <c r="Z593" s="425" t="n">
        <v>7</v>
      </c>
      <c r="AA593" s="425">
        <f>IF(AC593="Archived",0,ROUND((IF(N593="Tier 1",35,IF(N593="Tier 2",20,8))+IF(C593="Financial Investor",15,IF(C593="Intermediary / Banker",12,8))+IF(L593="Term Sheet / Proposal",25,IF(L593="Engaged",20,IF(L593="Meeting Requested",18,IF(L593="Meeting Held",14,IF(L593="Follow Up",10,5)))))+MIN(Q593,30)+IF(S593="DUE",15,IF(S593="Next 3 Days",8,0))),0))</f>
        <v/>
      </c>
      <c r="AB593" s="425">
        <f>IF(AND(AC593="Active",OR(N593="Tier 1",N593="Tier 2"),OR(S593="DUE",S593="Next 3 Days")),"YES","")</f>
        <v/>
      </c>
      <c r="AC593" s="425">
        <f>IF(L593="Passed","Archived","Active")</f>
        <v/>
      </c>
    </row>
    <row r="594">
      <c r="A594" s="425" t="inlineStr">
        <is>
          <t>EXOS-0593</t>
        </is>
      </c>
      <c r="B594" s="425" t="inlineStr">
        <is>
          <t>John - Investor Contacts</t>
        </is>
      </c>
      <c r="C594" s="425" t="inlineStr">
        <is>
          <t>Financial Investor</t>
        </is>
      </c>
      <c r="D594" s="425" t="inlineStr">
        <is>
          <t>OCA Ventures</t>
        </is>
      </c>
      <c r="E594" s="425" t="inlineStr">
        <is>
          <t>Jim Dugan</t>
        </is>
      </c>
      <c r="F594" s="425" t="inlineStr"/>
      <c r="G594" s="111" t="inlineStr">
        <is>
          <t>jim@ocaventures.com</t>
        </is>
      </c>
      <c r="H594" s="425" t="inlineStr"/>
      <c r="I594" s="425" t="inlineStr"/>
      <c r="J594" s="111" t="inlineStr">
        <is>
          <t>https://www.linkedin.com/in/jim-dugan-b4369a3/</t>
        </is>
      </c>
      <c r="K594" s="426" t="inlineStr">
        <is>
          <t>John Quinn</t>
        </is>
      </c>
      <c r="L594" s="426" t="inlineStr">
        <is>
          <t>Follow Up</t>
        </is>
      </c>
      <c r="M594" s="425" t="inlineStr">
        <is>
          <t>Space / Defense / Aerospace / Advanced Manufacturing</t>
        </is>
      </c>
      <c r="N594" s="426" t="inlineStr">
        <is>
          <t>Tier 2</t>
        </is>
      </c>
      <c r="O594" s="441" t="n">
        <v>45903</v>
      </c>
      <c r="P594" s="441" t="n">
        <v>45972</v>
      </c>
      <c r="Q594" s="425">
        <f>IF(P594="","",TODAY()-P594)</f>
        <v/>
      </c>
      <c r="R594" s="441">
        <f>IF(OR(L594="Passed",Z594=""),"",P594+Z594)</f>
        <v/>
      </c>
      <c r="S594" s="425">
        <f>IF(OR(R594="",L594="Passed"),"",IF(R594&lt;=TODAY(),"DUE",IF(R594&lt;=TODAY()+3,"Next 3 Days","Later")))</f>
        <v/>
      </c>
      <c r="T594" s="425" t="inlineStr"/>
      <c r="U594" s="426" t="inlineStr">
        <is>
          <t>https://www.linkedin.com/in/jim-dugan-b4369a3/</t>
        </is>
      </c>
      <c r="V594" s="426" t="inlineStr"/>
      <c r="W594" s="428" t="inlineStr">
        <is>
          <t xml:space="preserve"> | 12/05/2025 | </t>
        </is>
      </c>
      <c r="X594" s="425" t="inlineStr">
        <is>
          <t>John - Investor Contacts!599</t>
        </is>
      </c>
      <c r="Y594" s="426" t="inlineStr">
        <is>
          <t>Send next follow-up with traction + CTA</t>
        </is>
      </c>
      <c r="Z594" s="425" t="n">
        <v>7</v>
      </c>
      <c r="AA594" s="425">
        <f>IF(AC594="Archived",0,ROUND((IF(N594="Tier 1",35,IF(N594="Tier 2",20,8))+IF(C594="Financial Investor",15,IF(C594="Intermediary / Banker",12,8))+IF(L594="Term Sheet / Proposal",25,IF(L594="Engaged",20,IF(L594="Meeting Requested",18,IF(L594="Meeting Held",14,IF(L594="Follow Up",10,5)))))+MIN(Q594,30)+IF(S594="DUE",15,IF(S594="Next 3 Days",8,0))),0))</f>
        <v/>
      </c>
      <c r="AB594" s="425">
        <f>IF(AND(AC594="Active",OR(N594="Tier 1",N594="Tier 2"),OR(S594="DUE",S594="Next 3 Days")),"YES","")</f>
        <v/>
      </c>
      <c r="AC594" s="425">
        <f>IF(L594="Passed","Archived","Active")</f>
        <v/>
      </c>
    </row>
    <row r="595">
      <c r="A595" s="425" t="inlineStr">
        <is>
          <t>EXOS-0594</t>
        </is>
      </c>
      <c r="B595" s="425" t="inlineStr">
        <is>
          <t>John - Investor Contacts</t>
        </is>
      </c>
      <c r="C595" s="425" t="inlineStr">
        <is>
          <t>Financial Investor</t>
        </is>
      </c>
      <c r="D595" s="425" t="inlineStr">
        <is>
          <t>OMVC (formerly Vectr Fintech Partners)</t>
        </is>
      </c>
      <c r="E595" s="425" t="inlineStr">
        <is>
          <t>Ben Hoxie</t>
        </is>
      </c>
      <c r="F595" s="425" t="inlineStr"/>
      <c r="G595" s="111" t="inlineStr">
        <is>
          <t>ben.hoxie@omvc.co</t>
        </is>
      </c>
      <c r="H595" s="425" t="inlineStr"/>
      <c r="I595" s="425" t="inlineStr"/>
      <c r="J595" s="111" t="inlineStr">
        <is>
          <t>https://www.linkedin.com/in/ben-hoxie-92917a115/</t>
        </is>
      </c>
      <c r="K595" s="426" t="inlineStr">
        <is>
          <t>John Quinn</t>
        </is>
      </c>
      <c r="L595" s="426" t="inlineStr">
        <is>
          <t>Follow Up</t>
        </is>
      </c>
      <c r="M595" s="425" t="inlineStr">
        <is>
          <t>Space / Defense / Aerospace / Advanced Manufacturing</t>
        </is>
      </c>
      <c r="N595" s="426" t="inlineStr">
        <is>
          <t>Tier 2</t>
        </is>
      </c>
      <c r="O595" s="441" t="n">
        <v>45828</v>
      </c>
      <c r="P595" s="441" t="n">
        <v>45841</v>
      </c>
      <c r="Q595" s="425">
        <f>IF(P595="","",TODAY()-P595)</f>
        <v/>
      </c>
      <c r="R595" s="441">
        <f>IF(OR(L595="Passed",Z595=""),"",P595+Z595)</f>
        <v/>
      </c>
      <c r="S595" s="425">
        <f>IF(OR(R595="",L595="Passed"),"",IF(R595&lt;=TODAY(),"DUE",IF(R595&lt;=TODAY()+3,"Next 3 Days","Later")))</f>
        <v/>
      </c>
      <c r="T595" s="425" t="inlineStr"/>
      <c r="U595" s="426" t="inlineStr">
        <is>
          <t>https://www.linkedin.com/in/ben-hoxie-92917a115/</t>
        </is>
      </c>
      <c r="V595" s="426" t="inlineStr"/>
      <c r="W595" s="428" t="inlineStr">
        <is>
          <t xml:space="preserve"> | 12/23/2025 | </t>
        </is>
      </c>
      <c r="X595" s="425" t="inlineStr">
        <is>
          <t>John - Investor Contacts!236</t>
        </is>
      </c>
      <c r="Y595" s="426" t="inlineStr">
        <is>
          <t>Send next follow-up with traction + CTA</t>
        </is>
      </c>
      <c r="Z595" s="425" t="n">
        <v>7</v>
      </c>
      <c r="AA595" s="425">
        <f>IF(AC595="Archived",0,ROUND((IF(N595="Tier 1",35,IF(N595="Tier 2",20,8))+IF(C595="Financial Investor",15,IF(C595="Intermediary / Banker",12,8))+IF(L595="Term Sheet / Proposal",25,IF(L595="Engaged",20,IF(L595="Meeting Requested",18,IF(L595="Meeting Held",14,IF(L595="Follow Up",10,5)))))+MIN(Q595,30)+IF(S595="DUE",15,IF(S595="Next 3 Days",8,0))),0))</f>
        <v/>
      </c>
      <c r="AB595" s="425">
        <f>IF(AND(AC595="Active",OR(N595="Tier 1",N595="Tier 2"),OR(S595="DUE",S595="Next 3 Days")),"YES","")</f>
        <v/>
      </c>
      <c r="AC595" s="425">
        <f>IF(L595="Passed","Archived","Active")</f>
        <v/>
      </c>
    </row>
    <row r="596">
      <c r="A596" s="425" t="inlineStr">
        <is>
          <t>EXOS-0595</t>
        </is>
      </c>
      <c r="B596" s="425" t="inlineStr">
        <is>
          <t>John - Investor Contacts</t>
        </is>
      </c>
      <c r="C596" s="425" t="inlineStr">
        <is>
          <t>Financial Investor</t>
        </is>
      </c>
      <c r="D596" s="425" t="inlineStr">
        <is>
          <t>OMVC (formerly Vectr Fintech Partners)</t>
        </is>
      </c>
      <c r="E596" s="425" t="inlineStr">
        <is>
          <t>Mark Munoz</t>
        </is>
      </c>
      <c r="F596" s="425" t="inlineStr"/>
      <c r="G596" s="111" t="inlineStr">
        <is>
          <t>mark@omvc.co</t>
        </is>
      </c>
      <c r="H596" s="425" t="inlineStr"/>
      <c r="I596" s="425" t="inlineStr"/>
      <c r="J596" s="111" t="inlineStr">
        <is>
          <t>https://www.linkedin.com/in/munozmark/</t>
        </is>
      </c>
      <c r="K596" s="426" t="inlineStr">
        <is>
          <t>John Quinn</t>
        </is>
      </c>
      <c r="L596" s="426" t="inlineStr">
        <is>
          <t>Follow Up</t>
        </is>
      </c>
      <c r="M596" s="425" t="inlineStr">
        <is>
          <t>Space / Defense / Aerospace / Advanced Manufacturing</t>
        </is>
      </c>
      <c r="N596" s="426" t="inlineStr">
        <is>
          <t>Tier 2</t>
        </is>
      </c>
      <c r="O596" s="441" t="n">
        <v>45828</v>
      </c>
      <c r="P596" s="441" t="n">
        <v>45841</v>
      </c>
      <c r="Q596" s="425">
        <f>IF(P596="","",TODAY()-P596)</f>
        <v/>
      </c>
      <c r="R596" s="441">
        <f>IF(OR(L596="Passed",Z596=""),"",P596+Z596)</f>
        <v/>
      </c>
      <c r="S596" s="425">
        <f>IF(OR(R596="",L596="Passed"),"",IF(R596&lt;=TODAY(),"DUE",IF(R596&lt;=TODAY()+3,"Next 3 Days","Later")))</f>
        <v/>
      </c>
      <c r="T596" s="425" t="inlineStr"/>
      <c r="U596" s="426" t="inlineStr">
        <is>
          <t>https://www.linkedin.com/in/munozmark/</t>
        </is>
      </c>
      <c r="V596" s="426" t="inlineStr"/>
      <c r="W596" s="428" t="inlineStr">
        <is>
          <t xml:space="preserve"> | 12/23/2025 | online application: https://form.typeform.com/to/Ods1gr8R?typeform-source=www.omvc.co</t>
        </is>
      </c>
      <c r="X596" s="425" t="inlineStr">
        <is>
          <t>John - Investor Contacts!235</t>
        </is>
      </c>
      <c r="Y596" s="426" t="inlineStr">
        <is>
          <t>Send next follow-up with traction + CTA</t>
        </is>
      </c>
      <c r="Z596" s="425" t="n">
        <v>7</v>
      </c>
      <c r="AA596" s="425">
        <f>IF(AC596="Archived",0,ROUND((IF(N596="Tier 1",35,IF(N596="Tier 2",20,8))+IF(C596="Financial Investor",15,IF(C596="Intermediary / Banker",12,8))+IF(L596="Term Sheet / Proposal",25,IF(L596="Engaged",20,IF(L596="Meeting Requested",18,IF(L596="Meeting Held",14,IF(L596="Follow Up",10,5)))))+MIN(Q596,30)+IF(S596="DUE",15,IF(S596="Next 3 Days",8,0))),0))</f>
        <v/>
      </c>
      <c r="AB596" s="425">
        <f>IF(AND(AC596="Active",OR(N596="Tier 1",N596="Tier 2"),OR(S596="DUE",S596="Next 3 Days")),"YES","")</f>
        <v/>
      </c>
      <c r="AC596" s="425">
        <f>IF(L596="Passed","Archived","Active")</f>
        <v/>
      </c>
    </row>
    <row r="597">
      <c r="A597" s="425" t="inlineStr">
        <is>
          <t>EXOS-0596</t>
        </is>
      </c>
      <c r="B597" s="425" t="inlineStr">
        <is>
          <t>John - Investor Contacts</t>
        </is>
      </c>
      <c r="C597" s="425" t="inlineStr">
        <is>
          <t>Financial Investor</t>
        </is>
      </c>
      <c r="D597" s="425" t="inlineStr">
        <is>
          <t>Okta Ventures</t>
        </is>
      </c>
      <c r="E597" s="425" t="inlineStr">
        <is>
          <t>Austin Arensberg</t>
        </is>
      </c>
      <c r="F597" s="425" t="inlineStr"/>
      <c r="G597" s="111" t="inlineStr">
        <is>
          <t>austin.arensberg@okta.com</t>
        </is>
      </c>
      <c r="H597" s="425" t="inlineStr"/>
      <c r="I597" s="425" t="inlineStr"/>
      <c r="J597" s="425" t="inlineStr"/>
      <c r="K597" s="426" t="inlineStr">
        <is>
          <t>John Quinn</t>
        </is>
      </c>
      <c r="L597" s="426" t="inlineStr">
        <is>
          <t>Follow Up</t>
        </is>
      </c>
      <c r="M597" s="425" t="inlineStr">
        <is>
          <t>Space / Defense / Aerospace / Advanced Manufacturing</t>
        </is>
      </c>
      <c r="N597" s="426" t="inlineStr">
        <is>
          <t>Tier 2</t>
        </is>
      </c>
      <c r="O597" s="441" t="n">
        <v>45953</v>
      </c>
      <c r="P597" s="441" t="n">
        <v>45985</v>
      </c>
      <c r="Q597" s="425">
        <f>IF(P597="","",TODAY()-P597)</f>
        <v/>
      </c>
      <c r="R597" s="441">
        <f>IF(OR(L597="Passed",Z597=""),"",P597+Z597)</f>
        <v/>
      </c>
      <c r="S597" s="425">
        <f>IF(OR(R597="",L597="Passed"),"",IF(R597&lt;=TODAY(),"DUE",IF(R597&lt;=TODAY()+3,"Next 3 Days","Later")))</f>
        <v/>
      </c>
      <c r="T597" s="425" t="inlineStr"/>
      <c r="U597" s="426" t="inlineStr">
        <is>
          <t>linkedin.com/in/austinarensberg</t>
        </is>
      </c>
      <c r="V597" s="426" t="inlineStr"/>
      <c r="W597" s="428" t="inlineStr">
        <is>
          <t xml:space="preserve"> | 12/30/2025 | </t>
        </is>
      </c>
      <c r="X597" s="425" t="inlineStr">
        <is>
          <t>John - Investor Contacts!809</t>
        </is>
      </c>
      <c r="Y597" s="426" t="inlineStr">
        <is>
          <t>Send next follow-up with traction + CTA</t>
        </is>
      </c>
      <c r="Z597" s="425" t="n">
        <v>7</v>
      </c>
      <c r="AA597" s="425">
        <f>IF(AC597="Archived",0,ROUND((IF(N597="Tier 1",35,IF(N597="Tier 2",20,8))+IF(C597="Financial Investor",15,IF(C597="Intermediary / Banker",12,8))+IF(L597="Term Sheet / Proposal",25,IF(L597="Engaged",20,IF(L597="Meeting Requested",18,IF(L597="Meeting Held",14,IF(L597="Follow Up",10,5)))))+MIN(Q597,30)+IF(S597="DUE",15,IF(S597="Next 3 Days",8,0))),0))</f>
        <v/>
      </c>
      <c r="AB597" s="425">
        <f>IF(AND(AC597="Active",OR(N597="Tier 1",N597="Tier 2"),OR(S597="DUE",S597="Next 3 Days")),"YES","")</f>
        <v/>
      </c>
      <c r="AC597" s="425">
        <f>IF(L597="Passed","Archived","Active")</f>
        <v/>
      </c>
    </row>
    <row r="598">
      <c r="A598" s="425" t="inlineStr">
        <is>
          <t>EXOS-0597</t>
        </is>
      </c>
      <c r="B598" s="425" t="inlineStr">
        <is>
          <t>OSC</t>
        </is>
      </c>
      <c r="C598" s="425" t="inlineStr">
        <is>
          <t>Financial Investor</t>
        </is>
      </c>
      <c r="D598" s="425" t="inlineStr">
        <is>
          <t>One Bow River</t>
        </is>
      </c>
      <c r="E598" s="425" t="inlineStr">
        <is>
          <t>Kevin O'Neil</t>
        </is>
      </c>
      <c r="F598" s="425" t="inlineStr"/>
      <c r="G598" s="111" t="inlineStr">
        <is>
          <t>kevin.oneil@onebowriver.com</t>
        </is>
      </c>
      <c r="H598" s="425" t="inlineStr"/>
      <c r="I598" s="425" t="inlineStr">
        <is>
          <t>208.739.8333</t>
        </is>
      </c>
      <c r="J598" s="425" t="inlineStr"/>
      <c r="K598" s="426" t="inlineStr">
        <is>
          <t>John Quinn</t>
        </is>
      </c>
      <c r="L598" s="426" t="inlineStr">
        <is>
          <t>Follow Up</t>
        </is>
      </c>
      <c r="M598" s="425" t="inlineStr">
        <is>
          <t>Space / Defense / Aerospace / Advanced Manufacturing</t>
        </is>
      </c>
      <c r="N598" s="426" t="inlineStr">
        <is>
          <t>Tier 2</t>
        </is>
      </c>
      <c r="O598" s="441" t="n">
        <v>45853</v>
      </c>
      <c r="P598" s="441" t="n">
        <v>45882</v>
      </c>
      <c r="Q598" s="425">
        <f>IF(P598="","",TODAY()-P598)</f>
        <v/>
      </c>
      <c r="R598" s="441">
        <f>IF(OR(L598="Passed",Z598=""),"",P598+Z598)</f>
        <v/>
      </c>
      <c r="S598" s="425">
        <f>IF(OR(R598="",L598="Passed"),"",IF(R598&lt;=TODAY(),"DUE",IF(R598&lt;=TODAY()+3,"Next 3 Days","Later")))</f>
        <v/>
      </c>
      <c r="T598" s="425" t="inlineStr"/>
      <c r="U598" s="426" t="inlineStr"/>
      <c r="V598" s="426" t="inlineStr"/>
      <c r="W598" s="428" t="inlineStr"/>
      <c r="X598" s="425" t="inlineStr">
        <is>
          <t>OSC!44</t>
        </is>
      </c>
      <c r="Y598" s="426" t="inlineStr">
        <is>
          <t>Send next follow-up with traction + CTA</t>
        </is>
      </c>
      <c r="Z598" s="425" t="n">
        <v>7</v>
      </c>
      <c r="AA598" s="425">
        <f>IF(AC598="Archived",0,ROUND((IF(N598="Tier 1",35,IF(N598="Tier 2",20,8))+IF(C598="Financial Investor",15,IF(C598="Intermediary / Banker",12,8))+IF(L598="Term Sheet / Proposal",25,IF(L598="Engaged",20,IF(L598="Meeting Requested",18,IF(L598="Meeting Held",14,IF(L598="Follow Up",10,5)))))+MIN(Q598,30)+IF(S598="DUE",15,IF(S598="Next 3 Days",8,0))),0))</f>
        <v/>
      </c>
      <c r="AB598" s="425">
        <f>IF(AND(AC598="Active",OR(N598="Tier 1",N598="Tier 2"),OR(S598="DUE",S598="Next 3 Days")),"YES","")</f>
        <v/>
      </c>
      <c r="AC598" s="425">
        <f>IF(L598="Passed","Archived","Active")</f>
        <v/>
      </c>
    </row>
    <row r="599">
      <c r="A599" s="425" t="inlineStr">
        <is>
          <t>EXOS-0598</t>
        </is>
      </c>
      <c r="B599" s="425" t="inlineStr">
        <is>
          <t>OSC</t>
        </is>
      </c>
      <c r="C599" s="425" t="inlineStr">
        <is>
          <t>Financial Investor</t>
        </is>
      </c>
      <c r="D599" s="425" t="inlineStr">
        <is>
          <t>One Bow River</t>
        </is>
      </c>
      <c r="E599" s="425" t="inlineStr">
        <is>
          <t>Steven Joanis</t>
        </is>
      </c>
      <c r="F599" s="425" t="inlineStr"/>
      <c r="G599" s="111" t="inlineStr">
        <is>
          <t>steven.joanis@onebowriver.com</t>
        </is>
      </c>
      <c r="H599" s="425" t="inlineStr"/>
      <c r="I599" s="425" t="inlineStr">
        <is>
          <t>303.517.9317</t>
        </is>
      </c>
      <c r="J599" s="425" t="inlineStr"/>
      <c r="K599" s="426" t="inlineStr">
        <is>
          <t>John Quinn</t>
        </is>
      </c>
      <c r="L599" s="426" t="inlineStr">
        <is>
          <t>Follow Up</t>
        </is>
      </c>
      <c r="M599" s="425" t="inlineStr">
        <is>
          <t>Space / Defense / Aerospace / Advanced Manufacturing</t>
        </is>
      </c>
      <c r="N599" s="426" t="inlineStr">
        <is>
          <t>Tier 2</t>
        </is>
      </c>
      <c r="O599" s="441" t="n">
        <v>45853</v>
      </c>
      <c r="P599" s="441" t="n">
        <v>45882</v>
      </c>
      <c r="Q599" s="425">
        <f>IF(P599="","",TODAY()-P599)</f>
        <v/>
      </c>
      <c r="R599" s="441">
        <f>IF(OR(L599="Passed",Z599=""),"",P599+Z599)</f>
        <v/>
      </c>
      <c r="S599" s="425">
        <f>IF(OR(R599="",L599="Passed"),"",IF(R599&lt;=TODAY(),"DUE",IF(R599&lt;=TODAY()+3,"Next 3 Days","Later")))</f>
        <v/>
      </c>
      <c r="T599" s="425" t="inlineStr"/>
      <c r="U599" s="426" t="inlineStr"/>
      <c r="V599" s="426" t="inlineStr"/>
      <c r="W599" s="428" t="inlineStr"/>
      <c r="X599" s="425" t="inlineStr">
        <is>
          <t>OSC!45</t>
        </is>
      </c>
      <c r="Y599" s="426" t="inlineStr">
        <is>
          <t>Send next follow-up with traction + CTA</t>
        </is>
      </c>
      <c r="Z599" s="425" t="n">
        <v>7</v>
      </c>
      <c r="AA599" s="425">
        <f>IF(AC599="Archived",0,ROUND((IF(N599="Tier 1",35,IF(N599="Tier 2",20,8))+IF(C599="Financial Investor",15,IF(C599="Intermediary / Banker",12,8))+IF(L599="Term Sheet / Proposal",25,IF(L599="Engaged",20,IF(L599="Meeting Requested",18,IF(L599="Meeting Held",14,IF(L599="Follow Up",10,5)))))+MIN(Q599,30)+IF(S599="DUE",15,IF(S599="Next 3 Days",8,0))),0))</f>
        <v/>
      </c>
      <c r="AB599" s="425">
        <f>IF(AND(AC599="Active",OR(N599="Tier 1",N599="Tier 2"),OR(S599="DUE",S599="Next 3 Days")),"YES","")</f>
        <v/>
      </c>
      <c r="AC599" s="425">
        <f>IF(L599="Passed","Archived","Active")</f>
        <v/>
      </c>
    </row>
    <row r="600">
      <c r="A600" s="425" t="inlineStr">
        <is>
          <t>EXOS-0599</t>
        </is>
      </c>
      <c r="B600" s="425" t="inlineStr">
        <is>
          <t>John - Investor Contacts</t>
        </is>
      </c>
      <c r="C600" s="425" t="inlineStr">
        <is>
          <t>Financial Investor</t>
        </is>
      </c>
      <c r="D600" s="425" t="inlineStr">
        <is>
          <t>Origin Ventures</t>
        </is>
      </c>
      <c r="E600" s="425" t="inlineStr">
        <is>
          <t>Scott Stern</t>
        </is>
      </c>
      <c r="F600" s="425" t="inlineStr"/>
      <c r="G600" s="111" t="inlineStr">
        <is>
          <t>scott@originventures.com</t>
        </is>
      </c>
      <c r="H600" s="425" t="inlineStr"/>
      <c r="I600" s="425" t="inlineStr"/>
      <c r="J600" s="111" t="inlineStr">
        <is>
          <t>https://www.linkedin.com/in/sbstern/</t>
        </is>
      </c>
      <c r="K600" s="426" t="inlineStr">
        <is>
          <t>John Quinn</t>
        </is>
      </c>
      <c r="L600" s="426" t="inlineStr">
        <is>
          <t>Follow Up</t>
        </is>
      </c>
      <c r="M600" s="425" t="inlineStr">
        <is>
          <t>Space / Defense / Aerospace / Advanced Manufacturing</t>
        </is>
      </c>
      <c r="N600" s="426" t="inlineStr">
        <is>
          <t>Tier 2</t>
        </is>
      </c>
      <c r="O600" s="441" t="n">
        <v>45903</v>
      </c>
      <c r="P600" s="441" t="n">
        <v>45972</v>
      </c>
      <c r="Q600" s="425">
        <f>IF(P600="","",TODAY()-P600)</f>
        <v/>
      </c>
      <c r="R600" s="441">
        <f>IF(OR(L600="Passed",Z600=""),"",P600+Z600)</f>
        <v/>
      </c>
      <c r="S600" s="425">
        <f>IF(OR(R600="",L600="Passed"),"",IF(R600&lt;=TODAY(),"DUE",IF(R600&lt;=TODAY()+3,"Next 3 Days","Later")))</f>
        <v/>
      </c>
      <c r="T600" s="425" t="inlineStr"/>
      <c r="U600" s="426" t="inlineStr">
        <is>
          <t>https://www.linkedin.com/in/sbstern/</t>
        </is>
      </c>
      <c r="V600" s="426" t="inlineStr"/>
      <c r="W600" s="428" t="inlineStr">
        <is>
          <t xml:space="preserve"> | 12/05/2025 | </t>
        </is>
      </c>
      <c r="X600" s="425" t="inlineStr">
        <is>
          <t>John - Investor Contacts!600</t>
        </is>
      </c>
      <c r="Y600" s="426" t="inlineStr">
        <is>
          <t>Send next follow-up with traction + CTA</t>
        </is>
      </c>
      <c r="Z600" s="425" t="n">
        <v>7</v>
      </c>
      <c r="AA600" s="425">
        <f>IF(AC600="Archived",0,ROUND((IF(N600="Tier 1",35,IF(N600="Tier 2",20,8))+IF(C600="Financial Investor",15,IF(C600="Intermediary / Banker",12,8))+IF(L600="Term Sheet / Proposal",25,IF(L600="Engaged",20,IF(L600="Meeting Requested",18,IF(L600="Meeting Held",14,IF(L600="Follow Up",10,5)))))+MIN(Q600,30)+IF(S600="DUE",15,IF(S600="Next 3 Days",8,0))),0))</f>
        <v/>
      </c>
      <c r="AB600" s="425">
        <f>IF(AND(AC600="Active",OR(N600="Tier 1",N600="Tier 2"),OR(S600="DUE",S600="Next 3 Days")),"YES","")</f>
        <v/>
      </c>
      <c r="AC600" s="425">
        <f>IF(L600="Passed","Archived","Active")</f>
        <v/>
      </c>
    </row>
    <row r="601">
      <c r="A601" s="425" t="inlineStr">
        <is>
          <t>EXOS-0600</t>
        </is>
      </c>
      <c r="B601" s="425" t="inlineStr">
        <is>
          <t>John - Investor Contacts</t>
        </is>
      </c>
      <c r="C601" s="425" t="inlineStr">
        <is>
          <t>Financial Investor</t>
        </is>
      </c>
      <c r="D601" s="425" t="inlineStr">
        <is>
          <t>Overmatch Ventures</t>
        </is>
      </c>
      <c r="E601" s="425" t="inlineStr">
        <is>
          <t>Evan Loomis</t>
        </is>
      </c>
      <c r="F601" s="425" t="inlineStr"/>
      <c r="G601" s="111" t="inlineStr">
        <is>
          <t>evan@overmatch.vc</t>
        </is>
      </c>
      <c r="H601" s="425" t="inlineStr"/>
      <c r="I601" s="425" t="inlineStr"/>
      <c r="J601" s="111" t="inlineStr">
        <is>
          <t>https://www.linkedin.com/in/evanloomis/</t>
        </is>
      </c>
      <c r="K601" s="426" t="inlineStr">
        <is>
          <t>John Quinn</t>
        </is>
      </c>
      <c r="L601" s="426" t="inlineStr">
        <is>
          <t>Follow Up</t>
        </is>
      </c>
      <c r="M601" s="425" t="inlineStr">
        <is>
          <t>Space / Defense / Aerospace / Advanced Manufacturing</t>
        </is>
      </c>
      <c r="N601" s="426" t="inlineStr">
        <is>
          <t>Tier 2</t>
        </is>
      </c>
      <c r="O601" s="441" t="n">
        <v>45903</v>
      </c>
      <c r="P601" s="441" t="n">
        <v>45972</v>
      </c>
      <c r="Q601" s="425">
        <f>IF(P601="","",TODAY()-P601)</f>
        <v/>
      </c>
      <c r="R601" s="441">
        <f>IF(OR(L601="Passed",Z601=""),"",P601+Z601)</f>
        <v/>
      </c>
      <c r="S601" s="425">
        <f>IF(OR(R601="",L601="Passed"),"",IF(R601&lt;=TODAY(),"DUE",IF(R601&lt;=TODAY()+3,"Next 3 Days","Later")))</f>
        <v/>
      </c>
      <c r="T601" s="425" t="inlineStr"/>
      <c r="U601" s="426" t="inlineStr">
        <is>
          <t>https://www.linkedin.com/in/evanloomis/</t>
        </is>
      </c>
      <c r="V601" s="426" t="inlineStr"/>
      <c r="W601" s="428" t="inlineStr">
        <is>
          <t xml:space="preserve"> | 12/05/2025 | </t>
        </is>
      </c>
      <c r="X601" s="425" t="inlineStr">
        <is>
          <t>John - Investor Contacts!613</t>
        </is>
      </c>
      <c r="Y601" s="426" t="inlineStr">
        <is>
          <t>Send next follow-up with traction + CTA</t>
        </is>
      </c>
      <c r="Z601" s="425" t="n">
        <v>7</v>
      </c>
      <c r="AA601" s="425">
        <f>IF(AC601="Archived",0,ROUND((IF(N601="Tier 1",35,IF(N601="Tier 2",20,8))+IF(C601="Financial Investor",15,IF(C601="Intermediary / Banker",12,8))+IF(L601="Term Sheet / Proposal",25,IF(L601="Engaged",20,IF(L601="Meeting Requested",18,IF(L601="Meeting Held",14,IF(L601="Follow Up",10,5)))))+MIN(Q601,30)+IF(S601="DUE",15,IF(S601="Next 3 Days",8,0))),0))</f>
        <v/>
      </c>
      <c r="AB601" s="425">
        <f>IF(AND(AC601="Active",OR(N601="Tier 1",N601="Tier 2"),OR(S601="DUE",S601="Next 3 Days")),"YES","")</f>
        <v/>
      </c>
      <c r="AC601" s="425">
        <f>IF(L601="Passed","Archived","Active")</f>
        <v/>
      </c>
    </row>
    <row r="602">
      <c r="A602" s="425" t="inlineStr">
        <is>
          <t>EXOS-0601</t>
        </is>
      </c>
      <c r="B602" s="425" t="inlineStr">
        <is>
          <t>John - Investor Contacts</t>
        </is>
      </c>
      <c r="C602" s="425" t="inlineStr">
        <is>
          <t>Financial Investor</t>
        </is>
      </c>
      <c r="D602" s="425" t="inlineStr">
        <is>
          <t>Overture VC</t>
        </is>
      </c>
      <c r="E602" s="425" t="inlineStr">
        <is>
          <t>Allison Hinckley</t>
        </is>
      </c>
      <c r="F602" s="425" t="inlineStr"/>
      <c r="G602" s="111" t="inlineStr">
        <is>
          <t>allison@overture.eco</t>
        </is>
      </c>
      <c r="H602" s="425" t="inlineStr"/>
      <c r="I602" s="425" t="inlineStr"/>
      <c r="J602" s="111" t="inlineStr">
        <is>
          <t>https://www.linkedin.com/in/allison-hinckley/</t>
        </is>
      </c>
      <c r="K602" s="426" t="inlineStr">
        <is>
          <t>John Quinn</t>
        </is>
      </c>
      <c r="L602" s="426" t="inlineStr">
        <is>
          <t>Follow Up</t>
        </is>
      </c>
      <c r="M602" s="425" t="inlineStr">
        <is>
          <t>Space / Defense / Aerospace / Advanced Manufacturing</t>
        </is>
      </c>
      <c r="N602" s="426" t="inlineStr">
        <is>
          <t>Tier 2</t>
        </is>
      </c>
      <c r="O602" s="441" t="n">
        <v>45824</v>
      </c>
      <c r="P602" s="441" t="n">
        <v>45841</v>
      </c>
      <c r="Q602" s="425">
        <f>IF(P602="","",TODAY()-P602)</f>
        <v/>
      </c>
      <c r="R602" s="441">
        <f>IF(OR(L602="Passed",Z602=""),"",P602+Z602)</f>
        <v/>
      </c>
      <c r="S602" s="425">
        <f>IF(OR(R602="",L602="Passed"),"",IF(R602&lt;=TODAY(),"DUE",IF(R602&lt;=TODAY()+3,"Next 3 Days","Later")))</f>
        <v/>
      </c>
      <c r="T602" s="425" t="inlineStr"/>
      <c r="U602" s="426" t="inlineStr">
        <is>
          <t>https://www.linkedin.com/in/allison-hinckley/</t>
        </is>
      </c>
      <c r="V602" s="426" t="inlineStr"/>
      <c r="W602" s="428" t="inlineStr">
        <is>
          <t xml:space="preserve"> | 12/23/2025 | </t>
        </is>
      </c>
      <c r="X602" s="425" t="inlineStr">
        <is>
          <t>John - Investor Contacts!229</t>
        </is>
      </c>
      <c r="Y602" s="426" t="inlineStr">
        <is>
          <t>Send next follow-up with traction + CTA</t>
        </is>
      </c>
      <c r="Z602" s="425" t="n">
        <v>7</v>
      </c>
      <c r="AA602" s="425">
        <f>IF(AC602="Archived",0,ROUND((IF(N602="Tier 1",35,IF(N602="Tier 2",20,8))+IF(C602="Financial Investor",15,IF(C602="Intermediary / Banker",12,8))+IF(L602="Term Sheet / Proposal",25,IF(L602="Engaged",20,IF(L602="Meeting Requested",18,IF(L602="Meeting Held",14,IF(L602="Follow Up",10,5)))))+MIN(Q602,30)+IF(S602="DUE",15,IF(S602="Next 3 Days",8,0))),0))</f>
        <v/>
      </c>
      <c r="AB602" s="425">
        <f>IF(AND(AC602="Active",OR(N602="Tier 1",N602="Tier 2"),OR(S602="DUE",S602="Next 3 Days")),"YES","")</f>
        <v/>
      </c>
      <c r="AC602" s="425">
        <f>IF(L602="Passed","Archived","Active")</f>
        <v/>
      </c>
    </row>
    <row r="603">
      <c r="A603" s="425" t="inlineStr">
        <is>
          <t>EXOS-0602</t>
        </is>
      </c>
      <c r="B603" s="425" t="inlineStr">
        <is>
          <t>John - Investor Contacts</t>
        </is>
      </c>
      <c r="C603" s="425" t="inlineStr">
        <is>
          <t>Financial Investor</t>
        </is>
      </c>
      <c r="D603" s="425" t="inlineStr">
        <is>
          <t>Overture VC</t>
        </is>
      </c>
      <c r="E603" s="425" t="inlineStr">
        <is>
          <t>Michael O’Neil</t>
        </is>
      </c>
      <c r="F603" s="425" t="inlineStr"/>
      <c r="G603" s="111" t="inlineStr">
        <is>
          <t>michael@overture.eco</t>
        </is>
      </c>
      <c r="H603" s="425" t="inlineStr"/>
      <c r="I603" s="425" t="inlineStr"/>
      <c r="J603" s="425" t="inlineStr"/>
      <c r="K603" s="426" t="inlineStr">
        <is>
          <t>John Quinn</t>
        </is>
      </c>
      <c r="L603" s="426" t="inlineStr">
        <is>
          <t>Follow Up</t>
        </is>
      </c>
      <c r="M603" s="425" t="inlineStr">
        <is>
          <t>Space / Defense / Aerospace / Advanced Manufacturing</t>
        </is>
      </c>
      <c r="N603" s="426" t="inlineStr">
        <is>
          <t>Tier 2</t>
        </is>
      </c>
      <c r="O603" s="441" t="n">
        <v>45824</v>
      </c>
      <c r="P603" s="441" t="n">
        <v>45841</v>
      </c>
      <c r="Q603" s="425">
        <f>IF(P603="","",TODAY()-P603)</f>
        <v/>
      </c>
      <c r="R603" s="441">
        <f>IF(OR(L603="Passed",Z603=""),"",P603+Z603)</f>
        <v/>
      </c>
      <c r="S603" s="425">
        <f>IF(OR(R603="",L603="Passed"),"",IF(R603&lt;=TODAY(),"DUE",IF(R603&lt;=TODAY()+3,"Next 3 Days","Later")))</f>
        <v/>
      </c>
      <c r="T603" s="425" t="inlineStr"/>
      <c r="U603" s="426" t="inlineStr"/>
      <c r="V603" s="426" t="inlineStr"/>
      <c r="W603" s="428" t="inlineStr">
        <is>
          <t xml:space="preserve"> | 12/23/2025 | </t>
        </is>
      </c>
      <c r="X603" s="425" t="inlineStr">
        <is>
          <t>John - Investor Contacts!228</t>
        </is>
      </c>
      <c r="Y603" s="426" t="inlineStr">
        <is>
          <t>Send next follow-up with traction + CTA</t>
        </is>
      </c>
      <c r="Z603" s="425" t="n">
        <v>7</v>
      </c>
      <c r="AA603" s="425">
        <f>IF(AC603="Archived",0,ROUND((IF(N603="Tier 1",35,IF(N603="Tier 2",20,8))+IF(C603="Financial Investor",15,IF(C603="Intermediary / Banker",12,8))+IF(L603="Term Sheet / Proposal",25,IF(L603="Engaged",20,IF(L603="Meeting Requested",18,IF(L603="Meeting Held",14,IF(L603="Follow Up",10,5)))))+MIN(Q603,30)+IF(S603="DUE",15,IF(S603="Next 3 Days",8,0))),0))</f>
        <v/>
      </c>
      <c r="AB603" s="425">
        <f>IF(AND(AC603="Active",OR(N603="Tier 1",N603="Tier 2"),OR(S603="DUE",S603="Next 3 Days")),"YES","")</f>
        <v/>
      </c>
      <c r="AC603" s="425">
        <f>IF(L603="Passed","Archived","Active")</f>
        <v/>
      </c>
    </row>
    <row r="604">
      <c r="A604" s="425" t="inlineStr">
        <is>
          <t>EXOS-0603</t>
        </is>
      </c>
      <c r="B604" s="425" t="inlineStr">
        <is>
          <t>John - Investor Contacts</t>
        </is>
      </c>
      <c r="C604" s="425" t="inlineStr">
        <is>
          <t>Financial Investor</t>
        </is>
      </c>
      <c r="D604" s="425" t="inlineStr">
        <is>
          <t>Overture VC</t>
        </is>
      </c>
      <c r="E604" s="425" t="inlineStr">
        <is>
          <t>Shomik Dutta</t>
        </is>
      </c>
      <c r="F604" s="425" t="inlineStr"/>
      <c r="G604" s="111" t="inlineStr">
        <is>
          <t>shomik@overture.eco</t>
        </is>
      </c>
      <c r="H604" s="425" t="inlineStr"/>
      <c r="I604" s="425" t="inlineStr"/>
      <c r="J604" s="425" t="inlineStr"/>
      <c r="K604" s="426" t="inlineStr">
        <is>
          <t>John Quinn</t>
        </is>
      </c>
      <c r="L604" s="426" t="inlineStr">
        <is>
          <t>Follow Up</t>
        </is>
      </c>
      <c r="M604" s="425" t="inlineStr">
        <is>
          <t>Space / Defense / Aerospace / Advanced Manufacturing</t>
        </is>
      </c>
      <c r="N604" s="426" t="inlineStr">
        <is>
          <t>Tier 2</t>
        </is>
      </c>
      <c r="O604" s="441" t="n">
        <v>45824</v>
      </c>
      <c r="P604" s="441" t="n">
        <v>45841</v>
      </c>
      <c r="Q604" s="425">
        <f>IF(P604="","",TODAY()-P604)</f>
        <v/>
      </c>
      <c r="R604" s="441">
        <f>IF(OR(L604="Passed",Z604=""),"",P604+Z604)</f>
        <v/>
      </c>
      <c r="S604" s="425">
        <f>IF(OR(R604="",L604="Passed"),"",IF(R604&lt;=TODAY(),"DUE",IF(R604&lt;=TODAY()+3,"Next 3 Days","Later")))</f>
        <v/>
      </c>
      <c r="T604" s="425" t="inlineStr"/>
      <c r="U604" s="426" t="inlineStr">
        <is>
          <t>linkedin.com/in/shomik-dutta-355a4316</t>
        </is>
      </c>
      <c r="V604" s="426" t="inlineStr"/>
      <c r="W604" s="428" t="inlineStr">
        <is>
          <t xml:space="preserve"> | 12/23/2025 | </t>
        </is>
      </c>
      <c r="X604" s="425" t="inlineStr">
        <is>
          <t>John - Investor Contacts!226</t>
        </is>
      </c>
      <c r="Y604" s="426" t="inlineStr">
        <is>
          <t>Send next follow-up with traction + CTA</t>
        </is>
      </c>
      <c r="Z604" s="425" t="n">
        <v>7</v>
      </c>
      <c r="AA604" s="425">
        <f>IF(AC604="Archived",0,ROUND((IF(N604="Tier 1",35,IF(N604="Tier 2",20,8))+IF(C604="Financial Investor",15,IF(C604="Intermediary / Banker",12,8))+IF(L604="Term Sheet / Proposal",25,IF(L604="Engaged",20,IF(L604="Meeting Requested",18,IF(L604="Meeting Held",14,IF(L604="Follow Up",10,5)))))+MIN(Q604,30)+IF(S604="DUE",15,IF(S604="Next 3 Days",8,0))),0))</f>
        <v/>
      </c>
      <c r="AB604" s="425">
        <f>IF(AND(AC604="Active",OR(N604="Tier 1",N604="Tier 2"),OR(S604="DUE",S604="Next 3 Days")),"YES","")</f>
        <v/>
      </c>
      <c r="AC604" s="425">
        <f>IF(L604="Passed","Archived","Active")</f>
        <v/>
      </c>
    </row>
    <row r="605">
      <c r="A605" s="425" t="inlineStr">
        <is>
          <t>EXOS-0604</t>
        </is>
      </c>
      <c r="B605" s="425" t="inlineStr">
        <is>
          <t>John - Investor Contacts</t>
        </is>
      </c>
      <c r="C605" s="425" t="inlineStr">
        <is>
          <t>Financial Investor</t>
        </is>
      </c>
      <c r="D605" s="425" t="inlineStr">
        <is>
          <t>Overture VC</t>
        </is>
      </c>
      <c r="E605" s="425" t="inlineStr">
        <is>
          <t>Tamim Mourad</t>
        </is>
      </c>
      <c r="F605" s="425" t="inlineStr"/>
      <c r="G605" s="111" t="inlineStr">
        <is>
          <t>tamim@overture.eco</t>
        </is>
      </c>
      <c r="H605" s="425" t="inlineStr"/>
      <c r="I605" s="425" t="inlineStr"/>
      <c r="J605" s="111" t="inlineStr">
        <is>
          <t>https://www.linkedin.com/in/tamim-mourad-0646b013/</t>
        </is>
      </c>
      <c r="K605" s="426" t="inlineStr">
        <is>
          <t>John Quinn</t>
        </is>
      </c>
      <c r="L605" s="426" t="inlineStr">
        <is>
          <t>Follow Up</t>
        </is>
      </c>
      <c r="M605" s="425" t="inlineStr">
        <is>
          <t>Space / Defense / Aerospace / Advanced Manufacturing</t>
        </is>
      </c>
      <c r="N605" s="426" t="inlineStr">
        <is>
          <t>Tier 2</t>
        </is>
      </c>
      <c r="O605" s="441" t="n">
        <v>45824</v>
      </c>
      <c r="P605" s="441" t="n">
        <v>45841</v>
      </c>
      <c r="Q605" s="425">
        <f>IF(P605="","",TODAY()-P605)</f>
        <v/>
      </c>
      <c r="R605" s="441">
        <f>IF(OR(L605="Passed",Z605=""),"",P605+Z605)</f>
        <v/>
      </c>
      <c r="S605" s="425">
        <f>IF(OR(R605="",L605="Passed"),"",IF(R605&lt;=TODAY(),"DUE",IF(R605&lt;=TODAY()+3,"Next 3 Days","Later")))</f>
        <v/>
      </c>
      <c r="T605" s="425" t="inlineStr"/>
      <c r="U605" s="426" t="inlineStr">
        <is>
          <t>https://www.linkedin.com/in/tamim-mourad-0646b013/</t>
        </is>
      </c>
      <c r="V605" s="426" t="inlineStr"/>
      <c r="W605" s="428" t="inlineStr">
        <is>
          <t xml:space="preserve"> | 12/23/2025 | </t>
        </is>
      </c>
      <c r="X605" s="425" t="inlineStr">
        <is>
          <t>John - Investor Contacts!227</t>
        </is>
      </c>
      <c r="Y605" s="426" t="inlineStr">
        <is>
          <t>Send next follow-up with traction + CTA</t>
        </is>
      </c>
      <c r="Z605" s="425" t="n">
        <v>7</v>
      </c>
      <c r="AA605" s="425">
        <f>IF(AC605="Archived",0,ROUND((IF(N605="Tier 1",35,IF(N605="Tier 2",20,8))+IF(C605="Financial Investor",15,IF(C605="Intermediary / Banker",12,8))+IF(L605="Term Sheet / Proposal",25,IF(L605="Engaged",20,IF(L605="Meeting Requested",18,IF(L605="Meeting Held",14,IF(L605="Follow Up",10,5)))))+MIN(Q605,30)+IF(S605="DUE",15,IF(S605="Next 3 Days",8,0))),0))</f>
        <v/>
      </c>
      <c r="AB605" s="425">
        <f>IF(AND(AC605="Active",OR(N605="Tier 1",N605="Tier 2"),OR(S605="DUE",S605="Next 3 Days")),"YES","")</f>
        <v/>
      </c>
      <c r="AC605" s="425">
        <f>IF(L605="Passed","Archived","Active")</f>
        <v/>
      </c>
    </row>
    <row r="606">
      <c r="A606" s="425" t="inlineStr">
        <is>
          <t>EXOS-0605</t>
        </is>
      </c>
      <c r="B606" s="425" t="inlineStr">
        <is>
          <t>John - Investor Contacts</t>
        </is>
      </c>
      <c r="C606" s="425" t="inlineStr">
        <is>
          <t>Financial Investor</t>
        </is>
      </c>
      <c r="D606" s="425" t="inlineStr">
        <is>
          <t>P74 Ventures</t>
        </is>
      </c>
      <c r="E606" s="425" t="inlineStr">
        <is>
          <t>Jeremy Sohn</t>
        </is>
      </c>
      <c r="F606" s="425" t="inlineStr"/>
      <c r="G606" s="111" t="inlineStr">
        <is>
          <t>jeremy@p74ventures.com</t>
        </is>
      </c>
      <c r="H606" s="425" t="inlineStr"/>
      <c r="I606" s="425" t="inlineStr"/>
      <c r="J606" s="425" t="inlineStr"/>
      <c r="K606" s="426" t="inlineStr">
        <is>
          <t>John Quinn</t>
        </is>
      </c>
      <c r="L606" s="426" t="inlineStr">
        <is>
          <t>Follow Up</t>
        </is>
      </c>
      <c r="M606" s="425" t="inlineStr">
        <is>
          <t>Space / Defense / Aerospace / Advanced Manufacturing</t>
        </is>
      </c>
      <c r="N606" s="426" t="inlineStr">
        <is>
          <t>Tier 2</t>
        </is>
      </c>
      <c r="O606" s="441" t="n">
        <v>45895</v>
      </c>
      <c r="P606" s="441" t="n">
        <v>45924</v>
      </c>
      <c r="Q606" s="425">
        <f>IF(P606="","",TODAY()-P606)</f>
        <v/>
      </c>
      <c r="R606" s="441">
        <f>IF(OR(L606="Passed",Z606=""),"",P606+Z606)</f>
        <v/>
      </c>
      <c r="S606" s="425">
        <f>IF(OR(R606="",L606="Passed"),"",IF(R606&lt;=TODAY(),"DUE",IF(R606&lt;=TODAY()+3,"Next 3 Days","Later")))</f>
        <v/>
      </c>
      <c r="T606" s="425" t="inlineStr"/>
      <c r="U606" s="426" t="inlineStr">
        <is>
          <t>linkedin.com/in/jeremysohn</t>
        </is>
      </c>
      <c r="V606" s="426" t="inlineStr"/>
      <c r="W606" s="428" t="inlineStr">
        <is>
          <t xml:space="preserve"> | 12/04/2025 | </t>
        </is>
      </c>
      <c r="X606" s="425" t="inlineStr">
        <is>
          <t>John - Investor Contacts!536</t>
        </is>
      </c>
      <c r="Y606" s="426" t="inlineStr">
        <is>
          <t>Send next follow-up with traction + CTA</t>
        </is>
      </c>
      <c r="Z606" s="425" t="n">
        <v>7</v>
      </c>
      <c r="AA606" s="425">
        <f>IF(AC606="Archived",0,ROUND((IF(N606="Tier 1",35,IF(N606="Tier 2",20,8))+IF(C606="Financial Investor",15,IF(C606="Intermediary / Banker",12,8))+IF(L606="Term Sheet / Proposal",25,IF(L606="Engaged",20,IF(L606="Meeting Requested",18,IF(L606="Meeting Held",14,IF(L606="Follow Up",10,5)))))+MIN(Q606,30)+IF(S606="DUE",15,IF(S606="Next 3 Days",8,0))),0))</f>
        <v/>
      </c>
      <c r="AB606" s="425">
        <f>IF(AND(AC606="Active",OR(N606="Tier 1",N606="Tier 2"),OR(S606="DUE",S606="Next 3 Days")),"YES","")</f>
        <v/>
      </c>
      <c r="AC606" s="425">
        <f>IF(L606="Passed","Archived","Active")</f>
        <v/>
      </c>
    </row>
    <row r="607">
      <c r="A607" s="425" t="inlineStr">
        <is>
          <t>EXOS-0606</t>
        </is>
      </c>
      <c r="B607" s="425" t="inlineStr">
        <is>
          <t>John - Investor Contacts</t>
        </is>
      </c>
      <c r="C607" s="425" t="inlineStr">
        <is>
          <t>Financial Investor</t>
        </is>
      </c>
      <c r="D607" s="425" t="inlineStr">
        <is>
          <t>PVCP</t>
        </is>
      </c>
      <c r="E607" s="425" t="inlineStr">
        <is>
          <t>Marc Ladin</t>
        </is>
      </c>
      <c r="F607" s="425" t="inlineStr"/>
      <c r="G607" s="111" t="inlineStr">
        <is>
          <t>marc@pvcp.vc</t>
        </is>
      </c>
      <c r="H607" s="425" t="inlineStr"/>
      <c r="I607" s="425" t="inlineStr"/>
      <c r="J607" s="111" t="inlineStr">
        <is>
          <t>https://www.linkedin.com/in/marcladin/</t>
        </is>
      </c>
      <c r="K607" s="426" t="inlineStr">
        <is>
          <t>John Quinn</t>
        </is>
      </c>
      <c r="L607" s="426" t="inlineStr">
        <is>
          <t>Follow Up</t>
        </is>
      </c>
      <c r="M607" s="425" t="inlineStr">
        <is>
          <t>Space / Defense / Aerospace / Advanced Manufacturing</t>
        </is>
      </c>
      <c r="N607" s="426" t="inlineStr">
        <is>
          <t>Tier 2</t>
        </is>
      </c>
      <c r="O607" s="441" t="n">
        <v>45930</v>
      </c>
      <c r="P607" s="441" t="n">
        <v>45973</v>
      </c>
      <c r="Q607" s="425">
        <f>IF(P607="","",TODAY()-P607)</f>
        <v/>
      </c>
      <c r="R607" s="441">
        <f>IF(OR(L607="Passed",Z607=""),"",P607+Z607)</f>
        <v/>
      </c>
      <c r="S607" s="425">
        <f>IF(OR(R607="",L607="Passed"),"",IF(R607&lt;=TODAY(),"DUE",IF(R607&lt;=TODAY()+3,"Next 3 Days","Later")))</f>
        <v/>
      </c>
      <c r="T607" s="425" t="inlineStr"/>
      <c r="U607" s="426" t="inlineStr">
        <is>
          <t>https://www.linkedin.com/in/marcladin/</t>
        </is>
      </c>
      <c r="V607" s="426" t="inlineStr"/>
      <c r="W607" s="428" t="inlineStr">
        <is>
          <t xml:space="preserve"> | 12/19/2025 | </t>
        </is>
      </c>
      <c r="X607" s="425" t="inlineStr">
        <is>
          <t>John - Investor Contacts!689</t>
        </is>
      </c>
      <c r="Y607" s="426" t="inlineStr">
        <is>
          <t>Send next follow-up with traction + CTA</t>
        </is>
      </c>
      <c r="Z607" s="425" t="n">
        <v>7</v>
      </c>
      <c r="AA607" s="425">
        <f>IF(AC607="Archived",0,ROUND((IF(N607="Tier 1",35,IF(N607="Tier 2",20,8))+IF(C607="Financial Investor",15,IF(C607="Intermediary / Banker",12,8))+IF(L607="Term Sheet / Proposal",25,IF(L607="Engaged",20,IF(L607="Meeting Requested",18,IF(L607="Meeting Held",14,IF(L607="Follow Up",10,5)))))+MIN(Q607,30)+IF(S607="DUE",15,IF(S607="Next 3 Days",8,0))),0))</f>
        <v/>
      </c>
      <c r="AB607" s="425">
        <f>IF(AND(AC607="Active",OR(N607="Tier 1",N607="Tier 2"),OR(S607="DUE",S607="Next 3 Days")),"YES","")</f>
        <v/>
      </c>
      <c r="AC607" s="425">
        <f>IF(L607="Passed","Archived","Active")</f>
        <v/>
      </c>
    </row>
    <row r="608">
      <c r="A608" s="425" t="inlineStr">
        <is>
          <t>EXOS-0607</t>
        </is>
      </c>
      <c r="B608" s="425" t="inlineStr">
        <is>
          <t>John - Investor Contacts</t>
        </is>
      </c>
      <c r="C608" s="425" t="inlineStr">
        <is>
          <t>Financial Investor</t>
        </is>
      </c>
      <c r="D608" s="425" t="inlineStr">
        <is>
          <t>Paladin Capital Group</t>
        </is>
      </c>
      <c r="E608" s="425" t="inlineStr">
        <is>
          <t>Christopher Steed</t>
        </is>
      </c>
      <c r="F608" s="425" t="inlineStr"/>
      <c r="G608" s="111" t="inlineStr">
        <is>
          <t>csteed@paladincapgroup.com</t>
        </is>
      </c>
      <c r="H608" s="425" t="inlineStr"/>
      <c r="I608" s="425" t="inlineStr"/>
      <c r="J608" s="111" t="inlineStr">
        <is>
          <t>https://www.linkedin.com/in/christophersteed</t>
        </is>
      </c>
      <c r="K608" s="426" t="inlineStr">
        <is>
          <t>John Quinn</t>
        </is>
      </c>
      <c r="L608" s="426" t="inlineStr">
        <is>
          <t>Follow Up</t>
        </is>
      </c>
      <c r="M608" s="425" t="inlineStr">
        <is>
          <t>Space / Defense / Aerospace / Advanced Manufacturing</t>
        </is>
      </c>
      <c r="N608" s="426" t="inlineStr">
        <is>
          <t>Tier 2</t>
        </is>
      </c>
      <c r="O608" s="441" t="n">
        <v>45947</v>
      </c>
      <c r="P608" s="441" t="n">
        <v>45973</v>
      </c>
      <c r="Q608" s="425">
        <f>IF(P608="","",TODAY()-P608)</f>
        <v/>
      </c>
      <c r="R608" s="441">
        <f>IF(OR(L608="Passed",Z608=""),"",P608+Z608)</f>
        <v/>
      </c>
      <c r="S608" s="425">
        <f>IF(OR(R608="",L608="Passed"),"",IF(R608&lt;=TODAY(),"DUE",IF(R608&lt;=TODAY()+3,"Next 3 Days","Later")))</f>
        <v/>
      </c>
      <c r="T608" s="425" t="inlineStr"/>
      <c r="U608" s="426" t="inlineStr">
        <is>
          <t>https://www.linkedin.com/in/christophersteed</t>
        </is>
      </c>
      <c r="V608" s="426" t="inlineStr"/>
      <c r="W608" s="428" t="inlineStr">
        <is>
          <t xml:space="preserve"> | 12/30/2025 | </t>
        </is>
      </c>
      <c r="X608" s="425" t="inlineStr">
        <is>
          <t>John - Investor Contacts!775</t>
        </is>
      </c>
      <c r="Y608" s="426" t="inlineStr">
        <is>
          <t>Send next follow-up with traction + CTA</t>
        </is>
      </c>
      <c r="Z608" s="425" t="n">
        <v>7</v>
      </c>
      <c r="AA608" s="425">
        <f>IF(AC608="Archived",0,ROUND((IF(N608="Tier 1",35,IF(N608="Tier 2",20,8))+IF(C608="Financial Investor",15,IF(C608="Intermediary / Banker",12,8))+IF(L608="Term Sheet / Proposal",25,IF(L608="Engaged",20,IF(L608="Meeting Requested",18,IF(L608="Meeting Held",14,IF(L608="Follow Up",10,5)))))+MIN(Q608,30)+IF(S608="DUE",15,IF(S608="Next 3 Days",8,0))),0))</f>
        <v/>
      </c>
      <c r="AB608" s="425">
        <f>IF(AND(AC608="Active",OR(N608="Tier 1",N608="Tier 2"),OR(S608="DUE",S608="Next 3 Days")),"YES","")</f>
        <v/>
      </c>
      <c r="AC608" s="425">
        <f>IF(L608="Passed","Archived","Active")</f>
        <v/>
      </c>
    </row>
    <row r="609">
      <c r="A609" s="425" t="inlineStr">
        <is>
          <t>EXOS-0608</t>
        </is>
      </c>
      <c r="B609" s="425" t="inlineStr">
        <is>
          <t>John - Investor Contacts</t>
        </is>
      </c>
      <c r="C609" s="425" t="inlineStr">
        <is>
          <t>Financial Investor</t>
        </is>
      </c>
      <c r="D609" s="425" t="inlineStr">
        <is>
          <t>Paladin Capital Group</t>
        </is>
      </c>
      <c r="E609" s="425" t="inlineStr">
        <is>
          <t>Michael Steed</t>
        </is>
      </c>
      <c r="F609" s="425" t="inlineStr"/>
      <c r="G609" s="111" t="inlineStr">
        <is>
          <t>msteed@paladincapgroup.com</t>
        </is>
      </c>
      <c r="H609" s="425" t="inlineStr"/>
      <c r="I609" s="425" t="inlineStr"/>
      <c r="J609" s="111" t="inlineStr">
        <is>
          <t>https://www.linkedin.com/in/mike-steed-68810b15/</t>
        </is>
      </c>
      <c r="K609" s="426" t="inlineStr">
        <is>
          <t>John Quinn</t>
        </is>
      </c>
      <c r="L609" s="426" t="inlineStr">
        <is>
          <t>Follow Up</t>
        </is>
      </c>
      <c r="M609" s="425" t="inlineStr">
        <is>
          <t>Space / Defense / Aerospace / Advanced Manufacturing</t>
        </is>
      </c>
      <c r="N609" s="426" t="inlineStr">
        <is>
          <t>Tier 2</t>
        </is>
      </c>
      <c r="O609" s="441" t="n">
        <v>45947</v>
      </c>
      <c r="P609" s="441" t="n">
        <v>45973</v>
      </c>
      <c r="Q609" s="425">
        <f>IF(P609="","",TODAY()-P609)</f>
        <v/>
      </c>
      <c r="R609" s="441">
        <f>IF(OR(L609="Passed",Z609=""),"",P609+Z609)</f>
        <v/>
      </c>
      <c r="S609" s="425">
        <f>IF(OR(R609="",L609="Passed"),"",IF(R609&lt;=TODAY(),"DUE",IF(R609&lt;=TODAY()+3,"Next 3 Days","Later")))</f>
        <v/>
      </c>
      <c r="T609" s="425" t="inlineStr"/>
      <c r="U609" s="426" t="inlineStr">
        <is>
          <t>https://www.linkedin.com/in/mike-steed-68810b15/</t>
        </is>
      </c>
      <c r="V609" s="426" t="inlineStr"/>
      <c r="W609" s="428" t="inlineStr">
        <is>
          <t xml:space="preserve"> | 12/30/2025 | </t>
        </is>
      </c>
      <c r="X609" s="425" t="inlineStr">
        <is>
          <t>John - Investor Contacts!776</t>
        </is>
      </c>
      <c r="Y609" s="426" t="inlineStr">
        <is>
          <t>Send next follow-up with traction + CTA</t>
        </is>
      </c>
      <c r="Z609" s="425" t="n">
        <v>7</v>
      </c>
      <c r="AA609" s="425">
        <f>IF(AC609="Archived",0,ROUND((IF(N609="Tier 1",35,IF(N609="Tier 2",20,8))+IF(C609="Financial Investor",15,IF(C609="Intermediary / Banker",12,8))+IF(L609="Term Sheet / Proposal",25,IF(L609="Engaged",20,IF(L609="Meeting Requested",18,IF(L609="Meeting Held",14,IF(L609="Follow Up",10,5)))))+MIN(Q609,30)+IF(S609="DUE",15,IF(S609="Next 3 Days",8,0))),0))</f>
        <v/>
      </c>
      <c r="AB609" s="425">
        <f>IF(AND(AC609="Active",OR(N609="Tier 1",N609="Tier 2"),OR(S609="DUE",S609="Next 3 Days")),"YES","")</f>
        <v/>
      </c>
      <c r="AC609" s="425">
        <f>IF(L609="Passed","Archived","Active")</f>
        <v/>
      </c>
    </row>
    <row r="610">
      <c r="A610" s="425" t="inlineStr">
        <is>
          <t>EXOS-0609</t>
        </is>
      </c>
      <c r="B610" s="425" t="inlineStr">
        <is>
          <t>John - Investor Contacts</t>
        </is>
      </c>
      <c r="C610" s="425" t="inlineStr">
        <is>
          <t>Financial Investor</t>
        </is>
      </c>
      <c r="D610" s="425" t="inlineStr">
        <is>
          <t>Paladin Capital Group</t>
        </is>
      </c>
      <c r="E610" s="425" t="inlineStr">
        <is>
          <t>Mourad Yesayan</t>
        </is>
      </c>
      <c r="F610" s="425" t="inlineStr"/>
      <c r="G610" s="111" t="inlineStr">
        <is>
          <t>myesayan@paladincapgroup.com</t>
        </is>
      </c>
      <c r="H610" s="425" t="inlineStr"/>
      <c r="I610" s="425" t="inlineStr"/>
      <c r="J610" s="111" t="inlineStr">
        <is>
          <t>https://www.linkedin.com/in/myesayan/</t>
        </is>
      </c>
      <c r="K610" s="426" t="inlineStr">
        <is>
          <t>John Quinn</t>
        </is>
      </c>
      <c r="L610" s="426" t="inlineStr">
        <is>
          <t>Follow Up</t>
        </is>
      </c>
      <c r="M610" s="425" t="inlineStr">
        <is>
          <t>Space / Defense / Aerospace / Advanced Manufacturing</t>
        </is>
      </c>
      <c r="N610" s="426" t="inlineStr">
        <is>
          <t>Tier 2</t>
        </is>
      </c>
      <c r="O610" s="441" t="n">
        <v>45947</v>
      </c>
      <c r="P610" s="441" t="n">
        <v>45973</v>
      </c>
      <c r="Q610" s="425">
        <f>IF(P610="","",TODAY()-P610)</f>
        <v/>
      </c>
      <c r="R610" s="441">
        <f>IF(OR(L610="Passed",Z610=""),"",P610+Z610)</f>
        <v/>
      </c>
      <c r="S610" s="425">
        <f>IF(OR(R610="",L610="Passed"),"",IF(R610&lt;=TODAY(),"DUE",IF(R610&lt;=TODAY()+3,"Next 3 Days","Later")))</f>
        <v/>
      </c>
      <c r="T610" s="425" t="inlineStr"/>
      <c r="U610" s="426" t="inlineStr">
        <is>
          <t>https://www.linkedin.com/in/myesayan/</t>
        </is>
      </c>
      <c r="V610" s="426" t="inlineStr"/>
      <c r="W610" s="428" t="inlineStr">
        <is>
          <t xml:space="preserve"> | 12/30/2025 | </t>
        </is>
      </c>
      <c r="X610" s="425" t="inlineStr">
        <is>
          <t>John - Investor Contacts!778</t>
        </is>
      </c>
      <c r="Y610" s="426" t="inlineStr">
        <is>
          <t>Send next follow-up with traction + CTA</t>
        </is>
      </c>
      <c r="Z610" s="425" t="n">
        <v>7</v>
      </c>
      <c r="AA610" s="425">
        <f>IF(AC610="Archived",0,ROUND((IF(N610="Tier 1",35,IF(N610="Tier 2",20,8))+IF(C610="Financial Investor",15,IF(C610="Intermediary / Banker",12,8))+IF(L610="Term Sheet / Proposal",25,IF(L610="Engaged",20,IF(L610="Meeting Requested",18,IF(L610="Meeting Held",14,IF(L610="Follow Up",10,5)))))+MIN(Q610,30)+IF(S610="DUE",15,IF(S610="Next 3 Days",8,0))),0))</f>
        <v/>
      </c>
      <c r="AB610" s="425">
        <f>IF(AND(AC610="Active",OR(N610="Tier 1",N610="Tier 2"),OR(S610="DUE",S610="Next 3 Days")),"YES","")</f>
        <v/>
      </c>
      <c r="AC610" s="425">
        <f>IF(L610="Passed","Archived","Active")</f>
        <v/>
      </c>
    </row>
    <row r="611">
      <c r="A611" s="425" t="inlineStr">
        <is>
          <t>EXOS-0610</t>
        </is>
      </c>
      <c r="B611" s="425" t="inlineStr">
        <is>
          <t>John - Investor Contacts</t>
        </is>
      </c>
      <c r="C611" s="425" t="inlineStr">
        <is>
          <t>Financial Investor</t>
        </is>
      </c>
      <c r="D611" s="425" t="inlineStr">
        <is>
          <t>Paladin Capital Group</t>
        </is>
      </c>
      <c r="E611" s="425" t="inlineStr">
        <is>
          <t>Paul Conley</t>
        </is>
      </c>
      <c r="F611" s="425" t="inlineStr"/>
      <c r="G611" s="111" t="inlineStr">
        <is>
          <t>pconley@paladincapgroup.com</t>
        </is>
      </c>
      <c r="H611" s="425" t="inlineStr"/>
      <c r="I611" s="425" t="inlineStr"/>
      <c r="J611" s="111" t="inlineStr">
        <is>
          <t>https://www.linkedin.com/in/paul-conley-06a46/</t>
        </is>
      </c>
      <c r="K611" s="426" t="inlineStr">
        <is>
          <t>John Quinn</t>
        </is>
      </c>
      <c r="L611" s="426" t="inlineStr">
        <is>
          <t>Follow Up</t>
        </is>
      </c>
      <c r="M611" s="425" t="inlineStr">
        <is>
          <t>Space / Defense / Aerospace / Advanced Manufacturing</t>
        </is>
      </c>
      <c r="N611" s="426" t="inlineStr">
        <is>
          <t>Tier 2</t>
        </is>
      </c>
      <c r="O611" s="441" t="n">
        <v>45947</v>
      </c>
      <c r="P611" s="441" t="n">
        <v>45973</v>
      </c>
      <c r="Q611" s="425">
        <f>IF(P611="","",TODAY()-P611)</f>
        <v/>
      </c>
      <c r="R611" s="441">
        <f>IF(OR(L611="Passed",Z611=""),"",P611+Z611)</f>
        <v/>
      </c>
      <c r="S611" s="425">
        <f>IF(OR(R611="",L611="Passed"),"",IF(R611&lt;=TODAY(),"DUE",IF(R611&lt;=TODAY()+3,"Next 3 Days","Later")))</f>
        <v/>
      </c>
      <c r="T611" s="425" t="inlineStr"/>
      <c r="U611" s="426" t="inlineStr">
        <is>
          <t>https://www.linkedin.com/in/paul-conley-06a46/</t>
        </is>
      </c>
      <c r="V611" s="426" t="inlineStr"/>
      <c r="W611" s="428" t="inlineStr">
        <is>
          <t xml:space="preserve"> | 12/30/2025 | </t>
        </is>
      </c>
      <c r="X611" s="425" t="inlineStr">
        <is>
          <t>John - Investor Contacts!777</t>
        </is>
      </c>
      <c r="Y611" s="426" t="inlineStr">
        <is>
          <t>Send next follow-up with traction + CTA</t>
        </is>
      </c>
      <c r="Z611" s="425" t="n">
        <v>7</v>
      </c>
      <c r="AA611" s="425">
        <f>IF(AC611="Archived",0,ROUND((IF(N611="Tier 1",35,IF(N611="Tier 2",20,8))+IF(C611="Financial Investor",15,IF(C611="Intermediary / Banker",12,8))+IF(L611="Term Sheet / Proposal",25,IF(L611="Engaged",20,IF(L611="Meeting Requested",18,IF(L611="Meeting Held",14,IF(L611="Follow Up",10,5)))))+MIN(Q611,30)+IF(S611="DUE",15,IF(S611="Next 3 Days",8,0))),0))</f>
        <v/>
      </c>
      <c r="AB611" s="425">
        <f>IF(AND(AC611="Active",OR(N611="Tier 1",N611="Tier 2"),OR(S611="DUE",S611="Next 3 Days")),"YES","")</f>
        <v/>
      </c>
      <c r="AC611" s="425">
        <f>IF(L611="Passed","Archived","Active")</f>
        <v/>
      </c>
    </row>
    <row r="612">
      <c r="A612" s="425" t="inlineStr">
        <is>
          <t>EXOS-0611</t>
        </is>
      </c>
      <c r="B612" s="425" t="inlineStr">
        <is>
          <t>John - Investor Contacts</t>
        </is>
      </c>
      <c r="C612" s="425" t="inlineStr">
        <is>
          <t>Financial Investor</t>
        </is>
      </c>
      <c r="D612" s="425" t="inlineStr">
        <is>
          <t>Panoramic Ventures // BIP</t>
        </is>
      </c>
      <c r="E612" s="425" t="inlineStr">
        <is>
          <t>Dan Drechsel</t>
        </is>
      </c>
      <c r="F612" s="425" t="inlineStr"/>
      <c r="G612" s="111" t="inlineStr">
        <is>
          <t>ddrechsel@panoramic.vc</t>
        </is>
      </c>
      <c r="H612" s="425" t="inlineStr"/>
      <c r="I612" s="425" t="inlineStr"/>
      <c r="J612" s="111" t="inlineStr">
        <is>
          <t>https://www.linkedin.com/in/dandrechsel/</t>
        </is>
      </c>
      <c r="K612" s="426" t="inlineStr">
        <is>
          <t>John Quinn</t>
        </is>
      </c>
      <c r="L612" s="426" t="inlineStr">
        <is>
          <t>Follow Up</t>
        </is>
      </c>
      <c r="M612" s="425" t="inlineStr">
        <is>
          <t>Space / Defense / Aerospace / Advanced Manufacturing</t>
        </is>
      </c>
      <c r="N612" s="426" t="inlineStr">
        <is>
          <t>Tier 2</t>
        </is>
      </c>
      <c r="O612" s="441" t="n">
        <v>45903</v>
      </c>
      <c r="P612" s="441" t="n">
        <v>45972</v>
      </c>
      <c r="Q612" s="425">
        <f>IF(P612="","",TODAY()-P612)</f>
        <v/>
      </c>
      <c r="R612" s="441">
        <f>IF(OR(L612="Passed",Z612=""),"",P612+Z612)</f>
        <v/>
      </c>
      <c r="S612" s="425">
        <f>IF(OR(R612="",L612="Passed"),"",IF(R612&lt;=TODAY(),"DUE",IF(R612&lt;=TODAY()+3,"Next 3 Days","Later")))</f>
        <v/>
      </c>
      <c r="T612" s="425" t="inlineStr"/>
      <c r="U612" s="426" t="inlineStr">
        <is>
          <t>https://www.linkedin.com/in/dandrechsel/</t>
        </is>
      </c>
      <c r="V612" s="426" t="inlineStr"/>
      <c r="W612" s="428" t="inlineStr">
        <is>
          <t xml:space="preserve"> | 12/05/2025 | </t>
        </is>
      </c>
      <c r="X612" s="425" t="inlineStr">
        <is>
          <t>John - Investor Contacts!601</t>
        </is>
      </c>
      <c r="Y612" s="426" t="inlineStr">
        <is>
          <t>Send next follow-up with traction + CTA</t>
        </is>
      </c>
      <c r="Z612" s="425" t="n">
        <v>7</v>
      </c>
      <c r="AA612" s="425">
        <f>IF(AC612="Archived",0,ROUND((IF(N612="Tier 1",35,IF(N612="Tier 2",20,8))+IF(C612="Financial Investor",15,IF(C612="Intermediary / Banker",12,8))+IF(L612="Term Sheet / Proposal",25,IF(L612="Engaged",20,IF(L612="Meeting Requested",18,IF(L612="Meeting Held",14,IF(L612="Follow Up",10,5)))))+MIN(Q612,30)+IF(S612="DUE",15,IF(S612="Next 3 Days",8,0))),0))</f>
        <v/>
      </c>
      <c r="AB612" s="425">
        <f>IF(AND(AC612="Active",OR(N612="Tier 1",N612="Tier 2"),OR(S612="DUE",S612="Next 3 Days")),"YES","")</f>
        <v/>
      </c>
      <c r="AC612" s="425">
        <f>IF(L612="Passed","Archived","Active")</f>
        <v/>
      </c>
    </row>
    <row r="613">
      <c r="A613" s="425" t="inlineStr">
        <is>
          <t>EXOS-0612</t>
        </is>
      </c>
      <c r="B613" s="425" t="inlineStr">
        <is>
          <t>John - Investor Contacts</t>
        </is>
      </c>
      <c r="C613" s="425" t="inlineStr">
        <is>
          <t>Financial Investor</t>
        </is>
      </c>
      <c r="D613" s="425" t="inlineStr">
        <is>
          <t>Pari Passu Venture Partners</t>
        </is>
      </c>
      <c r="E613" s="425" t="inlineStr">
        <is>
          <t>Julia Gudish Krieger</t>
        </is>
      </c>
      <c r="F613" s="425" t="inlineStr"/>
      <c r="G613" s="111" t="inlineStr">
        <is>
          <t>julia@ppvp.com</t>
        </is>
      </c>
      <c r="H613" s="425" t="inlineStr"/>
      <c r="I613" s="425" t="inlineStr"/>
      <c r="J613" s="111" t="inlineStr">
        <is>
          <t>https://www.linkedin.com/in/yuliyagudish/</t>
        </is>
      </c>
      <c r="K613" s="426" t="inlineStr">
        <is>
          <t>John Quinn</t>
        </is>
      </c>
      <c r="L613" s="426" t="inlineStr">
        <is>
          <t>Follow Up</t>
        </is>
      </c>
      <c r="M613" s="425" t="inlineStr">
        <is>
          <t>Space / Defense / Aerospace / Advanced Manufacturing</t>
        </is>
      </c>
      <c r="N613" s="426" t="inlineStr">
        <is>
          <t>Tier 2</t>
        </is>
      </c>
      <c r="O613" s="441" t="n">
        <v>45845</v>
      </c>
      <c r="P613" s="441" t="n">
        <v>45861</v>
      </c>
      <c r="Q613" s="425">
        <f>IF(P613="","",TODAY()-P613)</f>
        <v/>
      </c>
      <c r="R613" s="441">
        <f>IF(OR(L613="Passed",Z613=""),"",P613+Z613)</f>
        <v/>
      </c>
      <c r="S613" s="425">
        <f>IF(OR(R613="",L613="Passed"),"",IF(R613&lt;=TODAY(),"DUE",IF(R613&lt;=TODAY()+3,"Next 3 Days","Later")))</f>
        <v/>
      </c>
      <c r="T613" s="425" t="inlineStr"/>
      <c r="U613" s="426" t="inlineStr">
        <is>
          <t>https://www.linkedin.com/in/yuliyagudish/</t>
        </is>
      </c>
      <c r="V613" s="426" t="inlineStr"/>
      <c r="W613" s="428" t="inlineStr">
        <is>
          <t xml:space="preserve"> | 12/26/2025 | </t>
        </is>
      </c>
      <c r="X613" s="425" t="inlineStr">
        <is>
          <t>John - Investor Contacts!357</t>
        </is>
      </c>
      <c r="Y613" s="426" t="inlineStr">
        <is>
          <t>Send next follow-up with traction + CTA</t>
        </is>
      </c>
      <c r="Z613" s="425" t="n">
        <v>7</v>
      </c>
      <c r="AA613" s="425">
        <f>IF(AC613="Archived",0,ROUND((IF(N613="Tier 1",35,IF(N613="Tier 2",20,8))+IF(C613="Financial Investor",15,IF(C613="Intermediary / Banker",12,8))+IF(L613="Term Sheet / Proposal",25,IF(L613="Engaged",20,IF(L613="Meeting Requested",18,IF(L613="Meeting Held",14,IF(L613="Follow Up",10,5)))))+MIN(Q613,30)+IF(S613="DUE",15,IF(S613="Next 3 Days",8,0))),0))</f>
        <v/>
      </c>
      <c r="AB613" s="425">
        <f>IF(AND(AC613="Active",OR(N613="Tier 1",N613="Tier 2"),OR(S613="DUE",S613="Next 3 Days")),"YES","")</f>
        <v/>
      </c>
      <c r="AC613" s="425">
        <f>IF(L613="Passed","Archived","Active")</f>
        <v/>
      </c>
    </row>
    <row r="614">
      <c r="A614" s="425" t="inlineStr">
        <is>
          <t>EXOS-0613</t>
        </is>
      </c>
      <c r="B614" s="425" t="inlineStr">
        <is>
          <t>John - Investor Contacts</t>
        </is>
      </c>
      <c r="C614" s="425" t="inlineStr">
        <is>
          <t>Financial Investor</t>
        </is>
      </c>
      <c r="D614" s="425" t="inlineStr">
        <is>
          <t>Pari Passu Venture Partners</t>
        </is>
      </c>
      <c r="E614" s="425" t="inlineStr">
        <is>
          <t>Kyle Widrick</t>
        </is>
      </c>
      <c r="F614" s="425" t="inlineStr"/>
      <c r="G614" s="111" t="inlineStr">
        <is>
          <t>kyle@ppvp.com</t>
        </is>
      </c>
      <c r="H614" s="425" t="inlineStr"/>
      <c r="I614" s="425" t="inlineStr"/>
      <c r="J614" s="111" t="inlineStr">
        <is>
          <t>https://www.linkedin.com/in/kwidrick/</t>
        </is>
      </c>
      <c r="K614" s="426" t="inlineStr">
        <is>
          <t>John Quinn</t>
        </is>
      </c>
      <c r="L614" s="426" t="inlineStr">
        <is>
          <t>Follow Up</t>
        </is>
      </c>
      <c r="M614" s="425" t="inlineStr">
        <is>
          <t>Space / Defense / Aerospace / Advanced Manufacturing</t>
        </is>
      </c>
      <c r="N614" s="426" t="inlineStr">
        <is>
          <t>Tier 2</t>
        </is>
      </c>
      <c r="O614" s="441" t="n">
        <v>45845</v>
      </c>
      <c r="P614" s="441" t="n">
        <v>45861</v>
      </c>
      <c r="Q614" s="425">
        <f>IF(P614="","",TODAY()-P614)</f>
        <v/>
      </c>
      <c r="R614" s="441">
        <f>IF(OR(L614="Passed",Z614=""),"",P614+Z614)</f>
        <v/>
      </c>
      <c r="S614" s="425">
        <f>IF(OR(R614="",L614="Passed"),"",IF(R614&lt;=TODAY(),"DUE",IF(R614&lt;=TODAY()+3,"Next 3 Days","Later")))</f>
        <v/>
      </c>
      <c r="T614" s="425" t="inlineStr"/>
      <c r="U614" s="426" t="inlineStr">
        <is>
          <t>https://www.linkedin.com/in/kwidrick/</t>
        </is>
      </c>
      <c r="V614" s="426" t="inlineStr"/>
      <c r="W614" s="428" t="inlineStr">
        <is>
          <t xml:space="preserve"> | 12/26/2025 | </t>
        </is>
      </c>
      <c r="X614" s="425" t="inlineStr">
        <is>
          <t>John - Investor Contacts!356</t>
        </is>
      </c>
      <c r="Y614" s="426" t="inlineStr">
        <is>
          <t>Send next follow-up with traction + CTA</t>
        </is>
      </c>
      <c r="Z614" s="425" t="n">
        <v>7</v>
      </c>
      <c r="AA614" s="425">
        <f>IF(AC614="Archived",0,ROUND((IF(N614="Tier 1",35,IF(N614="Tier 2",20,8))+IF(C614="Financial Investor",15,IF(C614="Intermediary / Banker",12,8))+IF(L614="Term Sheet / Proposal",25,IF(L614="Engaged",20,IF(L614="Meeting Requested",18,IF(L614="Meeting Held",14,IF(L614="Follow Up",10,5)))))+MIN(Q614,30)+IF(S614="DUE",15,IF(S614="Next 3 Days",8,0))),0))</f>
        <v/>
      </c>
      <c r="AB614" s="425">
        <f>IF(AND(AC614="Active",OR(N614="Tier 1",N614="Tier 2"),OR(S614="DUE",S614="Next 3 Days")),"YES","")</f>
        <v/>
      </c>
      <c r="AC614" s="425">
        <f>IF(L614="Passed","Archived","Active")</f>
        <v/>
      </c>
    </row>
    <row r="615">
      <c r="A615" s="425" t="inlineStr">
        <is>
          <t>EXOS-0614</t>
        </is>
      </c>
      <c r="B615" s="425" t="inlineStr">
        <is>
          <t>John - Investor Contacts</t>
        </is>
      </c>
      <c r="C615" s="425" t="inlineStr">
        <is>
          <t>Financial Investor</t>
        </is>
      </c>
      <c r="D615" s="425" t="inlineStr">
        <is>
          <t>Pari Passu Venture Partners</t>
        </is>
      </c>
      <c r="E615" s="425" t="inlineStr">
        <is>
          <t>the team</t>
        </is>
      </c>
      <c r="F615" s="425" t="inlineStr"/>
      <c r="G615" s="111" t="inlineStr">
        <is>
          <t>partners@ppvp.com</t>
        </is>
      </c>
      <c r="H615" s="425" t="inlineStr"/>
      <c r="I615" s="425" t="inlineStr"/>
      <c r="J615" s="425" t="inlineStr"/>
      <c r="K615" s="426" t="inlineStr">
        <is>
          <t>John Quinn</t>
        </is>
      </c>
      <c r="L615" s="426" t="inlineStr">
        <is>
          <t>Follow Up</t>
        </is>
      </c>
      <c r="M615" s="425" t="inlineStr">
        <is>
          <t>Space / Defense / Aerospace / Advanced Manufacturing</t>
        </is>
      </c>
      <c r="N615" s="426" t="inlineStr">
        <is>
          <t>Tier 2</t>
        </is>
      </c>
      <c r="O615" s="441" t="n">
        <v>45845</v>
      </c>
      <c r="P615" s="441" t="n">
        <v>45861</v>
      </c>
      <c r="Q615" s="425">
        <f>IF(P615="","",TODAY()-P615)</f>
        <v/>
      </c>
      <c r="R615" s="441">
        <f>IF(OR(L615="Passed",Z615=""),"",P615+Z615)</f>
        <v/>
      </c>
      <c r="S615" s="425">
        <f>IF(OR(R615="",L615="Passed"),"",IF(R615&lt;=TODAY(),"DUE",IF(R615&lt;=TODAY()+3,"Next 3 Days","Later")))</f>
        <v/>
      </c>
      <c r="T615" s="425" t="inlineStr"/>
      <c r="U615" s="426" t="inlineStr"/>
      <c r="V615" s="426" t="inlineStr"/>
      <c r="W615" s="428" t="inlineStr">
        <is>
          <t xml:space="preserve"> | 12/26/2025 | </t>
        </is>
      </c>
      <c r="X615" s="425" t="inlineStr">
        <is>
          <t>John - Investor Contacts!355</t>
        </is>
      </c>
      <c r="Y615" s="426" t="inlineStr">
        <is>
          <t>Send next follow-up with traction + CTA</t>
        </is>
      </c>
      <c r="Z615" s="425" t="n">
        <v>7</v>
      </c>
      <c r="AA615" s="425">
        <f>IF(AC615="Archived",0,ROUND((IF(N615="Tier 1",35,IF(N615="Tier 2",20,8))+IF(C615="Financial Investor",15,IF(C615="Intermediary / Banker",12,8))+IF(L615="Term Sheet / Proposal",25,IF(L615="Engaged",20,IF(L615="Meeting Requested",18,IF(L615="Meeting Held",14,IF(L615="Follow Up",10,5)))))+MIN(Q615,30)+IF(S615="DUE",15,IF(S615="Next 3 Days",8,0))),0))</f>
        <v/>
      </c>
      <c r="AB615" s="425">
        <f>IF(AND(AC615="Active",OR(N615="Tier 1",N615="Tier 2"),OR(S615="DUE",S615="Next 3 Days")),"YES","")</f>
        <v/>
      </c>
      <c r="AC615" s="425">
        <f>IF(L615="Passed","Archived","Active")</f>
        <v/>
      </c>
    </row>
    <row r="616">
      <c r="A616" s="425" t="inlineStr">
        <is>
          <t>EXOS-0615</t>
        </is>
      </c>
      <c r="B616" s="425" t="inlineStr">
        <is>
          <t>John - Investor Contacts</t>
        </is>
      </c>
      <c r="C616" s="425" t="inlineStr">
        <is>
          <t>Financial Investor</t>
        </is>
      </c>
      <c r="D616" s="425" t="inlineStr">
        <is>
          <t>Partner Capital</t>
        </is>
      </c>
      <c r="E616" s="425" t="inlineStr">
        <is>
          <t>Adam Spence</t>
        </is>
      </c>
      <c r="F616" s="425" t="inlineStr"/>
      <c r="G616" s="111" t="inlineStr">
        <is>
          <t>adam.spence@partners-cap.com</t>
        </is>
      </c>
      <c r="H616" s="425" t="inlineStr"/>
      <c r="I616" s="425" t="inlineStr"/>
      <c r="J616" s="111" t="inlineStr">
        <is>
          <t>https://www.linkedin.com/in/adam-spence-3152116/</t>
        </is>
      </c>
      <c r="K616" s="426" t="inlineStr">
        <is>
          <t>John Quinn</t>
        </is>
      </c>
      <c r="L616" s="426" t="inlineStr">
        <is>
          <t>Follow Up</t>
        </is>
      </c>
      <c r="M616" s="425" t="inlineStr">
        <is>
          <t>Space / Defense / Aerospace / Advanced Manufacturing</t>
        </is>
      </c>
      <c r="N616" s="426" t="inlineStr">
        <is>
          <t>Tier 2</t>
        </is>
      </c>
      <c r="O616" s="441" t="n">
        <v>45833</v>
      </c>
      <c r="P616" s="441" t="n">
        <v>45848</v>
      </c>
      <c r="Q616" s="425">
        <f>IF(P616="","",TODAY()-P616)</f>
        <v/>
      </c>
      <c r="R616" s="441">
        <f>IF(OR(L616="Passed",Z616=""),"",P616+Z616)</f>
        <v/>
      </c>
      <c r="S616" s="425">
        <f>IF(OR(R616="",L616="Passed"),"",IF(R616&lt;=TODAY(),"DUE",IF(R616&lt;=TODAY()+3,"Next 3 Days","Later")))</f>
        <v/>
      </c>
      <c r="T616" s="425" t="inlineStr"/>
      <c r="U616" s="426" t="inlineStr">
        <is>
          <t>https://www.linkedin.com/in/adam-spence-3152116/</t>
        </is>
      </c>
      <c r="V616" s="426" t="inlineStr"/>
      <c r="W616" s="428" t="inlineStr">
        <is>
          <t xml:space="preserve"> | 12/23/2025 | </t>
        </is>
      </c>
      <c r="X616" s="425" t="inlineStr">
        <is>
          <t>John - Investor Contacts!255</t>
        </is>
      </c>
      <c r="Y616" s="426" t="inlineStr">
        <is>
          <t>Send next follow-up with traction + CTA</t>
        </is>
      </c>
      <c r="Z616" s="425" t="n">
        <v>7</v>
      </c>
      <c r="AA616" s="425">
        <f>IF(AC616="Archived",0,ROUND((IF(N616="Tier 1",35,IF(N616="Tier 2",20,8))+IF(C616="Financial Investor",15,IF(C616="Intermediary / Banker",12,8))+IF(L616="Term Sheet / Proposal",25,IF(L616="Engaged",20,IF(L616="Meeting Requested",18,IF(L616="Meeting Held",14,IF(L616="Follow Up",10,5)))))+MIN(Q616,30)+IF(S616="DUE",15,IF(S616="Next 3 Days",8,0))),0))</f>
        <v/>
      </c>
      <c r="AB616" s="425">
        <f>IF(AND(AC616="Active",OR(N616="Tier 1",N616="Tier 2"),OR(S616="DUE",S616="Next 3 Days")),"YES","")</f>
        <v/>
      </c>
      <c r="AC616" s="425">
        <f>IF(L616="Passed","Archived","Active")</f>
        <v/>
      </c>
    </row>
    <row r="617">
      <c r="A617" s="425" t="inlineStr">
        <is>
          <t>EXOS-0616</t>
        </is>
      </c>
      <c r="B617" s="425" t="inlineStr">
        <is>
          <t>John - Investor Contacts</t>
        </is>
      </c>
      <c r="C617" s="425" t="inlineStr">
        <is>
          <t>Financial Investor</t>
        </is>
      </c>
      <c r="D617" s="425" t="inlineStr">
        <is>
          <t>Partner Capital</t>
        </is>
      </c>
      <c r="E617" s="425" t="inlineStr">
        <is>
          <t>Alex Band</t>
        </is>
      </c>
      <c r="F617" s="425" t="inlineStr"/>
      <c r="G617" s="111" t="inlineStr">
        <is>
          <t>alex.band@partners-cap.com</t>
        </is>
      </c>
      <c r="H617" s="425" t="inlineStr"/>
      <c r="I617" s="425" t="inlineStr"/>
      <c r="J617" s="111" t="inlineStr">
        <is>
          <t>https://www.linkedin.com/in/alexband/</t>
        </is>
      </c>
      <c r="K617" s="426" t="inlineStr">
        <is>
          <t>John Quinn</t>
        </is>
      </c>
      <c r="L617" s="426" t="inlineStr">
        <is>
          <t>Follow Up</t>
        </is>
      </c>
      <c r="M617" s="425" t="inlineStr">
        <is>
          <t>Space / Defense / Aerospace / Advanced Manufacturing</t>
        </is>
      </c>
      <c r="N617" s="426" t="inlineStr">
        <is>
          <t>Tier 2</t>
        </is>
      </c>
      <c r="O617" s="441" t="n">
        <v>45833</v>
      </c>
      <c r="P617" s="441" t="n">
        <v>45848</v>
      </c>
      <c r="Q617" s="425">
        <f>IF(P617="","",TODAY()-P617)</f>
        <v/>
      </c>
      <c r="R617" s="441">
        <f>IF(OR(L617="Passed",Z617=""),"",P617+Z617)</f>
        <v/>
      </c>
      <c r="S617" s="425">
        <f>IF(OR(R617="",L617="Passed"),"",IF(R617&lt;=TODAY(),"DUE",IF(R617&lt;=TODAY()+3,"Next 3 Days","Later")))</f>
        <v/>
      </c>
      <c r="T617" s="425" t="inlineStr"/>
      <c r="U617" s="426" t="inlineStr">
        <is>
          <t>https://www.linkedin.com/in/alexband/</t>
        </is>
      </c>
      <c r="V617" s="426" t="inlineStr"/>
      <c r="W617" s="428" t="inlineStr">
        <is>
          <t xml:space="preserve"> | 12/23/2025 | </t>
        </is>
      </c>
      <c r="X617" s="425" t="inlineStr">
        <is>
          <t>John - Investor Contacts!254</t>
        </is>
      </c>
      <c r="Y617" s="426" t="inlineStr">
        <is>
          <t>Send next follow-up with traction + CTA</t>
        </is>
      </c>
      <c r="Z617" s="425" t="n">
        <v>7</v>
      </c>
      <c r="AA617" s="425">
        <f>IF(AC617="Archived",0,ROUND((IF(N617="Tier 1",35,IF(N617="Tier 2",20,8))+IF(C617="Financial Investor",15,IF(C617="Intermediary / Banker",12,8))+IF(L617="Term Sheet / Proposal",25,IF(L617="Engaged",20,IF(L617="Meeting Requested",18,IF(L617="Meeting Held",14,IF(L617="Follow Up",10,5)))))+MIN(Q617,30)+IF(S617="DUE",15,IF(S617="Next 3 Days",8,0))),0))</f>
        <v/>
      </c>
      <c r="AB617" s="425">
        <f>IF(AND(AC617="Active",OR(N617="Tier 1",N617="Tier 2"),OR(S617="DUE",S617="Next 3 Days")),"YES","")</f>
        <v/>
      </c>
      <c r="AC617" s="425">
        <f>IF(L617="Passed","Archived","Active")</f>
        <v/>
      </c>
    </row>
    <row r="618">
      <c r="A618" s="425" t="inlineStr">
        <is>
          <t>EXOS-0617</t>
        </is>
      </c>
      <c r="B618" s="425" t="inlineStr">
        <is>
          <t>John - Investor Contacts</t>
        </is>
      </c>
      <c r="C618" s="425" t="inlineStr">
        <is>
          <t>Financial Investor</t>
        </is>
      </c>
      <c r="D618" s="425" t="inlineStr">
        <is>
          <t>Partner Capital</t>
        </is>
      </c>
      <c r="E618" s="425" t="inlineStr">
        <is>
          <t>Arjun Raghavan</t>
        </is>
      </c>
      <c r="F618" s="425" t="inlineStr"/>
      <c r="G618" s="111" t="inlineStr">
        <is>
          <t>arjun.raghavan@partners-cap.com</t>
        </is>
      </c>
      <c r="H618" s="425" t="inlineStr"/>
      <c r="I618" s="425" t="inlineStr"/>
      <c r="J618" s="111" t="inlineStr">
        <is>
          <t>https://www.linkedin.com/in/arjun-raghavan-24514a/</t>
        </is>
      </c>
      <c r="K618" s="426" t="inlineStr">
        <is>
          <t>John Quinn</t>
        </is>
      </c>
      <c r="L618" s="426" t="inlineStr">
        <is>
          <t>Follow Up</t>
        </is>
      </c>
      <c r="M618" s="425" t="inlineStr">
        <is>
          <t>Space / Defense / Aerospace / Advanced Manufacturing</t>
        </is>
      </c>
      <c r="N618" s="426" t="inlineStr">
        <is>
          <t>Tier 2</t>
        </is>
      </c>
      <c r="O618" s="441" t="n">
        <v>45833</v>
      </c>
      <c r="P618" s="441" t="n">
        <v>45848</v>
      </c>
      <c r="Q618" s="425">
        <f>IF(P618="","",TODAY()-P618)</f>
        <v/>
      </c>
      <c r="R618" s="441">
        <f>IF(OR(L618="Passed",Z618=""),"",P618+Z618)</f>
        <v/>
      </c>
      <c r="S618" s="425">
        <f>IF(OR(R618="",L618="Passed"),"",IF(R618&lt;=TODAY(),"DUE",IF(R618&lt;=TODAY()+3,"Next 3 Days","Later")))</f>
        <v/>
      </c>
      <c r="T618" s="425" t="inlineStr"/>
      <c r="U618" s="426" t="inlineStr">
        <is>
          <t>https://www.linkedin.com/in/arjun-raghavan-24514a/</t>
        </is>
      </c>
      <c r="V618" s="426" t="inlineStr"/>
      <c r="W618" s="428" t="inlineStr">
        <is>
          <t xml:space="preserve"> | 12/23/2025 | </t>
        </is>
      </c>
      <c r="X618" s="425" t="inlineStr">
        <is>
          <t>John - Investor Contacts!253</t>
        </is>
      </c>
      <c r="Y618" s="426" t="inlineStr">
        <is>
          <t>Send next follow-up with traction + CTA</t>
        </is>
      </c>
      <c r="Z618" s="425" t="n">
        <v>7</v>
      </c>
      <c r="AA618" s="425">
        <f>IF(AC618="Archived",0,ROUND((IF(N618="Tier 1",35,IF(N618="Tier 2",20,8))+IF(C618="Financial Investor",15,IF(C618="Intermediary / Banker",12,8))+IF(L618="Term Sheet / Proposal",25,IF(L618="Engaged",20,IF(L618="Meeting Requested",18,IF(L618="Meeting Held",14,IF(L618="Follow Up",10,5)))))+MIN(Q618,30)+IF(S618="DUE",15,IF(S618="Next 3 Days",8,0))),0))</f>
        <v/>
      </c>
      <c r="AB618" s="425">
        <f>IF(AND(AC618="Active",OR(N618="Tier 1",N618="Tier 2"),OR(S618="DUE",S618="Next 3 Days")),"YES","")</f>
        <v/>
      </c>
      <c r="AC618" s="425">
        <f>IF(L618="Passed","Archived","Active")</f>
        <v/>
      </c>
    </row>
    <row r="619">
      <c r="A619" s="425" t="inlineStr">
        <is>
          <t>EXOS-0618</t>
        </is>
      </c>
      <c r="B619" s="425" t="inlineStr">
        <is>
          <t>John - Investor Contacts</t>
        </is>
      </c>
      <c r="C619" s="425" t="inlineStr">
        <is>
          <t>Financial Investor</t>
        </is>
      </c>
      <c r="D619" s="425" t="inlineStr">
        <is>
          <t>Partner Capital</t>
        </is>
      </c>
      <c r="E619" s="425" t="inlineStr">
        <is>
          <t>Jennifer Bensimon</t>
        </is>
      </c>
      <c r="F619" s="425" t="inlineStr"/>
      <c r="G619" s="111" t="inlineStr">
        <is>
          <t>jennifer.bensimon@partners-cap.com</t>
        </is>
      </c>
      <c r="H619" s="425" t="inlineStr"/>
      <c r="I619" s="425" t="inlineStr"/>
      <c r="J619" s="111" t="inlineStr">
        <is>
          <t>https://www.linkedin.com/in/jennifer-fox-bensimon-cfa-647ba121</t>
        </is>
      </c>
      <c r="K619" s="426" t="inlineStr">
        <is>
          <t>John Quinn</t>
        </is>
      </c>
      <c r="L619" s="426" t="inlineStr">
        <is>
          <t>Follow Up</t>
        </is>
      </c>
      <c r="M619" s="425" t="inlineStr">
        <is>
          <t>Space / Defense / Aerospace / Advanced Manufacturing</t>
        </is>
      </c>
      <c r="N619" s="426" t="inlineStr">
        <is>
          <t>Tier 2</t>
        </is>
      </c>
      <c r="O619" s="441" t="n">
        <v>45833</v>
      </c>
      <c r="P619" s="441" t="n">
        <v>45848</v>
      </c>
      <c r="Q619" s="425">
        <f>IF(P619="","",TODAY()-P619)</f>
        <v/>
      </c>
      <c r="R619" s="441">
        <f>IF(OR(L619="Passed",Z619=""),"",P619+Z619)</f>
        <v/>
      </c>
      <c r="S619" s="425">
        <f>IF(OR(R619="",L619="Passed"),"",IF(R619&lt;=TODAY(),"DUE",IF(R619&lt;=TODAY()+3,"Next 3 Days","Later")))</f>
        <v/>
      </c>
      <c r="T619" s="425" t="inlineStr"/>
      <c r="U619" s="426" t="inlineStr">
        <is>
          <t>https://www.linkedin.com/in/jennifer-fox-bensimon-cfa-647ba121</t>
        </is>
      </c>
      <c r="V619" s="426" t="inlineStr"/>
      <c r="W619" s="428" t="inlineStr">
        <is>
          <t xml:space="preserve"> | 12/23/2025 | </t>
        </is>
      </c>
      <c r="X619" s="425" t="inlineStr">
        <is>
          <t>John - Investor Contacts!257</t>
        </is>
      </c>
      <c r="Y619" s="426" t="inlineStr">
        <is>
          <t>Send next follow-up with traction + CTA</t>
        </is>
      </c>
      <c r="Z619" s="425" t="n">
        <v>7</v>
      </c>
      <c r="AA619" s="425">
        <f>IF(AC619="Archived",0,ROUND((IF(N619="Tier 1",35,IF(N619="Tier 2",20,8))+IF(C619="Financial Investor",15,IF(C619="Intermediary / Banker",12,8))+IF(L619="Term Sheet / Proposal",25,IF(L619="Engaged",20,IF(L619="Meeting Requested",18,IF(L619="Meeting Held",14,IF(L619="Follow Up",10,5)))))+MIN(Q619,30)+IF(S619="DUE",15,IF(S619="Next 3 Days",8,0))),0))</f>
        <v/>
      </c>
      <c r="AB619" s="425">
        <f>IF(AND(AC619="Active",OR(N619="Tier 1",N619="Tier 2"),OR(S619="DUE",S619="Next 3 Days")),"YES","")</f>
        <v/>
      </c>
      <c r="AC619" s="425">
        <f>IF(L619="Passed","Archived","Active")</f>
        <v/>
      </c>
    </row>
    <row r="620">
      <c r="A620" s="425" t="inlineStr">
        <is>
          <t>EXOS-0619</t>
        </is>
      </c>
      <c r="B620" s="425" t="inlineStr">
        <is>
          <t>John - Investor Contacts</t>
        </is>
      </c>
      <c r="C620" s="425" t="inlineStr">
        <is>
          <t>Financial Investor</t>
        </is>
      </c>
      <c r="D620" s="425" t="inlineStr">
        <is>
          <t>Partner Capital</t>
        </is>
      </c>
      <c r="E620" s="425" t="inlineStr">
        <is>
          <t>Olivia Newell</t>
        </is>
      </c>
      <c r="F620" s="425" t="inlineStr"/>
      <c r="G620" s="111" t="inlineStr">
        <is>
          <t>olivia.cogan@partners-cap.com</t>
        </is>
      </c>
      <c r="H620" s="425" t="inlineStr"/>
      <c r="I620" s="425" t="inlineStr"/>
      <c r="J620" s="111" t="inlineStr">
        <is>
          <t>https://www.linkedin.com/in/olivia-cogan-newell-cfa-95896872/</t>
        </is>
      </c>
      <c r="K620" s="426" t="inlineStr">
        <is>
          <t>John Quinn</t>
        </is>
      </c>
      <c r="L620" s="426" t="inlineStr">
        <is>
          <t>Follow Up</t>
        </is>
      </c>
      <c r="M620" s="425" t="inlineStr">
        <is>
          <t>Space / Defense / Aerospace / Advanced Manufacturing</t>
        </is>
      </c>
      <c r="N620" s="426" t="inlineStr">
        <is>
          <t>Tier 2</t>
        </is>
      </c>
      <c r="O620" s="441" t="n">
        <v>45833</v>
      </c>
      <c r="P620" s="441" t="n">
        <v>45848</v>
      </c>
      <c r="Q620" s="425">
        <f>IF(P620="","",TODAY()-P620)</f>
        <v/>
      </c>
      <c r="R620" s="441">
        <f>IF(OR(L620="Passed",Z620=""),"",P620+Z620)</f>
        <v/>
      </c>
      <c r="S620" s="425">
        <f>IF(OR(R620="",L620="Passed"),"",IF(R620&lt;=TODAY(),"DUE",IF(R620&lt;=TODAY()+3,"Next 3 Days","Later")))</f>
        <v/>
      </c>
      <c r="T620" s="425" t="inlineStr"/>
      <c r="U620" s="426" t="inlineStr">
        <is>
          <t>https://www.linkedin.com/in/olivia-cogan-newell-cfa-95896872/</t>
        </is>
      </c>
      <c r="V620" s="426" t="inlineStr"/>
      <c r="W620" s="428" t="inlineStr">
        <is>
          <t xml:space="preserve"> | 12/23/2025 | </t>
        </is>
      </c>
      <c r="X620" s="425" t="inlineStr">
        <is>
          <t>John - Investor Contacts!258</t>
        </is>
      </c>
      <c r="Y620" s="426" t="inlineStr">
        <is>
          <t>Send next follow-up with traction + CTA</t>
        </is>
      </c>
      <c r="Z620" s="425" t="n">
        <v>7</v>
      </c>
      <c r="AA620" s="425">
        <f>IF(AC620="Archived",0,ROUND((IF(N620="Tier 1",35,IF(N620="Tier 2",20,8))+IF(C620="Financial Investor",15,IF(C620="Intermediary / Banker",12,8))+IF(L620="Term Sheet / Proposal",25,IF(L620="Engaged",20,IF(L620="Meeting Requested",18,IF(L620="Meeting Held",14,IF(L620="Follow Up",10,5)))))+MIN(Q620,30)+IF(S620="DUE",15,IF(S620="Next 3 Days",8,0))),0))</f>
        <v/>
      </c>
      <c r="AB620" s="425">
        <f>IF(AND(AC620="Active",OR(N620="Tier 1",N620="Tier 2"),OR(S620="DUE",S620="Next 3 Days")),"YES","")</f>
        <v/>
      </c>
      <c r="AC620" s="425">
        <f>IF(L620="Passed","Archived","Active")</f>
        <v/>
      </c>
    </row>
    <row r="621">
      <c r="A621" s="425" t="inlineStr">
        <is>
          <t>EXOS-0620</t>
        </is>
      </c>
      <c r="B621" s="425" t="inlineStr">
        <is>
          <t>John - Investor Contacts</t>
        </is>
      </c>
      <c r="C621" s="425" t="inlineStr">
        <is>
          <t>Financial Investor</t>
        </is>
      </c>
      <c r="D621" s="425" t="inlineStr">
        <is>
          <t>Partner Capital</t>
        </is>
      </c>
      <c r="E621" s="425" t="inlineStr">
        <is>
          <t>Paul Dimitruk</t>
        </is>
      </c>
      <c r="F621" s="425" t="inlineStr"/>
      <c r="G621" s="111" t="inlineStr">
        <is>
          <t>paul.dimitruk@partners-cap.com</t>
        </is>
      </c>
      <c r="H621" s="425" t="inlineStr"/>
      <c r="I621" s="425" t="inlineStr"/>
      <c r="J621" s="425" t="inlineStr"/>
      <c r="K621" s="426" t="inlineStr">
        <is>
          <t>John Quinn</t>
        </is>
      </c>
      <c r="L621" s="426" t="inlineStr">
        <is>
          <t>Follow Up</t>
        </is>
      </c>
      <c r="M621" s="425" t="inlineStr">
        <is>
          <t>Space / Defense / Aerospace / Advanced Manufacturing</t>
        </is>
      </c>
      <c r="N621" s="426" t="inlineStr">
        <is>
          <t>Tier 2</t>
        </is>
      </c>
      <c r="O621" s="441" t="n">
        <v>45833</v>
      </c>
      <c r="P621" s="441" t="n">
        <v>45848</v>
      </c>
      <c r="Q621" s="425">
        <f>IF(P621="","",TODAY()-P621)</f>
        <v/>
      </c>
      <c r="R621" s="441">
        <f>IF(OR(L621="Passed",Z621=""),"",P621+Z621)</f>
        <v/>
      </c>
      <c r="S621" s="425">
        <f>IF(OR(R621="",L621="Passed"),"",IF(R621&lt;=TODAY(),"DUE",IF(R621&lt;=TODAY()+3,"Next 3 Days","Later")))</f>
        <v/>
      </c>
      <c r="T621" s="425" t="inlineStr"/>
      <c r="U621" s="426" t="inlineStr">
        <is>
          <t>linkedin.com/in/paul-dimitruk-94288073</t>
        </is>
      </c>
      <c r="V621" s="426" t="inlineStr"/>
      <c r="W621" s="428" t="inlineStr">
        <is>
          <t xml:space="preserve"> | 12/23/2025 | </t>
        </is>
      </c>
      <c r="X621" s="425" t="inlineStr">
        <is>
          <t>John - Investor Contacts!256</t>
        </is>
      </c>
      <c r="Y621" s="426" t="inlineStr">
        <is>
          <t>Send next follow-up with traction + CTA</t>
        </is>
      </c>
      <c r="Z621" s="425" t="n">
        <v>7</v>
      </c>
      <c r="AA621" s="425">
        <f>IF(AC621="Archived",0,ROUND((IF(N621="Tier 1",35,IF(N621="Tier 2",20,8))+IF(C621="Financial Investor",15,IF(C621="Intermediary / Banker",12,8))+IF(L621="Term Sheet / Proposal",25,IF(L621="Engaged",20,IF(L621="Meeting Requested",18,IF(L621="Meeting Held",14,IF(L621="Follow Up",10,5)))))+MIN(Q621,30)+IF(S621="DUE",15,IF(S621="Next 3 Days",8,0))),0))</f>
        <v/>
      </c>
      <c r="AB621" s="425">
        <f>IF(AND(AC621="Active",OR(N621="Tier 1",N621="Tier 2"),OR(S621="DUE",S621="Next 3 Days")),"YES","")</f>
        <v/>
      </c>
      <c r="AC621" s="425">
        <f>IF(L621="Passed","Archived","Active")</f>
        <v/>
      </c>
    </row>
    <row r="622">
      <c r="A622" s="425" t="inlineStr">
        <is>
          <t>EXOS-0621</t>
        </is>
      </c>
      <c r="B622" s="425" t="inlineStr">
        <is>
          <t>John - Investor Contacts</t>
        </is>
      </c>
      <c r="C622" s="425" t="inlineStr">
        <is>
          <t>Financial Investor</t>
        </is>
      </c>
      <c r="D622" s="425" t="inlineStr">
        <is>
          <t>Partner Capital</t>
        </is>
      </c>
      <c r="E622" s="425" t="inlineStr">
        <is>
          <t>Rich Scarinci</t>
        </is>
      </c>
      <c r="F622" s="425" t="inlineStr"/>
      <c r="G622" s="111" t="inlineStr">
        <is>
          <t>richard.scarinci@partners-cap.com</t>
        </is>
      </c>
      <c r="H622" s="425" t="inlineStr"/>
      <c r="I622" s="425" t="inlineStr"/>
      <c r="J622" s="111" t="inlineStr">
        <is>
          <t>https://www.linkedin.com/in/richard-scarinci-066b1670/</t>
        </is>
      </c>
      <c r="K622" s="426" t="inlineStr">
        <is>
          <t>John Quinn</t>
        </is>
      </c>
      <c r="L622" s="426" t="inlineStr">
        <is>
          <t>Follow Up</t>
        </is>
      </c>
      <c r="M622" s="425" t="inlineStr">
        <is>
          <t>Space / Defense / Aerospace / Advanced Manufacturing</t>
        </is>
      </c>
      <c r="N622" s="426" t="inlineStr">
        <is>
          <t>Tier 2</t>
        </is>
      </c>
      <c r="O622" s="441" t="n">
        <v>45833</v>
      </c>
      <c r="P622" s="441" t="n">
        <v>45848</v>
      </c>
      <c r="Q622" s="425">
        <f>IF(P622="","",TODAY()-P622)</f>
        <v/>
      </c>
      <c r="R622" s="441">
        <f>IF(OR(L622="Passed",Z622=""),"",P622+Z622)</f>
        <v/>
      </c>
      <c r="S622" s="425">
        <f>IF(OR(R622="",L622="Passed"),"",IF(R622&lt;=TODAY(),"DUE",IF(R622&lt;=TODAY()+3,"Next 3 Days","Later")))</f>
        <v/>
      </c>
      <c r="T622" s="425" t="inlineStr"/>
      <c r="U622" s="426" t="inlineStr">
        <is>
          <t>https://www.linkedin.com/in/richard-scarinci-066b1670/</t>
        </is>
      </c>
      <c r="V622" s="426" t="inlineStr"/>
      <c r="W622" s="428" t="inlineStr">
        <is>
          <t xml:space="preserve"> | 12/23/2025 | </t>
        </is>
      </c>
      <c r="X622" s="425" t="inlineStr">
        <is>
          <t>John - Investor Contacts!259</t>
        </is>
      </c>
      <c r="Y622" s="426" t="inlineStr">
        <is>
          <t>Send next follow-up with traction + CTA</t>
        </is>
      </c>
      <c r="Z622" s="425" t="n">
        <v>7</v>
      </c>
      <c r="AA622" s="425">
        <f>IF(AC622="Archived",0,ROUND((IF(N622="Tier 1",35,IF(N622="Tier 2",20,8))+IF(C622="Financial Investor",15,IF(C622="Intermediary / Banker",12,8))+IF(L622="Term Sheet / Proposal",25,IF(L622="Engaged",20,IF(L622="Meeting Requested",18,IF(L622="Meeting Held",14,IF(L622="Follow Up",10,5)))))+MIN(Q622,30)+IF(S622="DUE",15,IF(S622="Next 3 Days",8,0))),0))</f>
        <v/>
      </c>
      <c r="AB622" s="425">
        <f>IF(AND(AC622="Active",OR(N622="Tier 1",N622="Tier 2"),OR(S622="DUE",S622="Next 3 Days")),"YES","")</f>
        <v/>
      </c>
      <c r="AC622" s="425">
        <f>IF(L622="Passed","Archived","Active")</f>
        <v/>
      </c>
    </row>
    <row r="623">
      <c r="A623" s="425" t="inlineStr">
        <is>
          <t>EXOS-0622</t>
        </is>
      </c>
      <c r="B623" s="425" t="inlineStr">
        <is>
          <t>John - Investor Contacts</t>
        </is>
      </c>
      <c r="C623" s="425" t="inlineStr">
        <is>
          <t>Financial Investor</t>
        </is>
      </c>
      <c r="D623" s="425" t="inlineStr">
        <is>
          <t>Plug and Play</t>
        </is>
      </c>
      <c r="E623" s="425" t="inlineStr">
        <is>
          <t>Alireza Masrour</t>
        </is>
      </c>
      <c r="F623" s="425" t="inlineStr"/>
      <c r="G623" s="111" t="inlineStr">
        <is>
          <t>alireza@pnptc.com</t>
        </is>
      </c>
      <c r="H623" s="425" t="inlineStr"/>
      <c r="I623" s="425" t="inlineStr"/>
      <c r="J623" s="111" t="inlineStr">
        <is>
          <t>https://www.linkedin.com/in/alirezamasrour/</t>
        </is>
      </c>
      <c r="K623" s="426" t="inlineStr">
        <is>
          <t>John Quinn</t>
        </is>
      </c>
      <c r="L623" s="426" t="inlineStr">
        <is>
          <t>Follow Up</t>
        </is>
      </c>
      <c r="M623" s="425" t="inlineStr">
        <is>
          <t>Space / Defense / Aerospace / Advanced Manufacturing</t>
        </is>
      </c>
      <c r="N623" s="426" t="inlineStr">
        <is>
          <t>Tier 2</t>
        </is>
      </c>
      <c r="O623" s="441" t="n">
        <v>45807</v>
      </c>
      <c r="P623" s="441" t="n">
        <v>45841</v>
      </c>
      <c r="Q623" s="425">
        <f>IF(P623="","",TODAY()-P623)</f>
        <v/>
      </c>
      <c r="R623" s="441">
        <f>IF(OR(L623="Passed",Z623=""),"",P623+Z623)</f>
        <v/>
      </c>
      <c r="S623" s="425">
        <f>IF(OR(R623="",L623="Passed"),"",IF(R623&lt;=TODAY(),"DUE",IF(R623&lt;=TODAY()+3,"Next 3 Days","Later")))</f>
        <v/>
      </c>
      <c r="T623" s="425" t="inlineStr"/>
      <c r="U623" s="426" t="inlineStr">
        <is>
          <t>https://www.linkedin.com/in/alirezamasrour/</t>
        </is>
      </c>
      <c r="V623" s="426" t="inlineStr"/>
      <c r="W623" s="428" t="inlineStr">
        <is>
          <t xml:space="preserve"> | not a fit | </t>
        </is>
      </c>
      <c r="X623" s="425" t="inlineStr">
        <is>
          <t>John - Investor Contacts!99</t>
        </is>
      </c>
      <c r="Y623" s="426" t="inlineStr">
        <is>
          <t>Send next follow-up with traction + CTA</t>
        </is>
      </c>
      <c r="Z623" s="425" t="n">
        <v>7</v>
      </c>
      <c r="AA623" s="425">
        <f>IF(AC623="Archived",0,ROUND((IF(N623="Tier 1",35,IF(N623="Tier 2",20,8))+IF(C623="Financial Investor",15,IF(C623="Intermediary / Banker",12,8))+IF(L623="Term Sheet / Proposal",25,IF(L623="Engaged",20,IF(L623="Meeting Requested",18,IF(L623="Meeting Held",14,IF(L623="Follow Up",10,5)))))+MIN(Q623,30)+IF(S623="DUE",15,IF(S623="Next 3 Days",8,0))),0))</f>
        <v/>
      </c>
      <c r="AB623" s="425">
        <f>IF(AND(AC623="Active",OR(N623="Tier 1",N623="Tier 2"),OR(S623="DUE",S623="Next 3 Days")),"YES","")</f>
        <v/>
      </c>
      <c r="AC623" s="425">
        <f>IF(L623="Passed","Archived","Active")</f>
        <v/>
      </c>
    </row>
    <row r="624">
      <c r="A624" s="425" t="inlineStr">
        <is>
          <t>EXOS-0623</t>
        </is>
      </c>
      <c r="B624" s="425" t="inlineStr">
        <is>
          <t>John - Investor Contacts</t>
        </is>
      </c>
      <c r="C624" s="425" t="inlineStr">
        <is>
          <t>Financial Investor</t>
        </is>
      </c>
      <c r="D624" s="425" t="inlineStr">
        <is>
          <t>Plug and Play</t>
        </is>
      </c>
      <c r="E624" s="425" t="inlineStr">
        <is>
          <t>Ivan Zgomba</t>
        </is>
      </c>
      <c r="F624" s="425" t="inlineStr"/>
      <c r="G624" s="111" t="inlineStr">
        <is>
          <t>ivan@pnptc.com</t>
        </is>
      </c>
      <c r="H624" s="425" t="inlineStr"/>
      <c r="I624" s="425" t="inlineStr"/>
      <c r="J624" s="111" t="inlineStr">
        <is>
          <t>https://www.linkedin.com/in/zgombaivan/</t>
        </is>
      </c>
      <c r="K624" s="426" t="inlineStr">
        <is>
          <t>John Quinn</t>
        </is>
      </c>
      <c r="L624" s="426" t="inlineStr">
        <is>
          <t>Follow Up</t>
        </is>
      </c>
      <c r="M624" s="425" t="inlineStr">
        <is>
          <t>Space / Defense / Aerospace / Advanced Manufacturing</t>
        </is>
      </c>
      <c r="N624" s="426" t="inlineStr">
        <is>
          <t>Tier 2</t>
        </is>
      </c>
      <c r="O624" s="441" t="n">
        <v>45807</v>
      </c>
      <c r="P624" s="441" t="n">
        <v>45841</v>
      </c>
      <c r="Q624" s="425">
        <f>IF(P624="","",TODAY()-P624)</f>
        <v/>
      </c>
      <c r="R624" s="441">
        <f>IF(OR(L624="Passed",Z624=""),"",P624+Z624)</f>
        <v/>
      </c>
      <c r="S624" s="425">
        <f>IF(OR(R624="",L624="Passed"),"",IF(R624&lt;=TODAY(),"DUE",IF(R624&lt;=TODAY()+3,"Next 3 Days","Later")))</f>
        <v/>
      </c>
      <c r="T624" s="425" t="inlineStr"/>
      <c r="U624" s="426" t="inlineStr">
        <is>
          <t>https://www.linkedin.com/in/zgombaivan/</t>
        </is>
      </c>
      <c r="V624" s="426" t="inlineStr"/>
      <c r="W624" s="428" t="inlineStr">
        <is>
          <t xml:space="preserve"> | Plug and Play Application: https://www.plugandplaytechcenter.com/contact | </t>
        </is>
      </c>
      <c r="X624" s="425" t="inlineStr">
        <is>
          <t>John - Investor Contacts!98</t>
        </is>
      </c>
      <c r="Y624" s="426" t="inlineStr">
        <is>
          <t>Send next follow-up with traction + CTA</t>
        </is>
      </c>
      <c r="Z624" s="425" t="n">
        <v>7</v>
      </c>
      <c r="AA624" s="425">
        <f>IF(AC624="Archived",0,ROUND((IF(N624="Tier 1",35,IF(N624="Tier 2",20,8))+IF(C624="Financial Investor",15,IF(C624="Intermediary / Banker",12,8))+IF(L624="Term Sheet / Proposal",25,IF(L624="Engaged",20,IF(L624="Meeting Requested",18,IF(L624="Meeting Held",14,IF(L624="Follow Up",10,5)))))+MIN(Q624,30)+IF(S624="DUE",15,IF(S624="Next 3 Days",8,0))),0))</f>
        <v/>
      </c>
      <c r="AB624" s="425">
        <f>IF(AND(AC624="Active",OR(N624="Tier 1",N624="Tier 2"),OR(S624="DUE",S624="Next 3 Days")),"YES","")</f>
        <v/>
      </c>
      <c r="AC624" s="425">
        <f>IF(L624="Passed","Archived","Active")</f>
        <v/>
      </c>
    </row>
    <row r="625">
      <c r="A625" s="425" t="inlineStr">
        <is>
          <t>EXOS-0624</t>
        </is>
      </c>
      <c r="B625" s="425" t="inlineStr">
        <is>
          <t>John - Investor Contacts</t>
        </is>
      </c>
      <c r="C625" s="425" t="inlineStr">
        <is>
          <t>Financial Investor</t>
        </is>
      </c>
      <c r="D625" s="425" t="inlineStr">
        <is>
          <t>Plug and Play</t>
        </is>
      </c>
      <c r="E625" s="425" t="inlineStr">
        <is>
          <t>Kevin Parakkattu</t>
        </is>
      </c>
      <c r="F625" s="425" t="inlineStr"/>
      <c r="G625" s="111" t="inlineStr">
        <is>
          <t>kp@pnptc.com</t>
        </is>
      </c>
      <c r="H625" s="425" t="inlineStr"/>
      <c r="I625" s="425" t="inlineStr"/>
      <c r="J625" s="111" t="inlineStr">
        <is>
          <t>https://www.linkedin.com/in/kevinparakkattu/</t>
        </is>
      </c>
      <c r="K625" s="426" t="inlineStr">
        <is>
          <t>John Quinn</t>
        </is>
      </c>
      <c r="L625" s="426" t="inlineStr">
        <is>
          <t>Follow Up</t>
        </is>
      </c>
      <c r="M625" s="425" t="inlineStr">
        <is>
          <t>Space / Defense / Aerospace / Advanced Manufacturing</t>
        </is>
      </c>
      <c r="N625" s="426" t="inlineStr">
        <is>
          <t>Tier 2</t>
        </is>
      </c>
      <c r="O625" s="441" t="n">
        <v>45807</v>
      </c>
      <c r="P625" s="441" t="n">
        <v>45841</v>
      </c>
      <c r="Q625" s="425">
        <f>IF(P625="","",TODAY()-P625)</f>
        <v/>
      </c>
      <c r="R625" s="441">
        <f>IF(OR(L625="Passed",Z625=""),"",P625+Z625)</f>
        <v/>
      </c>
      <c r="S625" s="425">
        <f>IF(OR(R625="",L625="Passed"),"",IF(R625&lt;=TODAY(),"DUE",IF(R625&lt;=TODAY()+3,"Next 3 Days","Later")))</f>
        <v/>
      </c>
      <c r="T625" s="425" t="inlineStr"/>
      <c r="U625" s="426" t="inlineStr">
        <is>
          <t>https://www.linkedin.com/in/kevinparakkattu/</t>
        </is>
      </c>
      <c r="V625" s="426" t="inlineStr"/>
      <c r="W625" s="428" t="inlineStr">
        <is>
          <t xml:space="preserve"> | out of office till 6/9 | </t>
        </is>
      </c>
      <c r="X625" s="425" t="inlineStr">
        <is>
          <t>John - Investor Contacts!97</t>
        </is>
      </c>
      <c r="Y625" s="426" t="inlineStr">
        <is>
          <t>Send next follow-up with traction + CTA</t>
        </is>
      </c>
      <c r="Z625" s="425" t="n">
        <v>7</v>
      </c>
      <c r="AA625" s="425">
        <f>IF(AC625="Archived",0,ROUND((IF(N625="Tier 1",35,IF(N625="Tier 2",20,8))+IF(C625="Financial Investor",15,IF(C625="Intermediary / Banker",12,8))+IF(L625="Term Sheet / Proposal",25,IF(L625="Engaged",20,IF(L625="Meeting Requested",18,IF(L625="Meeting Held",14,IF(L625="Follow Up",10,5)))))+MIN(Q625,30)+IF(S625="DUE",15,IF(S625="Next 3 Days",8,0))),0))</f>
        <v/>
      </c>
      <c r="AB625" s="425">
        <f>IF(AND(AC625="Active",OR(N625="Tier 1",N625="Tier 2"),OR(S625="DUE",S625="Next 3 Days")),"YES","")</f>
        <v/>
      </c>
      <c r="AC625" s="425">
        <f>IF(L625="Passed","Archived","Active")</f>
        <v/>
      </c>
    </row>
    <row r="626">
      <c r="A626" s="425" t="inlineStr">
        <is>
          <t>EXOS-0625</t>
        </is>
      </c>
      <c r="B626" s="425" t="inlineStr">
        <is>
          <t>John - Investor Contacts</t>
        </is>
      </c>
      <c r="C626" s="425" t="inlineStr">
        <is>
          <t>Financial Investor</t>
        </is>
      </c>
      <c r="D626" s="425" t="inlineStr">
        <is>
          <t>Plum Valley</t>
        </is>
      </c>
      <c r="E626" s="425" t="inlineStr">
        <is>
          <t>Avantika Daing</t>
        </is>
      </c>
      <c r="F626" s="425" t="inlineStr"/>
      <c r="G626" s="111" t="inlineStr">
        <is>
          <t>avantika@plumalley.co</t>
        </is>
      </c>
      <c r="H626" s="425" t="inlineStr"/>
      <c r="I626" s="425" t="inlineStr"/>
      <c r="J626" s="425" t="inlineStr"/>
      <c r="K626" s="426" t="inlineStr">
        <is>
          <t>John Quinn</t>
        </is>
      </c>
      <c r="L626" s="426" t="inlineStr">
        <is>
          <t>Follow Up</t>
        </is>
      </c>
      <c r="M626" s="425" t="inlineStr">
        <is>
          <t>Space / Defense / Aerospace / Advanced Manufacturing</t>
        </is>
      </c>
      <c r="N626" s="426" t="inlineStr">
        <is>
          <t>Tier 2</t>
        </is>
      </c>
      <c r="O626" s="441" t="n">
        <v>45896</v>
      </c>
      <c r="P626" s="441" t="n">
        <v>45924</v>
      </c>
      <c r="Q626" s="425">
        <f>IF(P626="","",TODAY()-P626)</f>
        <v/>
      </c>
      <c r="R626" s="441">
        <f>IF(OR(L626="Passed",Z626=""),"",P626+Z626)</f>
        <v/>
      </c>
      <c r="S626" s="425">
        <f>IF(OR(R626="",L626="Passed"),"",IF(R626&lt;=TODAY(),"DUE",IF(R626&lt;=TODAY()+3,"Next 3 Days","Later")))</f>
        <v/>
      </c>
      <c r="T626" s="425" t="inlineStr"/>
      <c r="U626" s="426" t="inlineStr">
        <is>
          <t>linkedin.com/in/avantika-daing-9907145</t>
        </is>
      </c>
      <c r="V626" s="426" t="inlineStr"/>
      <c r="W626" s="428" t="inlineStr">
        <is>
          <t xml:space="preserve"> | 12/04/2025 | </t>
        </is>
      </c>
      <c r="X626" s="425" t="inlineStr">
        <is>
          <t>John - Investor Contacts!547</t>
        </is>
      </c>
      <c r="Y626" s="426" t="inlineStr">
        <is>
          <t>Send next follow-up with traction + CTA</t>
        </is>
      </c>
      <c r="Z626" s="425" t="n">
        <v>7</v>
      </c>
      <c r="AA626" s="425">
        <f>IF(AC626="Archived",0,ROUND((IF(N626="Tier 1",35,IF(N626="Tier 2",20,8))+IF(C626="Financial Investor",15,IF(C626="Intermediary / Banker",12,8))+IF(L626="Term Sheet / Proposal",25,IF(L626="Engaged",20,IF(L626="Meeting Requested",18,IF(L626="Meeting Held",14,IF(L626="Follow Up",10,5)))))+MIN(Q626,30)+IF(S626="DUE",15,IF(S626="Next 3 Days",8,0))),0))</f>
        <v/>
      </c>
      <c r="AB626" s="425">
        <f>IF(AND(AC626="Active",OR(N626="Tier 1",N626="Tier 2"),OR(S626="DUE",S626="Next 3 Days")),"YES","")</f>
        <v/>
      </c>
      <c r="AC626" s="425">
        <f>IF(L626="Passed","Archived","Active")</f>
        <v/>
      </c>
    </row>
    <row r="627">
      <c r="A627" s="425" t="inlineStr">
        <is>
          <t>EXOS-0626</t>
        </is>
      </c>
      <c r="B627" s="425" t="inlineStr">
        <is>
          <t>John - Investor Contacts</t>
        </is>
      </c>
      <c r="C627" s="425" t="inlineStr">
        <is>
          <t>Financial Investor</t>
        </is>
      </c>
      <c r="D627" s="425" t="inlineStr">
        <is>
          <t>Plum Valley</t>
        </is>
      </c>
      <c r="E627" s="425" t="inlineStr">
        <is>
          <t>Deborah Jackson</t>
        </is>
      </c>
      <c r="F627" s="425" t="inlineStr"/>
      <c r="G627" s="111" t="inlineStr">
        <is>
          <t>deborah@plumalley.co</t>
        </is>
      </c>
      <c r="H627" s="425" t="inlineStr"/>
      <c r="I627" s="425" t="inlineStr"/>
      <c r="J627" s="425" t="inlineStr"/>
      <c r="K627" s="426" t="inlineStr">
        <is>
          <t>John Quinn</t>
        </is>
      </c>
      <c r="L627" s="426" t="inlineStr">
        <is>
          <t>Follow Up</t>
        </is>
      </c>
      <c r="M627" s="425" t="inlineStr">
        <is>
          <t>Space / Defense / Aerospace / Advanced Manufacturing</t>
        </is>
      </c>
      <c r="N627" s="426" t="inlineStr">
        <is>
          <t>Tier 2</t>
        </is>
      </c>
      <c r="O627" s="441" t="n">
        <v>45896</v>
      </c>
      <c r="P627" s="441" t="n">
        <v>45924</v>
      </c>
      <c r="Q627" s="425">
        <f>IF(P627="","",TODAY()-P627)</f>
        <v/>
      </c>
      <c r="R627" s="441">
        <f>IF(OR(L627="Passed",Z627=""),"",P627+Z627)</f>
        <v/>
      </c>
      <c r="S627" s="425">
        <f>IF(OR(R627="",L627="Passed"),"",IF(R627&lt;=TODAY(),"DUE",IF(R627&lt;=TODAY()+3,"Next 3 Days","Later")))</f>
        <v/>
      </c>
      <c r="T627" s="425" t="inlineStr"/>
      <c r="U627" s="426" t="inlineStr">
        <is>
          <t>linkedin.com/in/deborahbjackson</t>
        </is>
      </c>
      <c r="V627" s="426" t="inlineStr"/>
      <c r="W627" s="428" t="inlineStr">
        <is>
          <t xml:space="preserve"> | 12/04/2025 | form submitted online</t>
        </is>
      </c>
      <c r="X627" s="425" t="inlineStr">
        <is>
          <t>John - Investor Contacts!546</t>
        </is>
      </c>
      <c r="Y627" s="426" t="inlineStr">
        <is>
          <t>Send next follow-up with traction + CTA</t>
        </is>
      </c>
      <c r="Z627" s="425" t="n">
        <v>7</v>
      </c>
      <c r="AA627" s="425">
        <f>IF(AC627="Archived",0,ROUND((IF(N627="Tier 1",35,IF(N627="Tier 2",20,8))+IF(C627="Financial Investor",15,IF(C627="Intermediary / Banker",12,8))+IF(L627="Term Sheet / Proposal",25,IF(L627="Engaged",20,IF(L627="Meeting Requested",18,IF(L627="Meeting Held",14,IF(L627="Follow Up",10,5)))))+MIN(Q627,30)+IF(S627="DUE",15,IF(S627="Next 3 Days",8,0))),0))</f>
        <v/>
      </c>
      <c r="AB627" s="425">
        <f>IF(AND(AC627="Active",OR(N627="Tier 1",N627="Tier 2"),OR(S627="DUE",S627="Next 3 Days")),"YES","")</f>
        <v/>
      </c>
      <c r="AC627" s="425">
        <f>IF(L627="Passed","Archived","Active")</f>
        <v/>
      </c>
    </row>
    <row r="628">
      <c r="A628" s="425" t="inlineStr">
        <is>
          <t>EXOS-0627</t>
        </is>
      </c>
      <c r="B628" s="425" t="inlineStr">
        <is>
          <t>John - Investor Contacts</t>
        </is>
      </c>
      <c r="C628" s="425" t="inlineStr">
        <is>
          <t>Financial Investor</t>
        </is>
      </c>
      <c r="D628" s="425" t="inlineStr">
        <is>
          <t>Plum Valley</t>
        </is>
      </c>
      <c r="E628" s="425" t="inlineStr">
        <is>
          <t>Nate Wang</t>
        </is>
      </c>
      <c r="F628" s="425" t="inlineStr"/>
      <c r="G628" s="111" t="inlineStr">
        <is>
          <t>nate@plumalley.co</t>
        </is>
      </c>
      <c r="H628" s="425" t="inlineStr"/>
      <c r="I628" s="425" t="inlineStr"/>
      <c r="J628" s="425" t="inlineStr"/>
      <c r="K628" s="426" t="inlineStr">
        <is>
          <t>John Quinn</t>
        </is>
      </c>
      <c r="L628" s="426" t="inlineStr">
        <is>
          <t>Follow Up</t>
        </is>
      </c>
      <c r="M628" s="425" t="inlineStr">
        <is>
          <t>Space / Defense / Aerospace / Advanced Manufacturing</t>
        </is>
      </c>
      <c r="N628" s="426" t="inlineStr">
        <is>
          <t>Tier 2</t>
        </is>
      </c>
      <c r="O628" s="441" t="n">
        <v>45896</v>
      </c>
      <c r="P628" s="441" t="n">
        <v>45924</v>
      </c>
      <c r="Q628" s="425">
        <f>IF(P628="","",TODAY()-P628)</f>
        <v/>
      </c>
      <c r="R628" s="441">
        <f>IF(OR(L628="Passed",Z628=""),"",P628+Z628)</f>
        <v/>
      </c>
      <c r="S628" s="425">
        <f>IF(OR(R628="",L628="Passed"),"",IF(R628&lt;=TODAY(),"DUE",IF(R628&lt;=TODAY()+3,"Next 3 Days","Later")))</f>
        <v/>
      </c>
      <c r="T628" s="425" t="inlineStr"/>
      <c r="U628" s="426" t="inlineStr"/>
      <c r="V628" s="426" t="inlineStr"/>
      <c r="W628" s="428" t="inlineStr">
        <is>
          <t xml:space="preserve"> | 12/04/2025 | </t>
        </is>
      </c>
      <c r="X628" s="425" t="inlineStr">
        <is>
          <t>John - Investor Contacts!548</t>
        </is>
      </c>
      <c r="Y628" s="426" t="inlineStr">
        <is>
          <t>Send next follow-up with traction + CTA</t>
        </is>
      </c>
      <c r="Z628" s="425" t="n">
        <v>7</v>
      </c>
      <c r="AA628" s="425">
        <f>IF(AC628="Archived",0,ROUND((IF(N628="Tier 1",35,IF(N628="Tier 2",20,8))+IF(C628="Financial Investor",15,IF(C628="Intermediary / Banker",12,8))+IF(L628="Term Sheet / Proposal",25,IF(L628="Engaged",20,IF(L628="Meeting Requested",18,IF(L628="Meeting Held",14,IF(L628="Follow Up",10,5)))))+MIN(Q628,30)+IF(S628="DUE",15,IF(S628="Next 3 Days",8,0))),0))</f>
        <v/>
      </c>
      <c r="AB628" s="425">
        <f>IF(AND(AC628="Active",OR(N628="Tier 1",N628="Tier 2"),OR(S628="DUE",S628="Next 3 Days")),"YES","")</f>
        <v/>
      </c>
      <c r="AC628" s="425">
        <f>IF(L628="Passed","Archived","Active")</f>
        <v/>
      </c>
    </row>
    <row r="629">
      <c r="A629" s="425" t="inlineStr">
        <is>
          <t>EXOS-0628</t>
        </is>
      </c>
      <c r="B629" s="425" t="inlineStr">
        <is>
          <t>John - Investor Contacts</t>
        </is>
      </c>
      <c r="C629" s="425" t="inlineStr">
        <is>
          <t>Financial Investor</t>
        </is>
      </c>
      <c r="D629" s="425" t="inlineStr">
        <is>
          <t>Point 72</t>
        </is>
      </c>
      <c r="E629" s="425" t="inlineStr">
        <is>
          <t>Chris Morales</t>
        </is>
      </c>
      <c r="F629" s="425" t="inlineStr"/>
      <c r="G629" s="111" t="inlineStr">
        <is>
          <t>chris@p72.vc</t>
        </is>
      </c>
      <c r="H629" s="425" t="inlineStr"/>
      <c r="I629" s="425" t="inlineStr"/>
      <c r="J629" s="425" t="inlineStr"/>
      <c r="K629" s="426" t="inlineStr">
        <is>
          <t>John Quinn</t>
        </is>
      </c>
      <c r="L629" s="426" t="inlineStr">
        <is>
          <t>Follow Up</t>
        </is>
      </c>
      <c r="M629" s="425" t="inlineStr">
        <is>
          <t>Space / Defense / Aerospace / Advanced Manufacturing</t>
        </is>
      </c>
      <c r="N629" s="426" t="inlineStr">
        <is>
          <t>Tier 2</t>
        </is>
      </c>
      <c r="O629" s="441" t="n">
        <v>45909</v>
      </c>
      <c r="P629" s="441" t="n">
        <v>45973</v>
      </c>
      <c r="Q629" s="425">
        <f>IF(P629="","",TODAY()-P629)</f>
        <v/>
      </c>
      <c r="R629" s="441">
        <f>IF(OR(L629="Passed",Z629=""),"",P629+Z629)</f>
        <v/>
      </c>
      <c r="S629" s="425">
        <f>IF(OR(R629="",L629="Passed"),"",IF(R629&lt;=TODAY(),"DUE",IF(R629&lt;=TODAY()+3,"Next 3 Days","Later")))</f>
        <v/>
      </c>
      <c r="T629" s="425" t="inlineStr"/>
      <c r="U629" s="426" t="inlineStr">
        <is>
          <t>linkedin.com/in/chrisjmorales</t>
        </is>
      </c>
      <c r="V629" s="426" t="inlineStr"/>
      <c r="W629" s="428" t="inlineStr">
        <is>
          <t xml:space="preserve"> | 12/15/2025 | </t>
        </is>
      </c>
      <c r="X629" s="425" t="inlineStr">
        <is>
          <t>John - Investor Contacts!648</t>
        </is>
      </c>
      <c r="Y629" s="426" t="inlineStr">
        <is>
          <t>Send next follow-up with traction + CTA</t>
        </is>
      </c>
      <c r="Z629" s="425" t="n">
        <v>7</v>
      </c>
      <c r="AA629" s="425">
        <f>IF(AC629="Archived",0,ROUND((IF(N629="Tier 1",35,IF(N629="Tier 2",20,8))+IF(C629="Financial Investor",15,IF(C629="Intermediary / Banker",12,8))+IF(L629="Term Sheet / Proposal",25,IF(L629="Engaged",20,IF(L629="Meeting Requested",18,IF(L629="Meeting Held",14,IF(L629="Follow Up",10,5)))))+MIN(Q629,30)+IF(S629="DUE",15,IF(S629="Next 3 Days",8,0))),0))</f>
        <v/>
      </c>
      <c r="AB629" s="425">
        <f>IF(AND(AC629="Active",OR(N629="Tier 1",N629="Tier 2"),OR(S629="DUE",S629="Next 3 Days")),"YES","")</f>
        <v/>
      </c>
      <c r="AC629" s="425">
        <f>IF(L629="Passed","Archived","Active")</f>
        <v/>
      </c>
    </row>
    <row r="630">
      <c r="A630" s="425" t="inlineStr">
        <is>
          <t>EXOS-0629</t>
        </is>
      </c>
      <c r="B630" s="425" t="inlineStr">
        <is>
          <t>John - Investor Contacts</t>
        </is>
      </c>
      <c r="C630" s="425" t="inlineStr">
        <is>
          <t>Financial Investor</t>
        </is>
      </c>
      <c r="D630" s="425" t="inlineStr">
        <is>
          <t>Point 72</t>
        </is>
      </c>
      <c r="E630" s="425" t="inlineStr">
        <is>
          <t>Daniel Gwak</t>
        </is>
      </c>
      <c r="F630" s="425" t="inlineStr"/>
      <c r="G630" s="111" t="inlineStr">
        <is>
          <t>daniel.gwak@p72.vc</t>
        </is>
      </c>
      <c r="H630" s="425" t="inlineStr"/>
      <c r="I630" s="425" t="inlineStr"/>
      <c r="J630" s="111" t="inlineStr">
        <is>
          <t>https://www.linkedin.com/in/danielgwak/</t>
        </is>
      </c>
      <c r="K630" s="426" t="inlineStr">
        <is>
          <t>John Quinn</t>
        </is>
      </c>
      <c r="L630" s="426" t="inlineStr">
        <is>
          <t>Follow Up</t>
        </is>
      </c>
      <c r="M630" s="425" t="inlineStr">
        <is>
          <t>Space / Defense / Aerospace / Advanced Manufacturing</t>
        </is>
      </c>
      <c r="N630" s="426" t="inlineStr">
        <is>
          <t>Tier 2</t>
        </is>
      </c>
      <c r="O630" s="441" t="n">
        <v>45909</v>
      </c>
      <c r="P630" s="441" t="n">
        <v>45973</v>
      </c>
      <c r="Q630" s="425">
        <f>IF(P630="","",TODAY()-P630)</f>
        <v/>
      </c>
      <c r="R630" s="441">
        <f>IF(OR(L630="Passed",Z630=""),"",P630+Z630)</f>
        <v/>
      </c>
      <c r="S630" s="425">
        <f>IF(OR(R630="",L630="Passed"),"",IF(R630&lt;=TODAY(),"DUE",IF(R630&lt;=TODAY()+3,"Next 3 Days","Later")))</f>
        <v/>
      </c>
      <c r="T630" s="425" t="inlineStr"/>
      <c r="U630" s="426" t="inlineStr">
        <is>
          <t>https://www.linkedin.com/in/danielgwak/</t>
        </is>
      </c>
      <c r="V630" s="426" t="inlineStr"/>
      <c r="W630" s="428" t="inlineStr">
        <is>
          <t xml:space="preserve"> | 12/15/2025 | </t>
        </is>
      </c>
      <c r="X630" s="425" t="inlineStr">
        <is>
          <t>John - Investor Contacts!651</t>
        </is>
      </c>
      <c r="Y630" s="426" t="inlineStr">
        <is>
          <t>Send next follow-up with traction + CTA</t>
        </is>
      </c>
      <c r="Z630" s="425" t="n">
        <v>7</v>
      </c>
      <c r="AA630" s="425">
        <f>IF(AC630="Archived",0,ROUND((IF(N630="Tier 1",35,IF(N630="Tier 2",20,8))+IF(C630="Financial Investor",15,IF(C630="Intermediary / Banker",12,8))+IF(L630="Term Sheet / Proposal",25,IF(L630="Engaged",20,IF(L630="Meeting Requested",18,IF(L630="Meeting Held",14,IF(L630="Follow Up",10,5)))))+MIN(Q630,30)+IF(S630="DUE",15,IF(S630="Next 3 Days",8,0))),0))</f>
        <v/>
      </c>
      <c r="AB630" s="425">
        <f>IF(AND(AC630="Active",OR(N630="Tier 1",N630="Tier 2"),OR(S630="DUE",S630="Next 3 Days")),"YES","")</f>
        <v/>
      </c>
      <c r="AC630" s="425">
        <f>IF(L630="Passed","Archived","Active")</f>
        <v/>
      </c>
    </row>
    <row r="631">
      <c r="A631" s="425" t="inlineStr">
        <is>
          <t>EXOS-0630</t>
        </is>
      </c>
      <c r="B631" s="425" t="inlineStr">
        <is>
          <t>John - Investor Contacts</t>
        </is>
      </c>
      <c r="C631" s="425" t="inlineStr">
        <is>
          <t>Financial Investor</t>
        </is>
      </c>
      <c r="D631" s="425" t="inlineStr">
        <is>
          <t>Point 72</t>
        </is>
      </c>
      <c r="E631" s="425" t="inlineStr">
        <is>
          <t>Sri Chandrasekar</t>
        </is>
      </c>
      <c r="F631" s="425" t="inlineStr"/>
      <c r="G631" s="111" t="inlineStr">
        <is>
          <t>sri@p72.vc</t>
        </is>
      </c>
      <c r="H631" s="425" t="inlineStr"/>
      <c r="I631" s="425" t="inlineStr"/>
      <c r="J631" s="111" t="inlineStr">
        <is>
          <t>https://www.linkedin.com/in/srichandrasekar/</t>
        </is>
      </c>
      <c r="K631" s="426" t="inlineStr">
        <is>
          <t>John Quinn</t>
        </is>
      </c>
      <c r="L631" s="426" t="inlineStr">
        <is>
          <t>Follow Up</t>
        </is>
      </c>
      <c r="M631" s="425" t="inlineStr">
        <is>
          <t>Space / Defense / Aerospace / Advanced Manufacturing</t>
        </is>
      </c>
      <c r="N631" s="426" t="inlineStr">
        <is>
          <t>Tier 2</t>
        </is>
      </c>
      <c r="O631" s="441" t="n">
        <v>45909</v>
      </c>
      <c r="P631" s="441" t="n">
        <v>45973</v>
      </c>
      <c r="Q631" s="425">
        <f>IF(P631="","",TODAY()-P631)</f>
        <v/>
      </c>
      <c r="R631" s="441">
        <f>IF(OR(L631="Passed",Z631=""),"",P631+Z631)</f>
        <v/>
      </c>
      <c r="S631" s="425">
        <f>IF(OR(R631="",L631="Passed"),"",IF(R631&lt;=TODAY(),"DUE",IF(R631&lt;=TODAY()+3,"Next 3 Days","Later")))</f>
        <v/>
      </c>
      <c r="T631" s="425" t="inlineStr"/>
      <c r="U631" s="426" t="inlineStr">
        <is>
          <t>https://www.linkedin.com/in/srichandrasekar/</t>
        </is>
      </c>
      <c r="V631" s="426" t="inlineStr"/>
      <c r="W631" s="428" t="inlineStr">
        <is>
          <t xml:space="preserve"> | 12/15/2025 | </t>
        </is>
      </c>
      <c r="X631" s="425" t="inlineStr">
        <is>
          <t>John - Investor Contacts!650</t>
        </is>
      </c>
      <c r="Y631" s="426" t="inlineStr">
        <is>
          <t>Send next follow-up with traction + CTA</t>
        </is>
      </c>
      <c r="Z631" s="425" t="n">
        <v>7</v>
      </c>
      <c r="AA631" s="425">
        <f>IF(AC631="Archived",0,ROUND((IF(N631="Tier 1",35,IF(N631="Tier 2",20,8))+IF(C631="Financial Investor",15,IF(C631="Intermediary / Banker",12,8))+IF(L631="Term Sheet / Proposal",25,IF(L631="Engaged",20,IF(L631="Meeting Requested",18,IF(L631="Meeting Held",14,IF(L631="Follow Up",10,5)))))+MIN(Q631,30)+IF(S631="DUE",15,IF(S631="Next 3 Days",8,0))),0))</f>
        <v/>
      </c>
      <c r="AB631" s="425">
        <f>IF(AND(AC631="Active",OR(N631="Tier 1",N631="Tier 2"),OR(S631="DUE",S631="Next 3 Days")),"YES","")</f>
        <v/>
      </c>
      <c r="AC631" s="425">
        <f>IF(L631="Passed","Archived","Active")</f>
        <v/>
      </c>
    </row>
    <row r="632">
      <c r="A632" s="425" t="inlineStr">
        <is>
          <t>EXOS-0631</t>
        </is>
      </c>
      <c r="B632" s="425" t="inlineStr">
        <is>
          <t>John - Investor Contacts</t>
        </is>
      </c>
      <c r="C632" s="425" t="inlineStr">
        <is>
          <t>Financial Investor</t>
        </is>
      </c>
      <c r="D632" s="425" t="inlineStr">
        <is>
          <t>Point 72</t>
        </is>
      </c>
      <c r="E632" s="425" t="inlineStr">
        <is>
          <t>Tripp Shriner</t>
        </is>
      </c>
      <c r="F632" s="425" t="inlineStr"/>
      <c r="G632" s="111" t="inlineStr">
        <is>
          <t>tripp@p72.vc</t>
        </is>
      </c>
      <c r="H632" s="425" t="inlineStr"/>
      <c r="I632" s="425" t="inlineStr"/>
      <c r="J632" s="111" t="inlineStr">
        <is>
          <t>https://www.linkedin.com/in/trippshriner/</t>
        </is>
      </c>
      <c r="K632" s="426" t="inlineStr">
        <is>
          <t>John Quinn</t>
        </is>
      </c>
      <c r="L632" s="426" t="inlineStr">
        <is>
          <t>Follow Up</t>
        </is>
      </c>
      <c r="M632" s="425" t="inlineStr">
        <is>
          <t>Space / Defense / Aerospace / Advanced Manufacturing</t>
        </is>
      </c>
      <c r="N632" s="426" t="inlineStr">
        <is>
          <t>Tier 2</t>
        </is>
      </c>
      <c r="O632" s="441" t="n">
        <v>45909</v>
      </c>
      <c r="P632" s="441" t="n">
        <v>45973</v>
      </c>
      <c r="Q632" s="425">
        <f>IF(P632="","",TODAY()-P632)</f>
        <v/>
      </c>
      <c r="R632" s="441">
        <f>IF(OR(L632="Passed",Z632=""),"",P632+Z632)</f>
        <v/>
      </c>
      <c r="S632" s="425">
        <f>IF(OR(R632="",L632="Passed"),"",IF(R632&lt;=TODAY(),"DUE",IF(R632&lt;=TODAY()+3,"Next 3 Days","Later")))</f>
        <v/>
      </c>
      <c r="T632" s="425" t="inlineStr"/>
      <c r="U632" s="426" t="inlineStr">
        <is>
          <t>https://www.linkedin.com/in/trippshriner/</t>
        </is>
      </c>
      <c r="V632" s="426" t="inlineStr"/>
      <c r="W632" s="428" t="inlineStr">
        <is>
          <t xml:space="preserve"> | 12/15/2025 | </t>
        </is>
      </c>
      <c r="X632" s="425" t="inlineStr">
        <is>
          <t>John - Investor Contacts!649</t>
        </is>
      </c>
      <c r="Y632" s="426" t="inlineStr">
        <is>
          <t>Send next follow-up with traction + CTA</t>
        </is>
      </c>
      <c r="Z632" s="425" t="n">
        <v>7</v>
      </c>
      <c r="AA632" s="425">
        <f>IF(AC632="Archived",0,ROUND((IF(N632="Tier 1",35,IF(N632="Tier 2",20,8))+IF(C632="Financial Investor",15,IF(C632="Intermediary / Banker",12,8))+IF(L632="Term Sheet / Proposal",25,IF(L632="Engaged",20,IF(L632="Meeting Requested",18,IF(L632="Meeting Held",14,IF(L632="Follow Up",10,5)))))+MIN(Q632,30)+IF(S632="DUE",15,IF(S632="Next 3 Days",8,0))),0))</f>
        <v/>
      </c>
      <c r="AB632" s="425">
        <f>IF(AND(AC632="Active",OR(N632="Tier 1",N632="Tier 2"),OR(S632="DUE",S632="Next 3 Days")),"YES","")</f>
        <v/>
      </c>
      <c r="AC632" s="425">
        <f>IF(L632="Passed","Archived","Active")</f>
        <v/>
      </c>
    </row>
    <row r="633">
      <c r="A633" s="425" t="inlineStr">
        <is>
          <t>EXOS-0632</t>
        </is>
      </c>
      <c r="B633" s="425" t="inlineStr">
        <is>
          <t>John - Investor Contacts</t>
        </is>
      </c>
      <c r="C633" s="425" t="inlineStr">
        <is>
          <t>Financial Investor</t>
        </is>
      </c>
      <c r="D633" s="425" t="inlineStr">
        <is>
          <t>Pomifer Capital</t>
        </is>
      </c>
      <c r="E633" s="425" t="inlineStr">
        <is>
          <t>Juan Diego Briceño</t>
        </is>
      </c>
      <c r="F633" s="425" t="inlineStr"/>
      <c r="G633" s="111" t="inlineStr">
        <is>
          <t>jdb@pomifercapital.com</t>
        </is>
      </c>
      <c r="H633" s="425" t="inlineStr"/>
      <c r="I633" s="425" t="inlineStr"/>
      <c r="J633" s="111" t="inlineStr">
        <is>
          <t>https://www.linkedin.com/in/bricenojd/</t>
        </is>
      </c>
      <c r="K633" s="426" t="inlineStr">
        <is>
          <t>John Quinn</t>
        </is>
      </c>
      <c r="L633" s="426" t="inlineStr">
        <is>
          <t>Follow Up</t>
        </is>
      </c>
      <c r="M633" s="425" t="inlineStr">
        <is>
          <t>Space / Defense / Aerospace / Advanced Manufacturing</t>
        </is>
      </c>
      <c r="N633" s="426" t="inlineStr">
        <is>
          <t>Tier 2</t>
        </is>
      </c>
      <c r="O633" s="441" t="n">
        <v>45813</v>
      </c>
      <c r="P633" s="441" t="n">
        <v>45841</v>
      </c>
      <c r="Q633" s="425">
        <f>IF(P633="","",TODAY()-P633)</f>
        <v/>
      </c>
      <c r="R633" s="441">
        <f>IF(OR(L633="Passed",Z633=""),"",P633+Z633)</f>
        <v/>
      </c>
      <c r="S633" s="425">
        <f>IF(OR(R633="",L633="Passed"),"",IF(R633&lt;=TODAY(),"DUE",IF(R633&lt;=TODAY()+3,"Next 3 Days","Later")))</f>
        <v/>
      </c>
      <c r="T633" s="425" t="inlineStr"/>
      <c r="U633" s="426" t="inlineStr">
        <is>
          <t>https://www.linkedin.com/in/bricenojd/</t>
        </is>
      </c>
      <c r="V633" s="426" t="inlineStr"/>
      <c r="W633" s="428" t="inlineStr">
        <is>
          <t xml:space="preserve"> |  | </t>
        </is>
      </c>
      <c r="X633" s="425" t="inlineStr">
        <is>
          <t>John - Investor Contacts!124</t>
        </is>
      </c>
      <c r="Y633" s="426" t="inlineStr">
        <is>
          <t>Send next follow-up with traction + CTA</t>
        </is>
      </c>
      <c r="Z633" s="425" t="n">
        <v>7</v>
      </c>
      <c r="AA633" s="425">
        <f>IF(AC633="Archived",0,ROUND((IF(N633="Tier 1",35,IF(N633="Tier 2",20,8))+IF(C633="Financial Investor",15,IF(C633="Intermediary / Banker",12,8))+IF(L633="Term Sheet / Proposal",25,IF(L633="Engaged",20,IF(L633="Meeting Requested",18,IF(L633="Meeting Held",14,IF(L633="Follow Up",10,5)))))+MIN(Q633,30)+IF(S633="DUE",15,IF(S633="Next 3 Days",8,0))),0))</f>
        <v/>
      </c>
      <c r="AB633" s="425">
        <f>IF(AND(AC633="Active",OR(N633="Tier 1",N633="Tier 2"),OR(S633="DUE",S633="Next 3 Days")),"YES","")</f>
        <v/>
      </c>
      <c r="AC633" s="425">
        <f>IF(L633="Passed","Archived","Active")</f>
        <v/>
      </c>
    </row>
    <row r="634">
      <c r="A634" s="425" t="inlineStr">
        <is>
          <t>EXOS-0633</t>
        </is>
      </c>
      <c r="B634" s="425" t="inlineStr">
        <is>
          <t>John - Investor Contacts</t>
        </is>
      </c>
      <c r="C634" s="425" t="inlineStr">
        <is>
          <t>Financial Investor</t>
        </is>
      </c>
      <c r="D634" s="425" t="inlineStr">
        <is>
          <t>Pomifer Capital</t>
        </is>
      </c>
      <c r="E634" s="425" t="inlineStr">
        <is>
          <t>Peter Teneriello</t>
        </is>
      </c>
      <c r="F634" s="425" t="inlineStr"/>
      <c r="G634" s="111" t="inlineStr">
        <is>
          <t>pt@pomifercapital.com</t>
        </is>
      </c>
      <c r="H634" s="425" t="inlineStr"/>
      <c r="I634" s="425" t="inlineStr"/>
      <c r="J634" s="111" t="inlineStr">
        <is>
          <t>https://www.linkedin.com/in/peterteneriello/</t>
        </is>
      </c>
      <c r="K634" s="426" t="inlineStr">
        <is>
          <t>John Quinn</t>
        </is>
      </c>
      <c r="L634" s="426" t="inlineStr">
        <is>
          <t>Follow Up</t>
        </is>
      </c>
      <c r="M634" s="425" t="inlineStr">
        <is>
          <t>Space / Defense / Aerospace / Advanced Manufacturing</t>
        </is>
      </c>
      <c r="N634" s="426" t="inlineStr">
        <is>
          <t>Tier 2</t>
        </is>
      </c>
      <c r="O634" s="441" t="n">
        <v>45813</v>
      </c>
      <c r="P634" s="441" t="n">
        <v>45841</v>
      </c>
      <c r="Q634" s="425">
        <f>IF(P634="","",TODAY()-P634)</f>
        <v/>
      </c>
      <c r="R634" s="441">
        <f>IF(OR(L634="Passed",Z634=""),"",P634+Z634)</f>
        <v/>
      </c>
      <c r="S634" s="425">
        <f>IF(OR(R634="",L634="Passed"),"",IF(R634&lt;=TODAY(),"DUE",IF(R634&lt;=TODAY()+3,"Next 3 Days","Later")))</f>
        <v/>
      </c>
      <c r="T634" s="425" t="inlineStr"/>
      <c r="U634" s="426" t="inlineStr">
        <is>
          <t>https://www.linkedin.com/in/peterteneriello/</t>
        </is>
      </c>
      <c r="V634" s="426" t="inlineStr"/>
      <c r="W634" s="428" t="inlineStr">
        <is>
          <t xml:space="preserve"> |  | </t>
        </is>
      </c>
      <c r="X634" s="425" t="inlineStr">
        <is>
          <t>John - Investor Contacts!125</t>
        </is>
      </c>
      <c r="Y634" s="426" t="inlineStr">
        <is>
          <t>Send next follow-up with traction + CTA</t>
        </is>
      </c>
      <c r="Z634" s="425" t="n">
        <v>7</v>
      </c>
      <c r="AA634" s="425">
        <f>IF(AC634="Archived",0,ROUND((IF(N634="Tier 1",35,IF(N634="Tier 2",20,8))+IF(C634="Financial Investor",15,IF(C634="Intermediary / Banker",12,8))+IF(L634="Term Sheet / Proposal",25,IF(L634="Engaged",20,IF(L634="Meeting Requested",18,IF(L634="Meeting Held",14,IF(L634="Follow Up",10,5)))))+MIN(Q634,30)+IF(S634="DUE",15,IF(S634="Next 3 Days",8,0))),0))</f>
        <v/>
      </c>
      <c r="AB634" s="425">
        <f>IF(AND(AC634="Active",OR(N634="Tier 1",N634="Tier 2"),OR(S634="DUE",S634="Next 3 Days")),"YES","")</f>
        <v/>
      </c>
      <c r="AC634" s="425">
        <f>IF(L634="Passed","Archived","Active")</f>
        <v/>
      </c>
    </row>
    <row r="635">
      <c r="A635" s="425" t="inlineStr">
        <is>
          <t>EXOS-0634</t>
        </is>
      </c>
      <c r="B635" s="425" t="inlineStr">
        <is>
          <t>John - Investor Contacts</t>
        </is>
      </c>
      <c r="C635" s="425" t="inlineStr">
        <is>
          <t>Financial Investor</t>
        </is>
      </c>
      <c r="D635" s="425" t="inlineStr">
        <is>
          <t>Poplar Ventures</t>
        </is>
      </c>
      <c r="E635" s="425" t="inlineStr">
        <is>
          <t>John Willmoth</t>
        </is>
      </c>
      <c r="F635" s="425" t="inlineStr"/>
      <c r="G635" s="111" t="inlineStr">
        <is>
          <t>john@poplarventures.com</t>
        </is>
      </c>
      <c r="H635" s="425" t="inlineStr"/>
      <c r="I635" s="425" t="inlineStr"/>
      <c r="J635" s="111" t="inlineStr">
        <is>
          <t>https://www.linkedin.com/in/john-willmoth-91a7195/</t>
        </is>
      </c>
      <c r="K635" s="426" t="inlineStr">
        <is>
          <t>John Quinn</t>
        </is>
      </c>
      <c r="L635" s="426" t="inlineStr">
        <is>
          <t>Follow Up</t>
        </is>
      </c>
      <c r="M635" s="425" t="inlineStr">
        <is>
          <t>Space / Defense / Aerospace / Advanced Manufacturing</t>
        </is>
      </c>
      <c r="N635" s="426" t="inlineStr">
        <is>
          <t>Tier 2</t>
        </is>
      </c>
      <c r="O635" s="441" t="n">
        <v>45903</v>
      </c>
      <c r="P635" s="441" t="n">
        <v>45972</v>
      </c>
      <c r="Q635" s="425">
        <f>IF(P635="","",TODAY()-P635)</f>
        <v/>
      </c>
      <c r="R635" s="441">
        <f>IF(OR(L635="Passed",Z635=""),"",P635+Z635)</f>
        <v/>
      </c>
      <c r="S635" s="425">
        <f>IF(OR(R635="",L635="Passed"),"",IF(R635&lt;=TODAY(),"DUE",IF(R635&lt;=TODAY()+3,"Next 3 Days","Later")))</f>
        <v/>
      </c>
      <c r="T635" s="425" t="inlineStr"/>
      <c r="U635" s="426" t="inlineStr">
        <is>
          <t>https://www.linkedin.com/in/john-willmoth-91a7195/</t>
        </is>
      </c>
      <c r="V635" s="426" t="inlineStr"/>
      <c r="W635" s="428" t="inlineStr">
        <is>
          <t xml:space="preserve"> | 12/05/2025 | </t>
        </is>
      </c>
      <c r="X635" s="425" t="inlineStr">
        <is>
          <t>John - Investor Contacts!602</t>
        </is>
      </c>
      <c r="Y635" s="426" t="inlineStr">
        <is>
          <t>Send next follow-up with traction + CTA</t>
        </is>
      </c>
      <c r="Z635" s="425" t="n">
        <v>7</v>
      </c>
      <c r="AA635" s="425">
        <f>IF(AC635="Archived",0,ROUND((IF(N635="Tier 1",35,IF(N635="Tier 2",20,8))+IF(C635="Financial Investor",15,IF(C635="Intermediary / Banker",12,8))+IF(L635="Term Sheet / Proposal",25,IF(L635="Engaged",20,IF(L635="Meeting Requested",18,IF(L635="Meeting Held",14,IF(L635="Follow Up",10,5)))))+MIN(Q635,30)+IF(S635="DUE",15,IF(S635="Next 3 Days",8,0))),0))</f>
        <v/>
      </c>
      <c r="AB635" s="425">
        <f>IF(AND(AC635="Active",OR(N635="Tier 1",N635="Tier 2"),OR(S635="DUE",S635="Next 3 Days")),"YES","")</f>
        <v/>
      </c>
      <c r="AC635" s="425">
        <f>IF(L635="Passed","Archived","Active")</f>
        <v/>
      </c>
    </row>
    <row r="636">
      <c r="A636" s="425" t="inlineStr">
        <is>
          <t>EXOS-0635</t>
        </is>
      </c>
      <c r="B636" s="425" t="inlineStr">
        <is>
          <t>John - Investor Contacts</t>
        </is>
      </c>
      <c r="C636" s="425" t="inlineStr">
        <is>
          <t>Financial Investor</t>
        </is>
      </c>
      <c r="D636" s="425" t="inlineStr">
        <is>
          <t>Presidio Ventures</t>
        </is>
      </c>
      <c r="E636" s="425" t="inlineStr">
        <is>
          <t>Tyler Schinto</t>
        </is>
      </c>
      <c r="F636" s="425" t="inlineStr"/>
      <c r="G636" s="111" t="inlineStr">
        <is>
          <t>schinto@presidio-ventures.com</t>
        </is>
      </c>
      <c r="H636" s="425" t="inlineStr"/>
      <c r="I636" s="425" t="inlineStr"/>
      <c r="J636" s="425" t="inlineStr"/>
      <c r="K636" s="426" t="inlineStr">
        <is>
          <t>John Quinn</t>
        </is>
      </c>
      <c r="L636" s="426" t="inlineStr">
        <is>
          <t>Follow Up</t>
        </is>
      </c>
      <c r="M636" s="425" t="inlineStr">
        <is>
          <t>Space / Defense / Aerospace / Advanced Manufacturing</t>
        </is>
      </c>
      <c r="N636" s="426" t="inlineStr">
        <is>
          <t>Tier 2</t>
        </is>
      </c>
      <c r="O636" s="441" t="n">
        <v>45894</v>
      </c>
      <c r="P636" s="441" t="n">
        <v>45924</v>
      </c>
      <c r="Q636" s="425">
        <f>IF(P636="","",TODAY()-P636)</f>
        <v/>
      </c>
      <c r="R636" s="441">
        <f>IF(OR(L636="Passed",Z636=""),"",P636+Z636)</f>
        <v/>
      </c>
      <c r="S636" s="425">
        <f>IF(OR(R636="",L636="Passed"),"",IF(R636&lt;=TODAY(),"DUE",IF(R636&lt;=TODAY()+3,"Next 3 Days","Later")))</f>
        <v/>
      </c>
      <c r="T636" s="425" t="inlineStr"/>
      <c r="U636" s="426" t="inlineStr">
        <is>
          <t>linkedin.com/in/tylerschinto</t>
        </is>
      </c>
      <c r="V636" s="426" t="inlineStr"/>
      <c r="W636" s="428" t="inlineStr">
        <is>
          <t xml:space="preserve"> | 12/04/2025 | </t>
        </is>
      </c>
      <c r="X636" s="425" t="inlineStr">
        <is>
          <t>John - Investor Contacts!535</t>
        </is>
      </c>
      <c r="Y636" s="426" t="inlineStr">
        <is>
          <t>Send next follow-up with traction + CTA</t>
        </is>
      </c>
      <c r="Z636" s="425" t="n">
        <v>7</v>
      </c>
      <c r="AA636" s="425">
        <f>IF(AC636="Archived",0,ROUND((IF(N636="Tier 1",35,IF(N636="Tier 2",20,8))+IF(C636="Financial Investor",15,IF(C636="Intermediary / Banker",12,8))+IF(L636="Term Sheet / Proposal",25,IF(L636="Engaged",20,IF(L636="Meeting Requested",18,IF(L636="Meeting Held",14,IF(L636="Follow Up",10,5)))))+MIN(Q636,30)+IF(S636="DUE",15,IF(S636="Next 3 Days",8,0))),0))</f>
        <v/>
      </c>
      <c r="AB636" s="425">
        <f>IF(AND(AC636="Active",OR(N636="Tier 1",N636="Tier 2"),OR(S636="DUE",S636="Next 3 Days")),"YES","")</f>
        <v/>
      </c>
      <c r="AC636" s="425">
        <f>IF(L636="Passed","Archived","Active")</f>
        <v/>
      </c>
    </row>
    <row r="637">
      <c r="A637" s="425" t="inlineStr">
        <is>
          <t>EXOS-0636</t>
        </is>
      </c>
      <c r="B637" s="425" t="inlineStr">
        <is>
          <t>John - Investor Contacts</t>
        </is>
      </c>
      <c r="C637" s="425" t="inlineStr">
        <is>
          <t>Financial Investor</t>
        </is>
      </c>
      <c r="D637" s="425" t="inlineStr">
        <is>
          <t>Primetime Partners</t>
        </is>
      </c>
      <c r="E637" s="425" t="inlineStr">
        <is>
          <t>James Hueston</t>
        </is>
      </c>
      <c r="F637" s="425" t="inlineStr"/>
      <c r="G637" s="111" t="inlineStr">
        <is>
          <t>james@primetimepartners.com</t>
        </is>
      </c>
      <c r="H637" s="425" t="inlineStr"/>
      <c r="I637" s="425" t="inlineStr"/>
      <c r="J637" s="111" t="inlineStr">
        <is>
          <t>https://www.linkedin.com/in/james-f-hueston/</t>
        </is>
      </c>
      <c r="K637" s="426" t="inlineStr">
        <is>
          <t>John Quinn</t>
        </is>
      </c>
      <c r="L637" s="426" t="inlineStr">
        <is>
          <t>Follow Up</t>
        </is>
      </c>
      <c r="M637" s="425" t="inlineStr">
        <is>
          <t>Space / Defense / Aerospace / Advanced Manufacturing</t>
        </is>
      </c>
      <c r="N637" s="426" t="inlineStr">
        <is>
          <t>Tier 2</t>
        </is>
      </c>
      <c r="O637" s="441" t="n">
        <v>45872</v>
      </c>
      <c r="P637" s="441" t="n">
        <v>45890</v>
      </c>
      <c r="Q637" s="425">
        <f>IF(P637="","",TODAY()-P637)</f>
        <v/>
      </c>
      <c r="R637" s="441">
        <f>IF(OR(L637="Passed",Z637=""),"",P637+Z637)</f>
        <v/>
      </c>
      <c r="S637" s="425">
        <f>IF(OR(R637="",L637="Passed"),"",IF(R637&lt;=TODAY(),"DUE",IF(R637&lt;=TODAY()+3,"Next 3 Days","Later")))</f>
        <v/>
      </c>
      <c r="T637" s="425" t="inlineStr"/>
      <c r="U637" s="426" t="inlineStr">
        <is>
          <t>https://www.linkedin.com/in/james-f-hueston/</t>
        </is>
      </c>
      <c r="V637" s="426" t="inlineStr"/>
      <c r="W637" s="428" t="inlineStr">
        <is>
          <t xml:space="preserve"> | 12/29/2025 | </t>
        </is>
      </c>
      <c r="X637" s="425" t="inlineStr">
        <is>
          <t>John - Investor Contacts!444</t>
        </is>
      </c>
      <c r="Y637" s="426" t="inlineStr">
        <is>
          <t>Send next follow-up with traction + CTA</t>
        </is>
      </c>
      <c r="Z637" s="425" t="n">
        <v>7</v>
      </c>
      <c r="AA637" s="425">
        <f>IF(AC637="Archived",0,ROUND((IF(N637="Tier 1",35,IF(N637="Tier 2",20,8))+IF(C637="Financial Investor",15,IF(C637="Intermediary / Banker",12,8))+IF(L637="Term Sheet / Proposal",25,IF(L637="Engaged",20,IF(L637="Meeting Requested",18,IF(L637="Meeting Held",14,IF(L637="Follow Up",10,5)))))+MIN(Q637,30)+IF(S637="DUE",15,IF(S637="Next 3 Days",8,0))),0))</f>
        <v/>
      </c>
      <c r="AB637" s="425">
        <f>IF(AND(AC637="Active",OR(N637="Tier 1",N637="Tier 2"),OR(S637="DUE",S637="Next 3 Days")),"YES","")</f>
        <v/>
      </c>
      <c r="AC637" s="425">
        <f>IF(L637="Passed","Archived","Active")</f>
        <v/>
      </c>
    </row>
    <row r="638">
      <c r="A638" s="425" t="inlineStr">
        <is>
          <t>EXOS-0637</t>
        </is>
      </c>
      <c r="B638" s="425" t="inlineStr">
        <is>
          <t>John - Investor Contacts</t>
        </is>
      </c>
      <c r="C638" s="425" t="inlineStr">
        <is>
          <t>Financial Investor</t>
        </is>
      </c>
      <c r="D638" s="425" t="inlineStr">
        <is>
          <t>Primetime Partners</t>
        </is>
      </c>
      <c r="E638" s="425" t="inlineStr">
        <is>
          <t>Ray Jang</t>
        </is>
      </c>
      <c r="F638" s="425" t="inlineStr"/>
      <c r="G638" s="111" t="inlineStr">
        <is>
          <t>ray@primetimepartners.com</t>
        </is>
      </c>
      <c r="H638" s="425" t="inlineStr"/>
      <c r="I638" s="425" t="inlineStr"/>
      <c r="J638" s="111" t="inlineStr">
        <is>
          <t>https://www.linkedin.com/in/ray-jang/</t>
        </is>
      </c>
      <c r="K638" s="426" t="inlineStr">
        <is>
          <t>John Quinn</t>
        </is>
      </c>
      <c r="L638" s="426" t="inlineStr">
        <is>
          <t>Follow Up</t>
        </is>
      </c>
      <c r="M638" s="425" t="inlineStr">
        <is>
          <t>Space / Defense / Aerospace / Advanced Manufacturing</t>
        </is>
      </c>
      <c r="N638" s="426" t="inlineStr">
        <is>
          <t>Tier 2</t>
        </is>
      </c>
      <c r="O638" s="441" t="n">
        <v>45872</v>
      </c>
      <c r="P638" s="441" t="n">
        <v>45890</v>
      </c>
      <c r="Q638" s="425">
        <f>IF(P638="","",TODAY()-P638)</f>
        <v/>
      </c>
      <c r="R638" s="441">
        <f>IF(OR(L638="Passed",Z638=""),"",P638+Z638)</f>
        <v/>
      </c>
      <c r="S638" s="425">
        <f>IF(OR(R638="",L638="Passed"),"",IF(R638&lt;=TODAY(),"DUE",IF(R638&lt;=TODAY()+3,"Next 3 Days","Later")))</f>
        <v/>
      </c>
      <c r="T638" s="425" t="inlineStr"/>
      <c r="U638" s="426" t="inlineStr">
        <is>
          <t>https://www.linkedin.com/in/ray-jang/</t>
        </is>
      </c>
      <c r="V638" s="426" t="inlineStr"/>
      <c r="W638" s="428" t="inlineStr">
        <is>
          <t xml:space="preserve"> | 12/29/2025 | </t>
        </is>
      </c>
      <c r="X638" s="425" t="inlineStr">
        <is>
          <t>John - Investor Contacts!446</t>
        </is>
      </c>
      <c r="Y638" s="426" t="inlineStr">
        <is>
          <t>Send next follow-up with traction + CTA</t>
        </is>
      </c>
      <c r="Z638" s="425" t="n">
        <v>7</v>
      </c>
      <c r="AA638" s="425">
        <f>IF(AC638="Archived",0,ROUND((IF(N638="Tier 1",35,IF(N638="Tier 2",20,8))+IF(C638="Financial Investor",15,IF(C638="Intermediary / Banker",12,8))+IF(L638="Term Sheet / Proposal",25,IF(L638="Engaged",20,IF(L638="Meeting Requested",18,IF(L638="Meeting Held",14,IF(L638="Follow Up",10,5)))))+MIN(Q638,30)+IF(S638="DUE",15,IF(S638="Next 3 Days",8,0))),0))</f>
        <v/>
      </c>
      <c r="AB638" s="425">
        <f>IF(AND(AC638="Active",OR(N638="Tier 1",N638="Tier 2"),OR(S638="DUE",S638="Next 3 Days")),"YES","")</f>
        <v/>
      </c>
      <c r="AC638" s="425">
        <f>IF(L638="Passed","Archived","Active")</f>
        <v/>
      </c>
    </row>
    <row r="639">
      <c r="A639" s="425" t="inlineStr">
        <is>
          <t>EXOS-0638</t>
        </is>
      </c>
      <c r="B639" s="425" t="inlineStr">
        <is>
          <t>John - Investor Contacts</t>
        </is>
      </c>
      <c r="C639" s="425" t="inlineStr">
        <is>
          <t>Financial Investor</t>
        </is>
      </c>
      <c r="D639" s="425" t="inlineStr">
        <is>
          <t>Primetime Partners</t>
        </is>
      </c>
      <c r="E639" s="425" t="inlineStr">
        <is>
          <t>Zoe Zabor</t>
        </is>
      </c>
      <c r="F639" s="425" t="inlineStr"/>
      <c r="G639" s="111" t="inlineStr">
        <is>
          <t>zoe@primetimepartners.com</t>
        </is>
      </c>
      <c r="H639" s="425" t="inlineStr"/>
      <c r="I639" s="425" t="inlineStr"/>
      <c r="J639" s="111" t="inlineStr">
        <is>
          <t>https://www.linkedin.com/in/zo%C3%AB-zabor/</t>
        </is>
      </c>
      <c r="K639" s="426" t="inlineStr">
        <is>
          <t>John Quinn</t>
        </is>
      </c>
      <c r="L639" s="426" t="inlineStr">
        <is>
          <t>Follow Up</t>
        </is>
      </c>
      <c r="M639" s="425" t="inlineStr">
        <is>
          <t>Space / Defense / Aerospace / Advanced Manufacturing</t>
        </is>
      </c>
      <c r="N639" s="426" t="inlineStr">
        <is>
          <t>Tier 2</t>
        </is>
      </c>
      <c r="O639" s="441" t="n">
        <v>45872</v>
      </c>
      <c r="P639" s="441" t="n">
        <v>45890</v>
      </c>
      <c r="Q639" s="425">
        <f>IF(P639="","",TODAY()-P639)</f>
        <v/>
      </c>
      <c r="R639" s="441">
        <f>IF(OR(L639="Passed",Z639=""),"",P639+Z639)</f>
        <v/>
      </c>
      <c r="S639" s="425">
        <f>IF(OR(R639="",L639="Passed"),"",IF(R639&lt;=TODAY(),"DUE",IF(R639&lt;=TODAY()+3,"Next 3 Days","Later")))</f>
        <v/>
      </c>
      <c r="T639" s="425" t="inlineStr"/>
      <c r="U639" s="426" t="inlineStr">
        <is>
          <t>https://www.linkedin.com/in/zo%C3%AB-zabor/</t>
        </is>
      </c>
      <c r="V639" s="426" t="inlineStr"/>
      <c r="W639" s="428" t="inlineStr">
        <is>
          <t xml:space="preserve"> | 12/29/2025 | </t>
        </is>
      </c>
      <c r="X639" s="425" t="inlineStr">
        <is>
          <t>John - Investor Contacts!445</t>
        </is>
      </c>
      <c r="Y639" s="426" t="inlineStr">
        <is>
          <t>Send next follow-up with traction + CTA</t>
        </is>
      </c>
      <c r="Z639" s="425" t="n">
        <v>7</v>
      </c>
      <c r="AA639" s="425">
        <f>IF(AC639="Archived",0,ROUND((IF(N639="Tier 1",35,IF(N639="Tier 2",20,8))+IF(C639="Financial Investor",15,IF(C639="Intermediary / Banker",12,8))+IF(L639="Term Sheet / Proposal",25,IF(L639="Engaged",20,IF(L639="Meeting Requested",18,IF(L639="Meeting Held",14,IF(L639="Follow Up",10,5)))))+MIN(Q639,30)+IF(S639="DUE",15,IF(S639="Next 3 Days",8,0))),0))</f>
        <v/>
      </c>
      <c r="AB639" s="425">
        <f>IF(AND(AC639="Active",OR(N639="Tier 1",N639="Tier 2"),OR(S639="DUE",S639="Next 3 Days")),"YES","")</f>
        <v/>
      </c>
      <c r="AC639" s="425">
        <f>IF(L639="Passed","Archived","Active")</f>
        <v/>
      </c>
    </row>
    <row r="640">
      <c r="A640" s="425" t="inlineStr">
        <is>
          <t>EXOS-0639</t>
        </is>
      </c>
      <c r="B640" s="425" t="inlineStr">
        <is>
          <t>John - Investor Contacts</t>
        </is>
      </c>
      <c r="C640" s="425" t="inlineStr">
        <is>
          <t>Financial Investor</t>
        </is>
      </c>
      <c r="D640" s="425" t="inlineStr">
        <is>
          <t>Principia Growth</t>
        </is>
      </c>
      <c r="E640" s="425" t="inlineStr">
        <is>
          <t>Josh Tanzer</t>
        </is>
      </c>
      <c r="F640" s="425" t="inlineStr"/>
      <c r="G640" s="111" t="inlineStr">
        <is>
          <t>josh@principiagrowth.com</t>
        </is>
      </c>
      <c r="H640" s="425" t="inlineStr"/>
      <c r="I640" s="425" t="inlineStr"/>
      <c r="J640" s="111" t="inlineStr">
        <is>
          <t>https://www.linkedin.com/in/josh-tanzer-4a271157/</t>
        </is>
      </c>
      <c r="K640" s="426" t="inlineStr">
        <is>
          <t>John Quinn</t>
        </is>
      </c>
      <c r="L640" s="426" t="inlineStr">
        <is>
          <t>Follow Up</t>
        </is>
      </c>
      <c r="M640" s="425" t="inlineStr">
        <is>
          <t>Space / Defense / Aerospace / Advanced Manufacturing</t>
        </is>
      </c>
      <c r="N640" s="426" t="inlineStr">
        <is>
          <t>Tier 2</t>
        </is>
      </c>
      <c r="O640" s="441" t="n">
        <v>45989</v>
      </c>
      <c r="P640" s="441" t="n">
        <v>46031</v>
      </c>
      <c r="Q640" s="425">
        <f>IF(P640="","",TODAY()-P640)</f>
        <v/>
      </c>
      <c r="R640" s="441">
        <f>IF(OR(L640="Passed",Z640=""),"",P640+Z640)</f>
        <v/>
      </c>
      <c r="S640" s="425">
        <f>IF(OR(R640="",L640="Passed"),"",IF(R640&lt;=TODAY(),"DUE",IF(R640&lt;=TODAY()+3,"Next 3 Days","Later")))</f>
        <v/>
      </c>
      <c r="T640" s="425" t="inlineStr"/>
      <c r="U640" s="426" t="inlineStr">
        <is>
          <t>https://www.linkedin.com/in/josh-tanzer-4a271157/</t>
        </is>
      </c>
      <c r="V640" s="426" t="inlineStr"/>
      <c r="W640" s="428" t="inlineStr">
        <is>
          <t xml:space="preserve"> | 02/26/2026 | </t>
        </is>
      </c>
      <c r="X640" s="425" t="inlineStr">
        <is>
          <t>John - Investor Contacts!880</t>
        </is>
      </c>
      <c r="Y640" s="426" t="inlineStr">
        <is>
          <t>Send next follow-up with traction + CTA</t>
        </is>
      </c>
      <c r="Z640" s="425" t="n">
        <v>7</v>
      </c>
      <c r="AA640" s="425">
        <f>IF(AC640="Archived",0,ROUND((IF(N640="Tier 1",35,IF(N640="Tier 2",20,8))+IF(C640="Financial Investor",15,IF(C640="Intermediary / Banker",12,8))+IF(L640="Term Sheet / Proposal",25,IF(L640="Engaged",20,IF(L640="Meeting Requested",18,IF(L640="Meeting Held",14,IF(L640="Follow Up",10,5)))))+MIN(Q640,30)+IF(S640="DUE",15,IF(S640="Next 3 Days",8,0))),0))</f>
        <v/>
      </c>
      <c r="AB640" s="425">
        <f>IF(AND(AC640="Active",OR(N640="Tier 1",N640="Tier 2"),OR(S640="DUE",S640="Next 3 Days")),"YES","")</f>
        <v/>
      </c>
      <c r="AC640" s="425">
        <f>IF(L640="Passed","Archived","Active")</f>
        <v/>
      </c>
    </row>
    <row r="641">
      <c r="A641" s="425" t="inlineStr">
        <is>
          <t>EXOS-0640</t>
        </is>
      </c>
      <c r="B641" s="425" t="inlineStr">
        <is>
          <t>John - Investor Contacts</t>
        </is>
      </c>
      <c r="C641" s="425" t="inlineStr">
        <is>
          <t>Financial Investor</t>
        </is>
      </c>
      <c r="D641" s="425" t="inlineStr">
        <is>
          <t>Principia Growth</t>
        </is>
      </c>
      <c r="E641" s="425" t="inlineStr">
        <is>
          <t>Sunny Midha</t>
        </is>
      </c>
      <c r="F641" s="425" t="inlineStr"/>
      <c r="G641" s="111" t="inlineStr">
        <is>
          <t>sunny@principiagrowth.com</t>
        </is>
      </c>
      <c r="H641" s="425" t="inlineStr"/>
      <c r="I641" s="425" t="inlineStr"/>
      <c r="J641" s="425" t="inlineStr"/>
      <c r="K641" s="426" t="inlineStr">
        <is>
          <t>John Quinn</t>
        </is>
      </c>
      <c r="L641" s="426" t="inlineStr">
        <is>
          <t>Follow Up</t>
        </is>
      </c>
      <c r="M641" s="425" t="inlineStr">
        <is>
          <t>Space / Defense / Aerospace / Advanced Manufacturing</t>
        </is>
      </c>
      <c r="N641" s="426" t="inlineStr">
        <is>
          <t>Tier 2</t>
        </is>
      </c>
      <c r="O641" s="441" t="n">
        <v>45989</v>
      </c>
      <c r="P641" s="441" t="n">
        <v>46031</v>
      </c>
      <c r="Q641" s="425">
        <f>IF(P641="","",TODAY()-P641)</f>
        <v/>
      </c>
      <c r="R641" s="441">
        <f>IF(OR(L641="Passed",Z641=""),"",P641+Z641)</f>
        <v/>
      </c>
      <c r="S641" s="425">
        <f>IF(OR(R641="",L641="Passed"),"",IF(R641&lt;=TODAY(),"DUE",IF(R641&lt;=TODAY()+3,"Next 3 Days","Later")))</f>
        <v/>
      </c>
      <c r="T641" s="425" t="inlineStr"/>
      <c r="U641" s="426" t="inlineStr">
        <is>
          <t>linkedin.com/in/sunnymidha</t>
        </is>
      </c>
      <c r="V641" s="426" t="inlineStr"/>
      <c r="W641" s="428" t="inlineStr">
        <is>
          <t xml:space="preserve"> | 02/26/2026 | </t>
        </is>
      </c>
      <c r="X641" s="425" t="inlineStr">
        <is>
          <t>John - Investor Contacts!881</t>
        </is>
      </c>
      <c r="Y641" s="426" t="inlineStr">
        <is>
          <t>Send next follow-up with traction + CTA</t>
        </is>
      </c>
      <c r="Z641" s="425" t="n">
        <v>7</v>
      </c>
      <c r="AA641" s="425">
        <f>IF(AC641="Archived",0,ROUND((IF(N641="Tier 1",35,IF(N641="Tier 2",20,8))+IF(C641="Financial Investor",15,IF(C641="Intermediary / Banker",12,8))+IF(L641="Term Sheet / Proposal",25,IF(L641="Engaged",20,IF(L641="Meeting Requested",18,IF(L641="Meeting Held",14,IF(L641="Follow Up",10,5)))))+MIN(Q641,30)+IF(S641="DUE",15,IF(S641="Next 3 Days",8,0))),0))</f>
        <v/>
      </c>
      <c r="AB641" s="425">
        <f>IF(AND(AC641="Active",OR(N641="Tier 1",N641="Tier 2"),OR(S641="DUE",S641="Next 3 Days")),"YES","")</f>
        <v/>
      </c>
      <c r="AC641" s="425">
        <f>IF(L641="Passed","Archived","Active")</f>
        <v/>
      </c>
    </row>
    <row r="642">
      <c r="A642" s="425" t="inlineStr">
        <is>
          <t>EXOS-0641</t>
        </is>
      </c>
      <c r="B642" s="425" t="inlineStr">
        <is>
          <t>John - Investor Contacts</t>
        </is>
      </c>
      <c r="C642" s="425" t="inlineStr">
        <is>
          <t>Financial Investor</t>
        </is>
      </c>
      <c r="D642" s="425" t="inlineStr">
        <is>
          <t>Principle</t>
        </is>
      </c>
      <c r="E642" s="425" t="inlineStr">
        <is>
          <t>Mirasbek Kuterbekov</t>
        </is>
      </c>
      <c r="F642" s="425" t="inlineStr"/>
      <c r="G642" s="111" t="inlineStr">
        <is>
          <t>mirasbek@thia.ventures</t>
        </is>
      </c>
      <c r="H642" s="425" t="inlineStr"/>
      <c r="I642" s="425" t="inlineStr"/>
      <c r="J642" s="111" t="inlineStr">
        <is>
          <t>https://www.linkedin.com/in/mirasbek/</t>
        </is>
      </c>
      <c r="K642" s="426" t="inlineStr">
        <is>
          <t>John Quinn</t>
        </is>
      </c>
      <c r="L642" s="426" t="inlineStr">
        <is>
          <t>Follow Up</t>
        </is>
      </c>
      <c r="M642" s="425" t="inlineStr">
        <is>
          <t>Space / Defense / Aerospace / Advanced Manufacturing</t>
        </is>
      </c>
      <c r="N642" s="426" t="inlineStr">
        <is>
          <t>Tier 2</t>
        </is>
      </c>
      <c r="O642" s="441" t="n">
        <v>45974</v>
      </c>
      <c r="P642" s="441" t="n">
        <v>46037</v>
      </c>
      <c r="Q642" s="425">
        <f>IF(P642="","",TODAY()-P642)</f>
        <v/>
      </c>
      <c r="R642" s="441">
        <f>IF(OR(L642="Passed",Z642=""),"",P642+Z642)</f>
        <v/>
      </c>
      <c r="S642" s="425">
        <f>IF(OR(R642="",L642="Passed"),"",IF(R642&lt;=TODAY(),"DUE",IF(R642&lt;=TODAY()+3,"Next 3 Days","Later")))</f>
        <v/>
      </c>
      <c r="T642" s="425" t="inlineStr"/>
      <c r="U642" s="426" t="inlineStr">
        <is>
          <t>https://www.linkedin.com/in/mirasbek/</t>
        </is>
      </c>
      <c r="V642" s="426" t="inlineStr"/>
      <c r="W642" s="428" t="inlineStr">
        <is>
          <t xml:space="preserve"> |  | </t>
        </is>
      </c>
      <c r="X642" s="425" t="inlineStr">
        <is>
          <t>John - Investor Contacts!738</t>
        </is>
      </c>
      <c r="Y642" s="426" t="inlineStr">
        <is>
          <t>Send next follow-up with traction + CTA</t>
        </is>
      </c>
      <c r="Z642" s="425" t="n">
        <v>7</v>
      </c>
      <c r="AA642" s="425">
        <f>IF(AC642="Archived",0,ROUND((IF(N642="Tier 1",35,IF(N642="Tier 2",20,8))+IF(C642="Financial Investor",15,IF(C642="Intermediary / Banker",12,8))+IF(L642="Term Sheet / Proposal",25,IF(L642="Engaged",20,IF(L642="Meeting Requested",18,IF(L642="Meeting Held",14,IF(L642="Follow Up",10,5)))))+MIN(Q642,30)+IF(S642="DUE",15,IF(S642="Next 3 Days",8,0))),0))</f>
        <v/>
      </c>
      <c r="AB642" s="425">
        <f>IF(AND(AC642="Active",OR(N642="Tier 1",N642="Tier 2"),OR(S642="DUE",S642="Next 3 Days")),"YES","")</f>
        <v/>
      </c>
      <c r="AC642" s="425">
        <f>IF(L642="Passed","Archived","Active")</f>
        <v/>
      </c>
    </row>
    <row r="643">
      <c r="A643" s="425" t="inlineStr">
        <is>
          <t>EXOS-0642</t>
        </is>
      </c>
      <c r="B643" s="425" t="inlineStr">
        <is>
          <t>John - Investor Contacts</t>
        </is>
      </c>
      <c r="C643" s="425" t="inlineStr">
        <is>
          <t>Financial Investor</t>
        </is>
      </c>
      <c r="D643" s="425" t="inlineStr">
        <is>
          <t>Promus Ventures</t>
        </is>
      </c>
      <c r="E643" s="425" t="inlineStr">
        <is>
          <t>Jenny Shepherd</t>
        </is>
      </c>
      <c r="F643" s="425" t="inlineStr"/>
      <c r="G643" s="111" t="inlineStr">
        <is>
          <t>jenny@promusventures.com</t>
        </is>
      </c>
      <c r="H643" s="425" t="inlineStr"/>
      <c r="I643" s="425" t="inlineStr"/>
      <c r="J643" s="111" t="inlineStr">
        <is>
          <t>https://www.linkedin.com/in/jenniferanneshepherd/</t>
        </is>
      </c>
      <c r="K643" s="426" t="inlineStr">
        <is>
          <t>John Quinn</t>
        </is>
      </c>
      <c r="L643" s="426" t="inlineStr">
        <is>
          <t>Follow Up</t>
        </is>
      </c>
      <c r="M643" s="425" t="inlineStr">
        <is>
          <t>Space / Defense / Aerospace / Advanced Manufacturing</t>
        </is>
      </c>
      <c r="N643" s="426" t="inlineStr">
        <is>
          <t>Tier 2</t>
        </is>
      </c>
      <c r="O643" s="441" t="n">
        <v>45910</v>
      </c>
      <c r="P643" s="441" t="n">
        <v>45973</v>
      </c>
      <c r="Q643" s="425">
        <f>IF(P643="","",TODAY()-P643)</f>
        <v/>
      </c>
      <c r="R643" s="441">
        <f>IF(OR(L643="Passed",Z643=""),"",P643+Z643)</f>
        <v/>
      </c>
      <c r="S643" s="425">
        <f>IF(OR(R643="",L643="Passed"),"",IF(R643&lt;=TODAY(),"DUE",IF(R643&lt;=TODAY()+3,"Next 3 Days","Later")))</f>
        <v/>
      </c>
      <c r="T643" s="425" t="inlineStr"/>
      <c r="U643" s="426" t="inlineStr">
        <is>
          <t>https://www.linkedin.com/in/jenniferanneshepherd/</t>
        </is>
      </c>
      <c r="V643" s="426" t="inlineStr"/>
      <c r="W643" s="428" t="inlineStr">
        <is>
          <t xml:space="preserve"> | 12/16/2025 | </t>
        </is>
      </c>
      <c r="X643" s="425" t="inlineStr">
        <is>
          <t>John - Investor Contacts!662</t>
        </is>
      </c>
      <c r="Y643" s="426" t="inlineStr">
        <is>
          <t>Send next follow-up with traction + CTA</t>
        </is>
      </c>
      <c r="Z643" s="425" t="n">
        <v>7</v>
      </c>
      <c r="AA643" s="425">
        <f>IF(AC643="Archived",0,ROUND((IF(N643="Tier 1",35,IF(N643="Tier 2",20,8))+IF(C643="Financial Investor",15,IF(C643="Intermediary / Banker",12,8))+IF(L643="Term Sheet / Proposal",25,IF(L643="Engaged",20,IF(L643="Meeting Requested",18,IF(L643="Meeting Held",14,IF(L643="Follow Up",10,5)))))+MIN(Q643,30)+IF(S643="DUE",15,IF(S643="Next 3 Days",8,0))),0))</f>
        <v/>
      </c>
      <c r="AB643" s="425">
        <f>IF(AND(AC643="Active",OR(N643="Tier 1",N643="Tier 2"),OR(S643="DUE",S643="Next 3 Days")),"YES","")</f>
        <v/>
      </c>
      <c r="AC643" s="425">
        <f>IF(L643="Passed","Archived","Active")</f>
        <v/>
      </c>
    </row>
    <row r="644">
      <c r="A644" s="425" t="inlineStr">
        <is>
          <t>EXOS-0643</t>
        </is>
      </c>
      <c r="B644" s="425" t="inlineStr">
        <is>
          <t>John - Investor Contacts</t>
        </is>
      </c>
      <c r="C644" s="425" t="inlineStr">
        <is>
          <t>Financial Investor</t>
        </is>
      </c>
      <c r="D644" s="425" t="inlineStr">
        <is>
          <t>Promus Ventures</t>
        </is>
      </c>
      <c r="E644" s="425" t="inlineStr">
        <is>
          <t>Mike Collett</t>
        </is>
      </c>
      <c r="F644" s="425" t="inlineStr"/>
      <c r="G644" s="111" t="inlineStr">
        <is>
          <t>mike@promusventures.com</t>
        </is>
      </c>
      <c r="H644" s="425" t="inlineStr"/>
      <c r="I644" s="425" t="inlineStr"/>
      <c r="J644" s="111" t="inlineStr">
        <is>
          <t>https://www.linkedin.com/in/mikecollett</t>
        </is>
      </c>
      <c r="K644" s="426" t="inlineStr">
        <is>
          <t>John Quinn</t>
        </is>
      </c>
      <c r="L644" s="426" t="inlineStr">
        <is>
          <t>Follow Up</t>
        </is>
      </c>
      <c r="M644" s="425" t="inlineStr">
        <is>
          <t>Space / Defense / Aerospace / Advanced Manufacturing</t>
        </is>
      </c>
      <c r="N644" s="426" t="inlineStr">
        <is>
          <t>Tier 2</t>
        </is>
      </c>
      <c r="O644" s="441" t="n">
        <v>45910</v>
      </c>
      <c r="P644" s="441" t="n">
        <v>45973</v>
      </c>
      <c r="Q644" s="425">
        <f>IF(P644="","",TODAY()-P644)</f>
        <v/>
      </c>
      <c r="R644" s="441">
        <f>IF(OR(L644="Passed",Z644=""),"",P644+Z644)</f>
        <v/>
      </c>
      <c r="S644" s="425">
        <f>IF(OR(R644="",L644="Passed"),"",IF(R644&lt;=TODAY(),"DUE",IF(R644&lt;=TODAY()+3,"Next 3 Days","Later")))</f>
        <v/>
      </c>
      <c r="T644" s="425" t="inlineStr"/>
      <c r="U644" s="426" t="inlineStr">
        <is>
          <t>https://www.linkedin.com/in/mikecollett</t>
        </is>
      </c>
      <c r="V644" s="426" t="inlineStr"/>
      <c r="W644" s="428" t="inlineStr">
        <is>
          <t xml:space="preserve"> | 12/16/2025 | </t>
        </is>
      </c>
      <c r="X644" s="425" t="inlineStr">
        <is>
          <t>John - Investor Contacts!660</t>
        </is>
      </c>
      <c r="Y644" s="426" t="inlineStr">
        <is>
          <t>Send next follow-up with traction + CTA</t>
        </is>
      </c>
      <c r="Z644" s="425" t="n">
        <v>7</v>
      </c>
      <c r="AA644" s="425">
        <f>IF(AC644="Archived",0,ROUND((IF(N644="Tier 1",35,IF(N644="Tier 2",20,8))+IF(C644="Financial Investor",15,IF(C644="Intermediary / Banker",12,8))+IF(L644="Term Sheet / Proposal",25,IF(L644="Engaged",20,IF(L644="Meeting Requested",18,IF(L644="Meeting Held",14,IF(L644="Follow Up",10,5)))))+MIN(Q644,30)+IF(S644="DUE",15,IF(S644="Next 3 Days",8,0))),0))</f>
        <v/>
      </c>
      <c r="AB644" s="425">
        <f>IF(AND(AC644="Active",OR(N644="Tier 1",N644="Tier 2"),OR(S644="DUE",S644="Next 3 Days")),"YES","")</f>
        <v/>
      </c>
      <c r="AC644" s="425">
        <f>IF(L644="Passed","Archived","Active")</f>
        <v/>
      </c>
    </row>
    <row r="645">
      <c r="A645" s="425" t="inlineStr">
        <is>
          <t>EXOS-0644</t>
        </is>
      </c>
      <c r="B645" s="425" t="inlineStr">
        <is>
          <t>John - Investor Contacts</t>
        </is>
      </c>
      <c r="C645" s="425" t="inlineStr">
        <is>
          <t>Financial Investor</t>
        </is>
      </c>
      <c r="D645" s="425" t="inlineStr">
        <is>
          <t>Promus Ventures</t>
        </is>
      </c>
      <c r="E645" s="425" t="inlineStr">
        <is>
          <t>Pierre Festal</t>
        </is>
      </c>
      <c r="F645" s="425" t="inlineStr"/>
      <c r="G645" s="111" t="inlineStr">
        <is>
          <t>pierre@promusventures.com</t>
        </is>
      </c>
      <c r="H645" s="425" t="inlineStr"/>
      <c r="I645" s="425" t="inlineStr"/>
      <c r="J645" s="111" t="inlineStr">
        <is>
          <t>https://www.linkedin.com/in/pierre-festal-192600/</t>
        </is>
      </c>
      <c r="K645" s="426" t="inlineStr">
        <is>
          <t>John Quinn</t>
        </is>
      </c>
      <c r="L645" s="426" t="inlineStr">
        <is>
          <t>Follow Up</t>
        </is>
      </c>
      <c r="M645" s="425" t="inlineStr">
        <is>
          <t>Space / Defense / Aerospace / Advanced Manufacturing</t>
        </is>
      </c>
      <c r="N645" s="426" t="inlineStr">
        <is>
          <t>Tier 2</t>
        </is>
      </c>
      <c r="O645" s="441" t="n">
        <v>45910</v>
      </c>
      <c r="P645" s="441" t="n">
        <v>45973</v>
      </c>
      <c r="Q645" s="425">
        <f>IF(P645="","",TODAY()-P645)</f>
        <v/>
      </c>
      <c r="R645" s="441">
        <f>IF(OR(L645="Passed",Z645=""),"",P645+Z645)</f>
        <v/>
      </c>
      <c r="S645" s="425">
        <f>IF(OR(R645="",L645="Passed"),"",IF(R645&lt;=TODAY(),"DUE",IF(R645&lt;=TODAY()+3,"Next 3 Days","Later")))</f>
        <v/>
      </c>
      <c r="T645" s="425" t="inlineStr"/>
      <c r="U645" s="426" t="inlineStr">
        <is>
          <t>https://www.linkedin.com/in/pierre-festal-192600/</t>
        </is>
      </c>
      <c r="V645" s="426" t="inlineStr"/>
      <c r="W645" s="428" t="inlineStr">
        <is>
          <t xml:space="preserve"> | 12/16/2025 | </t>
        </is>
      </c>
      <c r="X645" s="425" t="inlineStr">
        <is>
          <t>John - Investor Contacts!661</t>
        </is>
      </c>
      <c r="Y645" s="426" t="inlineStr">
        <is>
          <t>Send next follow-up with traction + CTA</t>
        </is>
      </c>
      <c r="Z645" s="425" t="n">
        <v>7</v>
      </c>
      <c r="AA645" s="425">
        <f>IF(AC645="Archived",0,ROUND((IF(N645="Tier 1",35,IF(N645="Tier 2",20,8))+IF(C645="Financial Investor",15,IF(C645="Intermediary / Banker",12,8))+IF(L645="Term Sheet / Proposal",25,IF(L645="Engaged",20,IF(L645="Meeting Requested",18,IF(L645="Meeting Held",14,IF(L645="Follow Up",10,5)))))+MIN(Q645,30)+IF(S645="DUE",15,IF(S645="Next 3 Days",8,0))),0))</f>
        <v/>
      </c>
      <c r="AB645" s="425">
        <f>IF(AND(AC645="Active",OR(N645="Tier 1",N645="Tier 2"),OR(S645="DUE",S645="Next 3 Days")),"YES","")</f>
        <v/>
      </c>
      <c r="AC645" s="425">
        <f>IF(L645="Passed","Archived","Active")</f>
        <v/>
      </c>
    </row>
    <row r="646">
      <c r="A646" s="425" t="inlineStr">
        <is>
          <t>EXOS-0645</t>
        </is>
      </c>
      <c r="B646" s="425" t="inlineStr">
        <is>
          <t>John - Investor Contacts</t>
        </is>
      </c>
      <c r="C646" s="425" t="inlineStr">
        <is>
          <t>Financial Investor</t>
        </is>
      </c>
      <c r="D646" s="425" t="inlineStr">
        <is>
          <t>PsyMed Ventures</t>
        </is>
      </c>
      <c r="E646" s="425" t="inlineStr">
        <is>
          <t>Matias Serebrinsky</t>
        </is>
      </c>
      <c r="F646" s="425" t="inlineStr"/>
      <c r="G646" s="111" t="inlineStr">
        <is>
          <t>matias@psymed.ventures</t>
        </is>
      </c>
      <c r="H646" s="425" t="inlineStr"/>
      <c r="I646" s="425" t="inlineStr"/>
      <c r="J646" s="111" t="inlineStr">
        <is>
          <t>https://www.linkedin.com/in/matias-serebrinsky-8b02b5b/</t>
        </is>
      </c>
      <c r="K646" s="426" t="inlineStr">
        <is>
          <t>John Quinn</t>
        </is>
      </c>
      <c r="L646" s="426" t="inlineStr">
        <is>
          <t>Follow Up</t>
        </is>
      </c>
      <c r="M646" s="425" t="inlineStr">
        <is>
          <t>Space / Defense / Aerospace / Advanced Manufacturing</t>
        </is>
      </c>
      <c r="N646" s="426" t="inlineStr">
        <is>
          <t>Tier 2</t>
        </is>
      </c>
      <c r="O646" s="441" t="n">
        <v>45994</v>
      </c>
      <c r="P646" s="441" t="n">
        <v>46036</v>
      </c>
      <c r="Q646" s="425">
        <f>IF(P646="","",TODAY()-P646)</f>
        <v/>
      </c>
      <c r="R646" s="441">
        <f>IF(OR(L646="Passed",Z646=""),"",P646+Z646)</f>
        <v/>
      </c>
      <c r="S646" s="425">
        <f>IF(OR(R646="",L646="Passed"),"",IF(R646&lt;=TODAY(),"DUE",IF(R646&lt;=TODAY()+3,"Next 3 Days","Later")))</f>
        <v/>
      </c>
      <c r="T646" s="425" t="inlineStr"/>
      <c r="U646" s="426" t="inlineStr">
        <is>
          <t>https://www.linkedin.com/in/matias-serebrinsky-8b02b5b/</t>
        </is>
      </c>
      <c r="V646" s="426" t="inlineStr"/>
      <c r="W646" s="428" t="inlineStr">
        <is>
          <t xml:space="preserve"> |  | </t>
        </is>
      </c>
      <c r="X646" s="425" t="inlineStr">
        <is>
          <t>John - Investor Contacts!705</t>
        </is>
      </c>
      <c r="Y646" s="426" t="inlineStr">
        <is>
          <t>Send next follow-up with traction + CTA</t>
        </is>
      </c>
      <c r="Z646" s="425" t="n">
        <v>7</v>
      </c>
      <c r="AA646" s="425">
        <f>IF(AC646="Archived",0,ROUND((IF(N646="Tier 1",35,IF(N646="Tier 2",20,8))+IF(C646="Financial Investor",15,IF(C646="Intermediary / Banker",12,8))+IF(L646="Term Sheet / Proposal",25,IF(L646="Engaged",20,IF(L646="Meeting Requested",18,IF(L646="Meeting Held",14,IF(L646="Follow Up",10,5)))))+MIN(Q646,30)+IF(S646="DUE",15,IF(S646="Next 3 Days",8,0))),0))</f>
        <v/>
      </c>
      <c r="AB646" s="425">
        <f>IF(AND(AC646="Active",OR(N646="Tier 1",N646="Tier 2"),OR(S646="DUE",S646="Next 3 Days")),"YES","")</f>
        <v/>
      </c>
      <c r="AC646" s="425">
        <f>IF(L646="Passed","Archived","Active")</f>
        <v/>
      </c>
    </row>
    <row r="647">
      <c r="A647" s="425" t="inlineStr">
        <is>
          <t>EXOS-0646</t>
        </is>
      </c>
      <c r="B647" s="425" t="inlineStr">
        <is>
          <t>Derek Contacts</t>
        </is>
      </c>
      <c r="C647" s="425" t="inlineStr">
        <is>
          <t>Financial Investor</t>
        </is>
      </c>
      <c r="D647" s="425" t="inlineStr">
        <is>
          <t>RF Lafferty &amp; Co</t>
        </is>
      </c>
      <c r="E647" s="425" t="inlineStr">
        <is>
          <t>Zachary Blumenthal</t>
        </is>
      </c>
      <c r="F647" s="425" t="inlineStr">
        <is>
          <t>Investor</t>
        </is>
      </c>
      <c r="G647" s="111" t="inlineStr">
        <is>
          <t>zblumenthal@rflafferty.com</t>
        </is>
      </c>
      <c r="H647" s="425" t="inlineStr"/>
      <c r="I647" s="425" t="inlineStr"/>
      <c r="J647" s="425" t="inlineStr"/>
      <c r="K647" s="426" t="inlineStr">
        <is>
          <t>John Quinn</t>
        </is>
      </c>
      <c r="L647" s="426" t="inlineStr">
        <is>
          <t>Follow Up</t>
        </is>
      </c>
      <c r="M647" s="425" t="inlineStr">
        <is>
          <t>Space / Defense / Aerospace / Advanced Manufacturing</t>
        </is>
      </c>
      <c r="N647" s="426" t="inlineStr">
        <is>
          <t>Tier 2</t>
        </is>
      </c>
      <c r="O647" s="425" t="n"/>
      <c r="P647" s="425" t="n"/>
      <c r="Q647" s="425">
        <f>IF(P647="","",TODAY()-P647)</f>
        <v/>
      </c>
      <c r="R647" s="441">
        <f>IF(OR(L647="Passed",Z647=""),"",P647+Z647)</f>
        <v/>
      </c>
      <c r="S647" s="425">
        <f>IF(OR(R647="",L647="Passed"),"",IF(R647&lt;=TODAY(),"DUE",IF(R647&lt;=TODAY()+3,"Next 3 Days","Later")))</f>
        <v/>
      </c>
      <c r="T647" s="425" t="inlineStr"/>
      <c r="U647" s="426" t="inlineStr"/>
      <c r="V647" s="426" t="inlineStr"/>
      <c r="W647" s="428" t="inlineStr">
        <is>
          <t>materials sent / no follow up</t>
        </is>
      </c>
      <c r="X647" s="425" t="inlineStr">
        <is>
          <t>Derek Contacts!45</t>
        </is>
      </c>
      <c r="Y647" s="426" t="inlineStr">
        <is>
          <t>Send next follow-up with traction + CTA</t>
        </is>
      </c>
      <c r="Z647" s="425" t="n">
        <v>7</v>
      </c>
      <c r="AA647" s="425">
        <f>IF(AC647="Archived",0,ROUND((IF(N647="Tier 1",35,IF(N647="Tier 2",20,8))+IF(C647="Financial Investor",15,IF(C647="Intermediary / Banker",12,8))+IF(L647="Term Sheet / Proposal",25,IF(L647="Engaged",20,IF(L647="Meeting Requested",18,IF(L647="Meeting Held",14,IF(L647="Follow Up",10,5)))))+MIN(Q647,30)+IF(S647="DUE",15,IF(S647="Next 3 Days",8,0))),0))</f>
        <v/>
      </c>
      <c r="AB647" s="425">
        <f>IF(AND(AC647="Active",OR(N647="Tier 1",N647="Tier 2"),OR(S647="DUE",S647="Next 3 Days")),"YES","")</f>
        <v/>
      </c>
      <c r="AC647" s="425">
        <f>IF(L647="Passed","Archived","Active")</f>
        <v/>
      </c>
    </row>
    <row r="648">
      <c r="A648" s="425" t="inlineStr">
        <is>
          <t>EXOS-0647</t>
        </is>
      </c>
      <c r="B648" s="425" t="inlineStr">
        <is>
          <t>John - Investor Contacts | Lizi - Investor Contacts</t>
        </is>
      </c>
      <c r="C648" s="425" t="inlineStr">
        <is>
          <t>Financial Investor</t>
        </is>
      </c>
      <c r="D648" s="425" t="inlineStr">
        <is>
          <t>Radius</t>
        </is>
      </c>
      <c r="E648" s="425" t="inlineStr">
        <is>
          <t>Gopi Sundaram</t>
        </is>
      </c>
      <c r="F648" s="425" t="inlineStr"/>
      <c r="G648" s="111" t="inlineStr">
        <is>
          <t>gsundaram@radiuscapitalpartners.com</t>
        </is>
      </c>
      <c r="H648" s="425" t="inlineStr"/>
      <c r="I648" s="425" t="inlineStr"/>
      <c r="J648" s="111" t="inlineStr">
        <is>
          <t>https://www.linkedin.com/in/gopi-sundaram-2b35b91/</t>
        </is>
      </c>
      <c r="K648" s="426" t="inlineStr">
        <is>
          <t>John Quinn</t>
        </is>
      </c>
      <c r="L648" s="426" t="inlineStr">
        <is>
          <t>Follow Up</t>
        </is>
      </c>
      <c r="M648" s="425" t="inlineStr">
        <is>
          <t>Space / Defense / Aerospace / Advanced Manufacturing</t>
        </is>
      </c>
      <c r="N648" s="426" t="inlineStr">
        <is>
          <t>Tier 2</t>
        </is>
      </c>
      <c r="O648" s="441" t="n">
        <v>45786</v>
      </c>
      <c r="P648" s="441" t="n">
        <v>45923</v>
      </c>
      <c r="Q648" s="425">
        <f>IF(P648="","",TODAY()-P648)</f>
        <v/>
      </c>
      <c r="R648" s="441">
        <f>IF(OR(L648="Passed",Z648=""),"",P648+Z648)</f>
        <v/>
      </c>
      <c r="S648" s="425">
        <f>IF(OR(R648="",L648="Passed"),"",IF(R648&lt;=TODAY(),"DUE",IF(R648&lt;=TODAY()+3,"Next 3 Days","Later")))</f>
        <v/>
      </c>
      <c r="T648" s="425" t="inlineStr"/>
      <c r="U648" s="426" t="inlineStr">
        <is>
          <t>https://www.linkedin.com/in/gopi-sundaram-2b35b91/</t>
        </is>
      </c>
      <c r="V648" s="426" t="inlineStr"/>
      <c r="W648" s="428" t="inlineStr">
        <is>
          <t>12/03/2025</t>
        </is>
      </c>
      <c r="X648" s="425" t="inlineStr">
        <is>
          <t>John - Investor Contacts!497 | Lizi - Investor Contacts!19</t>
        </is>
      </c>
      <c r="Y648" s="426" t="inlineStr">
        <is>
          <t>Send next follow-up with traction + CTA</t>
        </is>
      </c>
      <c r="Z648" s="425" t="n">
        <v>7</v>
      </c>
      <c r="AA648" s="425">
        <f>IF(AC648="Archived",0,ROUND((IF(N648="Tier 1",35,IF(N648="Tier 2",20,8))+IF(C648="Financial Investor",15,IF(C648="Intermediary / Banker",12,8))+IF(L648="Term Sheet / Proposal",25,IF(L648="Engaged",20,IF(L648="Meeting Requested",18,IF(L648="Meeting Held",14,IF(L648="Follow Up",10,5)))))+MIN(Q648,30)+IF(S648="DUE",15,IF(S648="Next 3 Days",8,0))),0))</f>
        <v/>
      </c>
      <c r="AB648" s="425">
        <f>IF(AND(AC648="Active",OR(N648="Tier 1",N648="Tier 2"),OR(S648="DUE",S648="Next 3 Days")),"YES","")</f>
        <v/>
      </c>
      <c r="AC648" s="425">
        <f>IF(L648="Passed","Archived","Active")</f>
        <v/>
      </c>
    </row>
    <row r="649">
      <c r="A649" s="425" t="inlineStr">
        <is>
          <t>EXOS-0648</t>
        </is>
      </c>
      <c r="B649" s="425" t="inlineStr">
        <is>
          <t>John - Investor Contacts | Lizi - Investor Contacts</t>
        </is>
      </c>
      <c r="C649" s="425" t="inlineStr">
        <is>
          <t>Financial Investor</t>
        </is>
      </c>
      <c r="D649" s="425" t="inlineStr">
        <is>
          <t>Radius</t>
        </is>
      </c>
      <c r="E649" s="425" t="inlineStr">
        <is>
          <t>Tom Watts</t>
        </is>
      </c>
      <c r="F649" s="425" t="inlineStr"/>
      <c r="G649" s="111" t="inlineStr">
        <is>
          <t>tomwatts4@gmail.com</t>
        </is>
      </c>
      <c r="H649" s="425" t="inlineStr"/>
      <c r="I649" s="425" t="inlineStr"/>
      <c r="J649" s="111" t="inlineStr">
        <is>
          <t>https://www.linkedin.com/in/tom-watts-8186181/</t>
        </is>
      </c>
      <c r="K649" s="426" t="inlineStr">
        <is>
          <t>John Quinn</t>
        </is>
      </c>
      <c r="L649" s="426" t="inlineStr">
        <is>
          <t>Follow Up</t>
        </is>
      </c>
      <c r="M649" s="425" t="inlineStr">
        <is>
          <t>Space / Defense / Aerospace / Advanced Manufacturing</t>
        </is>
      </c>
      <c r="N649" s="426" t="inlineStr">
        <is>
          <t>Tier 2</t>
        </is>
      </c>
      <c r="O649" s="441" t="n">
        <v>45786</v>
      </c>
      <c r="P649" s="441" t="n">
        <v>45923</v>
      </c>
      <c r="Q649" s="425">
        <f>IF(P649="","",TODAY()-P649)</f>
        <v/>
      </c>
      <c r="R649" s="441">
        <f>IF(OR(L649="Passed",Z649=""),"",P649+Z649)</f>
        <v/>
      </c>
      <c r="S649" s="425">
        <f>IF(OR(R649="",L649="Passed"),"",IF(R649&lt;=TODAY(),"DUE",IF(R649&lt;=TODAY()+3,"Next 3 Days","Later")))</f>
        <v/>
      </c>
      <c r="T649" s="425" t="inlineStr"/>
      <c r="U649" s="426" t="inlineStr">
        <is>
          <t>https://www.linkedin.com/in/tom-watts-8186181/</t>
        </is>
      </c>
      <c r="V649" s="426" t="inlineStr"/>
      <c r="W649" s="428" t="inlineStr">
        <is>
          <t>12/03/2025</t>
        </is>
      </c>
      <c r="X649" s="425" t="inlineStr">
        <is>
          <t>John - Investor Contacts!496 | Lizi - Investor Contacts!18</t>
        </is>
      </c>
      <c r="Y649" s="426" t="inlineStr">
        <is>
          <t>Send next follow-up with traction + CTA</t>
        </is>
      </c>
      <c r="Z649" s="425" t="n">
        <v>7</v>
      </c>
      <c r="AA649" s="425">
        <f>IF(AC649="Archived",0,ROUND((IF(N649="Tier 1",35,IF(N649="Tier 2",20,8))+IF(C649="Financial Investor",15,IF(C649="Intermediary / Banker",12,8))+IF(L649="Term Sheet / Proposal",25,IF(L649="Engaged",20,IF(L649="Meeting Requested",18,IF(L649="Meeting Held",14,IF(L649="Follow Up",10,5)))))+MIN(Q649,30)+IF(S649="DUE",15,IF(S649="Next 3 Days",8,0))),0))</f>
        <v/>
      </c>
      <c r="AB649" s="425">
        <f>IF(AND(AC649="Active",OR(N649="Tier 1",N649="Tier 2"),OR(S649="DUE",S649="Next 3 Days")),"YES","")</f>
        <v/>
      </c>
      <c r="AC649" s="425">
        <f>IF(L649="Passed","Archived","Active")</f>
        <v/>
      </c>
    </row>
    <row r="650">
      <c r="A650" s="425" t="inlineStr">
        <is>
          <t>EXOS-0649</t>
        </is>
      </c>
      <c r="B650" s="425" t="inlineStr">
        <is>
          <t>OSC</t>
        </is>
      </c>
      <c r="C650" s="425" t="inlineStr">
        <is>
          <t>Financial Investor</t>
        </is>
      </c>
      <c r="D650" s="425" t="inlineStr">
        <is>
          <t>Rallyday Partners</t>
        </is>
      </c>
      <c r="E650" s="425" t="inlineStr"/>
      <c r="F650" s="425" t="inlineStr"/>
      <c r="G650" s="111" t="inlineStr">
        <is>
          <t>info@rallydaypartners.com</t>
        </is>
      </c>
      <c r="H650" s="425" t="inlineStr"/>
      <c r="I650" s="425" t="inlineStr">
        <is>
          <t>(720) 307-1050 and 720.836.1067</t>
        </is>
      </c>
      <c r="J650" s="425" t="inlineStr"/>
      <c r="K650" s="426" t="inlineStr">
        <is>
          <t>John Quinn</t>
        </is>
      </c>
      <c r="L650" s="426" t="inlineStr">
        <is>
          <t>Follow Up</t>
        </is>
      </c>
      <c r="M650" s="425" t="inlineStr">
        <is>
          <t>Space / Defense / Aerospace / Advanced Manufacturing</t>
        </is>
      </c>
      <c r="N650" s="426" t="inlineStr">
        <is>
          <t>Tier 2</t>
        </is>
      </c>
      <c r="O650" s="441" t="n">
        <v>45854</v>
      </c>
      <c r="P650" s="441" t="n">
        <v>45922</v>
      </c>
      <c r="Q650" s="425">
        <f>IF(P650="","",TODAY()-P650)</f>
        <v/>
      </c>
      <c r="R650" s="441">
        <f>IF(OR(L650="Passed",Z650=""),"",P650+Z650)</f>
        <v/>
      </c>
      <c r="S650" s="425">
        <f>IF(OR(R650="",L650="Passed"),"",IF(R650&lt;=TODAY(),"DUE",IF(R650&lt;=TODAY()+3,"Next 3 Days","Later")))</f>
        <v/>
      </c>
      <c r="T650" s="425" t="inlineStr"/>
      <c r="U650" s="426" t="inlineStr"/>
      <c r="V650" s="426" t="inlineStr"/>
      <c r="W650" s="428" t="inlineStr"/>
      <c r="X650" s="425" t="inlineStr">
        <is>
          <t>OSC!76</t>
        </is>
      </c>
      <c r="Y650" s="426" t="inlineStr">
        <is>
          <t>Send next follow-up with traction + CTA</t>
        </is>
      </c>
      <c r="Z650" s="425" t="n">
        <v>7</v>
      </c>
      <c r="AA650" s="425">
        <f>IF(AC650="Archived",0,ROUND((IF(N650="Tier 1",35,IF(N650="Tier 2",20,8))+IF(C650="Financial Investor",15,IF(C650="Intermediary / Banker",12,8))+IF(L650="Term Sheet / Proposal",25,IF(L650="Engaged",20,IF(L650="Meeting Requested",18,IF(L650="Meeting Held",14,IF(L650="Follow Up",10,5)))))+MIN(Q650,30)+IF(S650="DUE",15,IF(S650="Next 3 Days",8,0))),0))</f>
        <v/>
      </c>
      <c r="AB650" s="425">
        <f>IF(AND(AC650="Active",OR(N650="Tier 1",N650="Tier 2"),OR(S650="DUE",S650="Next 3 Days")),"YES","")</f>
        <v/>
      </c>
      <c r="AC650" s="425">
        <f>IF(L650="Passed","Archived","Active")</f>
        <v/>
      </c>
    </row>
    <row r="651">
      <c r="A651" s="425" t="inlineStr">
        <is>
          <t>EXOS-0650</t>
        </is>
      </c>
      <c r="B651" s="425" t="inlineStr">
        <is>
          <t>OSC</t>
        </is>
      </c>
      <c r="C651" s="425" t="inlineStr">
        <is>
          <t>Financial Investor</t>
        </is>
      </c>
      <c r="D651" s="425" t="inlineStr">
        <is>
          <t>Rallyday Partners</t>
        </is>
      </c>
      <c r="E651" s="425" t="inlineStr">
        <is>
          <t>Katelyn Fritcher</t>
        </is>
      </c>
      <c r="F651" s="425" t="inlineStr"/>
      <c r="G651" s="111" t="inlineStr">
        <is>
          <t>katelyn@rallydaypartners.com</t>
        </is>
      </c>
      <c r="H651" s="425" t="inlineStr"/>
      <c r="I651" s="425" t="inlineStr"/>
      <c r="J651" s="425" t="inlineStr"/>
      <c r="K651" s="426" t="inlineStr">
        <is>
          <t>John Quinn</t>
        </is>
      </c>
      <c r="L651" s="426" t="inlineStr">
        <is>
          <t>Follow Up</t>
        </is>
      </c>
      <c r="M651" s="425" t="inlineStr">
        <is>
          <t>Space / Defense / Aerospace / Advanced Manufacturing</t>
        </is>
      </c>
      <c r="N651" s="426" t="inlineStr">
        <is>
          <t>Tier 2</t>
        </is>
      </c>
      <c r="O651" s="441" t="n">
        <v>45854</v>
      </c>
      <c r="P651" s="441" t="n">
        <v>45922</v>
      </c>
      <c r="Q651" s="425">
        <f>IF(P651="","",TODAY()-P651)</f>
        <v/>
      </c>
      <c r="R651" s="441">
        <f>IF(OR(L651="Passed",Z651=""),"",P651+Z651)</f>
        <v/>
      </c>
      <c r="S651" s="425">
        <f>IF(OR(R651="",L651="Passed"),"",IF(R651&lt;=TODAY(),"DUE",IF(R651&lt;=TODAY()+3,"Next 3 Days","Later")))</f>
        <v/>
      </c>
      <c r="T651" s="425" t="inlineStr"/>
      <c r="U651" s="426" t="inlineStr"/>
      <c r="V651" s="426" t="inlineStr"/>
      <c r="W651" s="428" t="inlineStr"/>
      <c r="X651" s="425" t="inlineStr">
        <is>
          <t>OSC!78</t>
        </is>
      </c>
      <c r="Y651" s="426" t="inlineStr">
        <is>
          <t>Send next follow-up with traction + CTA</t>
        </is>
      </c>
      <c r="Z651" s="425" t="n">
        <v>7</v>
      </c>
      <c r="AA651" s="425">
        <f>IF(AC651="Archived",0,ROUND((IF(N651="Tier 1",35,IF(N651="Tier 2",20,8))+IF(C651="Financial Investor",15,IF(C651="Intermediary / Banker",12,8))+IF(L651="Term Sheet / Proposal",25,IF(L651="Engaged",20,IF(L651="Meeting Requested",18,IF(L651="Meeting Held",14,IF(L651="Follow Up",10,5)))))+MIN(Q651,30)+IF(S651="DUE",15,IF(S651="Next 3 Days",8,0))),0))</f>
        <v/>
      </c>
      <c r="AB651" s="425">
        <f>IF(AND(AC651="Active",OR(N651="Tier 1",N651="Tier 2"),OR(S651="DUE",S651="Next 3 Days")),"YES","")</f>
        <v/>
      </c>
      <c r="AC651" s="425">
        <f>IF(L651="Passed","Archived","Active")</f>
        <v/>
      </c>
    </row>
    <row r="652">
      <c r="A652" s="425" t="inlineStr">
        <is>
          <t>EXOS-0651</t>
        </is>
      </c>
      <c r="B652" s="425" t="inlineStr">
        <is>
          <t>OSC</t>
        </is>
      </c>
      <c r="C652" s="425" t="inlineStr">
        <is>
          <t>Financial Investor</t>
        </is>
      </c>
      <c r="D652" s="425" t="inlineStr">
        <is>
          <t>Rallyday Partners</t>
        </is>
      </c>
      <c r="E652" s="425" t="inlineStr">
        <is>
          <t>Mark Hopkins</t>
        </is>
      </c>
      <c r="F652" s="425" t="inlineStr"/>
      <c r="G652" s="111" t="inlineStr">
        <is>
          <t>mark@rallydaypartners.com</t>
        </is>
      </c>
      <c r="H652" s="425" t="inlineStr"/>
      <c r="I652" s="425" t="inlineStr">
        <is>
          <t>303.570.0464</t>
        </is>
      </c>
      <c r="J652" s="425" t="inlineStr"/>
      <c r="K652" s="426" t="inlineStr">
        <is>
          <t>John Quinn</t>
        </is>
      </c>
      <c r="L652" s="426" t="inlineStr">
        <is>
          <t>Follow Up</t>
        </is>
      </c>
      <c r="M652" s="425" t="inlineStr">
        <is>
          <t>Space / Defense / Aerospace / Advanced Manufacturing</t>
        </is>
      </c>
      <c r="N652" s="426" t="inlineStr">
        <is>
          <t>Tier 2</t>
        </is>
      </c>
      <c r="O652" s="441" t="n">
        <v>45854</v>
      </c>
      <c r="P652" s="441" t="n">
        <v>45922</v>
      </c>
      <c r="Q652" s="425">
        <f>IF(P652="","",TODAY()-P652)</f>
        <v/>
      </c>
      <c r="R652" s="441">
        <f>IF(OR(L652="Passed",Z652=""),"",P652+Z652)</f>
        <v/>
      </c>
      <c r="S652" s="425">
        <f>IF(OR(R652="",L652="Passed"),"",IF(R652&lt;=TODAY(),"DUE",IF(R652&lt;=TODAY()+3,"Next 3 Days","Later")))</f>
        <v/>
      </c>
      <c r="T652" s="425" t="inlineStr"/>
      <c r="U652" s="426" t="inlineStr"/>
      <c r="V652" s="426" t="inlineStr"/>
      <c r="W652" s="428" t="inlineStr"/>
      <c r="X652" s="425" t="inlineStr">
        <is>
          <t>OSC!81</t>
        </is>
      </c>
      <c r="Y652" s="426" t="inlineStr">
        <is>
          <t>Send next follow-up with traction + CTA</t>
        </is>
      </c>
      <c r="Z652" s="425" t="n">
        <v>7</v>
      </c>
      <c r="AA652" s="425">
        <f>IF(AC652="Archived",0,ROUND((IF(N652="Tier 1",35,IF(N652="Tier 2",20,8))+IF(C652="Financial Investor",15,IF(C652="Intermediary / Banker",12,8))+IF(L652="Term Sheet / Proposal",25,IF(L652="Engaged",20,IF(L652="Meeting Requested",18,IF(L652="Meeting Held",14,IF(L652="Follow Up",10,5)))))+MIN(Q652,30)+IF(S652="DUE",15,IF(S652="Next 3 Days",8,0))),0))</f>
        <v/>
      </c>
      <c r="AB652" s="425">
        <f>IF(AND(AC652="Active",OR(N652="Tier 1",N652="Tier 2"),OR(S652="DUE",S652="Next 3 Days")),"YES","")</f>
        <v/>
      </c>
      <c r="AC652" s="425">
        <f>IF(L652="Passed","Archived","Active")</f>
        <v/>
      </c>
    </row>
    <row r="653">
      <c r="A653" s="425" t="inlineStr">
        <is>
          <t>EXOS-0652</t>
        </is>
      </c>
      <c r="B653" s="425" t="inlineStr">
        <is>
          <t>OSC</t>
        </is>
      </c>
      <c r="C653" s="425" t="inlineStr">
        <is>
          <t>Financial Investor</t>
        </is>
      </c>
      <c r="D653" s="425" t="inlineStr">
        <is>
          <t>Rallyday Partners</t>
        </is>
      </c>
      <c r="E653" s="425" t="inlineStr">
        <is>
          <t>Nancy Phillips</t>
        </is>
      </c>
      <c r="F653" s="425" t="inlineStr"/>
      <c r="G653" s="111" t="inlineStr">
        <is>
          <t>nancy@rallydaypartners.com</t>
        </is>
      </c>
      <c r="H653" s="425" t="inlineStr"/>
      <c r="I653" s="425" t="inlineStr">
        <is>
          <t>303.407.4706</t>
        </is>
      </c>
      <c r="J653" s="425" t="inlineStr"/>
      <c r="K653" s="426" t="inlineStr">
        <is>
          <t>John Quinn</t>
        </is>
      </c>
      <c r="L653" s="426" t="inlineStr">
        <is>
          <t>Follow Up</t>
        </is>
      </c>
      <c r="M653" s="425" t="inlineStr">
        <is>
          <t>Space / Defense / Aerospace / Advanced Manufacturing</t>
        </is>
      </c>
      <c r="N653" s="426" t="inlineStr">
        <is>
          <t>Tier 2</t>
        </is>
      </c>
      <c r="O653" s="441" t="n">
        <v>45854</v>
      </c>
      <c r="P653" s="441" t="n">
        <v>45922</v>
      </c>
      <c r="Q653" s="425">
        <f>IF(P653="","",TODAY()-P653)</f>
        <v/>
      </c>
      <c r="R653" s="441">
        <f>IF(OR(L653="Passed",Z653=""),"",P653+Z653)</f>
        <v/>
      </c>
      <c r="S653" s="425">
        <f>IF(OR(R653="",L653="Passed"),"",IF(R653&lt;=TODAY(),"DUE",IF(R653&lt;=TODAY()+3,"Next 3 Days","Later")))</f>
        <v/>
      </c>
      <c r="T653" s="425" t="inlineStr"/>
      <c r="U653" s="426" t="inlineStr"/>
      <c r="V653" s="426" t="inlineStr"/>
      <c r="W653" s="428" t="inlineStr"/>
      <c r="X653" s="425" t="inlineStr">
        <is>
          <t>OSC!79</t>
        </is>
      </c>
      <c r="Y653" s="426" t="inlineStr">
        <is>
          <t>Send next follow-up with traction + CTA</t>
        </is>
      </c>
      <c r="Z653" s="425" t="n">
        <v>7</v>
      </c>
      <c r="AA653" s="425">
        <f>IF(AC653="Archived",0,ROUND((IF(N653="Tier 1",35,IF(N653="Tier 2",20,8))+IF(C653="Financial Investor",15,IF(C653="Intermediary / Banker",12,8))+IF(L653="Term Sheet / Proposal",25,IF(L653="Engaged",20,IF(L653="Meeting Requested",18,IF(L653="Meeting Held",14,IF(L653="Follow Up",10,5)))))+MIN(Q653,30)+IF(S653="DUE",15,IF(S653="Next 3 Days",8,0))),0))</f>
        <v/>
      </c>
      <c r="AB653" s="425">
        <f>IF(AND(AC653="Active",OR(N653="Tier 1",N653="Tier 2"),OR(S653="DUE",S653="Next 3 Days")),"YES","")</f>
        <v/>
      </c>
      <c r="AC653" s="425">
        <f>IF(L653="Passed","Archived","Active")</f>
        <v/>
      </c>
    </row>
    <row r="654">
      <c r="A654" s="425" t="inlineStr">
        <is>
          <t>EXOS-0653</t>
        </is>
      </c>
      <c r="B654" s="425" t="inlineStr">
        <is>
          <t>OSC</t>
        </is>
      </c>
      <c r="C654" s="425" t="inlineStr">
        <is>
          <t>Financial Investor</t>
        </is>
      </c>
      <c r="D654" s="425" t="inlineStr">
        <is>
          <t>Rallyday Partners</t>
        </is>
      </c>
      <c r="E654" s="425" t="inlineStr">
        <is>
          <t>Ryan Heckman</t>
        </is>
      </c>
      <c r="F654" s="425" t="inlineStr"/>
      <c r="G654" s="111" t="inlineStr">
        <is>
          <t>ryan@rallydaypartners.com</t>
        </is>
      </c>
      <c r="H654" s="425" t="inlineStr"/>
      <c r="I654" s="425" t="inlineStr">
        <is>
          <t>303.330.6929</t>
        </is>
      </c>
      <c r="J654" s="425" t="inlineStr"/>
      <c r="K654" s="426" t="inlineStr">
        <is>
          <t>John Quinn</t>
        </is>
      </c>
      <c r="L654" s="426" t="inlineStr">
        <is>
          <t>Follow Up</t>
        </is>
      </c>
      <c r="M654" s="425" t="inlineStr">
        <is>
          <t>Space / Defense / Aerospace / Advanced Manufacturing</t>
        </is>
      </c>
      <c r="N654" s="426" t="inlineStr">
        <is>
          <t>Tier 2</t>
        </is>
      </c>
      <c r="O654" s="441" t="n">
        <v>45854</v>
      </c>
      <c r="P654" s="441" t="n">
        <v>45922</v>
      </c>
      <c r="Q654" s="425">
        <f>IF(P654="","",TODAY()-P654)</f>
        <v/>
      </c>
      <c r="R654" s="441">
        <f>IF(OR(L654="Passed",Z654=""),"",P654+Z654)</f>
        <v/>
      </c>
      <c r="S654" s="425">
        <f>IF(OR(R654="",L654="Passed"),"",IF(R654&lt;=TODAY(),"DUE",IF(R654&lt;=TODAY()+3,"Next 3 Days","Later")))</f>
        <v/>
      </c>
      <c r="T654" s="425" t="inlineStr"/>
      <c r="U654" s="426" t="inlineStr"/>
      <c r="V654" s="426" t="inlineStr"/>
      <c r="W654" s="428" t="inlineStr"/>
      <c r="X654" s="425" t="inlineStr">
        <is>
          <t>OSC!77</t>
        </is>
      </c>
      <c r="Y654" s="426" t="inlineStr">
        <is>
          <t>Send next follow-up with traction + CTA</t>
        </is>
      </c>
      <c r="Z654" s="425" t="n">
        <v>7</v>
      </c>
      <c r="AA654" s="425">
        <f>IF(AC654="Archived",0,ROUND((IF(N654="Tier 1",35,IF(N654="Tier 2",20,8))+IF(C654="Financial Investor",15,IF(C654="Intermediary / Banker",12,8))+IF(L654="Term Sheet / Proposal",25,IF(L654="Engaged",20,IF(L654="Meeting Requested",18,IF(L654="Meeting Held",14,IF(L654="Follow Up",10,5)))))+MIN(Q654,30)+IF(S654="DUE",15,IF(S654="Next 3 Days",8,0))),0))</f>
        <v/>
      </c>
      <c r="AB654" s="425">
        <f>IF(AND(AC654="Active",OR(N654="Tier 1",N654="Tier 2"),OR(S654="DUE",S654="Next 3 Days")),"YES","")</f>
        <v/>
      </c>
      <c r="AC654" s="425">
        <f>IF(L654="Passed","Archived","Active")</f>
        <v/>
      </c>
    </row>
    <row r="655">
      <c r="A655" s="425" t="inlineStr">
        <is>
          <t>EXOS-0654</t>
        </is>
      </c>
      <c r="B655" s="425" t="inlineStr">
        <is>
          <t>OSC</t>
        </is>
      </c>
      <c r="C655" s="425" t="inlineStr">
        <is>
          <t>Financial Investor</t>
        </is>
      </c>
      <c r="D655" s="425" t="inlineStr">
        <is>
          <t>Rallyday Partners</t>
        </is>
      </c>
      <c r="E655" s="425" t="inlineStr">
        <is>
          <t>Ryan Kirkpatrick</t>
        </is>
      </c>
      <c r="F655" s="425" t="inlineStr"/>
      <c r="G655" s="111" t="inlineStr">
        <is>
          <t>ryank@rallydaypartners.com</t>
        </is>
      </c>
      <c r="H655" s="425" t="inlineStr"/>
      <c r="I655" s="425" t="inlineStr">
        <is>
          <t>917.696.9091</t>
        </is>
      </c>
      <c r="J655" s="425" t="inlineStr"/>
      <c r="K655" s="426" t="inlineStr">
        <is>
          <t>John Quinn</t>
        </is>
      </c>
      <c r="L655" s="426" t="inlineStr">
        <is>
          <t>Follow Up</t>
        </is>
      </c>
      <c r="M655" s="425" t="inlineStr">
        <is>
          <t>Space / Defense / Aerospace / Advanced Manufacturing</t>
        </is>
      </c>
      <c r="N655" s="426" t="inlineStr">
        <is>
          <t>Tier 2</t>
        </is>
      </c>
      <c r="O655" s="441" t="n">
        <v>45854</v>
      </c>
      <c r="P655" s="441" t="n">
        <v>45922</v>
      </c>
      <c r="Q655" s="425">
        <f>IF(P655="","",TODAY()-P655)</f>
        <v/>
      </c>
      <c r="R655" s="441">
        <f>IF(OR(L655="Passed",Z655=""),"",P655+Z655)</f>
        <v/>
      </c>
      <c r="S655" s="425">
        <f>IF(OR(R655="",L655="Passed"),"",IF(R655&lt;=TODAY(),"DUE",IF(R655&lt;=TODAY()+3,"Next 3 Days","Later")))</f>
        <v/>
      </c>
      <c r="T655" s="425" t="inlineStr"/>
      <c r="U655" s="426" t="inlineStr"/>
      <c r="V655" s="426" t="inlineStr"/>
      <c r="W655" s="428" t="inlineStr"/>
      <c r="X655" s="425" t="inlineStr">
        <is>
          <t>OSC!80</t>
        </is>
      </c>
      <c r="Y655" s="426" t="inlineStr">
        <is>
          <t>Send next follow-up with traction + CTA</t>
        </is>
      </c>
      <c r="Z655" s="425" t="n">
        <v>7</v>
      </c>
      <c r="AA655" s="425">
        <f>IF(AC655="Archived",0,ROUND((IF(N655="Tier 1",35,IF(N655="Tier 2",20,8))+IF(C655="Financial Investor",15,IF(C655="Intermediary / Banker",12,8))+IF(L655="Term Sheet / Proposal",25,IF(L655="Engaged",20,IF(L655="Meeting Requested",18,IF(L655="Meeting Held",14,IF(L655="Follow Up",10,5)))))+MIN(Q655,30)+IF(S655="DUE",15,IF(S655="Next 3 Days",8,0))),0))</f>
        <v/>
      </c>
      <c r="AB655" s="425">
        <f>IF(AND(AC655="Active",OR(N655="Tier 1",N655="Tier 2"),OR(S655="DUE",S655="Next 3 Days")),"YES","")</f>
        <v/>
      </c>
      <c r="AC655" s="425">
        <f>IF(L655="Passed","Archived","Active")</f>
        <v/>
      </c>
    </row>
    <row r="656">
      <c r="A656" s="425" t="inlineStr">
        <is>
          <t>EXOS-0655</t>
        </is>
      </c>
      <c r="B656" s="425" t="inlineStr">
        <is>
          <t>John - Investor Contacts</t>
        </is>
      </c>
      <c r="C656" s="425" t="inlineStr">
        <is>
          <t>Financial Investor</t>
        </is>
      </c>
      <c r="D656" s="425" t="inlineStr">
        <is>
          <t>Razor's Edge Ventures</t>
        </is>
      </c>
      <c r="E656" s="425" t="inlineStr">
        <is>
          <t>Jack Kerrigan</t>
        </is>
      </c>
      <c r="F656" s="425" t="inlineStr"/>
      <c r="G656" s="111" t="inlineStr">
        <is>
          <t>jkerrigan@razorsvc.com</t>
        </is>
      </c>
      <c r="H656" s="425" t="inlineStr"/>
      <c r="I656" s="425" t="inlineStr"/>
      <c r="J656" s="425" t="inlineStr"/>
      <c r="K656" s="426" t="inlineStr">
        <is>
          <t>John Quinn</t>
        </is>
      </c>
      <c r="L656" s="426" t="inlineStr">
        <is>
          <t>Follow Up</t>
        </is>
      </c>
      <c r="M656" s="425" t="inlineStr">
        <is>
          <t>Space / Defense / Aerospace / Advanced Manufacturing</t>
        </is>
      </c>
      <c r="N656" s="426" t="inlineStr">
        <is>
          <t>Tier 2</t>
        </is>
      </c>
      <c r="O656" s="441" t="n">
        <v>45908</v>
      </c>
      <c r="P656" s="441" t="n">
        <v>45972</v>
      </c>
      <c r="Q656" s="425">
        <f>IF(P656="","",TODAY()-P656)</f>
        <v/>
      </c>
      <c r="R656" s="441">
        <f>IF(OR(L656="Passed",Z656=""),"",P656+Z656)</f>
        <v/>
      </c>
      <c r="S656" s="425">
        <f>IF(OR(R656="",L656="Passed"),"",IF(R656&lt;=TODAY(),"DUE",IF(R656&lt;=TODAY()+3,"Next 3 Days","Later")))</f>
        <v/>
      </c>
      <c r="T656" s="425" t="inlineStr"/>
      <c r="U656" s="426" t="inlineStr">
        <is>
          <t>linkedin.com/in/jack-kerrigan-672045155</t>
        </is>
      </c>
      <c r="V656" s="426" t="inlineStr"/>
      <c r="W656" s="428" t="inlineStr">
        <is>
          <t xml:space="preserve"> | 12/05/2025 | </t>
        </is>
      </c>
      <c r="X656" s="425" t="inlineStr">
        <is>
          <t>John - Investor Contacts!623</t>
        </is>
      </c>
      <c r="Y656" s="426" t="inlineStr">
        <is>
          <t>Send next follow-up with traction + CTA</t>
        </is>
      </c>
      <c r="Z656" s="425" t="n">
        <v>7</v>
      </c>
      <c r="AA656" s="425">
        <f>IF(AC656="Archived",0,ROUND((IF(N656="Tier 1",35,IF(N656="Tier 2",20,8))+IF(C656="Financial Investor",15,IF(C656="Intermediary / Banker",12,8))+IF(L656="Term Sheet / Proposal",25,IF(L656="Engaged",20,IF(L656="Meeting Requested",18,IF(L656="Meeting Held",14,IF(L656="Follow Up",10,5)))))+MIN(Q656,30)+IF(S656="DUE",15,IF(S656="Next 3 Days",8,0))),0))</f>
        <v/>
      </c>
      <c r="AB656" s="425">
        <f>IF(AND(AC656="Active",OR(N656="Tier 1",N656="Tier 2"),OR(S656="DUE",S656="Next 3 Days")),"YES","")</f>
        <v/>
      </c>
      <c r="AC656" s="425">
        <f>IF(L656="Passed","Archived","Active")</f>
        <v/>
      </c>
    </row>
    <row r="657">
      <c r="A657" s="425" t="inlineStr">
        <is>
          <t>EXOS-0656</t>
        </is>
      </c>
      <c r="B657" s="425" t="inlineStr">
        <is>
          <t>John - Investor Contacts</t>
        </is>
      </c>
      <c r="C657" s="425" t="inlineStr">
        <is>
          <t>Financial Investor</t>
        </is>
      </c>
      <c r="D657" s="425" t="inlineStr">
        <is>
          <t>Razor's Edge Ventures</t>
        </is>
      </c>
      <c r="E657" s="425" t="inlineStr">
        <is>
          <t>Mark Spoto</t>
        </is>
      </c>
      <c r="F657" s="425" t="inlineStr"/>
      <c r="G657" s="111" t="inlineStr">
        <is>
          <t>mspoto@razorsvc.com</t>
        </is>
      </c>
      <c r="H657" s="425" t="inlineStr"/>
      <c r="I657" s="425" t="inlineStr"/>
      <c r="J657" s="111" t="inlineStr">
        <is>
          <t>https://www.linkedin.com/in/markspoto/</t>
        </is>
      </c>
      <c r="K657" s="426" t="inlineStr">
        <is>
          <t>John Quinn</t>
        </is>
      </c>
      <c r="L657" s="426" t="inlineStr">
        <is>
          <t>Follow Up</t>
        </is>
      </c>
      <c r="M657" s="425" t="inlineStr">
        <is>
          <t>Space / Defense / Aerospace / Advanced Manufacturing</t>
        </is>
      </c>
      <c r="N657" s="426" t="inlineStr">
        <is>
          <t>Tier 2</t>
        </is>
      </c>
      <c r="O657" s="441" t="n">
        <v>45903</v>
      </c>
      <c r="P657" s="441" t="n">
        <v>45972</v>
      </c>
      <c r="Q657" s="425">
        <f>IF(P657="","",TODAY()-P657)</f>
        <v/>
      </c>
      <c r="R657" s="441">
        <f>IF(OR(L657="Passed",Z657=""),"",P657+Z657)</f>
        <v/>
      </c>
      <c r="S657" s="425">
        <f>IF(OR(R657="",L657="Passed"),"",IF(R657&lt;=TODAY(),"DUE",IF(R657&lt;=TODAY()+3,"Next 3 Days","Later")))</f>
        <v/>
      </c>
      <c r="T657" s="425" t="inlineStr"/>
      <c r="U657" s="426" t="inlineStr">
        <is>
          <t>https://www.linkedin.com/in/markspoto/</t>
        </is>
      </c>
      <c r="V657" s="426" t="inlineStr"/>
      <c r="W657" s="428" t="inlineStr">
        <is>
          <t xml:space="preserve"> | 12/05/2025 | </t>
        </is>
      </c>
      <c r="X657" s="425" t="inlineStr">
        <is>
          <t>John - Investor Contacts!621</t>
        </is>
      </c>
      <c r="Y657" s="426" t="inlineStr">
        <is>
          <t>Send next follow-up with traction + CTA</t>
        </is>
      </c>
      <c r="Z657" s="425" t="n">
        <v>7</v>
      </c>
      <c r="AA657" s="425">
        <f>IF(AC657="Archived",0,ROUND((IF(N657="Tier 1",35,IF(N657="Tier 2",20,8))+IF(C657="Financial Investor",15,IF(C657="Intermediary / Banker",12,8))+IF(L657="Term Sheet / Proposal",25,IF(L657="Engaged",20,IF(L657="Meeting Requested",18,IF(L657="Meeting Held",14,IF(L657="Follow Up",10,5)))))+MIN(Q657,30)+IF(S657="DUE",15,IF(S657="Next 3 Days",8,0))),0))</f>
        <v/>
      </c>
      <c r="AB657" s="425">
        <f>IF(AND(AC657="Active",OR(N657="Tier 1",N657="Tier 2"),OR(S657="DUE",S657="Next 3 Days")),"YES","")</f>
        <v/>
      </c>
      <c r="AC657" s="425">
        <f>IF(L657="Passed","Archived","Active")</f>
        <v/>
      </c>
    </row>
    <row r="658">
      <c r="A658" s="425" t="inlineStr">
        <is>
          <t>EXOS-0657</t>
        </is>
      </c>
      <c r="B658" s="425" t="inlineStr">
        <is>
          <t>John - Investor Contacts</t>
        </is>
      </c>
      <c r="C658" s="425" t="inlineStr">
        <is>
          <t>Financial Investor</t>
        </is>
      </c>
      <c r="D658" s="425" t="inlineStr">
        <is>
          <t>Razor's Edge Ventures</t>
        </is>
      </c>
      <c r="E658" s="425" t="inlineStr">
        <is>
          <t>Matt Robinson</t>
        </is>
      </c>
      <c r="F658" s="425" t="inlineStr"/>
      <c r="G658" s="111" t="inlineStr">
        <is>
          <t>mrobinson@razorsvc.com</t>
        </is>
      </c>
      <c r="H658" s="425" t="inlineStr"/>
      <c r="I658" s="425" t="inlineStr"/>
      <c r="J658" s="111" t="inlineStr">
        <is>
          <t>https://www.linkedin.com/in/matt-robinson-7691521a/</t>
        </is>
      </c>
      <c r="K658" s="426" t="inlineStr">
        <is>
          <t>John Quinn</t>
        </is>
      </c>
      <c r="L658" s="426" t="inlineStr">
        <is>
          <t>Follow Up</t>
        </is>
      </c>
      <c r="M658" s="425" t="inlineStr">
        <is>
          <t>Space / Defense / Aerospace / Advanced Manufacturing</t>
        </is>
      </c>
      <c r="N658" s="426" t="inlineStr">
        <is>
          <t>Tier 2</t>
        </is>
      </c>
      <c r="O658" s="441" t="n">
        <v>45903</v>
      </c>
      <c r="P658" s="441" t="n">
        <v>45972</v>
      </c>
      <c r="Q658" s="425">
        <f>IF(P658="","",TODAY()-P658)</f>
        <v/>
      </c>
      <c r="R658" s="441">
        <f>IF(OR(L658="Passed",Z658=""),"",P658+Z658)</f>
        <v/>
      </c>
      <c r="S658" s="425">
        <f>IF(OR(R658="",L658="Passed"),"",IF(R658&lt;=TODAY(),"DUE",IF(R658&lt;=TODAY()+3,"Next 3 Days","Later")))</f>
        <v/>
      </c>
      <c r="T658" s="425" t="inlineStr"/>
      <c r="U658" s="426" t="inlineStr">
        <is>
          <t>https://www.linkedin.com/in/matt-robinson-7691521a/</t>
        </is>
      </c>
      <c r="V658" s="426" t="inlineStr"/>
      <c r="W658" s="428" t="inlineStr">
        <is>
          <t xml:space="preserve"> | 12/05/2025 | </t>
        </is>
      </c>
      <c r="X658" s="425" t="inlineStr">
        <is>
          <t>John - Investor Contacts!622</t>
        </is>
      </c>
      <c r="Y658" s="426" t="inlineStr">
        <is>
          <t>Send next follow-up with traction + CTA</t>
        </is>
      </c>
      <c r="Z658" s="425" t="n">
        <v>7</v>
      </c>
      <c r="AA658" s="425">
        <f>IF(AC658="Archived",0,ROUND((IF(N658="Tier 1",35,IF(N658="Tier 2",20,8))+IF(C658="Financial Investor",15,IF(C658="Intermediary / Banker",12,8))+IF(L658="Term Sheet / Proposal",25,IF(L658="Engaged",20,IF(L658="Meeting Requested",18,IF(L658="Meeting Held",14,IF(L658="Follow Up",10,5)))))+MIN(Q658,30)+IF(S658="DUE",15,IF(S658="Next 3 Days",8,0))),0))</f>
        <v/>
      </c>
      <c r="AB658" s="425">
        <f>IF(AND(AC658="Active",OR(N658="Tier 1",N658="Tier 2"),OR(S658="DUE",S658="Next 3 Days")),"YES","")</f>
        <v/>
      </c>
      <c r="AC658" s="425">
        <f>IF(L658="Passed","Archived","Active")</f>
        <v/>
      </c>
    </row>
    <row r="659">
      <c r="A659" s="425" t="inlineStr">
        <is>
          <t>EXOS-0658</t>
        </is>
      </c>
      <c r="B659" s="425" t="inlineStr">
        <is>
          <t>John - Investor Contacts</t>
        </is>
      </c>
      <c r="C659" s="425" t="inlineStr">
        <is>
          <t>Financial Investor</t>
        </is>
      </c>
      <c r="D659" s="425" t="inlineStr">
        <is>
          <t>Reinventure capital</t>
        </is>
      </c>
      <c r="E659" s="425" t="inlineStr">
        <is>
          <t>Langston Dugger</t>
        </is>
      </c>
      <c r="F659" s="425" t="inlineStr"/>
      <c r="G659" s="111" t="inlineStr">
        <is>
          <t>langston@reinventurecapital.com</t>
        </is>
      </c>
      <c r="H659" s="425" t="inlineStr"/>
      <c r="I659" s="425" t="inlineStr"/>
      <c r="J659" s="111" t="inlineStr">
        <is>
          <t>https://www.linkedin.com/in/langstondugger/</t>
        </is>
      </c>
      <c r="K659" s="426" t="inlineStr">
        <is>
          <t>John Quinn</t>
        </is>
      </c>
      <c r="L659" s="426" t="inlineStr">
        <is>
          <t>Follow Up</t>
        </is>
      </c>
      <c r="M659" s="425" t="inlineStr">
        <is>
          <t>Space / Defense / Aerospace / Advanced Manufacturing</t>
        </is>
      </c>
      <c r="N659" s="426" t="inlineStr">
        <is>
          <t>Tier 2</t>
        </is>
      </c>
      <c r="O659" s="441" t="n">
        <v>45839</v>
      </c>
      <c r="P659" s="441" t="n">
        <v>45861</v>
      </c>
      <c r="Q659" s="425">
        <f>IF(P659="","",TODAY()-P659)</f>
        <v/>
      </c>
      <c r="R659" s="441">
        <f>IF(OR(L659="Passed",Z659=""),"",P659+Z659)</f>
        <v/>
      </c>
      <c r="S659" s="425">
        <f>IF(OR(R659="",L659="Passed"),"",IF(R659&lt;=TODAY(),"DUE",IF(R659&lt;=TODAY()+3,"Next 3 Days","Later")))</f>
        <v/>
      </c>
      <c r="T659" s="425" t="inlineStr"/>
      <c r="U659" s="426" t="inlineStr">
        <is>
          <t>https://www.linkedin.com/in/langstondugger/</t>
        </is>
      </c>
      <c r="V659" s="426" t="inlineStr"/>
      <c r="W659" s="428" t="inlineStr">
        <is>
          <t xml:space="preserve"> | 12/26/2025 | online application: https://reinventurecapital.com/contact/</t>
        </is>
      </c>
      <c r="X659" s="425" t="inlineStr">
        <is>
          <t>John - Investor Contacts!313</t>
        </is>
      </c>
      <c r="Y659" s="426" t="inlineStr">
        <is>
          <t>Send next follow-up with traction + CTA</t>
        </is>
      </c>
      <c r="Z659" s="425" t="n">
        <v>7</v>
      </c>
      <c r="AA659" s="425">
        <f>IF(AC659="Archived",0,ROUND((IF(N659="Tier 1",35,IF(N659="Tier 2",20,8))+IF(C659="Financial Investor",15,IF(C659="Intermediary / Banker",12,8))+IF(L659="Term Sheet / Proposal",25,IF(L659="Engaged",20,IF(L659="Meeting Requested",18,IF(L659="Meeting Held",14,IF(L659="Follow Up",10,5)))))+MIN(Q659,30)+IF(S659="DUE",15,IF(S659="Next 3 Days",8,0))),0))</f>
        <v/>
      </c>
      <c r="AB659" s="425">
        <f>IF(AND(AC659="Active",OR(N659="Tier 1",N659="Tier 2"),OR(S659="DUE",S659="Next 3 Days")),"YES","")</f>
        <v/>
      </c>
      <c r="AC659" s="425">
        <f>IF(L659="Passed","Archived","Active")</f>
        <v/>
      </c>
    </row>
    <row r="660">
      <c r="A660" s="425" t="inlineStr">
        <is>
          <t>EXOS-0659</t>
        </is>
      </c>
      <c r="B660" s="425" t="inlineStr">
        <is>
          <t>John - Investor Contacts</t>
        </is>
      </c>
      <c r="C660" s="425" t="inlineStr">
        <is>
          <t>Financial Investor</t>
        </is>
      </c>
      <c r="D660" s="425" t="inlineStr">
        <is>
          <t>Ridge Ventures</t>
        </is>
      </c>
      <c r="E660" s="425" t="inlineStr">
        <is>
          <t>Akriti Dokania</t>
        </is>
      </c>
      <c r="F660" s="425" t="inlineStr"/>
      <c r="G660" s="111" t="inlineStr">
        <is>
          <t>akriti@ridge.vc</t>
        </is>
      </c>
      <c r="H660" s="425" t="inlineStr"/>
      <c r="I660" s="425" t="inlineStr"/>
      <c r="J660" s="425" t="inlineStr"/>
      <c r="K660" s="426" t="inlineStr">
        <is>
          <t>John Quinn</t>
        </is>
      </c>
      <c r="L660" s="426" t="inlineStr">
        <is>
          <t>Follow Up</t>
        </is>
      </c>
      <c r="M660" s="425" t="inlineStr">
        <is>
          <t>Space / Defense / Aerospace / Advanced Manufacturing</t>
        </is>
      </c>
      <c r="N660" s="426" t="inlineStr">
        <is>
          <t>Tier 2</t>
        </is>
      </c>
      <c r="O660" s="441" t="n">
        <v>45839</v>
      </c>
      <c r="P660" s="441" t="n">
        <v>45861</v>
      </c>
      <c r="Q660" s="425">
        <f>IF(P660="","",TODAY()-P660)</f>
        <v/>
      </c>
      <c r="R660" s="441">
        <f>IF(OR(L660="Passed",Z660=""),"",P660+Z660)</f>
        <v/>
      </c>
      <c r="S660" s="425">
        <f>IF(OR(R660="",L660="Passed"),"",IF(R660&lt;=TODAY(),"DUE",IF(R660&lt;=TODAY()+3,"Next 3 Days","Later")))</f>
        <v/>
      </c>
      <c r="T660" s="425" t="inlineStr"/>
      <c r="U660" s="426" t="inlineStr">
        <is>
          <t>linkedin.com/in/akritidokania</t>
        </is>
      </c>
      <c r="V660" s="426" t="inlineStr"/>
      <c r="W660" s="428" t="inlineStr">
        <is>
          <t xml:space="preserve"> | 12/26/2025 | </t>
        </is>
      </c>
      <c r="X660" s="425" t="inlineStr">
        <is>
          <t>John - Investor Contacts!309</t>
        </is>
      </c>
      <c r="Y660" s="426" t="inlineStr">
        <is>
          <t>Send next follow-up with traction + CTA</t>
        </is>
      </c>
      <c r="Z660" s="425" t="n">
        <v>7</v>
      </c>
      <c r="AA660" s="425">
        <f>IF(AC660="Archived",0,ROUND((IF(N660="Tier 1",35,IF(N660="Tier 2",20,8))+IF(C660="Financial Investor",15,IF(C660="Intermediary / Banker",12,8))+IF(L660="Term Sheet / Proposal",25,IF(L660="Engaged",20,IF(L660="Meeting Requested",18,IF(L660="Meeting Held",14,IF(L660="Follow Up",10,5)))))+MIN(Q660,30)+IF(S660="DUE",15,IF(S660="Next 3 Days",8,0))),0))</f>
        <v/>
      </c>
      <c r="AB660" s="425">
        <f>IF(AND(AC660="Active",OR(N660="Tier 1",N660="Tier 2"),OR(S660="DUE",S660="Next 3 Days")),"YES","")</f>
        <v/>
      </c>
      <c r="AC660" s="425">
        <f>IF(L660="Passed","Archived","Active")</f>
        <v/>
      </c>
    </row>
    <row r="661">
      <c r="A661" s="425" t="inlineStr">
        <is>
          <t>EXOS-0660</t>
        </is>
      </c>
      <c r="B661" s="425" t="inlineStr">
        <is>
          <t>John - Investor Contacts | OSC</t>
        </is>
      </c>
      <c r="C661" s="425" t="inlineStr">
        <is>
          <t>Financial Investor</t>
        </is>
      </c>
      <c r="D661" s="425" t="inlineStr">
        <is>
          <t>Ridgeline VC</t>
        </is>
      </c>
      <c r="E661" s="425" t="inlineStr">
        <is>
          <t>Andrew McMahon</t>
        </is>
      </c>
      <c r="F661" s="425" t="inlineStr"/>
      <c r="G661" s="111" t="inlineStr">
        <is>
          <t>andrew@ridgeline.vc</t>
        </is>
      </c>
      <c r="H661" s="425" t="inlineStr"/>
      <c r="I661" s="425" t="inlineStr">
        <is>
          <t>301.461.5874</t>
        </is>
      </c>
      <c r="J661" s="111" t="inlineStr">
        <is>
          <t>https://www.linkedin.com/in/andrewsmcmahon/</t>
        </is>
      </c>
      <c r="K661" s="426" t="inlineStr">
        <is>
          <t>John Quinn</t>
        </is>
      </c>
      <c r="L661" s="426" t="inlineStr">
        <is>
          <t>Follow Up</t>
        </is>
      </c>
      <c r="M661" s="425" t="inlineStr">
        <is>
          <t>Space / Defense / Aerospace / Advanced Manufacturing</t>
        </is>
      </c>
      <c r="N661" s="426" t="inlineStr">
        <is>
          <t>Tier 2</t>
        </is>
      </c>
      <c r="O661" s="441" t="n">
        <v>45853</v>
      </c>
      <c r="P661" s="441" t="n">
        <v>45994</v>
      </c>
      <c r="Q661" s="425">
        <f>IF(P661="","",TODAY()-P661)</f>
        <v/>
      </c>
      <c r="R661" s="441">
        <f>IF(OR(L661="Passed",Z661=""),"",P661+Z661)</f>
        <v/>
      </c>
      <c r="S661" s="425">
        <f>IF(OR(R661="",L661="Passed"),"",IF(R661&lt;=TODAY(),"DUE",IF(R661&lt;=TODAY()+3,"Next 3 Days","Later")))</f>
        <v/>
      </c>
      <c r="T661" s="425" t="inlineStr"/>
      <c r="U661" s="426" t="inlineStr">
        <is>
          <t>https://www.linkedin.com/in/andrewsmcmahon/</t>
        </is>
      </c>
      <c r="V661" s="426" t="inlineStr"/>
      <c r="W661" s="428" t="inlineStr">
        <is>
          <t>12/30/2025</t>
        </is>
      </c>
      <c r="X661" s="425" t="inlineStr">
        <is>
          <t>John - Investor Contacts!481 | OSC!24</t>
        </is>
      </c>
      <c r="Y661" s="426" t="inlineStr">
        <is>
          <t>Send next follow-up with traction + CTA</t>
        </is>
      </c>
      <c r="Z661" s="425" t="n">
        <v>7</v>
      </c>
      <c r="AA661" s="425">
        <f>IF(AC661="Archived",0,ROUND((IF(N661="Tier 1",35,IF(N661="Tier 2",20,8))+IF(C661="Financial Investor",15,IF(C661="Intermediary / Banker",12,8))+IF(L661="Term Sheet / Proposal",25,IF(L661="Engaged",20,IF(L661="Meeting Requested",18,IF(L661="Meeting Held",14,IF(L661="Follow Up",10,5)))))+MIN(Q661,30)+IF(S661="DUE",15,IF(S661="Next 3 Days",8,0))),0))</f>
        <v/>
      </c>
      <c r="AB661" s="425">
        <f>IF(AND(AC661="Active",OR(N661="Tier 1",N661="Tier 2"),OR(S661="DUE",S661="Next 3 Days")),"YES","")</f>
        <v/>
      </c>
      <c r="AC661" s="425">
        <f>IF(L661="Passed","Archived","Active")</f>
        <v/>
      </c>
    </row>
    <row r="662">
      <c r="A662" s="425" t="inlineStr">
        <is>
          <t>EXOS-0661</t>
        </is>
      </c>
      <c r="B662" s="425" t="inlineStr">
        <is>
          <t>John - Investor Contacts | OSC</t>
        </is>
      </c>
      <c r="C662" s="425" t="inlineStr">
        <is>
          <t>Financial Investor</t>
        </is>
      </c>
      <c r="D662" s="425" t="inlineStr">
        <is>
          <t>Ridgeline VC</t>
        </is>
      </c>
      <c r="E662" s="425" t="inlineStr">
        <is>
          <t>Ben Walker</t>
        </is>
      </c>
      <c r="F662" s="425" t="inlineStr"/>
      <c r="G662" s="111" t="inlineStr">
        <is>
          <t>ben@ridgelinepartners.co</t>
        </is>
      </c>
      <c r="H662" s="425" t="inlineStr"/>
      <c r="I662" s="425" t="inlineStr">
        <is>
          <t>706.338.8213</t>
        </is>
      </c>
      <c r="J662" s="111" t="inlineStr">
        <is>
          <t>https://www.linkedin.com/in/ben-walker-a48a3726/</t>
        </is>
      </c>
      <c r="K662" s="426" t="inlineStr">
        <is>
          <t>John Quinn</t>
        </is>
      </c>
      <c r="L662" s="426" t="inlineStr">
        <is>
          <t>Follow Up</t>
        </is>
      </c>
      <c r="M662" s="425" t="inlineStr">
        <is>
          <t>Space / Defense / Aerospace / Advanced Manufacturing</t>
        </is>
      </c>
      <c r="N662" s="426" t="inlineStr">
        <is>
          <t>Tier 2</t>
        </is>
      </c>
      <c r="O662" s="441" t="n">
        <v>45853</v>
      </c>
      <c r="P662" s="441" t="n">
        <v>45994</v>
      </c>
      <c r="Q662" s="425">
        <f>IF(P662="","",TODAY()-P662)</f>
        <v/>
      </c>
      <c r="R662" s="441">
        <f>IF(OR(L662="Passed",Z662=""),"",P662+Z662)</f>
        <v/>
      </c>
      <c r="S662" s="425">
        <f>IF(OR(R662="",L662="Passed"),"",IF(R662&lt;=TODAY(),"DUE",IF(R662&lt;=TODAY()+3,"Next 3 Days","Later")))</f>
        <v/>
      </c>
      <c r="T662" s="425" t="inlineStr"/>
      <c r="U662" s="426" t="inlineStr">
        <is>
          <t>https://www.linkedin.com/in/ben-walker-a48a3726/</t>
        </is>
      </c>
      <c r="V662" s="426" t="inlineStr"/>
      <c r="W662" s="428" t="inlineStr">
        <is>
          <t>12/30/2025</t>
        </is>
      </c>
      <c r="X662" s="425" t="inlineStr">
        <is>
          <t>John - Investor Contacts!483 | OSC!26</t>
        </is>
      </c>
      <c r="Y662" s="426" t="inlineStr">
        <is>
          <t>Send next follow-up with traction + CTA</t>
        </is>
      </c>
      <c r="Z662" s="425" t="n">
        <v>7</v>
      </c>
      <c r="AA662" s="425">
        <f>IF(AC662="Archived",0,ROUND((IF(N662="Tier 1",35,IF(N662="Tier 2",20,8))+IF(C662="Financial Investor",15,IF(C662="Intermediary / Banker",12,8))+IF(L662="Term Sheet / Proposal",25,IF(L662="Engaged",20,IF(L662="Meeting Requested",18,IF(L662="Meeting Held",14,IF(L662="Follow Up",10,5)))))+MIN(Q662,30)+IF(S662="DUE",15,IF(S662="Next 3 Days",8,0))),0))</f>
        <v/>
      </c>
      <c r="AB662" s="425">
        <f>IF(AND(AC662="Active",OR(N662="Tier 1",N662="Tier 2"),OR(S662="DUE",S662="Next 3 Days")),"YES","")</f>
        <v/>
      </c>
      <c r="AC662" s="425">
        <f>IF(L662="Passed","Archived","Active")</f>
        <v/>
      </c>
    </row>
    <row r="663">
      <c r="A663" s="425" t="inlineStr">
        <is>
          <t>EXOS-0662</t>
        </is>
      </c>
      <c r="B663" s="425" t="inlineStr">
        <is>
          <t>John - Investor Contacts | OSC</t>
        </is>
      </c>
      <c r="C663" s="425" t="inlineStr">
        <is>
          <t>Financial Investor</t>
        </is>
      </c>
      <c r="D663" s="425" t="inlineStr">
        <is>
          <t>Ridgeline VC</t>
        </is>
      </c>
      <c r="E663" s="425" t="inlineStr">
        <is>
          <t>Brandon Harris</t>
        </is>
      </c>
      <c r="F663" s="425" t="inlineStr"/>
      <c r="G663" s="111" t="inlineStr">
        <is>
          <t>brandon@ridgelinepartners.co</t>
        </is>
      </c>
      <c r="H663" s="425" t="inlineStr"/>
      <c r="I663" s="425" t="inlineStr">
        <is>
          <t>901.647.6271</t>
        </is>
      </c>
      <c r="J663" s="111" t="inlineStr">
        <is>
          <t>https://www.linkedin.com/in/brandon-harris-13304782/</t>
        </is>
      </c>
      <c r="K663" s="426" t="inlineStr">
        <is>
          <t>John Quinn</t>
        </is>
      </c>
      <c r="L663" s="426" t="inlineStr">
        <is>
          <t>Follow Up</t>
        </is>
      </c>
      <c r="M663" s="425" t="inlineStr">
        <is>
          <t>Space / Defense / Aerospace / Advanced Manufacturing</t>
        </is>
      </c>
      <c r="N663" s="426" t="inlineStr">
        <is>
          <t>Tier 2</t>
        </is>
      </c>
      <c r="O663" s="441" t="n">
        <v>45853</v>
      </c>
      <c r="P663" s="441" t="n">
        <v>45994</v>
      </c>
      <c r="Q663" s="425">
        <f>IF(P663="","",TODAY()-P663)</f>
        <v/>
      </c>
      <c r="R663" s="441">
        <f>IF(OR(L663="Passed",Z663=""),"",P663+Z663)</f>
        <v/>
      </c>
      <c r="S663" s="425">
        <f>IF(OR(R663="",L663="Passed"),"",IF(R663&lt;=TODAY(),"DUE",IF(R663&lt;=TODAY()+3,"Next 3 Days","Later")))</f>
        <v/>
      </c>
      <c r="T663" s="425" t="inlineStr"/>
      <c r="U663" s="426" t="inlineStr">
        <is>
          <t>https://www.linkedin.com/in/brandon-harris-13304782/</t>
        </is>
      </c>
      <c r="V663" s="426" t="inlineStr"/>
      <c r="W663" s="428" t="inlineStr">
        <is>
          <t>12/30/2025</t>
        </is>
      </c>
      <c r="X663" s="425" t="inlineStr">
        <is>
          <t>John - Investor Contacts!482 | OSC!25</t>
        </is>
      </c>
      <c r="Y663" s="426" t="inlineStr">
        <is>
          <t>Send next follow-up with traction + CTA</t>
        </is>
      </c>
      <c r="Z663" s="425" t="n">
        <v>7</v>
      </c>
      <c r="AA663" s="425">
        <f>IF(AC663="Archived",0,ROUND((IF(N663="Tier 1",35,IF(N663="Tier 2",20,8))+IF(C663="Financial Investor",15,IF(C663="Intermediary / Banker",12,8))+IF(L663="Term Sheet / Proposal",25,IF(L663="Engaged",20,IF(L663="Meeting Requested",18,IF(L663="Meeting Held",14,IF(L663="Follow Up",10,5)))))+MIN(Q663,30)+IF(S663="DUE",15,IF(S663="Next 3 Days",8,0))),0))</f>
        <v/>
      </c>
      <c r="AB663" s="425">
        <f>IF(AND(AC663="Active",OR(N663="Tier 1",N663="Tier 2"),OR(S663="DUE",S663="Next 3 Days")),"YES","")</f>
        <v/>
      </c>
      <c r="AC663" s="425">
        <f>IF(L663="Passed","Archived","Active")</f>
        <v/>
      </c>
    </row>
    <row r="664">
      <c r="A664" s="425" t="inlineStr">
        <is>
          <t>EXOS-0663</t>
        </is>
      </c>
      <c r="B664" s="425" t="inlineStr">
        <is>
          <t>John - Investor Contacts | OSC</t>
        </is>
      </c>
      <c r="C664" s="425" t="inlineStr">
        <is>
          <t>Financial Investor</t>
        </is>
      </c>
      <c r="D664" s="425" t="inlineStr">
        <is>
          <t>Ridgeline VC</t>
        </is>
      </c>
      <c r="E664" s="425" t="inlineStr">
        <is>
          <t>Ryan Clinton</t>
        </is>
      </c>
      <c r="F664" s="425" t="inlineStr"/>
      <c r="G664" s="111" t="inlineStr">
        <is>
          <t>rclinton@ridgeline.vc</t>
        </is>
      </c>
      <c r="H664" s="425" t="inlineStr"/>
      <c r="I664" s="425" t="inlineStr">
        <is>
          <t>office 219.808.2701 | other 914.805.1055 | mobile 818.777.5653</t>
        </is>
      </c>
      <c r="J664" s="425" t="inlineStr"/>
      <c r="K664" s="426" t="inlineStr">
        <is>
          <t>John Quinn</t>
        </is>
      </c>
      <c r="L664" s="426" t="inlineStr">
        <is>
          <t>Follow Up</t>
        </is>
      </c>
      <c r="M664" s="425" t="inlineStr">
        <is>
          <t>Space / Defense / Aerospace / Advanced Manufacturing</t>
        </is>
      </c>
      <c r="N664" s="426" t="inlineStr">
        <is>
          <t>Tier 2</t>
        </is>
      </c>
      <c r="O664" s="441" t="n">
        <v>45814</v>
      </c>
      <c r="P664" s="441" t="n">
        <v>45922</v>
      </c>
      <c r="Q664" s="425">
        <f>IF(P664="","",TODAY()-P664)</f>
        <v/>
      </c>
      <c r="R664" s="441">
        <f>IF(OR(L664="Passed",Z664=""),"",P664+Z664)</f>
        <v/>
      </c>
      <c r="S664" s="425">
        <f>IF(OR(R664="",L664="Passed"),"",IF(R664&lt;=TODAY(),"DUE",IF(R664&lt;=TODAY()+3,"Next 3 Days","Later")))</f>
        <v/>
      </c>
      <c r="T664" s="425" t="inlineStr"/>
      <c r="U664" s="426" t="inlineStr"/>
      <c r="V664" s="426" t="inlineStr"/>
      <c r="W664" s="428" t="inlineStr"/>
      <c r="X664" s="425" t="inlineStr">
        <is>
          <t>John - Investor Contacts!136 | OSC!4</t>
        </is>
      </c>
      <c r="Y664" s="426" t="inlineStr">
        <is>
          <t>Send next follow-up with traction + CTA</t>
        </is>
      </c>
      <c r="Z664" s="425" t="n">
        <v>7</v>
      </c>
      <c r="AA664" s="425">
        <f>IF(AC664="Archived",0,ROUND((IF(N664="Tier 1",35,IF(N664="Tier 2",20,8))+IF(C664="Financial Investor",15,IF(C664="Intermediary / Banker",12,8))+IF(L664="Term Sheet / Proposal",25,IF(L664="Engaged",20,IF(L664="Meeting Requested",18,IF(L664="Meeting Held",14,IF(L664="Follow Up",10,5)))))+MIN(Q664,30)+IF(S664="DUE",15,IF(S664="Next 3 Days",8,0))),0))</f>
        <v/>
      </c>
      <c r="AB664" s="425">
        <f>IF(AND(AC664="Active",OR(N664="Tier 1",N664="Tier 2"),OR(S664="DUE",S664="Next 3 Days")),"YES","")</f>
        <v/>
      </c>
      <c r="AC664" s="425">
        <f>IF(L664="Passed","Archived","Active")</f>
        <v/>
      </c>
    </row>
    <row r="665">
      <c r="A665" s="425" t="inlineStr">
        <is>
          <t>EXOS-0664</t>
        </is>
      </c>
      <c r="B665" s="425" t="inlineStr">
        <is>
          <t>John - Investor Contacts</t>
        </is>
      </c>
      <c r="C665" s="425" t="inlineStr">
        <is>
          <t>Financial Investor</t>
        </is>
      </c>
      <c r="D665" s="425" t="inlineStr">
        <is>
          <t>Rise of the Rest</t>
        </is>
      </c>
      <c r="E665" s="425" t="inlineStr">
        <is>
          <t>David Hall</t>
        </is>
      </c>
      <c r="F665" s="425" t="inlineStr"/>
      <c r="G665" s="111" t="inlineStr">
        <is>
          <t>david.hall@revolution.com</t>
        </is>
      </c>
      <c r="H665" s="425" t="inlineStr"/>
      <c r="I665" s="425" t="inlineStr"/>
      <c r="J665" s="425" t="inlineStr"/>
      <c r="K665" s="426" t="inlineStr">
        <is>
          <t>John Quinn</t>
        </is>
      </c>
      <c r="L665" s="426" t="inlineStr">
        <is>
          <t>Follow Up</t>
        </is>
      </c>
      <c r="M665" s="425" t="inlineStr">
        <is>
          <t>Space / Defense / Aerospace / Advanced Manufacturing</t>
        </is>
      </c>
      <c r="N665" s="426" t="inlineStr">
        <is>
          <t>Tier 2</t>
        </is>
      </c>
      <c r="O665" s="441" t="n">
        <v>45910</v>
      </c>
      <c r="P665" s="441" t="n">
        <v>45973</v>
      </c>
      <c r="Q665" s="425">
        <f>IF(P665="","",TODAY()-P665)</f>
        <v/>
      </c>
      <c r="R665" s="441">
        <f>IF(OR(L665="Passed",Z665=""),"",P665+Z665)</f>
        <v/>
      </c>
      <c r="S665" s="425">
        <f>IF(OR(R665="",L665="Passed"),"",IF(R665&lt;=TODAY(),"DUE",IF(R665&lt;=TODAY()+3,"Next 3 Days","Later")))</f>
        <v/>
      </c>
      <c r="T665" s="425" t="inlineStr"/>
      <c r="U665" s="426" t="inlineStr">
        <is>
          <t>linkedin.com/in/david-hall-102195</t>
        </is>
      </c>
      <c r="V665" s="426" t="inlineStr"/>
      <c r="W665" s="428" t="inlineStr">
        <is>
          <t xml:space="preserve"> | 12/17/2025 | </t>
        </is>
      </c>
      <c r="X665" s="425" t="inlineStr">
        <is>
          <t>John - Investor Contacts!666</t>
        </is>
      </c>
      <c r="Y665" s="426" t="inlineStr">
        <is>
          <t>Send next follow-up with traction + CTA</t>
        </is>
      </c>
      <c r="Z665" s="425" t="n">
        <v>7</v>
      </c>
      <c r="AA665" s="425">
        <f>IF(AC665="Archived",0,ROUND((IF(N665="Tier 1",35,IF(N665="Tier 2",20,8))+IF(C665="Financial Investor",15,IF(C665="Intermediary / Banker",12,8))+IF(L665="Term Sheet / Proposal",25,IF(L665="Engaged",20,IF(L665="Meeting Requested",18,IF(L665="Meeting Held",14,IF(L665="Follow Up",10,5)))))+MIN(Q665,30)+IF(S665="DUE",15,IF(S665="Next 3 Days",8,0))),0))</f>
        <v/>
      </c>
      <c r="AB665" s="425">
        <f>IF(AND(AC665="Active",OR(N665="Tier 1",N665="Tier 2"),OR(S665="DUE",S665="Next 3 Days")),"YES","")</f>
        <v/>
      </c>
      <c r="AC665" s="425">
        <f>IF(L665="Passed","Archived","Active")</f>
        <v/>
      </c>
    </row>
    <row r="666">
      <c r="A666" s="425" t="inlineStr">
        <is>
          <t>EXOS-0665</t>
        </is>
      </c>
      <c r="B666" s="425" t="inlineStr">
        <is>
          <t>John - Investor Contacts</t>
        </is>
      </c>
      <c r="C666" s="425" t="inlineStr">
        <is>
          <t>Financial Investor</t>
        </is>
      </c>
      <c r="D666" s="425" t="inlineStr">
        <is>
          <t>Rise of the Rest</t>
        </is>
      </c>
      <c r="E666" s="425" t="inlineStr">
        <is>
          <t>Kate Wilschutz</t>
        </is>
      </c>
      <c r="F666" s="425" t="inlineStr"/>
      <c r="G666" s="111" t="inlineStr">
        <is>
          <t>kate.wilschutz@revolution.com</t>
        </is>
      </c>
      <c r="H666" s="425" t="inlineStr"/>
      <c r="I666" s="425" t="inlineStr"/>
      <c r="J666" s="425" t="inlineStr"/>
      <c r="K666" s="426" t="inlineStr">
        <is>
          <t>John Quinn</t>
        </is>
      </c>
      <c r="L666" s="426" t="inlineStr">
        <is>
          <t>Follow Up</t>
        </is>
      </c>
      <c r="M666" s="425" t="inlineStr">
        <is>
          <t>Space / Defense / Aerospace / Advanced Manufacturing</t>
        </is>
      </c>
      <c r="N666" s="426" t="inlineStr">
        <is>
          <t>Tier 2</t>
        </is>
      </c>
      <c r="O666" s="441" t="n">
        <v>45910</v>
      </c>
      <c r="P666" s="441" t="n">
        <v>45973</v>
      </c>
      <c r="Q666" s="425">
        <f>IF(P666="","",TODAY()-P666)</f>
        <v/>
      </c>
      <c r="R666" s="441">
        <f>IF(OR(L666="Passed",Z666=""),"",P666+Z666)</f>
        <v/>
      </c>
      <c r="S666" s="425">
        <f>IF(OR(R666="",L666="Passed"),"",IF(R666&lt;=TODAY(),"DUE",IF(R666&lt;=TODAY()+3,"Next 3 Days","Later")))</f>
        <v/>
      </c>
      <c r="T666" s="425" t="inlineStr"/>
      <c r="U666" s="426" t="inlineStr">
        <is>
          <t>linkedin.com/in/kate-wilschutz-54bb828</t>
        </is>
      </c>
      <c r="V666" s="426" t="inlineStr"/>
      <c r="W666" s="428" t="inlineStr">
        <is>
          <t xml:space="preserve"> | 12/16/2025 | </t>
        </is>
      </c>
      <c r="X666" s="425" t="inlineStr">
        <is>
          <t>John - Investor Contacts!663</t>
        </is>
      </c>
      <c r="Y666" s="426" t="inlineStr">
        <is>
          <t>Send next follow-up with traction + CTA</t>
        </is>
      </c>
      <c r="Z666" s="425" t="n">
        <v>7</v>
      </c>
      <c r="AA666" s="425">
        <f>IF(AC666="Archived",0,ROUND((IF(N666="Tier 1",35,IF(N666="Tier 2",20,8))+IF(C666="Financial Investor",15,IF(C666="Intermediary / Banker",12,8))+IF(L666="Term Sheet / Proposal",25,IF(L666="Engaged",20,IF(L666="Meeting Requested",18,IF(L666="Meeting Held",14,IF(L666="Follow Up",10,5)))))+MIN(Q666,30)+IF(S666="DUE",15,IF(S666="Next 3 Days",8,0))),0))</f>
        <v/>
      </c>
      <c r="AB666" s="425">
        <f>IF(AND(AC666="Active",OR(N666="Tier 1",N666="Tier 2"),OR(S666="DUE",S666="Next 3 Days")),"YES","")</f>
        <v/>
      </c>
      <c r="AC666" s="425">
        <f>IF(L666="Passed","Archived","Active")</f>
        <v/>
      </c>
    </row>
    <row r="667">
      <c r="A667" s="425" t="inlineStr">
        <is>
          <t>EXOS-0666</t>
        </is>
      </c>
      <c r="B667" s="425" t="inlineStr">
        <is>
          <t>John - Investor Contacts</t>
        </is>
      </c>
      <c r="C667" s="425" t="inlineStr">
        <is>
          <t>Financial Investor</t>
        </is>
      </c>
      <c r="D667" s="425" t="inlineStr">
        <is>
          <t>Rise of the Rest</t>
        </is>
      </c>
      <c r="E667" s="425" t="inlineStr">
        <is>
          <t>Sapna Mehta</t>
        </is>
      </c>
      <c r="F667" s="425" t="inlineStr"/>
      <c r="G667" s="111" t="inlineStr">
        <is>
          <t>sapna.mehta@revolution.com</t>
        </is>
      </c>
      <c r="H667" s="425" t="inlineStr"/>
      <c r="I667" s="425" t="inlineStr"/>
      <c r="J667" s="425" t="inlineStr"/>
      <c r="K667" s="426" t="inlineStr">
        <is>
          <t>John Quinn</t>
        </is>
      </c>
      <c r="L667" s="426" t="inlineStr">
        <is>
          <t>Follow Up</t>
        </is>
      </c>
      <c r="M667" s="425" t="inlineStr">
        <is>
          <t>Space / Defense / Aerospace / Advanced Manufacturing</t>
        </is>
      </c>
      <c r="N667" s="426" t="inlineStr">
        <is>
          <t>Tier 2</t>
        </is>
      </c>
      <c r="O667" s="441" t="n">
        <v>45910</v>
      </c>
      <c r="P667" s="441" t="n">
        <v>45973</v>
      </c>
      <c r="Q667" s="425">
        <f>IF(P667="","",TODAY()-P667)</f>
        <v/>
      </c>
      <c r="R667" s="441">
        <f>IF(OR(L667="Passed",Z667=""),"",P667+Z667)</f>
        <v/>
      </c>
      <c r="S667" s="425">
        <f>IF(OR(R667="",L667="Passed"),"",IF(R667&lt;=TODAY(),"DUE",IF(R667&lt;=TODAY()+3,"Next 3 Days","Later")))</f>
        <v/>
      </c>
      <c r="T667" s="425" t="inlineStr"/>
      <c r="U667" s="426" t="inlineStr">
        <is>
          <t>linkedin.com/in/sapna-mehta-00073b1b</t>
        </is>
      </c>
      <c r="V667" s="426" t="inlineStr"/>
      <c r="W667" s="428" t="inlineStr">
        <is>
          <t xml:space="preserve"> | 12/17/2025 | </t>
        </is>
      </c>
      <c r="X667" s="425" t="inlineStr">
        <is>
          <t>John - Investor Contacts!667</t>
        </is>
      </c>
      <c r="Y667" s="426" t="inlineStr">
        <is>
          <t>Send next follow-up with traction + CTA</t>
        </is>
      </c>
      <c r="Z667" s="425" t="n">
        <v>7</v>
      </c>
      <c r="AA667" s="425">
        <f>IF(AC667="Archived",0,ROUND((IF(N667="Tier 1",35,IF(N667="Tier 2",20,8))+IF(C667="Financial Investor",15,IF(C667="Intermediary / Banker",12,8))+IF(L667="Term Sheet / Proposal",25,IF(L667="Engaged",20,IF(L667="Meeting Requested",18,IF(L667="Meeting Held",14,IF(L667="Follow Up",10,5)))))+MIN(Q667,30)+IF(S667="DUE",15,IF(S667="Next 3 Days",8,0))),0))</f>
        <v/>
      </c>
      <c r="AB667" s="425">
        <f>IF(AND(AC667="Active",OR(N667="Tier 1",N667="Tier 2"),OR(S667="DUE",S667="Next 3 Days")),"YES","")</f>
        <v/>
      </c>
      <c r="AC667" s="425">
        <f>IF(L667="Passed","Archived","Active")</f>
        <v/>
      </c>
    </row>
    <row r="668">
      <c r="A668" s="425" t="inlineStr">
        <is>
          <t>EXOS-0667</t>
        </is>
      </c>
      <c r="B668" s="425" t="inlineStr">
        <is>
          <t>John - Investor Contacts</t>
        </is>
      </c>
      <c r="C668" s="425" t="inlineStr">
        <is>
          <t>Financial Investor</t>
        </is>
      </c>
      <c r="D668" s="425" t="inlineStr">
        <is>
          <t>Rise of the Rest</t>
        </is>
      </c>
      <c r="E668" s="425" t="inlineStr">
        <is>
          <t>Steve Case</t>
        </is>
      </c>
      <c r="F668" s="425" t="inlineStr"/>
      <c r="G668" s="111" t="inlineStr">
        <is>
          <t>steve@revolution.com</t>
        </is>
      </c>
      <c r="H668" s="425" t="inlineStr"/>
      <c r="I668" s="425" t="inlineStr"/>
      <c r="J668" s="425" t="inlineStr"/>
      <c r="K668" s="426" t="inlineStr">
        <is>
          <t>John Quinn</t>
        </is>
      </c>
      <c r="L668" s="426" t="inlineStr">
        <is>
          <t>Follow Up</t>
        </is>
      </c>
      <c r="M668" s="425" t="inlineStr">
        <is>
          <t>Space / Defense / Aerospace / Advanced Manufacturing</t>
        </is>
      </c>
      <c r="N668" s="426" t="inlineStr">
        <is>
          <t>Tier 2</t>
        </is>
      </c>
      <c r="O668" s="441" t="n">
        <v>45910</v>
      </c>
      <c r="P668" s="441" t="n">
        <v>45973</v>
      </c>
      <c r="Q668" s="425">
        <f>IF(P668="","",TODAY()-P668)</f>
        <v/>
      </c>
      <c r="R668" s="441">
        <f>IF(OR(L668="Passed",Z668=""),"",P668+Z668)</f>
        <v/>
      </c>
      <c r="S668" s="425">
        <f>IF(OR(R668="",L668="Passed"),"",IF(R668&lt;=TODAY(),"DUE",IF(R668&lt;=TODAY()+3,"Next 3 Days","Later")))</f>
        <v/>
      </c>
      <c r="T668" s="425" t="inlineStr"/>
      <c r="U668" s="426" t="inlineStr">
        <is>
          <t>linkedin.com/in/steve-case-0973524</t>
        </is>
      </c>
      <c r="V668" s="426" t="inlineStr"/>
      <c r="W668" s="428" t="inlineStr">
        <is>
          <t xml:space="preserve"> | 12/17/2025 | </t>
        </is>
      </c>
      <c r="X668" s="425" t="inlineStr">
        <is>
          <t>John - Investor Contacts!665</t>
        </is>
      </c>
      <c r="Y668" s="426" t="inlineStr">
        <is>
          <t>Send next follow-up with traction + CTA</t>
        </is>
      </c>
      <c r="Z668" s="425" t="n">
        <v>7</v>
      </c>
      <c r="AA668" s="425">
        <f>IF(AC668="Archived",0,ROUND((IF(N668="Tier 1",35,IF(N668="Tier 2",20,8))+IF(C668="Financial Investor",15,IF(C668="Intermediary / Banker",12,8))+IF(L668="Term Sheet / Proposal",25,IF(L668="Engaged",20,IF(L668="Meeting Requested",18,IF(L668="Meeting Held",14,IF(L668="Follow Up",10,5)))))+MIN(Q668,30)+IF(S668="DUE",15,IF(S668="Next 3 Days",8,0))),0))</f>
        <v/>
      </c>
      <c r="AB668" s="425">
        <f>IF(AND(AC668="Active",OR(N668="Tier 1",N668="Tier 2"),OR(S668="DUE",S668="Next 3 Days")),"YES","")</f>
        <v/>
      </c>
      <c r="AC668" s="425">
        <f>IF(L668="Passed","Archived","Active")</f>
        <v/>
      </c>
    </row>
    <row r="669">
      <c r="A669" s="425" t="inlineStr">
        <is>
          <t>EXOS-0668</t>
        </is>
      </c>
      <c r="B669" s="425" t="inlineStr">
        <is>
          <t>John - Investor Contacts</t>
        </is>
      </c>
      <c r="C669" s="425" t="inlineStr">
        <is>
          <t>Financial Investor</t>
        </is>
      </c>
      <c r="D669" s="425" t="inlineStr">
        <is>
          <t>Rise of the Rest</t>
        </is>
      </c>
      <c r="E669" s="425" t="inlineStr">
        <is>
          <t>Tracy Van Grack</t>
        </is>
      </c>
      <c r="F669" s="425" t="inlineStr"/>
      <c r="G669" s="111" t="inlineStr">
        <is>
          <t>tracy.vangrack@revolution.com</t>
        </is>
      </c>
      <c r="H669" s="425" t="inlineStr"/>
      <c r="I669" s="425" t="inlineStr"/>
      <c r="J669" s="425" t="inlineStr"/>
      <c r="K669" s="426" t="inlineStr">
        <is>
          <t>John Quinn</t>
        </is>
      </c>
      <c r="L669" s="426" t="inlineStr">
        <is>
          <t>Follow Up</t>
        </is>
      </c>
      <c r="M669" s="425" t="inlineStr">
        <is>
          <t>Space / Defense / Aerospace / Advanced Manufacturing</t>
        </is>
      </c>
      <c r="N669" s="426" t="inlineStr">
        <is>
          <t>Tier 2</t>
        </is>
      </c>
      <c r="O669" s="441" t="n">
        <v>45910</v>
      </c>
      <c r="P669" s="441" t="n">
        <v>45973</v>
      </c>
      <c r="Q669" s="425">
        <f>IF(P669="","",TODAY()-P669)</f>
        <v/>
      </c>
      <c r="R669" s="441">
        <f>IF(OR(L669="Passed",Z669=""),"",P669+Z669)</f>
        <v/>
      </c>
      <c r="S669" s="425">
        <f>IF(OR(R669="",L669="Passed"),"",IF(R669&lt;=TODAY(),"DUE",IF(R669&lt;=TODAY()+3,"Next 3 Days","Later")))</f>
        <v/>
      </c>
      <c r="T669" s="425" t="inlineStr"/>
      <c r="U669" s="426" t="inlineStr">
        <is>
          <t>linkedin.com/in/tracy-zuckerman-van-grack-b7019414</t>
        </is>
      </c>
      <c r="V669" s="426" t="inlineStr"/>
      <c r="W669" s="428" t="inlineStr">
        <is>
          <t xml:space="preserve"> | 12/16/2025 | </t>
        </is>
      </c>
      <c r="X669" s="425" t="inlineStr">
        <is>
          <t>John - Investor Contacts!664</t>
        </is>
      </c>
      <c r="Y669" s="426" t="inlineStr">
        <is>
          <t>Send next follow-up with traction + CTA</t>
        </is>
      </c>
      <c r="Z669" s="425" t="n">
        <v>7</v>
      </c>
      <c r="AA669" s="425">
        <f>IF(AC669="Archived",0,ROUND((IF(N669="Tier 1",35,IF(N669="Tier 2",20,8))+IF(C669="Financial Investor",15,IF(C669="Intermediary / Banker",12,8))+IF(L669="Term Sheet / Proposal",25,IF(L669="Engaged",20,IF(L669="Meeting Requested",18,IF(L669="Meeting Held",14,IF(L669="Follow Up",10,5)))))+MIN(Q669,30)+IF(S669="DUE",15,IF(S669="Next 3 Days",8,0))),0))</f>
        <v/>
      </c>
      <c r="AB669" s="425">
        <f>IF(AND(AC669="Active",OR(N669="Tier 1",N669="Tier 2"),OR(S669="DUE",S669="Next 3 Days")),"YES","")</f>
        <v/>
      </c>
      <c r="AC669" s="425">
        <f>IF(L669="Passed","Archived","Active")</f>
        <v/>
      </c>
    </row>
    <row r="670">
      <c r="A670" s="425" t="inlineStr">
        <is>
          <t>EXOS-0669</t>
        </is>
      </c>
      <c r="B670" s="425" t="inlineStr">
        <is>
          <t>JQ Follow Up | John - Investor Contacts</t>
        </is>
      </c>
      <c r="C670" s="425" t="inlineStr">
        <is>
          <t>Financial Investor</t>
        </is>
      </c>
      <c r="D670" s="425" t="inlineStr">
        <is>
          <t>Rochefort Management</t>
        </is>
      </c>
      <c r="E670" s="425" t="inlineStr">
        <is>
          <t>Grayson Wotnosky</t>
        </is>
      </c>
      <c r="F670" s="425" t="inlineStr"/>
      <c r="G670" s="111" t="inlineStr">
        <is>
          <t>sschottenheimer@rochefort.us</t>
        </is>
      </c>
      <c r="H670" s="425" t="inlineStr">
        <is>
          <t>gwotnosky@rochefort.us</t>
        </is>
      </c>
      <c r="I670" s="425" t="inlineStr">
        <is>
          <t>919.285.6609</t>
        </is>
      </c>
      <c r="J670" s="111" t="inlineStr">
        <is>
          <t>https://www.linkedin.com/in/grayson-wotnosky-23987b1b7</t>
        </is>
      </c>
      <c r="K670" s="426" t="inlineStr">
        <is>
          <t>John Quinn</t>
        </is>
      </c>
      <c r="L670" s="426" t="inlineStr">
        <is>
          <t>Follow Up</t>
        </is>
      </c>
      <c r="M670" s="425" t="inlineStr">
        <is>
          <t>Space / Defense / Aerospace / Advanced Manufacturing</t>
        </is>
      </c>
      <c r="N670" s="426" t="inlineStr">
        <is>
          <t>Tier 2</t>
        </is>
      </c>
      <c r="O670" s="441" t="n">
        <v>45814</v>
      </c>
      <c r="P670" s="441" t="n">
        <v>46056</v>
      </c>
      <c r="Q670" s="425">
        <f>IF(P670="","",TODAY()-P670)</f>
        <v/>
      </c>
      <c r="R670" s="441">
        <f>IF(OR(L670="Passed",Z670=""),"",P670+Z670)</f>
        <v/>
      </c>
      <c r="S670" s="425">
        <f>IF(OR(R670="",L670="Passed"),"",IF(R670&lt;=TODAY(),"DUE",IF(R670&lt;=TODAY()+3,"Next 3 Days","Later")))</f>
        <v/>
      </c>
      <c r="T670" s="425" t="inlineStr"/>
      <c r="U670" s="426" t="inlineStr">
        <is>
          <t>https://www.linkedin.com/in/grayson-wotnosky-23987b1b7</t>
        </is>
      </c>
      <c r="V670" s="426" t="inlineStr">
        <is>
          <t>OSC Approved Connected with three Dallas area VC types</t>
        </is>
      </c>
      <c r="W670" s="428" t="inlineStr">
        <is>
          <t>6/23 sent one pager and meeting link | held meeting and sent follow up 1/8 | long lead time - 6 months + Government possible applicaiton for expansion $25M+ long term BLK4 funding path vs commercial capital for that. | 01/15/2026</t>
        </is>
      </c>
      <c r="X670" s="425" t="inlineStr">
        <is>
          <t>JQ Follow Up!12 | John - Investor Contacts!146</t>
        </is>
      </c>
      <c r="Y670" s="426" t="inlineStr">
        <is>
          <t>Send next follow-up with traction + CTA</t>
        </is>
      </c>
      <c r="Z670" s="425" t="n">
        <v>7</v>
      </c>
      <c r="AA670" s="425">
        <f>IF(AC670="Archived",0,ROUND((IF(N670="Tier 1",35,IF(N670="Tier 2",20,8))+IF(C670="Financial Investor",15,IF(C670="Intermediary / Banker",12,8))+IF(L670="Term Sheet / Proposal",25,IF(L670="Engaged",20,IF(L670="Meeting Requested",18,IF(L670="Meeting Held",14,IF(L670="Follow Up",10,5)))))+MIN(Q670,30)+IF(S670="DUE",15,IF(S670="Next 3 Days",8,0))),0))</f>
        <v/>
      </c>
      <c r="AB670" s="425">
        <f>IF(AND(AC670="Active",OR(N670="Tier 1",N670="Tier 2"),OR(S670="DUE",S670="Next 3 Days")),"YES","")</f>
        <v/>
      </c>
      <c r="AC670" s="425">
        <f>IF(L670="Passed","Archived","Active")</f>
        <v/>
      </c>
    </row>
    <row r="671">
      <c r="A671" s="425" t="inlineStr">
        <is>
          <t>EXOS-0670</t>
        </is>
      </c>
      <c r="B671" s="425" t="inlineStr">
        <is>
          <t>John - Investor Contacts</t>
        </is>
      </c>
      <c r="C671" s="425" t="inlineStr">
        <is>
          <t>Financial Investor</t>
        </is>
      </c>
      <c r="D671" s="425" t="inlineStr">
        <is>
          <t>SMG Consulting</t>
        </is>
      </c>
      <c r="E671" s="425" t="inlineStr">
        <is>
          <t>Sergio Cecutta</t>
        </is>
      </c>
      <c r="F671" s="425" t="inlineStr"/>
      <c r="G671" s="111" t="inlineStr">
        <is>
          <t>sergio@smg-consulting.com</t>
        </is>
      </c>
      <c r="H671" s="425" t="inlineStr"/>
      <c r="I671" s="425" t="inlineStr"/>
      <c r="J671" s="111" t="inlineStr">
        <is>
          <t>https://www.linkedin.com/in/sergiocecutta/</t>
        </is>
      </c>
      <c r="K671" s="426" t="inlineStr">
        <is>
          <t>John Quinn</t>
        </is>
      </c>
      <c r="L671" s="426" t="inlineStr">
        <is>
          <t>Follow Up</t>
        </is>
      </c>
      <c r="M671" s="425" t="inlineStr">
        <is>
          <t>Space / Defense / Aerospace / Advanced Manufacturing</t>
        </is>
      </c>
      <c r="N671" s="426" t="inlineStr">
        <is>
          <t>Tier 2</t>
        </is>
      </c>
      <c r="O671" s="441" t="n">
        <v>45805</v>
      </c>
      <c r="P671" s="441" t="n">
        <v>45841</v>
      </c>
      <c r="Q671" s="425">
        <f>IF(P671="","",TODAY()-P671)</f>
        <v/>
      </c>
      <c r="R671" s="441">
        <f>IF(OR(L671="Passed",Z671=""),"",P671+Z671)</f>
        <v/>
      </c>
      <c r="S671" s="425">
        <f>IF(OR(R671="",L671="Passed"),"",IF(R671&lt;=TODAY(),"DUE",IF(R671&lt;=TODAY()+3,"Next 3 Days","Later")))</f>
        <v/>
      </c>
      <c r="T671" s="425" t="inlineStr"/>
      <c r="U671" s="426" t="inlineStr">
        <is>
          <t>https://www.linkedin.com/in/sergiocecutta/</t>
        </is>
      </c>
      <c r="V671" s="426" t="inlineStr"/>
      <c r="W671" s="428" t="inlineStr">
        <is>
          <t xml:space="preserve"> |  | </t>
        </is>
      </c>
      <c r="X671" s="425" t="inlineStr">
        <is>
          <t>John - Investor Contacts!85</t>
        </is>
      </c>
      <c r="Y671" s="426" t="inlineStr">
        <is>
          <t>Send next follow-up with traction + CTA</t>
        </is>
      </c>
      <c r="Z671" s="425" t="n">
        <v>7</v>
      </c>
      <c r="AA671" s="425">
        <f>IF(AC671="Archived",0,ROUND((IF(N671="Tier 1",35,IF(N671="Tier 2",20,8))+IF(C671="Financial Investor",15,IF(C671="Intermediary / Banker",12,8))+IF(L671="Term Sheet / Proposal",25,IF(L671="Engaged",20,IF(L671="Meeting Requested",18,IF(L671="Meeting Held",14,IF(L671="Follow Up",10,5)))))+MIN(Q671,30)+IF(S671="DUE",15,IF(S671="Next 3 Days",8,0))),0))</f>
        <v/>
      </c>
      <c r="AB671" s="425">
        <f>IF(AND(AC671="Active",OR(N671="Tier 1",N671="Tier 2"),OR(S671="DUE",S671="Next 3 Days")),"YES","")</f>
        <v/>
      </c>
      <c r="AC671" s="425">
        <f>IF(L671="Passed","Archived","Active")</f>
        <v/>
      </c>
    </row>
    <row r="672">
      <c r="A672" s="425" t="inlineStr">
        <is>
          <t>EXOS-0671</t>
        </is>
      </c>
      <c r="B672" s="425" t="inlineStr">
        <is>
          <t>John - Investor Contacts</t>
        </is>
      </c>
      <c r="C672" s="425" t="inlineStr">
        <is>
          <t>Financial Investor</t>
        </is>
      </c>
      <c r="D672" s="425" t="inlineStr">
        <is>
          <t>Sand Hill Angels</t>
        </is>
      </c>
      <c r="E672" s="425" t="inlineStr">
        <is>
          <t>Ning Sung</t>
        </is>
      </c>
      <c r="F672" s="425" t="inlineStr"/>
      <c r="G672" s="111" t="inlineStr">
        <is>
          <t>nsung@sandhillangels.com</t>
        </is>
      </c>
      <c r="H672" s="425" t="inlineStr"/>
      <c r="I672" s="425" t="inlineStr"/>
      <c r="J672" s="111" t="inlineStr">
        <is>
          <t>https://www.linkedin.com/in/ning-sung/</t>
        </is>
      </c>
      <c r="K672" s="426" t="inlineStr">
        <is>
          <t>John Quinn</t>
        </is>
      </c>
      <c r="L672" s="426" t="inlineStr">
        <is>
          <t>Follow Up</t>
        </is>
      </c>
      <c r="M672" s="425" t="inlineStr">
        <is>
          <t>Space / Defense / Aerospace / Advanced Manufacturing</t>
        </is>
      </c>
      <c r="N672" s="426" t="inlineStr">
        <is>
          <t>Tier 2</t>
        </is>
      </c>
      <c r="O672" s="441" t="n">
        <v>45994</v>
      </c>
      <c r="P672" s="441" t="n">
        <v>46036</v>
      </c>
      <c r="Q672" s="425">
        <f>IF(P672="","",TODAY()-P672)</f>
        <v/>
      </c>
      <c r="R672" s="441">
        <f>IF(OR(L672="Passed",Z672=""),"",P672+Z672)</f>
        <v/>
      </c>
      <c r="S672" s="425">
        <f>IF(OR(R672="",L672="Passed"),"",IF(R672&lt;=TODAY(),"DUE",IF(R672&lt;=TODAY()+3,"Next 3 Days","Later")))</f>
        <v/>
      </c>
      <c r="T672" s="425" t="inlineStr"/>
      <c r="U672" s="426" t="inlineStr">
        <is>
          <t>https://www.linkedin.com/in/ning-sung/</t>
        </is>
      </c>
      <c r="V672" s="426" t="inlineStr"/>
      <c r="W672" s="428" t="inlineStr">
        <is>
          <t xml:space="preserve"> |  | </t>
        </is>
      </c>
      <c r="X672" s="425" t="inlineStr">
        <is>
          <t>John - Investor Contacts!709</t>
        </is>
      </c>
      <c r="Y672" s="426" t="inlineStr">
        <is>
          <t>Send next follow-up with traction + CTA</t>
        </is>
      </c>
      <c r="Z672" s="425" t="n">
        <v>7</v>
      </c>
      <c r="AA672" s="425">
        <f>IF(AC672="Archived",0,ROUND((IF(N672="Tier 1",35,IF(N672="Tier 2",20,8))+IF(C672="Financial Investor",15,IF(C672="Intermediary / Banker",12,8))+IF(L672="Term Sheet / Proposal",25,IF(L672="Engaged",20,IF(L672="Meeting Requested",18,IF(L672="Meeting Held",14,IF(L672="Follow Up",10,5)))))+MIN(Q672,30)+IF(S672="DUE",15,IF(S672="Next 3 Days",8,0))),0))</f>
        <v/>
      </c>
      <c r="AB672" s="425">
        <f>IF(AND(AC672="Active",OR(N672="Tier 1",N672="Tier 2"),OR(S672="DUE",S672="Next 3 Days")),"YES","")</f>
        <v/>
      </c>
      <c r="AC672" s="425">
        <f>IF(L672="Passed","Archived","Active")</f>
        <v/>
      </c>
    </row>
    <row r="673">
      <c r="A673" s="425" t="inlineStr">
        <is>
          <t>EXOS-0672</t>
        </is>
      </c>
      <c r="B673" s="425" t="inlineStr">
        <is>
          <t>John - Investor Contacts</t>
        </is>
      </c>
      <c r="C673" s="425" t="inlineStr">
        <is>
          <t>Financial Investor</t>
        </is>
      </c>
      <c r="D673" s="425" t="inlineStr">
        <is>
          <t>Sanders Morris</t>
        </is>
      </c>
      <c r="E673" s="425" t="inlineStr">
        <is>
          <t>Don Sanders</t>
        </is>
      </c>
      <c r="F673" s="425" t="inlineStr"/>
      <c r="G673" s="111" t="inlineStr">
        <is>
          <t>don.sanders@smhgroup.com</t>
        </is>
      </c>
      <c r="H673" s="425" t="inlineStr"/>
      <c r="I673" s="425" t="inlineStr"/>
      <c r="J673" s="111" t="inlineStr">
        <is>
          <t>https://www.linkedin.com/in/don-sanders-41358494/</t>
        </is>
      </c>
      <c r="K673" s="426" t="inlineStr">
        <is>
          <t>John Quinn</t>
        </is>
      </c>
      <c r="L673" s="426" t="inlineStr">
        <is>
          <t>Follow Up</t>
        </is>
      </c>
      <c r="M673" s="425" t="inlineStr">
        <is>
          <t>Space / Defense / Aerospace / Advanced Manufacturing</t>
        </is>
      </c>
      <c r="N673" s="426" t="inlineStr">
        <is>
          <t>Tier 2</t>
        </is>
      </c>
      <c r="O673" s="441" t="n">
        <v>45989</v>
      </c>
      <c r="P673" s="441" t="n">
        <v>46036</v>
      </c>
      <c r="Q673" s="425">
        <f>IF(P673="","",TODAY()-P673)</f>
        <v/>
      </c>
      <c r="R673" s="441">
        <f>IF(OR(L673="Passed",Z673=""),"",P673+Z673)</f>
        <v/>
      </c>
      <c r="S673" s="425">
        <f>IF(OR(R673="",L673="Passed"),"",IF(R673&lt;=TODAY(),"DUE",IF(R673&lt;=TODAY()+3,"Next 3 Days","Later")))</f>
        <v/>
      </c>
      <c r="T673" s="425" t="inlineStr"/>
      <c r="U673" s="426" t="inlineStr">
        <is>
          <t>https://www.linkedin.com/in/don-sanders-41358494/</t>
        </is>
      </c>
      <c r="V673" s="426" t="inlineStr"/>
      <c r="W673" s="428" t="inlineStr">
        <is>
          <t xml:space="preserve"> | 02/26/2026 | </t>
        </is>
      </c>
      <c r="X673" s="425" t="inlineStr">
        <is>
          <t>John - Investor Contacts!887</t>
        </is>
      </c>
      <c r="Y673" s="426" t="inlineStr">
        <is>
          <t>Send next follow-up with traction + CTA</t>
        </is>
      </c>
      <c r="Z673" s="425" t="n">
        <v>7</v>
      </c>
      <c r="AA673" s="425">
        <f>IF(AC673="Archived",0,ROUND((IF(N673="Tier 1",35,IF(N673="Tier 2",20,8))+IF(C673="Financial Investor",15,IF(C673="Intermediary / Banker",12,8))+IF(L673="Term Sheet / Proposal",25,IF(L673="Engaged",20,IF(L673="Meeting Requested",18,IF(L673="Meeting Held",14,IF(L673="Follow Up",10,5)))))+MIN(Q673,30)+IF(S673="DUE",15,IF(S673="Next 3 Days",8,0))),0))</f>
        <v/>
      </c>
      <c r="AB673" s="425">
        <f>IF(AND(AC673="Active",OR(N673="Tier 1",N673="Tier 2"),OR(S673="DUE",S673="Next 3 Days")),"YES","")</f>
        <v/>
      </c>
      <c r="AC673" s="425">
        <f>IF(L673="Passed","Archived","Active")</f>
        <v/>
      </c>
    </row>
    <row r="674">
      <c r="A674" s="425" t="inlineStr">
        <is>
          <t>EXOS-0673</t>
        </is>
      </c>
      <c r="B674" s="425" t="inlineStr">
        <is>
          <t>John - Investor Contacts</t>
        </is>
      </c>
      <c r="C674" s="425" t="inlineStr">
        <is>
          <t>Financial Investor</t>
        </is>
      </c>
      <c r="D674" s="425" t="inlineStr">
        <is>
          <t>Sanders Morris</t>
        </is>
      </c>
      <c r="E674" s="425" t="inlineStr">
        <is>
          <t>Erick Kuebler</t>
        </is>
      </c>
      <c r="F674" s="425" t="inlineStr"/>
      <c r="G674" s="111" t="inlineStr">
        <is>
          <t>erick.kuebler@smhgroup.com</t>
        </is>
      </c>
      <c r="H674" s="425" t="inlineStr"/>
      <c r="I674" s="425" t="inlineStr"/>
      <c r="J674" s="111" t="inlineStr">
        <is>
          <t>https://www.linkedin.com/in/erick-kuebler-a718bb47/</t>
        </is>
      </c>
      <c r="K674" s="426" t="inlineStr">
        <is>
          <t>John Quinn</t>
        </is>
      </c>
      <c r="L674" s="426" t="inlineStr">
        <is>
          <t>Follow Up</t>
        </is>
      </c>
      <c r="M674" s="425" t="inlineStr">
        <is>
          <t>Space / Defense / Aerospace / Advanced Manufacturing</t>
        </is>
      </c>
      <c r="N674" s="426" t="inlineStr">
        <is>
          <t>Tier 2</t>
        </is>
      </c>
      <c r="O674" s="441" t="n">
        <v>45989</v>
      </c>
      <c r="P674" s="441" t="n">
        <v>46031</v>
      </c>
      <c r="Q674" s="425">
        <f>IF(P674="","",TODAY()-P674)</f>
        <v/>
      </c>
      <c r="R674" s="441">
        <f>IF(OR(L674="Passed",Z674=""),"",P674+Z674)</f>
        <v/>
      </c>
      <c r="S674" s="425">
        <f>IF(OR(R674="",L674="Passed"),"",IF(R674&lt;=TODAY(),"DUE",IF(R674&lt;=TODAY()+3,"Next 3 Days","Later")))</f>
        <v/>
      </c>
      <c r="T674" s="425" t="inlineStr"/>
      <c r="U674" s="426" t="inlineStr">
        <is>
          <t>https://www.linkedin.com/in/erick-kuebler-a718bb47/</t>
        </is>
      </c>
      <c r="V674" s="426" t="inlineStr"/>
      <c r="W674" s="428" t="inlineStr">
        <is>
          <t xml:space="preserve"> | 02/26/2026 | </t>
        </is>
      </c>
      <c r="X674" s="425" t="inlineStr">
        <is>
          <t>John - Investor Contacts!886</t>
        </is>
      </c>
      <c r="Y674" s="426" t="inlineStr">
        <is>
          <t>Send next follow-up with traction + CTA</t>
        </is>
      </c>
      <c r="Z674" s="425" t="n">
        <v>7</v>
      </c>
      <c r="AA674" s="425">
        <f>IF(AC674="Archived",0,ROUND((IF(N674="Tier 1",35,IF(N674="Tier 2",20,8))+IF(C674="Financial Investor",15,IF(C674="Intermediary / Banker",12,8))+IF(L674="Term Sheet / Proposal",25,IF(L674="Engaged",20,IF(L674="Meeting Requested",18,IF(L674="Meeting Held",14,IF(L674="Follow Up",10,5)))))+MIN(Q674,30)+IF(S674="DUE",15,IF(S674="Next 3 Days",8,0))),0))</f>
        <v/>
      </c>
      <c r="AB674" s="425">
        <f>IF(AND(AC674="Active",OR(N674="Tier 1",N674="Tier 2"),OR(S674="DUE",S674="Next 3 Days")),"YES","")</f>
        <v/>
      </c>
      <c r="AC674" s="425">
        <f>IF(L674="Passed","Archived","Active")</f>
        <v/>
      </c>
    </row>
    <row r="675">
      <c r="A675" s="425" t="inlineStr">
        <is>
          <t>EXOS-0674</t>
        </is>
      </c>
      <c r="B675" s="425" t="inlineStr">
        <is>
          <t>John - Investor Contacts</t>
        </is>
      </c>
      <c r="C675" s="425" t="inlineStr">
        <is>
          <t>Financial Investor</t>
        </is>
      </c>
      <c r="D675" s="425" t="inlineStr">
        <is>
          <t>Sanders Morris</t>
        </is>
      </c>
      <c r="E675" s="425" t="inlineStr">
        <is>
          <t>Ted Hoffman</t>
        </is>
      </c>
      <c r="F675" s="425" t="inlineStr"/>
      <c r="G675" s="111" t="inlineStr">
        <is>
          <t>ted.hoffman@smhgroup.com</t>
        </is>
      </c>
      <c r="H675" s="425" t="inlineStr"/>
      <c r="I675" s="425" t="inlineStr"/>
      <c r="J675" s="111" t="inlineStr">
        <is>
          <t>https://www.linkedin.com/in/ted-hoffman-051a144/</t>
        </is>
      </c>
      <c r="K675" s="426" t="inlineStr">
        <is>
          <t>John Quinn</t>
        </is>
      </c>
      <c r="L675" s="426" t="inlineStr">
        <is>
          <t>Follow Up</t>
        </is>
      </c>
      <c r="M675" s="425" t="inlineStr">
        <is>
          <t>Space / Defense / Aerospace / Advanced Manufacturing</t>
        </is>
      </c>
      <c r="N675" s="426" t="inlineStr">
        <is>
          <t>Tier 2</t>
        </is>
      </c>
      <c r="O675" s="441" t="n">
        <v>45989</v>
      </c>
      <c r="P675" s="441" t="n">
        <v>46036</v>
      </c>
      <c r="Q675" s="425">
        <f>IF(P675="","",TODAY()-P675)</f>
        <v/>
      </c>
      <c r="R675" s="441">
        <f>IF(OR(L675="Passed",Z675=""),"",P675+Z675)</f>
        <v/>
      </c>
      <c r="S675" s="425">
        <f>IF(OR(R675="",L675="Passed"),"",IF(R675&lt;=TODAY(),"DUE",IF(R675&lt;=TODAY()+3,"Next 3 Days","Later")))</f>
        <v/>
      </c>
      <c r="T675" s="425" t="inlineStr"/>
      <c r="U675" s="426" t="inlineStr">
        <is>
          <t>https://www.linkedin.com/in/ted-hoffman-051a144/</t>
        </is>
      </c>
      <c r="V675" s="426" t="inlineStr"/>
      <c r="W675" s="428" t="inlineStr">
        <is>
          <t xml:space="preserve"> | 02/26/2026 | </t>
        </is>
      </c>
      <c r="X675" s="425" t="inlineStr">
        <is>
          <t>John - Investor Contacts!889</t>
        </is>
      </c>
      <c r="Y675" s="426" t="inlineStr">
        <is>
          <t>Send next follow-up with traction + CTA</t>
        </is>
      </c>
      <c r="Z675" s="425" t="n">
        <v>7</v>
      </c>
      <c r="AA675" s="425">
        <f>IF(AC675="Archived",0,ROUND((IF(N675="Tier 1",35,IF(N675="Tier 2",20,8))+IF(C675="Financial Investor",15,IF(C675="Intermediary / Banker",12,8))+IF(L675="Term Sheet / Proposal",25,IF(L675="Engaged",20,IF(L675="Meeting Requested",18,IF(L675="Meeting Held",14,IF(L675="Follow Up",10,5)))))+MIN(Q675,30)+IF(S675="DUE",15,IF(S675="Next 3 Days",8,0))),0))</f>
        <v/>
      </c>
      <c r="AB675" s="425">
        <f>IF(AND(AC675="Active",OR(N675="Tier 1",N675="Tier 2"),OR(S675="DUE",S675="Next 3 Days")),"YES","")</f>
        <v/>
      </c>
      <c r="AC675" s="425">
        <f>IF(L675="Passed","Archived","Active")</f>
        <v/>
      </c>
    </row>
    <row r="676">
      <c r="A676" s="425" t="inlineStr">
        <is>
          <t>EXOS-0675</t>
        </is>
      </c>
      <c r="B676" s="425" t="inlineStr">
        <is>
          <t>OSC</t>
        </is>
      </c>
      <c r="C676" s="425" t="inlineStr">
        <is>
          <t>Financial Investor</t>
        </is>
      </c>
      <c r="D676" s="425" t="inlineStr">
        <is>
          <t>Sands Capital</t>
        </is>
      </c>
      <c r="E676" s="425" t="inlineStr">
        <is>
          <t>Andrew Gavlin</t>
        </is>
      </c>
      <c r="F676" s="425" t="inlineStr"/>
      <c r="G676" s="111" t="inlineStr">
        <is>
          <t>agavlin@sandscap.com</t>
        </is>
      </c>
      <c r="H676" s="425" t="inlineStr"/>
      <c r="I676" s="425" t="inlineStr">
        <is>
          <t>703.253.2130</t>
        </is>
      </c>
      <c r="J676" s="425" t="inlineStr"/>
      <c r="K676" s="426" t="inlineStr">
        <is>
          <t>John Quinn</t>
        </is>
      </c>
      <c r="L676" s="426" t="inlineStr">
        <is>
          <t>Follow Up</t>
        </is>
      </c>
      <c r="M676" s="425" t="inlineStr">
        <is>
          <t>Space / Defense / Aerospace / Advanced Manufacturing</t>
        </is>
      </c>
      <c r="N676" s="426" t="inlineStr">
        <is>
          <t>Tier 2</t>
        </is>
      </c>
      <c r="O676" s="425" t="n"/>
      <c r="P676" s="441" t="n">
        <v>45922</v>
      </c>
      <c r="Q676" s="425">
        <f>IF(P676="","",TODAY()-P676)</f>
        <v/>
      </c>
      <c r="R676" s="441">
        <f>IF(OR(L676="Passed",Z676=""),"",P676+Z676)</f>
        <v/>
      </c>
      <c r="S676" s="425">
        <f>IF(OR(R676="",L676="Passed"),"",IF(R676&lt;=TODAY(),"DUE",IF(R676&lt;=TODAY()+3,"Next 3 Days","Later")))</f>
        <v/>
      </c>
      <c r="T676" s="425" t="inlineStr"/>
      <c r="U676" s="426" t="inlineStr"/>
      <c r="V676" s="426" t="inlineStr"/>
      <c r="W676" s="428" t="inlineStr"/>
      <c r="X676" s="425" t="inlineStr">
        <is>
          <t>OSC!84</t>
        </is>
      </c>
      <c r="Y676" s="426" t="inlineStr">
        <is>
          <t>Send next follow-up with traction + CTA</t>
        </is>
      </c>
      <c r="Z676" s="425" t="n">
        <v>7</v>
      </c>
      <c r="AA676" s="425">
        <f>IF(AC676="Archived",0,ROUND((IF(N676="Tier 1",35,IF(N676="Tier 2",20,8))+IF(C676="Financial Investor",15,IF(C676="Intermediary / Banker",12,8))+IF(L676="Term Sheet / Proposal",25,IF(L676="Engaged",20,IF(L676="Meeting Requested",18,IF(L676="Meeting Held",14,IF(L676="Follow Up",10,5)))))+MIN(Q676,30)+IF(S676="DUE",15,IF(S676="Next 3 Days",8,0))),0))</f>
        <v/>
      </c>
      <c r="AB676" s="425">
        <f>IF(AND(AC676="Active",OR(N676="Tier 1",N676="Tier 2"),OR(S676="DUE",S676="Next 3 Days")),"YES","")</f>
        <v/>
      </c>
      <c r="AC676" s="425">
        <f>IF(L676="Passed","Archived","Active")</f>
        <v/>
      </c>
    </row>
    <row r="677">
      <c r="A677" s="425" t="inlineStr">
        <is>
          <t>EXOS-0676</t>
        </is>
      </c>
      <c r="B677" s="425" t="inlineStr">
        <is>
          <t>OSC</t>
        </is>
      </c>
      <c r="C677" s="425" t="inlineStr">
        <is>
          <t>Financial Investor</t>
        </is>
      </c>
      <c r="D677" s="425" t="inlineStr">
        <is>
          <t>Sands Capital</t>
        </is>
      </c>
      <c r="E677" s="425" t="inlineStr">
        <is>
          <t>Frank Sands</t>
        </is>
      </c>
      <c r="F677" s="425" t="inlineStr"/>
      <c r="G677" s="111" t="inlineStr">
        <is>
          <t>fsands@sandscap.com</t>
        </is>
      </c>
      <c r="H677" s="425" t="inlineStr"/>
      <c r="I677" s="425" t="inlineStr">
        <is>
          <t>703.714.1545</t>
        </is>
      </c>
      <c r="J677" s="425" t="inlineStr"/>
      <c r="K677" s="426" t="inlineStr">
        <is>
          <t>John Quinn</t>
        </is>
      </c>
      <c r="L677" s="426" t="inlineStr">
        <is>
          <t>Follow Up</t>
        </is>
      </c>
      <c r="M677" s="425" t="inlineStr">
        <is>
          <t>Space / Defense / Aerospace / Advanced Manufacturing</t>
        </is>
      </c>
      <c r="N677" s="426" t="inlineStr">
        <is>
          <t>Tier 2</t>
        </is>
      </c>
      <c r="O677" s="441" t="n">
        <v>45854</v>
      </c>
      <c r="P677" s="441" t="n">
        <v>45922</v>
      </c>
      <c r="Q677" s="425">
        <f>IF(P677="","",TODAY()-P677)</f>
        <v/>
      </c>
      <c r="R677" s="441">
        <f>IF(OR(L677="Passed",Z677=""),"",P677+Z677)</f>
        <v/>
      </c>
      <c r="S677" s="425">
        <f>IF(OR(R677="",L677="Passed"),"",IF(R677&lt;=TODAY(),"DUE",IF(R677&lt;=TODAY()+3,"Next 3 Days","Later")))</f>
        <v/>
      </c>
      <c r="T677" s="425" t="inlineStr"/>
      <c r="U677" s="426" t="inlineStr"/>
      <c r="V677" s="426" t="inlineStr"/>
      <c r="W677" s="428" t="inlineStr"/>
      <c r="X677" s="425" t="inlineStr">
        <is>
          <t>OSC!82</t>
        </is>
      </c>
      <c r="Y677" s="426" t="inlineStr">
        <is>
          <t>Send next follow-up with traction + CTA</t>
        </is>
      </c>
      <c r="Z677" s="425" t="n">
        <v>7</v>
      </c>
      <c r="AA677" s="425">
        <f>IF(AC677="Archived",0,ROUND((IF(N677="Tier 1",35,IF(N677="Tier 2",20,8))+IF(C677="Financial Investor",15,IF(C677="Intermediary / Banker",12,8))+IF(L677="Term Sheet / Proposal",25,IF(L677="Engaged",20,IF(L677="Meeting Requested",18,IF(L677="Meeting Held",14,IF(L677="Follow Up",10,5)))))+MIN(Q677,30)+IF(S677="DUE",15,IF(S677="Next 3 Days",8,0))),0))</f>
        <v/>
      </c>
      <c r="AB677" s="425">
        <f>IF(AND(AC677="Active",OR(N677="Tier 1",N677="Tier 2"),OR(S677="DUE",S677="Next 3 Days")),"YES","")</f>
        <v/>
      </c>
      <c r="AC677" s="425">
        <f>IF(L677="Passed","Archived","Active")</f>
        <v/>
      </c>
    </row>
    <row r="678">
      <c r="A678" s="425" t="inlineStr">
        <is>
          <t>EXOS-0677</t>
        </is>
      </c>
      <c r="B678" s="425" t="inlineStr">
        <is>
          <t>OSC</t>
        </is>
      </c>
      <c r="C678" s="425" t="inlineStr">
        <is>
          <t>Financial Investor</t>
        </is>
      </c>
      <c r="D678" s="425" t="inlineStr">
        <is>
          <t>Sands Capital</t>
        </is>
      </c>
      <c r="E678" s="425" t="inlineStr">
        <is>
          <t>Michael Graninger</t>
        </is>
      </c>
      <c r="F678" s="425" t="inlineStr"/>
      <c r="G678" s="111" t="inlineStr">
        <is>
          <t>mgraninger@sandscap.com</t>
        </is>
      </c>
      <c r="H678" s="425" t="inlineStr"/>
      <c r="I678" s="425" t="inlineStr">
        <is>
          <t>703.253.2127</t>
        </is>
      </c>
      <c r="J678" s="425" t="inlineStr"/>
      <c r="K678" s="426" t="inlineStr">
        <is>
          <t>John Quinn</t>
        </is>
      </c>
      <c r="L678" s="426" t="inlineStr">
        <is>
          <t>Follow Up</t>
        </is>
      </c>
      <c r="M678" s="425" t="inlineStr">
        <is>
          <t>Space / Defense / Aerospace / Advanced Manufacturing</t>
        </is>
      </c>
      <c r="N678" s="426" t="inlineStr">
        <is>
          <t>Tier 2</t>
        </is>
      </c>
      <c r="O678" s="441" t="n">
        <v>45854</v>
      </c>
      <c r="P678" s="441" t="n">
        <v>45922</v>
      </c>
      <c r="Q678" s="425">
        <f>IF(P678="","",TODAY()-P678)</f>
        <v/>
      </c>
      <c r="R678" s="441">
        <f>IF(OR(L678="Passed",Z678=""),"",P678+Z678)</f>
        <v/>
      </c>
      <c r="S678" s="425">
        <f>IF(OR(R678="",L678="Passed"),"",IF(R678&lt;=TODAY(),"DUE",IF(R678&lt;=TODAY()+3,"Next 3 Days","Later")))</f>
        <v/>
      </c>
      <c r="T678" s="425" t="inlineStr"/>
      <c r="U678" s="426" t="inlineStr"/>
      <c r="V678" s="426" t="inlineStr"/>
      <c r="W678" s="428" t="inlineStr"/>
      <c r="X678" s="425" t="inlineStr">
        <is>
          <t>OSC!83</t>
        </is>
      </c>
      <c r="Y678" s="426" t="inlineStr">
        <is>
          <t>Send next follow-up with traction + CTA</t>
        </is>
      </c>
      <c r="Z678" s="425" t="n">
        <v>7</v>
      </c>
      <c r="AA678" s="425">
        <f>IF(AC678="Archived",0,ROUND((IF(N678="Tier 1",35,IF(N678="Tier 2",20,8))+IF(C678="Financial Investor",15,IF(C678="Intermediary / Banker",12,8))+IF(L678="Term Sheet / Proposal",25,IF(L678="Engaged",20,IF(L678="Meeting Requested",18,IF(L678="Meeting Held",14,IF(L678="Follow Up",10,5)))))+MIN(Q678,30)+IF(S678="DUE",15,IF(S678="Next 3 Days",8,0))),0))</f>
        <v/>
      </c>
      <c r="AB678" s="425">
        <f>IF(AND(AC678="Active",OR(N678="Tier 1",N678="Tier 2"),OR(S678="DUE",S678="Next 3 Days")),"YES","")</f>
        <v/>
      </c>
      <c r="AC678" s="425">
        <f>IF(L678="Passed","Archived","Active")</f>
        <v/>
      </c>
    </row>
    <row r="679">
      <c r="A679" s="425" t="inlineStr">
        <is>
          <t>EXOS-0678</t>
        </is>
      </c>
      <c r="B679" s="425" t="inlineStr">
        <is>
          <t>OSC</t>
        </is>
      </c>
      <c r="C679" s="425" t="inlineStr">
        <is>
          <t>Financial Investor</t>
        </is>
      </c>
      <c r="D679" s="425" t="inlineStr">
        <is>
          <t>Sands Capital</t>
        </is>
      </c>
      <c r="E679" s="425" t="inlineStr">
        <is>
          <t>Stephen Zachary</t>
        </is>
      </c>
      <c r="F679" s="425" t="inlineStr"/>
      <c r="G679" s="111" t="inlineStr">
        <is>
          <t>szachary@sandscap.com</t>
        </is>
      </c>
      <c r="H679" s="425" t="inlineStr"/>
      <c r="I679" s="425" t="inlineStr">
        <is>
          <t>703.253.4409</t>
        </is>
      </c>
      <c r="J679" s="425" t="inlineStr"/>
      <c r="K679" s="426" t="inlineStr">
        <is>
          <t>John Quinn</t>
        </is>
      </c>
      <c r="L679" s="426" t="inlineStr">
        <is>
          <t>Follow Up</t>
        </is>
      </c>
      <c r="M679" s="425" t="inlineStr">
        <is>
          <t>Space / Defense / Aerospace / Advanced Manufacturing</t>
        </is>
      </c>
      <c r="N679" s="426" t="inlineStr">
        <is>
          <t>Tier 2</t>
        </is>
      </c>
      <c r="O679" s="425" t="n"/>
      <c r="P679" s="441" t="n">
        <v>45922</v>
      </c>
      <c r="Q679" s="425">
        <f>IF(P679="","",TODAY()-P679)</f>
        <v/>
      </c>
      <c r="R679" s="441">
        <f>IF(OR(L679="Passed",Z679=""),"",P679+Z679)</f>
        <v/>
      </c>
      <c r="S679" s="425">
        <f>IF(OR(R679="",L679="Passed"),"",IF(R679&lt;=TODAY(),"DUE",IF(R679&lt;=TODAY()+3,"Next 3 Days","Later")))</f>
        <v/>
      </c>
      <c r="T679" s="425" t="inlineStr"/>
      <c r="U679" s="426" t="inlineStr"/>
      <c r="V679" s="426" t="inlineStr"/>
      <c r="W679" s="428" t="inlineStr"/>
      <c r="X679" s="425" t="inlineStr">
        <is>
          <t>OSC!85</t>
        </is>
      </c>
      <c r="Y679" s="426" t="inlineStr">
        <is>
          <t>Send next follow-up with traction + CTA</t>
        </is>
      </c>
      <c r="Z679" s="425" t="n">
        <v>7</v>
      </c>
      <c r="AA679" s="425">
        <f>IF(AC679="Archived",0,ROUND((IF(N679="Tier 1",35,IF(N679="Tier 2",20,8))+IF(C679="Financial Investor",15,IF(C679="Intermediary / Banker",12,8))+IF(L679="Term Sheet / Proposal",25,IF(L679="Engaged",20,IF(L679="Meeting Requested",18,IF(L679="Meeting Held",14,IF(L679="Follow Up",10,5)))))+MIN(Q679,30)+IF(S679="DUE",15,IF(S679="Next 3 Days",8,0))),0))</f>
        <v/>
      </c>
      <c r="AB679" s="425">
        <f>IF(AND(AC679="Active",OR(N679="Tier 1",N679="Tier 2"),OR(S679="DUE",S679="Next 3 Days")),"YES","")</f>
        <v/>
      </c>
      <c r="AC679" s="425">
        <f>IF(L679="Passed","Archived","Active")</f>
        <v/>
      </c>
    </row>
    <row r="680">
      <c r="A680" s="425" t="inlineStr">
        <is>
          <t>EXOS-0679</t>
        </is>
      </c>
      <c r="B680" s="425" t="inlineStr">
        <is>
          <t>John - Investor Contacts</t>
        </is>
      </c>
      <c r="C680" s="425" t="inlineStr">
        <is>
          <t>Financial Investor</t>
        </is>
      </c>
      <c r="D680" s="425" t="inlineStr">
        <is>
          <t>Sapphire Ventures</t>
        </is>
      </c>
      <c r="E680" s="425" t="inlineStr">
        <is>
          <t>Abigail Johnson</t>
        </is>
      </c>
      <c r="F680" s="425" t="inlineStr"/>
      <c r="G680" s="111" t="inlineStr">
        <is>
          <t>abigail@sapphireventures.com</t>
        </is>
      </c>
      <c r="H680" s="425" t="inlineStr"/>
      <c r="I680" s="425" t="inlineStr"/>
      <c r="J680" s="111" t="inlineStr">
        <is>
          <t>https://www.linkedin.com/in/abigail2</t>
        </is>
      </c>
      <c r="K680" s="426" t="inlineStr">
        <is>
          <t>John Quinn</t>
        </is>
      </c>
      <c r="L680" s="426" t="inlineStr">
        <is>
          <t>Follow Up</t>
        </is>
      </c>
      <c r="M680" s="425" t="inlineStr">
        <is>
          <t>Space / Defense / Aerospace / Advanced Manufacturing</t>
        </is>
      </c>
      <c r="N680" s="426" t="inlineStr">
        <is>
          <t>Tier 2</t>
        </is>
      </c>
      <c r="O680" s="441" t="n">
        <v>45946</v>
      </c>
      <c r="P680" s="441" t="n">
        <v>45973</v>
      </c>
      <c r="Q680" s="425">
        <f>IF(P680="","",TODAY()-P680)</f>
        <v/>
      </c>
      <c r="R680" s="441">
        <f>IF(OR(L680="Passed",Z680=""),"",P680+Z680)</f>
        <v/>
      </c>
      <c r="S680" s="425">
        <f>IF(OR(R680="",L680="Passed"),"",IF(R680&lt;=TODAY(),"DUE",IF(R680&lt;=TODAY()+3,"Next 3 Days","Later")))</f>
        <v/>
      </c>
      <c r="T680" s="425" t="inlineStr"/>
      <c r="U680" s="426" t="inlineStr">
        <is>
          <t>https://www.linkedin.com/in/abigail2</t>
        </is>
      </c>
      <c r="V680" s="426" t="inlineStr"/>
      <c r="W680" s="428" t="inlineStr">
        <is>
          <t xml:space="preserve"> | 12/30/2025 | </t>
        </is>
      </c>
      <c r="X680" s="425" t="inlineStr">
        <is>
          <t>John - Investor Contacts!753</t>
        </is>
      </c>
      <c r="Y680" s="426" t="inlineStr">
        <is>
          <t>Send next follow-up with traction + CTA</t>
        </is>
      </c>
      <c r="Z680" s="425" t="n">
        <v>7</v>
      </c>
      <c r="AA680" s="425">
        <f>IF(AC680="Archived",0,ROUND((IF(N680="Tier 1",35,IF(N680="Tier 2",20,8))+IF(C680="Financial Investor",15,IF(C680="Intermediary / Banker",12,8))+IF(L680="Term Sheet / Proposal",25,IF(L680="Engaged",20,IF(L680="Meeting Requested",18,IF(L680="Meeting Held",14,IF(L680="Follow Up",10,5)))))+MIN(Q680,30)+IF(S680="DUE",15,IF(S680="Next 3 Days",8,0))),0))</f>
        <v/>
      </c>
      <c r="AB680" s="425">
        <f>IF(AND(AC680="Active",OR(N680="Tier 1",N680="Tier 2"),OR(S680="DUE",S680="Next 3 Days")),"YES","")</f>
        <v/>
      </c>
      <c r="AC680" s="425">
        <f>IF(L680="Passed","Archived","Active")</f>
        <v/>
      </c>
    </row>
    <row r="681">
      <c r="A681" s="425" t="inlineStr">
        <is>
          <t>EXOS-0680</t>
        </is>
      </c>
      <c r="B681" s="425" t="inlineStr">
        <is>
          <t>John - Investor Contacts</t>
        </is>
      </c>
      <c r="C681" s="425" t="inlineStr">
        <is>
          <t>Financial Investor</t>
        </is>
      </c>
      <c r="D681" s="425" t="inlineStr">
        <is>
          <t>Sapphire Ventures</t>
        </is>
      </c>
      <c r="E681" s="425" t="inlineStr">
        <is>
          <t>Jai Das</t>
        </is>
      </c>
      <c r="F681" s="425" t="inlineStr"/>
      <c r="G681" s="111" t="inlineStr">
        <is>
          <t>jai@sapphireventures.com</t>
        </is>
      </c>
      <c r="H681" s="425" t="inlineStr"/>
      <c r="I681" s="425" t="inlineStr"/>
      <c r="J681" s="111" t="inlineStr">
        <is>
          <t>https://www.linkedin.com/in/jaidas/</t>
        </is>
      </c>
      <c r="K681" s="426" t="inlineStr">
        <is>
          <t>John Quinn</t>
        </is>
      </c>
      <c r="L681" s="426" t="inlineStr">
        <is>
          <t>Follow Up</t>
        </is>
      </c>
      <c r="M681" s="425" t="inlineStr">
        <is>
          <t>Space / Defense / Aerospace / Advanced Manufacturing</t>
        </is>
      </c>
      <c r="N681" s="426" t="inlineStr">
        <is>
          <t>Tier 2</t>
        </is>
      </c>
      <c r="O681" s="441" t="n">
        <v>45946</v>
      </c>
      <c r="P681" s="441" t="n">
        <v>45973</v>
      </c>
      <c r="Q681" s="425">
        <f>IF(P681="","",TODAY()-P681)</f>
        <v/>
      </c>
      <c r="R681" s="441">
        <f>IF(OR(L681="Passed",Z681=""),"",P681+Z681)</f>
        <v/>
      </c>
      <c r="S681" s="425">
        <f>IF(OR(R681="",L681="Passed"),"",IF(R681&lt;=TODAY(),"DUE",IF(R681&lt;=TODAY()+3,"Next 3 Days","Later")))</f>
        <v/>
      </c>
      <c r="T681" s="425" t="inlineStr"/>
      <c r="U681" s="426" t="inlineStr">
        <is>
          <t>https://www.linkedin.com/in/jaidas/</t>
        </is>
      </c>
      <c r="V681" s="426" t="inlineStr"/>
      <c r="W681" s="428" t="inlineStr">
        <is>
          <t xml:space="preserve"> | 12/30/2025 | </t>
        </is>
      </c>
      <c r="X681" s="425" t="inlineStr">
        <is>
          <t>John - Investor Contacts!756</t>
        </is>
      </c>
      <c r="Y681" s="426" t="inlineStr">
        <is>
          <t>Send next follow-up with traction + CTA</t>
        </is>
      </c>
      <c r="Z681" s="425" t="n">
        <v>7</v>
      </c>
      <c r="AA681" s="425">
        <f>IF(AC681="Archived",0,ROUND((IF(N681="Tier 1",35,IF(N681="Tier 2",20,8))+IF(C681="Financial Investor",15,IF(C681="Intermediary / Banker",12,8))+IF(L681="Term Sheet / Proposal",25,IF(L681="Engaged",20,IF(L681="Meeting Requested",18,IF(L681="Meeting Held",14,IF(L681="Follow Up",10,5)))))+MIN(Q681,30)+IF(S681="DUE",15,IF(S681="Next 3 Days",8,0))),0))</f>
        <v/>
      </c>
      <c r="AB681" s="425">
        <f>IF(AND(AC681="Active",OR(N681="Tier 1",N681="Tier 2"),OR(S681="DUE",S681="Next 3 Days")),"YES","")</f>
        <v/>
      </c>
      <c r="AC681" s="425">
        <f>IF(L681="Passed","Archived","Active")</f>
        <v/>
      </c>
    </row>
    <row r="682">
      <c r="A682" s="425" t="inlineStr">
        <is>
          <t>EXOS-0681</t>
        </is>
      </c>
      <c r="B682" s="425" t="inlineStr">
        <is>
          <t>John - Investor Contacts</t>
        </is>
      </c>
      <c r="C682" s="425" t="inlineStr">
        <is>
          <t>Financial Investor</t>
        </is>
      </c>
      <c r="D682" s="425" t="inlineStr">
        <is>
          <t>Sapphire Ventures</t>
        </is>
      </c>
      <c r="E682" s="425" t="inlineStr">
        <is>
          <t>Laura Thompson</t>
        </is>
      </c>
      <c r="F682" s="425" t="inlineStr"/>
      <c r="G682" s="111" t="inlineStr">
        <is>
          <t>laura@sapphireventures.com</t>
        </is>
      </c>
      <c r="H682" s="425" t="inlineStr"/>
      <c r="I682" s="425" t="inlineStr"/>
      <c r="J682" s="111" t="inlineStr">
        <is>
          <t>https://www.linkedin.com/in/lauragthompson22</t>
        </is>
      </c>
      <c r="K682" s="426" t="inlineStr">
        <is>
          <t>John Quinn</t>
        </is>
      </c>
      <c r="L682" s="426" t="inlineStr">
        <is>
          <t>Follow Up</t>
        </is>
      </c>
      <c r="M682" s="425" t="inlineStr">
        <is>
          <t>Space / Defense / Aerospace / Advanced Manufacturing</t>
        </is>
      </c>
      <c r="N682" s="426" t="inlineStr">
        <is>
          <t>Tier 2</t>
        </is>
      </c>
      <c r="O682" s="441" t="n">
        <v>45946</v>
      </c>
      <c r="P682" s="441" t="n">
        <v>45973</v>
      </c>
      <c r="Q682" s="425">
        <f>IF(P682="","",TODAY()-P682)</f>
        <v/>
      </c>
      <c r="R682" s="441">
        <f>IF(OR(L682="Passed",Z682=""),"",P682+Z682)</f>
        <v/>
      </c>
      <c r="S682" s="425">
        <f>IF(OR(R682="",L682="Passed"),"",IF(R682&lt;=TODAY(),"DUE",IF(R682&lt;=TODAY()+3,"Next 3 Days","Later")))</f>
        <v/>
      </c>
      <c r="T682" s="425" t="inlineStr"/>
      <c r="U682" s="426" t="inlineStr">
        <is>
          <t>https://www.linkedin.com/in/lauragthompson22</t>
        </is>
      </c>
      <c r="V682" s="426" t="inlineStr"/>
      <c r="W682" s="428" t="inlineStr">
        <is>
          <t xml:space="preserve"> | 12/30/2025 | </t>
        </is>
      </c>
      <c r="X682" s="425" t="inlineStr">
        <is>
          <t>John - Investor Contacts!755</t>
        </is>
      </c>
      <c r="Y682" s="426" t="inlineStr">
        <is>
          <t>Send next follow-up with traction + CTA</t>
        </is>
      </c>
      <c r="Z682" s="425" t="n">
        <v>7</v>
      </c>
      <c r="AA682" s="425">
        <f>IF(AC682="Archived",0,ROUND((IF(N682="Tier 1",35,IF(N682="Tier 2",20,8))+IF(C682="Financial Investor",15,IF(C682="Intermediary / Banker",12,8))+IF(L682="Term Sheet / Proposal",25,IF(L682="Engaged",20,IF(L682="Meeting Requested",18,IF(L682="Meeting Held",14,IF(L682="Follow Up",10,5)))))+MIN(Q682,30)+IF(S682="DUE",15,IF(S682="Next 3 Days",8,0))),0))</f>
        <v/>
      </c>
      <c r="AB682" s="425">
        <f>IF(AND(AC682="Active",OR(N682="Tier 1",N682="Tier 2"),OR(S682="DUE",S682="Next 3 Days")),"YES","")</f>
        <v/>
      </c>
      <c r="AC682" s="425">
        <f>IF(L682="Passed","Archived","Active")</f>
        <v/>
      </c>
    </row>
    <row r="683">
      <c r="A683" s="425" t="inlineStr">
        <is>
          <t>EXOS-0682</t>
        </is>
      </c>
      <c r="B683" s="425" t="inlineStr">
        <is>
          <t>John - Investor Contacts</t>
        </is>
      </c>
      <c r="C683" s="425" t="inlineStr">
        <is>
          <t>Financial Investor</t>
        </is>
      </c>
      <c r="D683" s="425" t="inlineStr">
        <is>
          <t>Sapphire Ventures</t>
        </is>
      </c>
      <c r="E683" s="425" t="inlineStr">
        <is>
          <t>Nate Leung</t>
        </is>
      </c>
      <c r="F683" s="425" t="inlineStr"/>
      <c r="G683" s="111" t="inlineStr">
        <is>
          <t>nate@sapphireventures.com</t>
        </is>
      </c>
      <c r="H683" s="425" t="inlineStr"/>
      <c r="I683" s="425" t="inlineStr"/>
      <c r="J683" s="111" t="inlineStr">
        <is>
          <t>https://www.linkedin.com/in/nleung/</t>
        </is>
      </c>
      <c r="K683" s="426" t="inlineStr">
        <is>
          <t>John Quinn</t>
        </is>
      </c>
      <c r="L683" s="426" t="inlineStr">
        <is>
          <t>Follow Up</t>
        </is>
      </c>
      <c r="M683" s="425" t="inlineStr">
        <is>
          <t>Space / Defense / Aerospace / Advanced Manufacturing</t>
        </is>
      </c>
      <c r="N683" s="426" t="inlineStr">
        <is>
          <t>Tier 2</t>
        </is>
      </c>
      <c r="O683" s="441" t="n">
        <v>45946</v>
      </c>
      <c r="P683" s="441" t="n">
        <v>45973</v>
      </c>
      <c r="Q683" s="425">
        <f>IF(P683="","",TODAY()-P683)</f>
        <v/>
      </c>
      <c r="R683" s="441">
        <f>IF(OR(L683="Passed",Z683=""),"",P683+Z683)</f>
        <v/>
      </c>
      <c r="S683" s="425">
        <f>IF(OR(R683="",L683="Passed"),"",IF(R683&lt;=TODAY(),"DUE",IF(R683&lt;=TODAY()+3,"Next 3 Days","Later")))</f>
        <v/>
      </c>
      <c r="T683" s="425" t="inlineStr"/>
      <c r="U683" s="426" t="inlineStr">
        <is>
          <t>https://www.linkedin.com/in/nleung/</t>
        </is>
      </c>
      <c r="V683" s="426" t="inlineStr"/>
      <c r="W683" s="428" t="inlineStr">
        <is>
          <t xml:space="preserve"> | 12/30/2025 | </t>
        </is>
      </c>
      <c r="X683" s="425" t="inlineStr">
        <is>
          <t>John - Investor Contacts!754</t>
        </is>
      </c>
      <c r="Y683" s="426" t="inlineStr">
        <is>
          <t>Send next follow-up with traction + CTA</t>
        </is>
      </c>
      <c r="Z683" s="425" t="n">
        <v>7</v>
      </c>
      <c r="AA683" s="425">
        <f>IF(AC683="Archived",0,ROUND((IF(N683="Tier 1",35,IF(N683="Tier 2",20,8))+IF(C683="Financial Investor",15,IF(C683="Intermediary / Banker",12,8))+IF(L683="Term Sheet / Proposal",25,IF(L683="Engaged",20,IF(L683="Meeting Requested",18,IF(L683="Meeting Held",14,IF(L683="Follow Up",10,5)))))+MIN(Q683,30)+IF(S683="DUE",15,IF(S683="Next 3 Days",8,0))),0))</f>
        <v/>
      </c>
      <c r="AB683" s="425">
        <f>IF(AND(AC683="Active",OR(N683="Tier 1",N683="Tier 2"),OR(S683="DUE",S683="Next 3 Days")),"YES","")</f>
        <v/>
      </c>
      <c r="AC683" s="425">
        <f>IF(L683="Passed","Archived","Active")</f>
        <v/>
      </c>
    </row>
    <row r="684">
      <c r="A684" s="425" t="inlineStr">
        <is>
          <t>EXOS-0683</t>
        </is>
      </c>
      <c r="B684" s="425" t="inlineStr">
        <is>
          <t>John - Investor Contacts</t>
        </is>
      </c>
      <c r="C684" s="425" t="inlineStr">
        <is>
          <t>Financial Investor</t>
        </is>
      </c>
      <c r="D684" s="425" t="inlineStr">
        <is>
          <t>Scale Venture Partners</t>
        </is>
      </c>
      <c r="E684" s="425" t="inlineStr">
        <is>
          <t>Edi Danalache</t>
        </is>
      </c>
      <c r="F684" s="425" t="inlineStr"/>
      <c r="G684" s="111" t="inlineStr">
        <is>
          <t>edi@scalevp.com</t>
        </is>
      </c>
      <c r="H684" s="425" t="inlineStr"/>
      <c r="I684" s="425" t="inlineStr"/>
      <c r="J684" s="111" t="inlineStr">
        <is>
          <t>https://www.linkedin.com/in/edanalache/</t>
        </is>
      </c>
      <c r="K684" s="426" t="inlineStr">
        <is>
          <t>John Quinn</t>
        </is>
      </c>
      <c r="L684" s="426" t="inlineStr">
        <is>
          <t>Follow Up</t>
        </is>
      </c>
      <c r="M684" s="425" t="inlineStr">
        <is>
          <t>Space / Defense / Aerospace / Advanced Manufacturing</t>
        </is>
      </c>
      <c r="N684" s="426" t="inlineStr">
        <is>
          <t>Tier 2</t>
        </is>
      </c>
      <c r="O684" s="441" t="n">
        <v>45912</v>
      </c>
      <c r="P684" s="441" t="n">
        <v>45973</v>
      </c>
      <c r="Q684" s="425">
        <f>IF(P684="","",TODAY()-P684)</f>
        <v/>
      </c>
      <c r="R684" s="441">
        <f>IF(OR(L684="Passed",Z684=""),"",P684+Z684)</f>
        <v/>
      </c>
      <c r="S684" s="425">
        <f>IF(OR(R684="",L684="Passed"),"",IF(R684&lt;=TODAY(),"DUE",IF(R684&lt;=TODAY()+3,"Next 3 Days","Later")))</f>
        <v/>
      </c>
      <c r="T684" s="425" t="inlineStr"/>
      <c r="U684" s="426" t="inlineStr">
        <is>
          <t>https://www.linkedin.com/in/edanalache/</t>
        </is>
      </c>
      <c r="V684" s="426" t="inlineStr"/>
      <c r="W684" s="428" t="inlineStr">
        <is>
          <t xml:space="preserve"> | 12/19/2025 | </t>
        </is>
      </c>
      <c r="X684" s="425" t="inlineStr">
        <is>
          <t>John - Investor Contacts!678</t>
        </is>
      </c>
      <c r="Y684" s="426" t="inlineStr">
        <is>
          <t>Send next follow-up with traction + CTA</t>
        </is>
      </c>
      <c r="Z684" s="425" t="n">
        <v>7</v>
      </c>
      <c r="AA684" s="425">
        <f>IF(AC684="Archived",0,ROUND((IF(N684="Tier 1",35,IF(N684="Tier 2",20,8))+IF(C684="Financial Investor",15,IF(C684="Intermediary / Banker",12,8))+IF(L684="Term Sheet / Proposal",25,IF(L684="Engaged",20,IF(L684="Meeting Requested",18,IF(L684="Meeting Held",14,IF(L684="Follow Up",10,5)))))+MIN(Q684,30)+IF(S684="DUE",15,IF(S684="Next 3 Days",8,0))),0))</f>
        <v/>
      </c>
      <c r="AB684" s="425">
        <f>IF(AND(AC684="Active",OR(N684="Tier 1",N684="Tier 2"),OR(S684="DUE",S684="Next 3 Days")),"YES","")</f>
        <v/>
      </c>
      <c r="AC684" s="425">
        <f>IF(L684="Passed","Archived","Active")</f>
        <v/>
      </c>
    </row>
    <row r="685">
      <c r="A685" s="425" t="inlineStr">
        <is>
          <t>EXOS-0684</t>
        </is>
      </c>
      <c r="B685" s="425" t="inlineStr">
        <is>
          <t>John - Investor Contacts</t>
        </is>
      </c>
      <c r="C685" s="425" t="inlineStr">
        <is>
          <t>Financial Investor</t>
        </is>
      </c>
      <c r="D685" s="425" t="inlineStr">
        <is>
          <t>Scale Venture Partners</t>
        </is>
      </c>
      <c r="E685" s="425" t="inlineStr">
        <is>
          <t>Eric Anderson</t>
        </is>
      </c>
      <c r="F685" s="425" t="inlineStr"/>
      <c r="G685" s="111" t="inlineStr">
        <is>
          <t>ericmand@gmail.com</t>
        </is>
      </c>
      <c r="H685" s="425" t="inlineStr"/>
      <c r="I685" s="425" t="inlineStr"/>
      <c r="J685" s="111" t="inlineStr">
        <is>
          <t>https://www.linkedin.com/in/ericmand/</t>
        </is>
      </c>
      <c r="K685" s="426" t="inlineStr">
        <is>
          <t>John Quinn</t>
        </is>
      </c>
      <c r="L685" s="426" t="inlineStr">
        <is>
          <t>Follow Up</t>
        </is>
      </c>
      <c r="M685" s="425" t="inlineStr">
        <is>
          <t>Space / Defense / Aerospace / Advanced Manufacturing</t>
        </is>
      </c>
      <c r="N685" s="426" t="inlineStr">
        <is>
          <t>Tier 2</t>
        </is>
      </c>
      <c r="O685" s="441" t="n">
        <v>45938</v>
      </c>
      <c r="P685" s="441" t="n">
        <v>45973</v>
      </c>
      <c r="Q685" s="425">
        <f>IF(P685="","",TODAY()-P685)</f>
        <v/>
      </c>
      <c r="R685" s="441">
        <f>IF(OR(L685="Passed",Z685=""),"",P685+Z685)</f>
        <v/>
      </c>
      <c r="S685" s="425">
        <f>IF(OR(R685="",L685="Passed"),"",IF(R685&lt;=TODAY(),"DUE",IF(R685&lt;=TODAY()+3,"Next 3 Days","Later")))</f>
        <v/>
      </c>
      <c r="T685" s="425" t="inlineStr"/>
      <c r="U685" s="426" t="inlineStr">
        <is>
          <t>https://www.linkedin.com/in/ericmand/</t>
        </is>
      </c>
      <c r="V685" s="426" t="inlineStr"/>
      <c r="W685" s="428" t="inlineStr">
        <is>
          <t xml:space="preserve"> | 12/30/2025 | </t>
        </is>
      </c>
      <c r="X685" s="425" t="inlineStr">
        <is>
          <t>John - Investor Contacts!749</t>
        </is>
      </c>
      <c r="Y685" s="426" t="inlineStr">
        <is>
          <t>Send next follow-up with traction + CTA</t>
        </is>
      </c>
      <c r="Z685" s="425" t="n">
        <v>7</v>
      </c>
      <c r="AA685" s="425">
        <f>IF(AC685="Archived",0,ROUND((IF(N685="Tier 1",35,IF(N685="Tier 2",20,8))+IF(C685="Financial Investor",15,IF(C685="Intermediary / Banker",12,8))+IF(L685="Term Sheet / Proposal",25,IF(L685="Engaged",20,IF(L685="Meeting Requested",18,IF(L685="Meeting Held",14,IF(L685="Follow Up",10,5)))))+MIN(Q685,30)+IF(S685="DUE",15,IF(S685="Next 3 Days",8,0))),0))</f>
        <v/>
      </c>
      <c r="AB685" s="425">
        <f>IF(AND(AC685="Active",OR(N685="Tier 1",N685="Tier 2"),OR(S685="DUE",S685="Next 3 Days")),"YES","")</f>
        <v/>
      </c>
      <c r="AC685" s="425">
        <f>IF(L685="Passed","Archived","Active")</f>
        <v/>
      </c>
    </row>
    <row r="686">
      <c r="A686" s="425" t="inlineStr">
        <is>
          <t>EXOS-0685</t>
        </is>
      </c>
      <c r="B686" s="425" t="inlineStr">
        <is>
          <t>John - Investor Contacts</t>
        </is>
      </c>
      <c r="C686" s="425" t="inlineStr">
        <is>
          <t>Financial Investor</t>
        </is>
      </c>
      <c r="D686" s="425" t="inlineStr">
        <is>
          <t>Scale Venture Partners</t>
        </is>
      </c>
      <c r="E686" s="425" t="inlineStr">
        <is>
          <t>Max Abram</t>
        </is>
      </c>
      <c r="F686" s="425" t="inlineStr"/>
      <c r="G686" s="111" t="inlineStr">
        <is>
          <t>max@scalevp.com</t>
        </is>
      </c>
      <c r="H686" s="425" t="inlineStr"/>
      <c r="I686" s="425" t="inlineStr"/>
      <c r="J686" s="425" t="inlineStr"/>
      <c r="K686" s="426" t="inlineStr">
        <is>
          <t>John Quinn</t>
        </is>
      </c>
      <c r="L686" s="426" t="inlineStr">
        <is>
          <t>Follow Up</t>
        </is>
      </c>
      <c r="M686" s="425" t="inlineStr">
        <is>
          <t>Space / Defense / Aerospace / Advanced Manufacturing</t>
        </is>
      </c>
      <c r="N686" s="426" t="inlineStr">
        <is>
          <t>Tier 2</t>
        </is>
      </c>
      <c r="O686" s="441" t="n">
        <v>45938</v>
      </c>
      <c r="P686" s="441" t="n">
        <v>45973</v>
      </c>
      <c r="Q686" s="425">
        <f>IF(P686="","",TODAY()-P686)</f>
        <v/>
      </c>
      <c r="R686" s="441">
        <f>IF(OR(L686="Passed",Z686=""),"",P686+Z686)</f>
        <v/>
      </c>
      <c r="S686" s="425">
        <f>IF(OR(R686="",L686="Passed"),"",IF(R686&lt;=TODAY(),"DUE",IF(R686&lt;=TODAY()+3,"Next 3 Days","Later")))</f>
        <v/>
      </c>
      <c r="T686" s="425" t="inlineStr"/>
      <c r="U686" s="426" t="inlineStr">
        <is>
          <t>linkedin.com/in/maxwellabram</t>
        </is>
      </c>
      <c r="V686" s="426" t="inlineStr"/>
      <c r="W686" s="428" t="inlineStr">
        <is>
          <t xml:space="preserve"> | 12/30/2025 | </t>
        </is>
      </c>
      <c r="X686" s="425" t="inlineStr">
        <is>
          <t>John - Investor Contacts!748</t>
        </is>
      </c>
      <c r="Y686" s="426" t="inlineStr">
        <is>
          <t>Send next follow-up with traction + CTA</t>
        </is>
      </c>
      <c r="Z686" s="425" t="n">
        <v>7</v>
      </c>
      <c r="AA686" s="425">
        <f>IF(AC686="Archived",0,ROUND((IF(N686="Tier 1",35,IF(N686="Tier 2",20,8))+IF(C686="Financial Investor",15,IF(C686="Intermediary / Banker",12,8))+IF(L686="Term Sheet / Proposal",25,IF(L686="Engaged",20,IF(L686="Meeting Requested",18,IF(L686="Meeting Held",14,IF(L686="Follow Up",10,5)))))+MIN(Q686,30)+IF(S686="DUE",15,IF(S686="Next 3 Days",8,0))),0))</f>
        <v/>
      </c>
      <c r="AB686" s="425">
        <f>IF(AND(AC686="Active",OR(N686="Tier 1",N686="Tier 2"),OR(S686="DUE",S686="Next 3 Days")),"YES","")</f>
        <v/>
      </c>
      <c r="AC686" s="425">
        <f>IF(L686="Passed","Archived","Active")</f>
        <v/>
      </c>
    </row>
    <row r="687">
      <c r="A687" s="425" t="inlineStr">
        <is>
          <t>EXOS-0686</t>
        </is>
      </c>
      <c r="B687" s="425" t="inlineStr">
        <is>
          <t>John - Investor Contacts</t>
        </is>
      </c>
      <c r="C687" s="425" t="inlineStr">
        <is>
          <t>Financial Investor</t>
        </is>
      </c>
      <c r="D687" s="425" t="inlineStr">
        <is>
          <t>Scale Venture Partners</t>
        </is>
      </c>
      <c r="E687" s="425" t="inlineStr">
        <is>
          <t>Sam Baker</t>
        </is>
      </c>
      <c r="F687" s="425" t="inlineStr"/>
      <c r="G687" s="111" t="inlineStr">
        <is>
          <t>sam@scalevp.com</t>
        </is>
      </c>
      <c r="H687" s="425" t="inlineStr"/>
      <c r="I687" s="425" t="inlineStr"/>
      <c r="J687" s="111" t="inlineStr">
        <is>
          <t>https://www.linkedin.com/in/sam-baker-94a04a19</t>
        </is>
      </c>
      <c r="K687" s="426" t="inlineStr">
        <is>
          <t>John Quinn</t>
        </is>
      </c>
      <c r="L687" s="426" t="inlineStr">
        <is>
          <t>Follow Up</t>
        </is>
      </c>
      <c r="M687" s="425" t="inlineStr">
        <is>
          <t>Space / Defense / Aerospace / Advanced Manufacturing</t>
        </is>
      </c>
      <c r="N687" s="426" t="inlineStr">
        <is>
          <t>Tier 2</t>
        </is>
      </c>
      <c r="O687" s="441" t="n">
        <v>45938</v>
      </c>
      <c r="P687" s="441" t="n">
        <v>45973</v>
      </c>
      <c r="Q687" s="425">
        <f>IF(P687="","",TODAY()-P687)</f>
        <v/>
      </c>
      <c r="R687" s="441">
        <f>IF(OR(L687="Passed",Z687=""),"",P687+Z687)</f>
        <v/>
      </c>
      <c r="S687" s="425">
        <f>IF(OR(R687="",L687="Passed"),"",IF(R687&lt;=TODAY(),"DUE",IF(R687&lt;=TODAY()+3,"Next 3 Days","Later")))</f>
        <v/>
      </c>
      <c r="T687" s="425" t="inlineStr"/>
      <c r="U687" s="426" t="inlineStr">
        <is>
          <t>https://www.linkedin.com/in/sam-baker-94a04a19</t>
        </is>
      </c>
      <c r="V687" s="426" t="inlineStr"/>
      <c r="W687" s="428" t="inlineStr">
        <is>
          <t xml:space="preserve"> | 12/30/2025 | </t>
        </is>
      </c>
      <c r="X687" s="425" t="inlineStr">
        <is>
          <t>John - Investor Contacts!746</t>
        </is>
      </c>
      <c r="Y687" s="426" t="inlineStr">
        <is>
          <t>Send next follow-up with traction + CTA</t>
        </is>
      </c>
      <c r="Z687" s="425" t="n">
        <v>7</v>
      </c>
      <c r="AA687" s="425">
        <f>IF(AC687="Archived",0,ROUND((IF(N687="Tier 1",35,IF(N687="Tier 2",20,8))+IF(C687="Financial Investor",15,IF(C687="Intermediary / Banker",12,8))+IF(L687="Term Sheet / Proposal",25,IF(L687="Engaged",20,IF(L687="Meeting Requested",18,IF(L687="Meeting Held",14,IF(L687="Follow Up",10,5)))))+MIN(Q687,30)+IF(S687="DUE",15,IF(S687="Next 3 Days",8,0))),0))</f>
        <v/>
      </c>
      <c r="AB687" s="425">
        <f>IF(AND(AC687="Active",OR(N687="Tier 1",N687="Tier 2"),OR(S687="DUE",S687="Next 3 Days")),"YES","")</f>
        <v/>
      </c>
      <c r="AC687" s="425">
        <f>IF(L687="Passed","Archived","Active")</f>
        <v/>
      </c>
    </row>
    <row r="688">
      <c r="A688" s="425" t="inlineStr">
        <is>
          <t>EXOS-0687</t>
        </is>
      </c>
      <c r="B688" s="425" t="inlineStr">
        <is>
          <t>John - Investor Contacts</t>
        </is>
      </c>
      <c r="C688" s="425" t="inlineStr">
        <is>
          <t>Financial Investor</t>
        </is>
      </c>
      <c r="D688" s="425" t="inlineStr">
        <is>
          <t>Scale Venture Partners</t>
        </is>
      </c>
      <c r="E688" s="425" t="inlineStr">
        <is>
          <t>Stacey Bishop</t>
        </is>
      </c>
      <c r="F688" s="425" t="inlineStr"/>
      <c r="G688" s="111" t="inlineStr">
        <is>
          <t>stacey@scalevp.com</t>
        </is>
      </c>
      <c r="H688" s="425" t="inlineStr"/>
      <c r="I688" s="425" t="inlineStr"/>
      <c r="J688" s="425" t="inlineStr"/>
      <c r="K688" s="426" t="inlineStr">
        <is>
          <t>John Quinn</t>
        </is>
      </c>
      <c r="L688" s="426" t="inlineStr">
        <is>
          <t>Follow Up</t>
        </is>
      </c>
      <c r="M688" s="425" t="inlineStr">
        <is>
          <t>Space / Defense / Aerospace / Advanced Manufacturing</t>
        </is>
      </c>
      <c r="N688" s="426" t="inlineStr">
        <is>
          <t>Tier 2</t>
        </is>
      </c>
      <c r="O688" s="441" t="n">
        <v>45938</v>
      </c>
      <c r="P688" s="441" t="n">
        <v>45973</v>
      </c>
      <c r="Q688" s="425">
        <f>IF(P688="","",TODAY()-P688)</f>
        <v/>
      </c>
      <c r="R688" s="441">
        <f>IF(OR(L688="Passed",Z688=""),"",P688+Z688)</f>
        <v/>
      </c>
      <c r="S688" s="425">
        <f>IF(OR(R688="",L688="Passed"),"",IF(R688&lt;=TODAY(),"DUE",IF(R688&lt;=TODAY()+3,"Next 3 Days","Later")))</f>
        <v/>
      </c>
      <c r="T688" s="425" t="inlineStr"/>
      <c r="U688" s="426" t="inlineStr">
        <is>
          <t>linkedin.com/in/staceycurrybishop</t>
        </is>
      </c>
      <c r="V688" s="426" t="inlineStr"/>
      <c r="W688" s="428" t="inlineStr">
        <is>
          <t xml:space="preserve"> | 12/30/2025 | </t>
        </is>
      </c>
      <c r="X688" s="425" t="inlineStr">
        <is>
          <t>John - Investor Contacts!747</t>
        </is>
      </c>
      <c r="Y688" s="426" t="inlineStr">
        <is>
          <t>Send next follow-up with traction + CTA</t>
        </is>
      </c>
      <c r="Z688" s="425" t="n">
        <v>7</v>
      </c>
      <c r="AA688" s="425">
        <f>IF(AC688="Archived",0,ROUND((IF(N688="Tier 1",35,IF(N688="Tier 2",20,8))+IF(C688="Financial Investor",15,IF(C688="Intermediary / Banker",12,8))+IF(L688="Term Sheet / Proposal",25,IF(L688="Engaged",20,IF(L688="Meeting Requested",18,IF(L688="Meeting Held",14,IF(L688="Follow Up",10,5)))))+MIN(Q688,30)+IF(S688="DUE",15,IF(S688="Next 3 Days",8,0))),0))</f>
        <v/>
      </c>
      <c r="AB688" s="425">
        <f>IF(AND(AC688="Active",OR(N688="Tier 1",N688="Tier 2"),OR(S688="DUE",S688="Next 3 Days")),"YES","")</f>
        <v/>
      </c>
      <c r="AC688" s="425">
        <f>IF(L688="Passed","Archived","Active")</f>
        <v/>
      </c>
    </row>
    <row r="689">
      <c r="A689" s="425" t="inlineStr">
        <is>
          <t>EXOS-0688</t>
        </is>
      </c>
      <c r="B689" s="425" t="inlineStr">
        <is>
          <t>John - Investor Contacts</t>
        </is>
      </c>
      <c r="C689" s="425" t="inlineStr">
        <is>
          <t>Financial Investor</t>
        </is>
      </c>
      <c r="D689" s="425" t="inlineStr">
        <is>
          <t>Schematic Ventures</t>
        </is>
      </c>
      <c r="E689" s="425" t="inlineStr">
        <is>
          <t>Alex Freed</t>
        </is>
      </c>
      <c r="F689" s="425" t="inlineStr"/>
      <c r="G689" s="111" t="inlineStr">
        <is>
          <t>alex@schematicventures.com</t>
        </is>
      </c>
      <c r="H689" s="425" t="inlineStr"/>
      <c r="I689" s="425" t="inlineStr"/>
      <c r="J689" s="111" t="inlineStr">
        <is>
          <t>https://www.linkedin.com/in/alexeyfreed/</t>
        </is>
      </c>
      <c r="K689" s="426" t="inlineStr">
        <is>
          <t>John Quinn</t>
        </is>
      </c>
      <c r="L689" s="426" t="inlineStr">
        <is>
          <t>Follow Up</t>
        </is>
      </c>
      <c r="M689" s="425" t="inlineStr">
        <is>
          <t>Space / Defense / Aerospace / Advanced Manufacturing</t>
        </is>
      </c>
      <c r="N689" s="426" t="inlineStr">
        <is>
          <t>Tier 2</t>
        </is>
      </c>
      <c r="O689" s="441" t="n">
        <v>45951</v>
      </c>
      <c r="P689" s="441" t="n">
        <v>45973</v>
      </c>
      <c r="Q689" s="425">
        <f>IF(P689="","",TODAY()-P689)</f>
        <v/>
      </c>
      <c r="R689" s="441">
        <f>IF(OR(L689="Passed",Z689=""),"",P689+Z689)</f>
        <v/>
      </c>
      <c r="S689" s="425">
        <f>IF(OR(R689="",L689="Passed"),"",IF(R689&lt;=TODAY(),"DUE",IF(R689&lt;=TODAY()+3,"Next 3 Days","Later")))</f>
        <v/>
      </c>
      <c r="T689" s="425" t="inlineStr"/>
      <c r="U689" s="426" t="inlineStr">
        <is>
          <t>https://www.linkedin.com/in/alexeyfreed/</t>
        </is>
      </c>
      <c r="V689" s="426" t="inlineStr"/>
      <c r="W689" s="428" t="inlineStr">
        <is>
          <t xml:space="preserve"> | 12/30/2025 | </t>
        </is>
      </c>
      <c r="X689" s="425" t="inlineStr">
        <is>
          <t>John - Investor Contacts!791</t>
        </is>
      </c>
      <c r="Y689" s="426" t="inlineStr">
        <is>
          <t>Send next follow-up with traction + CTA</t>
        </is>
      </c>
      <c r="Z689" s="425" t="n">
        <v>7</v>
      </c>
      <c r="AA689" s="425">
        <f>IF(AC689="Archived",0,ROUND((IF(N689="Tier 1",35,IF(N689="Tier 2",20,8))+IF(C689="Financial Investor",15,IF(C689="Intermediary / Banker",12,8))+IF(L689="Term Sheet / Proposal",25,IF(L689="Engaged",20,IF(L689="Meeting Requested",18,IF(L689="Meeting Held",14,IF(L689="Follow Up",10,5)))))+MIN(Q689,30)+IF(S689="DUE",15,IF(S689="Next 3 Days",8,0))),0))</f>
        <v/>
      </c>
      <c r="AB689" s="425">
        <f>IF(AND(AC689="Active",OR(N689="Tier 1",N689="Tier 2"),OR(S689="DUE",S689="Next 3 Days")),"YES","")</f>
        <v/>
      </c>
      <c r="AC689" s="425">
        <f>IF(L689="Passed","Archived","Active")</f>
        <v/>
      </c>
    </row>
    <row r="690">
      <c r="A690" s="425" t="inlineStr">
        <is>
          <t>EXOS-0689</t>
        </is>
      </c>
      <c r="B690" s="425" t="inlineStr">
        <is>
          <t>John - Investor Contacts</t>
        </is>
      </c>
      <c r="C690" s="425" t="inlineStr">
        <is>
          <t>Financial Investor</t>
        </is>
      </c>
      <c r="D690" s="425" t="inlineStr">
        <is>
          <t>Schematic Ventures</t>
        </is>
      </c>
      <c r="E690" s="425" t="inlineStr">
        <is>
          <t>Ananya Vasagiri</t>
        </is>
      </c>
      <c r="F690" s="425" t="inlineStr"/>
      <c r="G690" s="111" t="inlineStr">
        <is>
          <t>ananya@schematicventures.com</t>
        </is>
      </c>
      <c r="H690" s="425" t="inlineStr"/>
      <c r="I690" s="425" t="inlineStr"/>
      <c r="J690" s="111" t="inlineStr">
        <is>
          <t>https://www.linkedin.com/in/ananya-vasagiri/</t>
        </is>
      </c>
      <c r="K690" s="426" t="inlineStr">
        <is>
          <t>John Quinn</t>
        </is>
      </c>
      <c r="L690" s="426" t="inlineStr">
        <is>
          <t>Follow Up</t>
        </is>
      </c>
      <c r="M690" s="425" t="inlineStr">
        <is>
          <t>Space / Defense / Aerospace / Advanced Manufacturing</t>
        </is>
      </c>
      <c r="N690" s="426" t="inlineStr">
        <is>
          <t>Tier 2</t>
        </is>
      </c>
      <c r="O690" s="441" t="n">
        <v>45951</v>
      </c>
      <c r="P690" s="441" t="n">
        <v>45973</v>
      </c>
      <c r="Q690" s="425">
        <f>IF(P690="","",TODAY()-P690)</f>
        <v/>
      </c>
      <c r="R690" s="441">
        <f>IF(OR(L690="Passed",Z690=""),"",P690+Z690)</f>
        <v/>
      </c>
      <c r="S690" s="425">
        <f>IF(OR(R690="",L690="Passed"),"",IF(R690&lt;=TODAY(),"DUE",IF(R690&lt;=TODAY()+3,"Next 3 Days","Later")))</f>
        <v/>
      </c>
      <c r="T690" s="425" t="inlineStr"/>
      <c r="U690" s="426" t="inlineStr">
        <is>
          <t>https://www.linkedin.com/in/ananya-vasagiri/</t>
        </is>
      </c>
      <c r="V690" s="426" t="inlineStr"/>
      <c r="W690" s="428" t="inlineStr">
        <is>
          <t xml:space="preserve"> | 12/30/2025 | </t>
        </is>
      </c>
      <c r="X690" s="425" t="inlineStr">
        <is>
          <t>John - Investor Contacts!792</t>
        </is>
      </c>
      <c r="Y690" s="426" t="inlineStr">
        <is>
          <t>Send next follow-up with traction + CTA</t>
        </is>
      </c>
      <c r="Z690" s="425" t="n">
        <v>7</v>
      </c>
      <c r="AA690" s="425">
        <f>IF(AC690="Archived",0,ROUND((IF(N690="Tier 1",35,IF(N690="Tier 2",20,8))+IF(C690="Financial Investor",15,IF(C690="Intermediary / Banker",12,8))+IF(L690="Term Sheet / Proposal",25,IF(L690="Engaged",20,IF(L690="Meeting Requested",18,IF(L690="Meeting Held",14,IF(L690="Follow Up",10,5)))))+MIN(Q690,30)+IF(S690="DUE",15,IF(S690="Next 3 Days",8,0))),0))</f>
        <v/>
      </c>
      <c r="AB690" s="425">
        <f>IF(AND(AC690="Active",OR(N690="Tier 1",N690="Tier 2"),OR(S690="DUE",S690="Next 3 Days")),"YES","")</f>
        <v/>
      </c>
      <c r="AC690" s="425">
        <f>IF(L690="Passed","Archived","Active")</f>
        <v/>
      </c>
    </row>
    <row r="691">
      <c r="A691" s="425" t="inlineStr">
        <is>
          <t>EXOS-0690</t>
        </is>
      </c>
      <c r="B691" s="425" t="inlineStr">
        <is>
          <t>John - Investor Contacts</t>
        </is>
      </c>
      <c r="C691" s="425" t="inlineStr">
        <is>
          <t>Financial Investor</t>
        </is>
      </c>
      <c r="D691" s="425" t="inlineStr">
        <is>
          <t>Schematic Ventures</t>
        </is>
      </c>
      <c r="E691" s="425" t="inlineStr">
        <is>
          <t>Julian Counihan</t>
        </is>
      </c>
      <c r="F691" s="425" t="inlineStr"/>
      <c r="G691" s="111" t="inlineStr">
        <is>
          <t>julian@schematicventures.com</t>
        </is>
      </c>
      <c r="H691" s="425" t="inlineStr"/>
      <c r="I691" s="425" t="inlineStr"/>
      <c r="J691" s="111" t="inlineStr">
        <is>
          <t>https://www.linkedin.com/in/juliancounihan/</t>
        </is>
      </c>
      <c r="K691" s="426" t="inlineStr">
        <is>
          <t>John Quinn</t>
        </is>
      </c>
      <c r="L691" s="426" t="inlineStr">
        <is>
          <t>Follow Up</t>
        </is>
      </c>
      <c r="M691" s="425" t="inlineStr">
        <is>
          <t>Space / Defense / Aerospace / Advanced Manufacturing</t>
        </is>
      </c>
      <c r="N691" s="426" t="inlineStr">
        <is>
          <t>Tier 2</t>
        </is>
      </c>
      <c r="O691" s="441" t="n">
        <v>45951</v>
      </c>
      <c r="P691" s="441" t="n">
        <v>45973</v>
      </c>
      <c r="Q691" s="425">
        <f>IF(P691="","",TODAY()-P691)</f>
        <v/>
      </c>
      <c r="R691" s="441">
        <f>IF(OR(L691="Passed",Z691=""),"",P691+Z691)</f>
        <v/>
      </c>
      <c r="S691" s="425">
        <f>IF(OR(R691="",L691="Passed"),"",IF(R691&lt;=TODAY(),"DUE",IF(R691&lt;=TODAY()+3,"Next 3 Days","Later")))</f>
        <v/>
      </c>
      <c r="T691" s="425" t="inlineStr"/>
      <c r="U691" s="426" t="inlineStr">
        <is>
          <t>https://www.linkedin.com/in/juliancounihan/</t>
        </is>
      </c>
      <c r="V691" s="426" t="inlineStr"/>
      <c r="W691" s="428" t="inlineStr">
        <is>
          <t xml:space="preserve"> | 12/30/2025 | </t>
        </is>
      </c>
      <c r="X691" s="425" t="inlineStr">
        <is>
          <t>John - Investor Contacts!793</t>
        </is>
      </c>
      <c r="Y691" s="426" t="inlineStr">
        <is>
          <t>Send next follow-up with traction + CTA</t>
        </is>
      </c>
      <c r="Z691" s="425" t="n">
        <v>7</v>
      </c>
      <c r="AA691" s="425">
        <f>IF(AC691="Archived",0,ROUND((IF(N691="Tier 1",35,IF(N691="Tier 2",20,8))+IF(C691="Financial Investor",15,IF(C691="Intermediary / Banker",12,8))+IF(L691="Term Sheet / Proposal",25,IF(L691="Engaged",20,IF(L691="Meeting Requested",18,IF(L691="Meeting Held",14,IF(L691="Follow Up",10,5)))))+MIN(Q691,30)+IF(S691="DUE",15,IF(S691="Next 3 Days",8,0))),0))</f>
        <v/>
      </c>
      <c r="AB691" s="425">
        <f>IF(AND(AC691="Active",OR(N691="Tier 1",N691="Tier 2"),OR(S691="DUE",S691="Next 3 Days")),"YES","")</f>
        <v/>
      </c>
      <c r="AC691" s="425">
        <f>IF(L691="Passed","Archived","Active")</f>
        <v/>
      </c>
    </row>
    <row r="692">
      <c r="A692" s="425" t="inlineStr">
        <is>
          <t>EXOS-0691</t>
        </is>
      </c>
      <c r="B692" s="425" t="inlineStr">
        <is>
          <t>John - Investor Contacts</t>
        </is>
      </c>
      <c r="C692" s="425" t="inlineStr">
        <is>
          <t>Financial Investor</t>
        </is>
      </c>
      <c r="D692" s="425" t="inlineStr">
        <is>
          <t>Scientia Ventures</t>
        </is>
      </c>
      <c r="E692" s="425" t="inlineStr">
        <is>
          <t>Daniel Goldman</t>
        </is>
      </c>
      <c r="F692" s="425" t="inlineStr"/>
      <c r="G692" s="111" t="inlineStr">
        <is>
          <t>d.goldman@scientiavc.com</t>
        </is>
      </c>
      <c r="H692" s="425" t="inlineStr"/>
      <c r="I692" s="425" t="inlineStr"/>
      <c r="J692" s="425" t="inlineStr"/>
      <c r="K692" s="426" t="inlineStr">
        <is>
          <t>John Quinn</t>
        </is>
      </c>
      <c r="L692" s="426" t="inlineStr">
        <is>
          <t>Follow Up</t>
        </is>
      </c>
      <c r="M692" s="425" t="inlineStr">
        <is>
          <t>Space / Defense / Aerospace / Advanced Manufacturing</t>
        </is>
      </c>
      <c r="N692" s="426" t="inlineStr">
        <is>
          <t>Tier 2</t>
        </is>
      </c>
      <c r="O692" s="441" t="n">
        <v>45896</v>
      </c>
      <c r="P692" s="441" t="n">
        <v>45929</v>
      </c>
      <c r="Q692" s="425">
        <f>IF(P692="","",TODAY()-P692)</f>
        <v/>
      </c>
      <c r="R692" s="441">
        <f>IF(OR(L692="Passed",Z692=""),"",P692+Z692)</f>
        <v/>
      </c>
      <c r="S692" s="425">
        <f>IF(OR(R692="",L692="Passed"),"",IF(R692&lt;=TODAY(),"DUE",IF(R692&lt;=TODAY()+3,"Next 3 Days","Later")))</f>
        <v/>
      </c>
      <c r="T692" s="425" t="inlineStr"/>
      <c r="U692" s="426" t="inlineStr"/>
      <c r="V692" s="426" t="inlineStr"/>
      <c r="W692" s="428" t="inlineStr">
        <is>
          <t xml:space="preserve"> | 12/04/2025 | </t>
        </is>
      </c>
      <c r="X692" s="425" t="inlineStr">
        <is>
          <t>John - Investor Contacts!556</t>
        </is>
      </c>
      <c r="Y692" s="426" t="inlineStr">
        <is>
          <t>Send next follow-up with traction + CTA</t>
        </is>
      </c>
      <c r="Z692" s="425" t="n">
        <v>7</v>
      </c>
      <c r="AA692" s="425">
        <f>IF(AC692="Archived",0,ROUND((IF(N692="Tier 1",35,IF(N692="Tier 2",20,8))+IF(C692="Financial Investor",15,IF(C692="Intermediary / Banker",12,8))+IF(L692="Term Sheet / Proposal",25,IF(L692="Engaged",20,IF(L692="Meeting Requested",18,IF(L692="Meeting Held",14,IF(L692="Follow Up",10,5)))))+MIN(Q692,30)+IF(S692="DUE",15,IF(S692="Next 3 Days",8,0))),0))</f>
        <v/>
      </c>
      <c r="AB692" s="425">
        <f>IF(AND(AC692="Active",OR(N692="Tier 1",N692="Tier 2"),OR(S692="DUE",S692="Next 3 Days")),"YES","")</f>
        <v/>
      </c>
      <c r="AC692" s="425">
        <f>IF(L692="Passed","Archived","Active")</f>
        <v/>
      </c>
    </row>
    <row r="693">
      <c r="A693" s="425" t="inlineStr">
        <is>
          <t>EXOS-0692</t>
        </is>
      </c>
      <c r="B693" s="425" t="inlineStr">
        <is>
          <t>John - Investor Contacts</t>
        </is>
      </c>
      <c r="C693" s="425" t="inlineStr">
        <is>
          <t>Financial Investor</t>
        </is>
      </c>
      <c r="D693" s="425" t="inlineStr">
        <is>
          <t>Scientia Ventures</t>
        </is>
      </c>
      <c r="E693" s="425" t="inlineStr">
        <is>
          <t>Dave Schippers</t>
        </is>
      </c>
      <c r="F693" s="425" t="inlineStr"/>
      <c r="G693" s="111" t="inlineStr">
        <is>
          <t>d.schippers@scientiavc.com</t>
        </is>
      </c>
      <c r="H693" s="425" t="inlineStr"/>
      <c r="I693" s="425" t="inlineStr"/>
      <c r="J693" s="111" t="inlineStr">
        <is>
          <t>https://www.linkedin.com/in/daschippers/</t>
        </is>
      </c>
      <c r="K693" s="426" t="inlineStr">
        <is>
          <t>John Quinn</t>
        </is>
      </c>
      <c r="L693" s="426" t="inlineStr">
        <is>
          <t>Follow Up</t>
        </is>
      </c>
      <c r="M693" s="425" t="inlineStr">
        <is>
          <t>Space / Defense / Aerospace / Advanced Manufacturing</t>
        </is>
      </c>
      <c r="N693" s="426" t="inlineStr">
        <is>
          <t>Tier 2</t>
        </is>
      </c>
      <c r="O693" s="441" t="n">
        <v>45896</v>
      </c>
      <c r="P693" s="441" t="n">
        <v>45929</v>
      </c>
      <c r="Q693" s="425">
        <f>IF(P693="","",TODAY()-P693)</f>
        <v/>
      </c>
      <c r="R693" s="441">
        <f>IF(OR(L693="Passed",Z693=""),"",P693+Z693)</f>
        <v/>
      </c>
      <c r="S693" s="425">
        <f>IF(OR(R693="",L693="Passed"),"",IF(R693&lt;=TODAY(),"DUE",IF(R693&lt;=TODAY()+3,"Next 3 Days","Later")))</f>
        <v/>
      </c>
      <c r="T693" s="425" t="inlineStr"/>
      <c r="U693" s="426" t="inlineStr">
        <is>
          <t>https://www.linkedin.com/in/daschippers/</t>
        </is>
      </c>
      <c r="V693" s="426" t="inlineStr"/>
      <c r="W693" s="428" t="inlineStr">
        <is>
          <t xml:space="preserve"> | 12/04/2025 | </t>
        </is>
      </c>
      <c r="X693" s="425" t="inlineStr">
        <is>
          <t>John - Investor Contacts!555</t>
        </is>
      </c>
      <c r="Y693" s="426" t="inlineStr">
        <is>
          <t>Send next follow-up with traction + CTA</t>
        </is>
      </c>
      <c r="Z693" s="425" t="n">
        <v>7</v>
      </c>
      <c r="AA693" s="425">
        <f>IF(AC693="Archived",0,ROUND((IF(N693="Tier 1",35,IF(N693="Tier 2",20,8))+IF(C693="Financial Investor",15,IF(C693="Intermediary / Banker",12,8))+IF(L693="Term Sheet / Proposal",25,IF(L693="Engaged",20,IF(L693="Meeting Requested",18,IF(L693="Meeting Held",14,IF(L693="Follow Up",10,5)))))+MIN(Q693,30)+IF(S693="DUE",15,IF(S693="Next 3 Days",8,0))),0))</f>
        <v/>
      </c>
      <c r="AB693" s="425">
        <f>IF(AND(AC693="Active",OR(N693="Tier 1",N693="Tier 2"),OR(S693="DUE",S693="Next 3 Days")),"YES","")</f>
        <v/>
      </c>
      <c r="AC693" s="425">
        <f>IF(L693="Passed","Archived","Active")</f>
        <v/>
      </c>
    </row>
    <row r="694">
      <c r="A694" s="425" t="inlineStr">
        <is>
          <t>EXOS-0693</t>
        </is>
      </c>
      <c r="B694" s="425" t="inlineStr">
        <is>
          <t>John - Investor Contacts</t>
        </is>
      </c>
      <c r="C694" s="425" t="inlineStr">
        <is>
          <t>Financial Investor</t>
        </is>
      </c>
      <c r="D694" s="425" t="inlineStr">
        <is>
          <t>Scientia Ventures</t>
        </is>
      </c>
      <c r="E694" s="425" t="inlineStr">
        <is>
          <t>Harry Glorikian</t>
        </is>
      </c>
      <c r="F694" s="425" t="inlineStr"/>
      <c r="G694" s="111" t="inlineStr">
        <is>
          <t>h.glorikian@scientiavc.com</t>
        </is>
      </c>
      <c r="H694" s="425" t="inlineStr"/>
      <c r="I694" s="425" t="inlineStr"/>
      <c r="J694" s="111" t="inlineStr">
        <is>
          <t>https://www.linkedin.com/in/harryglorikian/</t>
        </is>
      </c>
      <c r="K694" s="426" t="inlineStr">
        <is>
          <t>John Quinn</t>
        </is>
      </c>
      <c r="L694" s="426" t="inlineStr">
        <is>
          <t>Follow Up</t>
        </is>
      </c>
      <c r="M694" s="425" t="inlineStr">
        <is>
          <t>Space / Defense / Aerospace / Advanced Manufacturing</t>
        </is>
      </c>
      <c r="N694" s="426" t="inlineStr">
        <is>
          <t>Tier 2</t>
        </is>
      </c>
      <c r="O694" s="441" t="n">
        <v>45896</v>
      </c>
      <c r="P694" s="441" t="n">
        <v>45924</v>
      </c>
      <c r="Q694" s="425">
        <f>IF(P694="","",TODAY()-P694)</f>
        <v/>
      </c>
      <c r="R694" s="441">
        <f>IF(OR(L694="Passed",Z694=""),"",P694+Z694)</f>
        <v/>
      </c>
      <c r="S694" s="425">
        <f>IF(OR(R694="",L694="Passed"),"",IF(R694&lt;=TODAY(),"DUE",IF(R694&lt;=TODAY()+3,"Next 3 Days","Later")))</f>
        <v/>
      </c>
      <c r="T694" s="425" t="inlineStr"/>
      <c r="U694" s="426" t="inlineStr">
        <is>
          <t>https://www.linkedin.com/in/harryglorikian/</t>
        </is>
      </c>
      <c r="V694" s="426" t="inlineStr"/>
      <c r="W694" s="428" t="inlineStr">
        <is>
          <t xml:space="preserve"> | 12/04/2025 | </t>
        </is>
      </c>
      <c r="X694" s="425" t="inlineStr">
        <is>
          <t>John - Investor Contacts!550</t>
        </is>
      </c>
      <c r="Y694" s="426" t="inlineStr">
        <is>
          <t>Send next follow-up with traction + CTA</t>
        </is>
      </c>
      <c r="Z694" s="425" t="n">
        <v>7</v>
      </c>
      <c r="AA694" s="425">
        <f>IF(AC694="Archived",0,ROUND((IF(N694="Tier 1",35,IF(N694="Tier 2",20,8))+IF(C694="Financial Investor",15,IF(C694="Intermediary / Banker",12,8))+IF(L694="Term Sheet / Proposal",25,IF(L694="Engaged",20,IF(L694="Meeting Requested",18,IF(L694="Meeting Held",14,IF(L694="Follow Up",10,5)))))+MIN(Q694,30)+IF(S694="DUE",15,IF(S694="Next 3 Days",8,0))),0))</f>
        <v/>
      </c>
      <c r="AB694" s="425">
        <f>IF(AND(AC694="Active",OR(N694="Tier 1",N694="Tier 2"),OR(S694="DUE",S694="Next 3 Days")),"YES","")</f>
        <v/>
      </c>
      <c r="AC694" s="425">
        <f>IF(L694="Passed","Archived","Active")</f>
        <v/>
      </c>
    </row>
    <row r="695">
      <c r="A695" s="425" t="inlineStr">
        <is>
          <t>EXOS-0694</t>
        </is>
      </c>
      <c r="B695" s="425" t="inlineStr">
        <is>
          <t>John - Investor Contacts</t>
        </is>
      </c>
      <c r="C695" s="425" t="inlineStr">
        <is>
          <t>Financial Investor</t>
        </is>
      </c>
      <c r="D695" s="425" t="inlineStr">
        <is>
          <t>Scientia Ventures</t>
        </is>
      </c>
      <c r="E695" s="425" t="inlineStr">
        <is>
          <t>John Dessouki</t>
        </is>
      </c>
      <c r="F695" s="425" t="inlineStr"/>
      <c r="G695" s="111" t="inlineStr">
        <is>
          <t>j.dessouki@scientiavc.com</t>
        </is>
      </c>
      <c r="H695" s="425" t="inlineStr"/>
      <c r="I695" s="425" t="inlineStr"/>
      <c r="J695" s="111" t="inlineStr">
        <is>
          <t>https://www.linkedin.com/in/johndessouki/</t>
        </is>
      </c>
      <c r="K695" s="426" t="inlineStr">
        <is>
          <t>John Quinn</t>
        </is>
      </c>
      <c r="L695" s="426" t="inlineStr">
        <is>
          <t>Follow Up</t>
        </is>
      </c>
      <c r="M695" s="425" t="inlineStr">
        <is>
          <t>Space / Defense / Aerospace / Advanced Manufacturing</t>
        </is>
      </c>
      <c r="N695" s="426" t="inlineStr">
        <is>
          <t>Tier 2</t>
        </is>
      </c>
      <c r="O695" s="441" t="n">
        <v>45896</v>
      </c>
      <c r="P695" s="441" t="n">
        <v>45924</v>
      </c>
      <c r="Q695" s="425">
        <f>IF(P695="","",TODAY()-P695)</f>
        <v/>
      </c>
      <c r="R695" s="441">
        <f>IF(OR(L695="Passed",Z695=""),"",P695+Z695)</f>
        <v/>
      </c>
      <c r="S695" s="425">
        <f>IF(OR(R695="",L695="Passed"),"",IF(R695&lt;=TODAY(),"DUE",IF(R695&lt;=TODAY()+3,"Next 3 Days","Later")))</f>
        <v/>
      </c>
      <c r="T695" s="425" t="inlineStr"/>
      <c r="U695" s="426" t="inlineStr">
        <is>
          <t>https://www.linkedin.com/in/johndessouki/</t>
        </is>
      </c>
      <c r="V695" s="426" t="inlineStr"/>
      <c r="W695" s="428" t="inlineStr">
        <is>
          <t xml:space="preserve"> | 12/04/2025 | </t>
        </is>
      </c>
      <c r="X695" s="425" t="inlineStr">
        <is>
          <t>John - Investor Contacts!549</t>
        </is>
      </c>
      <c r="Y695" s="426" t="inlineStr">
        <is>
          <t>Send next follow-up with traction + CTA</t>
        </is>
      </c>
      <c r="Z695" s="425" t="n">
        <v>7</v>
      </c>
      <c r="AA695" s="425">
        <f>IF(AC695="Archived",0,ROUND((IF(N695="Tier 1",35,IF(N695="Tier 2",20,8))+IF(C695="Financial Investor",15,IF(C695="Intermediary / Banker",12,8))+IF(L695="Term Sheet / Proposal",25,IF(L695="Engaged",20,IF(L695="Meeting Requested",18,IF(L695="Meeting Held",14,IF(L695="Follow Up",10,5)))))+MIN(Q695,30)+IF(S695="DUE",15,IF(S695="Next 3 Days",8,0))),0))</f>
        <v/>
      </c>
      <c r="AB695" s="425">
        <f>IF(AND(AC695="Active",OR(N695="Tier 1",N695="Tier 2"),OR(S695="DUE",S695="Next 3 Days")),"YES","")</f>
        <v/>
      </c>
      <c r="AC695" s="425">
        <f>IF(L695="Passed","Archived","Active")</f>
        <v/>
      </c>
    </row>
    <row r="696">
      <c r="A696" s="425" t="inlineStr">
        <is>
          <t>EXOS-0695</t>
        </is>
      </c>
      <c r="B696" s="425" t="inlineStr">
        <is>
          <t>John - Investor Contacts</t>
        </is>
      </c>
      <c r="C696" s="425" t="inlineStr">
        <is>
          <t>Financial Investor</t>
        </is>
      </c>
      <c r="D696" s="425" t="inlineStr">
        <is>
          <t>Scientia Ventures</t>
        </is>
      </c>
      <c r="E696" s="425" t="inlineStr">
        <is>
          <t>Jonathan Finn</t>
        </is>
      </c>
      <c r="F696" s="425" t="inlineStr"/>
      <c r="G696" s="111" t="inlineStr">
        <is>
          <t>j.finn@scientiavc.com</t>
        </is>
      </c>
      <c r="H696" s="425" t="inlineStr"/>
      <c r="I696" s="425" t="inlineStr"/>
      <c r="J696" s="111" t="inlineStr">
        <is>
          <t>https://www.linkedin.com/in/jonathan-finn-cfa-469588210/</t>
        </is>
      </c>
      <c r="K696" s="426" t="inlineStr">
        <is>
          <t>John Quinn</t>
        </is>
      </c>
      <c r="L696" s="426" t="inlineStr">
        <is>
          <t>Follow Up</t>
        </is>
      </c>
      <c r="M696" s="425" t="inlineStr">
        <is>
          <t>Space / Defense / Aerospace / Advanced Manufacturing</t>
        </is>
      </c>
      <c r="N696" s="426" t="inlineStr">
        <is>
          <t>Tier 2</t>
        </is>
      </c>
      <c r="O696" s="441" t="n">
        <v>45896</v>
      </c>
      <c r="P696" s="441" t="n">
        <v>45924</v>
      </c>
      <c r="Q696" s="425">
        <f>IF(P696="","",TODAY()-P696)</f>
        <v/>
      </c>
      <c r="R696" s="441">
        <f>IF(OR(L696="Passed",Z696=""),"",P696+Z696)</f>
        <v/>
      </c>
      <c r="S696" s="425">
        <f>IF(OR(R696="",L696="Passed"),"",IF(R696&lt;=TODAY(),"DUE",IF(R696&lt;=TODAY()+3,"Next 3 Days","Later")))</f>
        <v/>
      </c>
      <c r="T696" s="425" t="inlineStr"/>
      <c r="U696" s="426" t="inlineStr">
        <is>
          <t>https://www.linkedin.com/in/jonathan-finn-cfa-469588210/</t>
        </is>
      </c>
      <c r="V696" s="426" t="inlineStr"/>
      <c r="W696" s="428" t="inlineStr">
        <is>
          <t xml:space="preserve"> | 12/04/2025 | </t>
        </is>
      </c>
      <c r="X696" s="425" t="inlineStr">
        <is>
          <t>John - Investor Contacts!551</t>
        </is>
      </c>
      <c r="Y696" s="426" t="inlineStr">
        <is>
          <t>Send next follow-up with traction + CTA</t>
        </is>
      </c>
      <c r="Z696" s="425" t="n">
        <v>7</v>
      </c>
      <c r="AA696" s="425">
        <f>IF(AC696="Archived",0,ROUND((IF(N696="Tier 1",35,IF(N696="Tier 2",20,8))+IF(C696="Financial Investor",15,IF(C696="Intermediary / Banker",12,8))+IF(L696="Term Sheet / Proposal",25,IF(L696="Engaged",20,IF(L696="Meeting Requested",18,IF(L696="Meeting Held",14,IF(L696="Follow Up",10,5)))))+MIN(Q696,30)+IF(S696="DUE",15,IF(S696="Next 3 Days",8,0))),0))</f>
        <v/>
      </c>
      <c r="AB696" s="425">
        <f>IF(AND(AC696="Active",OR(N696="Tier 1",N696="Tier 2"),OR(S696="DUE",S696="Next 3 Days")),"YES","")</f>
        <v/>
      </c>
      <c r="AC696" s="425">
        <f>IF(L696="Passed","Archived","Active")</f>
        <v/>
      </c>
    </row>
    <row r="697">
      <c r="A697" s="425" t="inlineStr">
        <is>
          <t>EXOS-0696</t>
        </is>
      </c>
      <c r="B697" s="425" t="inlineStr">
        <is>
          <t>John - Investor Contacts</t>
        </is>
      </c>
      <c r="C697" s="425" t="inlineStr">
        <is>
          <t>Financial Investor</t>
        </is>
      </c>
      <c r="D697" s="425" t="inlineStr">
        <is>
          <t>Scientia Ventures</t>
        </is>
      </c>
      <c r="E697" s="425" t="inlineStr">
        <is>
          <t>Mark Finn</t>
        </is>
      </c>
      <c r="F697" s="425" t="inlineStr"/>
      <c r="G697" s="111" t="inlineStr">
        <is>
          <t>m.finn@scientiavc.com</t>
        </is>
      </c>
      <c r="H697" s="425" t="inlineStr"/>
      <c r="I697" s="425" t="inlineStr"/>
      <c r="J697" s="425" t="inlineStr"/>
      <c r="K697" s="426" t="inlineStr">
        <is>
          <t>John Quinn</t>
        </is>
      </c>
      <c r="L697" s="426" t="inlineStr">
        <is>
          <t>Follow Up</t>
        </is>
      </c>
      <c r="M697" s="425" t="inlineStr">
        <is>
          <t>Space / Defense / Aerospace / Advanced Manufacturing</t>
        </is>
      </c>
      <c r="N697" s="426" t="inlineStr">
        <is>
          <t>Tier 2</t>
        </is>
      </c>
      <c r="O697" s="441" t="n">
        <v>45896</v>
      </c>
      <c r="P697" s="441" t="n">
        <v>45924</v>
      </c>
      <c r="Q697" s="425">
        <f>IF(P697="","",TODAY()-P697)</f>
        <v/>
      </c>
      <c r="R697" s="441">
        <f>IF(OR(L697="Passed",Z697=""),"",P697+Z697)</f>
        <v/>
      </c>
      <c r="S697" s="425">
        <f>IF(OR(R697="",L697="Passed"),"",IF(R697&lt;=TODAY(),"DUE",IF(R697&lt;=TODAY()+3,"Next 3 Days","Later")))</f>
        <v/>
      </c>
      <c r="T697" s="425" t="inlineStr"/>
      <c r="U697" s="426" t="inlineStr"/>
      <c r="V697" s="426" t="inlineStr"/>
      <c r="W697" s="428" t="inlineStr">
        <is>
          <t xml:space="preserve"> | 12/04/2025 | </t>
        </is>
      </c>
      <c r="X697" s="425" t="inlineStr">
        <is>
          <t>John - Investor Contacts!553</t>
        </is>
      </c>
      <c r="Y697" s="426" t="inlineStr">
        <is>
          <t>Send next follow-up with traction + CTA</t>
        </is>
      </c>
      <c r="Z697" s="425" t="n">
        <v>7</v>
      </c>
      <c r="AA697" s="425">
        <f>IF(AC697="Archived",0,ROUND((IF(N697="Tier 1",35,IF(N697="Tier 2",20,8))+IF(C697="Financial Investor",15,IF(C697="Intermediary / Banker",12,8))+IF(L697="Term Sheet / Proposal",25,IF(L697="Engaged",20,IF(L697="Meeting Requested",18,IF(L697="Meeting Held",14,IF(L697="Follow Up",10,5)))))+MIN(Q697,30)+IF(S697="DUE",15,IF(S697="Next 3 Days",8,0))),0))</f>
        <v/>
      </c>
      <c r="AB697" s="425">
        <f>IF(AND(AC697="Active",OR(N697="Tier 1",N697="Tier 2"),OR(S697="DUE",S697="Next 3 Days")),"YES","")</f>
        <v/>
      </c>
      <c r="AC697" s="425">
        <f>IF(L697="Passed","Archived","Active")</f>
        <v/>
      </c>
    </row>
    <row r="698">
      <c r="A698" s="425" t="inlineStr">
        <is>
          <t>EXOS-0697</t>
        </is>
      </c>
      <c r="B698" s="425" t="inlineStr">
        <is>
          <t>John - Investor Contacts</t>
        </is>
      </c>
      <c r="C698" s="425" t="inlineStr">
        <is>
          <t>Financial Investor</t>
        </is>
      </c>
      <c r="D698" s="425" t="inlineStr">
        <is>
          <t>Scientia Ventures</t>
        </is>
      </c>
      <c r="E698" s="425" t="inlineStr">
        <is>
          <t>Rory Riggs</t>
        </is>
      </c>
      <c r="F698" s="425" t="inlineStr"/>
      <c r="G698" s="111" t="inlineStr">
        <is>
          <t>r.riggs@scientiavc.com</t>
        </is>
      </c>
      <c r="H698" s="425" t="inlineStr"/>
      <c r="I698" s="425" t="inlineStr"/>
      <c r="J698" s="425" t="inlineStr"/>
      <c r="K698" s="426" t="inlineStr">
        <is>
          <t>John Quinn</t>
        </is>
      </c>
      <c r="L698" s="426" t="inlineStr">
        <is>
          <t>Follow Up</t>
        </is>
      </c>
      <c r="M698" s="425" t="inlineStr">
        <is>
          <t>Space / Defense / Aerospace / Advanced Manufacturing</t>
        </is>
      </c>
      <c r="N698" s="426" t="inlineStr">
        <is>
          <t>Tier 2</t>
        </is>
      </c>
      <c r="O698" s="441" t="n">
        <v>45896</v>
      </c>
      <c r="P698" s="441" t="n">
        <v>45924</v>
      </c>
      <c r="Q698" s="425">
        <f>IF(P698="","",TODAY()-P698)</f>
        <v/>
      </c>
      <c r="R698" s="441">
        <f>IF(OR(L698="Passed",Z698=""),"",P698+Z698)</f>
        <v/>
      </c>
      <c r="S698" s="425">
        <f>IF(OR(R698="",L698="Passed"),"",IF(R698&lt;=TODAY(),"DUE",IF(R698&lt;=TODAY()+3,"Next 3 Days","Later")))</f>
        <v/>
      </c>
      <c r="T698" s="425" t="inlineStr"/>
      <c r="U698" s="426" t="inlineStr"/>
      <c r="V698" s="426" t="inlineStr"/>
      <c r="W698" s="428" t="inlineStr">
        <is>
          <t xml:space="preserve"> | 12/04/2025 | </t>
        </is>
      </c>
      <c r="X698" s="425" t="inlineStr">
        <is>
          <t>John - Investor Contacts!552</t>
        </is>
      </c>
      <c r="Y698" s="426" t="inlineStr">
        <is>
          <t>Send next follow-up with traction + CTA</t>
        </is>
      </c>
      <c r="Z698" s="425" t="n">
        <v>7</v>
      </c>
      <c r="AA698" s="425">
        <f>IF(AC698="Archived",0,ROUND((IF(N698="Tier 1",35,IF(N698="Tier 2",20,8))+IF(C698="Financial Investor",15,IF(C698="Intermediary / Banker",12,8))+IF(L698="Term Sheet / Proposal",25,IF(L698="Engaged",20,IF(L698="Meeting Requested",18,IF(L698="Meeting Held",14,IF(L698="Follow Up",10,5)))))+MIN(Q698,30)+IF(S698="DUE",15,IF(S698="Next 3 Days",8,0))),0))</f>
        <v/>
      </c>
      <c r="AB698" s="425">
        <f>IF(AND(AC698="Active",OR(N698="Tier 1",N698="Tier 2"),OR(S698="DUE",S698="Next 3 Days")),"YES","")</f>
        <v/>
      </c>
      <c r="AC698" s="425">
        <f>IF(L698="Passed","Archived","Active")</f>
        <v/>
      </c>
    </row>
    <row r="699">
      <c r="A699" s="425" t="inlineStr">
        <is>
          <t>EXOS-0698</t>
        </is>
      </c>
      <c r="B699" s="425" t="inlineStr">
        <is>
          <t>John - Investor Contacts</t>
        </is>
      </c>
      <c r="C699" s="425" t="inlineStr">
        <is>
          <t>Financial Investor</t>
        </is>
      </c>
      <c r="D699" s="425" t="inlineStr">
        <is>
          <t>Search Fund Accelerator</t>
        </is>
      </c>
      <c r="E699" s="425" t="inlineStr">
        <is>
          <t>Jeremy Silverman</t>
        </is>
      </c>
      <c r="F699" s="425" t="inlineStr"/>
      <c r="G699" s="111" t="inlineStr">
        <is>
          <t>jeremy@searchfundaccelerator.com</t>
        </is>
      </c>
      <c r="H699" s="425" t="inlineStr"/>
      <c r="I699" s="425" t="inlineStr"/>
      <c r="J699" s="111" t="inlineStr">
        <is>
          <t>https://www.linkedin.com/in/jeremysilverman/</t>
        </is>
      </c>
      <c r="K699" s="426" t="inlineStr">
        <is>
          <t>John Quinn</t>
        </is>
      </c>
      <c r="L699" s="426" t="inlineStr">
        <is>
          <t>Follow Up</t>
        </is>
      </c>
      <c r="M699" s="425" t="inlineStr">
        <is>
          <t>Space / Defense / Aerospace / Advanced Manufacturing</t>
        </is>
      </c>
      <c r="N699" s="426" t="inlineStr">
        <is>
          <t>Tier 2</t>
        </is>
      </c>
      <c r="O699" s="441" t="n">
        <v>45833</v>
      </c>
      <c r="P699" s="441" t="n">
        <v>45848</v>
      </c>
      <c r="Q699" s="425">
        <f>IF(P699="","",TODAY()-P699)</f>
        <v/>
      </c>
      <c r="R699" s="441">
        <f>IF(OR(L699="Passed",Z699=""),"",P699+Z699)</f>
        <v/>
      </c>
      <c r="S699" s="425">
        <f>IF(OR(R699="",L699="Passed"),"",IF(R699&lt;=TODAY(),"DUE",IF(R699&lt;=TODAY()+3,"Next 3 Days","Later")))</f>
        <v/>
      </c>
      <c r="T699" s="425" t="inlineStr"/>
      <c r="U699" s="426" t="inlineStr">
        <is>
          <t>https://www.linkedin.com/in/jeremysilverman/</t>
        </is>
      </c>
      <c r="V699" s="426" t="inlineStr"/>
      <c r="W699" s="428" t="inlineStr">
        <is>
          <t xml:space="preserve"> | 12/23/2025 | </t>
        </is>
      </c>
      <c r="X699" s="425" t="inlineStr">
        <is>
          <t>John - Investor Contacts!261</t>
        </is>
      </c>
      <c r="Y699" s="426" t="inlineStr">
        <is>
          <t>Send next follow-up with traction + CTA</t>
        </is>
      </c>
      <c r="Z699" s="425" t="n">
        <v>7</v>
      </c>
      <c r="AA699" s="425">
        <f>IF(AC699="Archived",0,ROUND((IF(N699="Tier 1",35,IF(N699="Tier 2",20,8))+IF(C699="Financial Investor",15,IF(C699="Intermediary / Banker",12,8))+IF(L699="Term Sheet / Proposal",25,IF(L699="Engaged",20,IF(L699="Meeting Requested",18,IF(L699="Meeting Held",14,IF(L699="Follow Up",10,5)))))+MIN(Q699,30)+IF(S699="DUE",15,IF(S699="Next 3 Days",8,0))),0))</f>
        <v/>
      </c>
      <c r="AB699" s="425">
        <f>IF(AND(AC699="Active",OR(N699="Tier 1",N699="Tier 2"),OR(S699="DUE",S699="Next 3 Days")),"YES","")</f>
        <v/>
      </c>
      <c r="AC699" s="425">
        <f>IF(L699="Passed","Archived","Active")</f>
        <v/>
      </c>
    </row>
    <row r="700">
      <c r="A700" s="425" t="inlineStr">
        <is>
          <t>EXOS-0699</t>
        </is>
      </c>
      <c r="B700" s="425" t="inlineStr">
        <is>
          <t>John - Investor Contacts</t>
        </is>
      </c>
      <c r="C700" s="425" t="inlineStr">
        <is>
          <t>Financial Investor</t>
        </is>
      </c>
      <c r="D700" s="425" t="inlineStr">
        <is>
          <t>Search Fund Accelerator</t>
        </is>
      </c>
      <c r="E700" s="425" t="inlineStr">
        <is>
          <t>Sean O'Neil</t>
        </is>
      </c>
      <c r="F700" s="425" t="inlineStr"/>
      <c r="G700" s="111" t="inlineStr">
        <is>
          <t>sean@searchfundaccelerator.com</t>
        </is>
      </c>
      <c r="H700" s="425" t="inlineStr"/>
      <c r="I700" s="425" t="inlineStr"/>
      <c r="J700" s="111" t="inlineStr">
        <is>
          <t>https://www.linkedin.com/in/sean0neill/</t>
        </is>
      </c>
      <c r="K700" s="426" t="inlineStr">
        <is>
          <t>John Quinn</t>
        </is>
      </c>
      <c r="L700" s="426" t="inlineStr">
        <is>
          <t>Follow Up</t>
        </is>
      </c>
      <c r="M700" s="425" t="inlineStr">
        <is>
          <t>Space / Defense / Aerospace / Advanced Manufacturing</t>
        </is>
      </c>
      <c r="N700" s="426" t="inlineStr">
        <is>
          <t>Tier 2</t>
        </is>
      </c>
      <c r="O700" s="441" t="n">
        <v>45833</v>
      </c>
      <c r="P700" s="441" t="n">
        <v>45848</v>
      </c>
      <c r="Q700" s="425">
        <f>IF(P700="","",TODAY()-P700)</f>
        <v/>
      </c>
      <c r="R700" s="441">
        <f>IF(OR(L700="Passed",Z700=""),"",P700+Z700)</f>
        <v/>
      </c>
      <c r="S700" s="425">
        <f>IF(OR(R700="",L700="Passed"),"",IF(R700&lt;=TODAY(),"DUE",IF(R700&lt;=TODAY()+3,"Next 3 Days","Later")))</f>
        <v/>
      </c>
      <c r="T700" s="425" t="inlineStr"/>
      <c r="U700" s="426" t="inlineStr">
        <is>
          <t>https://www.linkedin.com/in/sean0neill/</t>
        </is>
      </c>
      <c r="V700" s="426" t="inlineStr"/>
      <c r="W700" s="428" t="inlineStr">
        <is>
          <t xml:space="preserve"> | 12/23/2025 | </t>
        </is>
      </c>
      <c r="X700" s="425" t="inlineStr">
        <is>
          <t>John - Investor Contacts!262</t>
        </is>
      </c>
      <c r="Y700" s="426" t="inlineStr">
        <is>
          <t>Send next follow-up with traction + CTA</t>
        </is>
      </c>
      <c r="Z700" s="425" t="n">
        <v>7</v>
      </c>
      <c r="AA700" s="425">
        <f>IF(AC700="Archived",0,ROUND((IF(N700="Tier 1",35,IF(N700="Tier 2",20,8))+IF(C700="Financial Investor",15,IF(C700="Intermediary / Banker",12,8))+IF(L700="Term Sheet / Proposal",25,IF(L700="Engaged",20,IF(L700="Meeting Requested",18,IF(L700="Meeting Held",14,IF(L700="Follow Up",10,5)))))+MIN(Q700,30)+IF(S700="DUE",15,IF(S700="Next 3 Days",8,0))),0))</f>
        <v/>
      </c>
      <c r="AB700" s="425">
        <f>IF(AND(AC700="Active",OR(N700="Tier 1",N700="Tier 2"),OR(S700="DUE",S700="Next 3 Days")),"YES","")</f>
        <v/>
      </c>
      <c r="AC700" s="425">
        <f>IF(L700="Passed","Archived","Active")</f>
        <v/>
      </c>
    </row>
    <row r="701">
      <c r="A701" s="425" t="inlineStr">
        <is>
          <t>EXOS-0700</t>
        </is>
      </c>
      <c r="B701" s="425" t="inlineStr">
        <is>
          <t>John - Investor Contacts</t>
        </is>
      </c>
      <c r="C701" s="425" t="inlineStr">
        <is>
          <t>Financial Investor</t>
        </is>
      </c>
      <c r="D701" s="425" t="inlineStr">
        <is>
          <t>Search Fund Accelerator</t>
        </is>
      </c>
      <c r="E701" s="425" t="inlineStr">
        <is>
          <t>Timothy Bovard</t>
        </is>
      </c>
      <c r="F701" s="425" t="inlineStr"/>
      <c r="G701" s="111" t="inlineStr">
        <is>
          <t>timothy@searchfundaccelerator.com</t>
        </is>
      </c>
      <c r="H701" s="425" t="inlineStr"/>
      <c r="I701" s="425" t="inlineStr"/>
      <c r="J701" s="111" t="inlineStr">
        <is>
          <t>https://www.linkedin.com/in/timothy-bovard-00514916/</t>
        </is>
      </c>
      <c r="K701" s="426" t="inlineStr">
        <is>
          <t>John Quinn</t>
        </is>
      </c>
      <c r="L701" s="426" t="inlineStr">
        <is>
          <t>Follow Up</t>
        </is>
      </c>
      <c r="M701" s="425" t="inlineStr">
        <is>
          <t>Space / Defense / Aerospace / Advanced Manufacturing</t>
        </is>
      </c>
      <c r="N701" s="426" t="inlineStr">
        <is>
          <t>Tier 2</t>
        </is>
      </c>
      <c r="O701" s="441" t="n">
        <v>45833</v>
      </c>
      <c r="P701" s="441" t="n">
        <v>45848</v>
      </c>
      <c r="Q701" s="425">
        <f>IF(P701="","",TODAY()-P701)</f>
        <v/>
      </c>
      <c r="R701" s="441">
        <f>IF(OR(L701="Passed",Z701=""),"",P701+Z701)</f>
        <v/>
      </c>
      <c r="S701" s="425">
        <f>IF(OR(R701="",L701="Passed"),"",IF(R701&lt;=TODAY(),"DUE",IF(R701&lt;=TODAY()+3,"Next 3 Days","Later")))</f>
        <v/>
      </c>
      <c r="T701" s="425" t="inlineStr"/>
      <c r="U701" s="426" t="inlineStr">
        <is>
          <t>https://www.linkedin.com/in/timothy-bovard-00514916/</t>
        </is>
      </c>
      <c r="V701" s="426" t="inlineStr"/>
      <c r="W701" s="428" t="inlineStr">
        <is>
          <t xml:space="preserve"> | 12/23/2025 | </t>
        </is>
      </c>
      <c r="X701" s="425" t="inlineStr">
        <is>
          <t>John - Investor Contacts!260</t>
        </is>
      </c>
      <c r="Y701" s="426" t="inlineStr">
        <is>
          <t>Send next follow-up with traction + CTA</t>
        </is>
      </c>
      <c r="Z701" s="425" t="n">
        <v>7</v>
      </c>
      <c r="AA701" s="425">
        <f>IF(AC701="Archived",0,ROUND((IF(N701="Tier 1",35,IF(N701="Tier 2",20,8))+IF(C701="Financial Investor",15,IF(C701="Intermediary / Banker",12,8))+IF(L701="Term Sheet / Proposal",25,IF(L701="Engaged",20,IF(L701="Meeting Requested",18,IF(L701="Meeting Held",14,IF(L701="Follow Up",10,5)))))+MIN(Q701,30)+IF(S701="DUE",15,IF(S701="Next 3 Days",8,0))),0))</f>
        <v/>
      </c>
      <c r="AB701" s="425">
        <f>IF(AND(AC701="Active",OR(N701="Tier 1",N701="Tier 2"),OR(S701="DUE",S701="Next 3 Days")),"YES","")</f>
        <v/>
      </c>
      <c r="AC701" s="425">
        <f>IF(L701="Passed","Archived","Active")</f>
        <v/>
      </c>
    </row>
    <row r="702">
      <c r="A702" s="425" t="inlineStr">
        <is>
          <t>EXOS-0701</t>
        </is>
      </c>
      <c r="B702" s="425" t="inlineStr">
        <is>
          <t>John - Investor Contacts</t>
        </is>
      </c>
      <c r="C702" s="425" t="inlineStr">
        <is>
          <t>Financial Investor</t>
        </is>
      </c>
      <c r="D702" s="425" t="inlineStr">
        <is>
          <t>SeedFord Partners</t>
        </is>
      </c>
      <c r="E702" s="425" t="inlineStr">
        <is>
          <t>Fahad Alhussain</t>
        </is>
      </c>
      <c r="F702" s="425" t="inlineStr"/>
      <c r="G702" s="111" t="inlineStr">
        <is>
          <t>fahad@seedford-partners.com</t>
        </is>
      </c>
      <c r="H702" s="425" t="inlineStr"/>
      <c r="I702" s="425" t="inlineStr"/>
      <c r="J702" s="425" t="inlineStr"/>
      <c r="K702" s="426" t="inlineStr">
        <is>
          <t>John Quinn</t>
        </is>
      </c>
      <c r="L702" s="426" t="inlineStr">
        <is>
          <t>Follow Up</t>
        </is>
      </c>
      <c r="M702" s="425" t="inlineStr">
        <is>
          <t>Space / Defense / Aerospace / Advanced Manufacturing</t>
        </is>
      </c>
      <c r="N702" s="426" t="inlineStr">
        <is>
          <t>Tier 2</t>
        </is>
      </c>
      <c r="O702" s="441" t="n">
        <v>45989</v>
      </c>
      <c r="P702" s="441" t="n">
        <v>46036</v>
      </c>
      <c r="Q702" s="425">
        <f>IF(P702="","",TODAY()-P702)</f>
        <v/>
      </c>
      <c r="R702" s="441">
        <f>IF(OR(L702="Passed",Z702=""),"",P702+Z702)</f>
        <v/>
      </c>
      <c r="S702" s="425">
        <f>IF(OR(R702="",L702="Passed"),"",IF(R702&lt;=TODAY(),"DUE",IF(R702&lt;=TODAY()+3,"Next 3 Days","Later")))</f>
        <v/>
      </c>
      <c r="T702" s="425" t="inlineStr"/>
      <c r="U702" s="426" t="inlineStr">
        <is>
          <t>linkedin.com/in/fahad-alhussain-56a325198</t>
        </is>
      </c>
      <c r="V702" s="426" t="inlineStr"/>
      <c r="W702" s="428" t="inlineStr">
        <is>
          <t xml:space="preserve"> | 02/26/2026 | </t>
        </is>
      </c>
      <c r="X702" s="425" t="inlineStr">
        <is>
          <t>John - Investor Contacts!896</t>
        </is>
      </c>
      <c r="Y702" s="426" t="inlineStr">
        <is>
          <t>Send next follow-up with traction + CTA</t>
        </is>
      </c>
      <c r="Z702" s="425" t="n">
        <v>7</v>
      </c>
      <c r="AA702" s="425">
        <f>IF(AC702="Archived",0,ROUND((IF(N702="Tier 1",35,IF(N702="Tier 2",20,8))+IF(C702="Financial Investor",15,IF(C702="Intermediary / Banker",12,8))+IF(L702="Term Sheet / Proposal",25,IF(L702="Engaged",20,IF(L702="Meeting Requested",18,IF(L702="Meeting Held",14,IF(L702="Follow Up",10,5)))))+MIN(Q702,30)+IF(S702="DUE",15,IF(S702="Next 3 Days",8,0))),0))</f>
        <v/>
      </c>
      <c r="AB702" s="425">
        <f>IF(AND(AC702="Active",OR(N702="Tier 1",N702="Tier 2"),OR(S702="DUE",S702="Next 3 Days")),"YES","")</f>
        <v/>
      </c>
      <c r="AC702" s="425">
        <f>IF(L702="Passed","Archived","Active")</f>
        <v/>
      </c>
    </row>
    <row r="703">
      <c r="A703" s="425" t="inlineStr">
        <is>
          <t>EXOS-0702</t>
        </is>
      </c>
      <c r="B703" s="425" t="inlineStr">
        <is>
          <t>John - Investor Contacts</t>
        </is>
      </c>
      <c r="C703" s="425" t="inlineStr">
        <is>
          <t>Financial Investor</t>
        </is>
      </c>
      <c r="D703" s="425" t="inlineStr">
        <is>
          <t>SeedFord Partners</t>
        </is>
      </c>
      <c r="E703" s="425" t="inlineStr">
        <is>
          <t>Nouf A</t>
        </is>
      </c>
      <c r="F703" s="425" t="inlineStr"/>
      <c r="G703" s="111" t="inlineStr">
        <is>
          <t>nouf@seedford-partners.com</t>
        </is>
      </c>
      <c r="H703" s="425" t="inlineStr"/>
      <c r="I703" s="425" t="inlineStr"/>
      <c r="J703" s="425" t="inlineStr"/>
      <c r="K703" s="426" t="inlineStr">
        <is>
          <t>John Quinn</t>
        </is>
      </c>
      <c r="L703" s="426" t="inlineStr">
        <is>
          <t>Follow Up</t>
        </is>
      </c>
      <c r="M703" s="425" t="inlineStr">
        <is>
          <t>Space / Defense / Aerospace / Advanced Manufacturing</t>
        </is>
      </c>
      <c r="N703" s="426" t="inlineStr">
        <is>
          <t>Tier 2</t>
        </is>
      </c>
      <c r="O703" s="441" t="n">
        <v>45989</v>
      </c>
      <c r="P703" s="441" t="n">
        <v>46036</v>
      </c>
      <c r="Q703" s="425">
        <f>IF(P703="","",TODAY()-P703)</f>
        <v/>
      </c>
      <c r="R703" s="441">
        <f>IF(OR(L703="Passed",Z703=""),"",P703+Z703)</f>
        <v/>
      </c>
      <c r="S703" s="425">
        <f>IF(OR(R703="",L703="Passed"),"",IF(R703&lt;=TODAY(),"DUE",IF(R703&lt;=TODAY()+3,"Next 3 Days","Later")))</f>
        <v/>
      </c>
      <c r="T703" s="425" t="inlineStr"/>
      <c r="U703" s="426" t="inlineStr">
        <is>
          <t>linkedin.com/in/nouf-alhaqbani</t>
        </is>
      </c>
      <c r="V703" s="426" t="inlineStr"/>
      <c r="W703" s="428" t="inlineStr">
        <is>
          <t xml:space="preserve"> | 02/26/2026 | </t>
        </is>
      </c>
      <c r="X703" s="425" t="inlineStr">
        <is>
          <t>John - Investor Contacts!895</t>
        </is>
      </c>
      <c r="Y703" s="426" t="inlineStr">
        <is>
          <t>Send next follow-up with traction + CTA</t>
        </is>
      </c>
      <c r="Z703" s="425" t="n">
        <v>7</v>
      </c>
      <c r="AA703" s="425">
        <f>IF(AC703="Archived",0,ROUND((IF(N703="Tier 1",35,IF(N703="Tier 2",20,8))+IF(C703="Financial Investor",15,IF(C703="Intermediary / Banker",12,8))+IF(L703="Term Sheet / Proposal",25,IF(L703="Engaged",20,IF(L703="Meeting Requested",18,IF(L703="Meeting Held",14,IF(L703="Follow Up",10,5)))))+MIN(Q703,30)+IF(S703="DUE",15,IF(S703="Next 3 Days",8,0))),0))</f>
        <v/>
      </c>
      <c r="AB703" s="425">
        <f>IF(AND(AC703="Active",OR(N703="Tier 1",N703="Tier 2"),OR(S703="DUE",S703="Next 3 Days")),"YES","")</f>
        <v/>
      </c>
      <c r="AC703" s="425">
        <f>IF(L703="Passed","Archived","Active")</f>
        <v/>
      </c>
    </row>
    <row r="704">
      <c r="A704" s="425" t="inlineStr">
        <is>
          <t>EXOS-0703</t>
        </is>
      </c>
      <c r="B704" s="425" t="inlineStr">
        <is>
          <t>John - Investor Contacts</t>
        </is>
      </c>
      <c r="C704" s="425" t="inlineStr">
        <is>
          <t>Financial Investor</t>
        </is>
      </c>
      <c r="D704" s="425" t="inlineStr">
        <is>
          <t>Seldor Capital</t>
        </is>
      </c>
      <c r="E704" s="425" t="inlineStr">
        <is>
          <t>Roberto Alvarez</t>
        </is>
      </c>
      <c r="F704" s="425" t="inlineStr"/>
      <c r="G704" s="111" t="inlineStr">
        <is>
          <t>roberto@seldorcapital.com</t>
        </is>
      </c>
      <c r="H704" s="425" t="inlineStr"/>
      <c r="I704" s="425" t="inlineStr"/>
      <c r="J704" s="111" t="inlineStr">
        <is>
          <t>https://www.linkedin.com/in/robertodosreisalvarez</t>
        </is>
      </c>
      <c r="K704" s="426" t="inlineStr">
        <is>
          <t>John Quinn</t>
        </is>
      </c>
      <c r="L704" s="426" t="inlineStr">
        <is>
          <t>Follow Up</t>
        </is>
      </c>
      <c r="M704" s="425" t="inlineStr">
        <is>
          <t>Space / Defense / Aerospace / Advanced Manufacturing</t>
        </is>
      </c>
      <c r="N704" s="426" t="inlineStr">
        <is>
          <t>Tier 2</t>
        </is>
      </c>
      <c r="O704" s="441" t="n">
        <v>45910</v>
      </c>
      <c r="P704" s="441" t="n">
        <v>45973</v>
      </c>
      <c r="Q704" s="425">
        <f>IF(P704="","",TODAY()-P704)</f>
        <v/>
      </c>
      <c r="R704" s="441">
        <f>IF(OR(L704="Passed",Z704=""),"",P704+Z704)</f>
        <v/>
      </c>
      <c r="S704" s="425">
        <f>IF(OR(R704="",L704="Passed"),"",IF(R704&lt;=TODAY(),"DUE",IF(R704&lt;=TODAY()+3,"Next 3 Days","Later")))</f>
        <v/>
      </c>
      <c r="T704" s="425" t="inlineStr"/>
      <c r="U704" s="426" t="inlineStr">
        <is>
          <t>https://www.linkedin.com/in/robertodosreisalvarez</t>
        </is>
      </c>
      <c r="V704" s="426" t="inlineStr"/>
      <c r="W704" s="428" t="inlineStr">
        <is>
          <t xml:space="preserve"> | 12/15/2025 | </t>
        </is>
      </c>
      <c r="X704" s="425" t="inlineStr">
        <is>
          <t>John - Investor Contacts!652</t>
        </is>
      </c>
      <c r="Y704" s="426" t="inlineStr">
        <is>
          <t>Send next follow-up with traction + CTA</t>
        </is>
      </c>
      <c r="Z704" s="425" t="n">
        <v>7</v>
      </c>
      <c r="AA704" s="425">
        <f>IF(AC704="Archived",0,ROUND((IF(N704="Tier 1",35,IF(N704="Tier 2",20,8))+IF(C704="Financial Investor",15,IF(C704="Intermediary / Banker",12,8))+IF(L704="Term Sheet / Proposal",25,IF(L704="Engaged",20,IF(L704="Meeting Requested",18,IF(L704="Meeting Held",14,IF(L704="Follow Up",10,5)))))+MIN(Q704,30)+IF(S704="DUE",15,IF(S704="Next 3 Days",8,0))),0))</f>
        <v/>
      </c>
      <c r="AB704" s="425">
        <f>IF(AND(AC704="Active",OR(N704="Tier 1",N704="Tier 2"),OR(S704="DUE",S704="Next 3 Days")),"YES","")</f>
        <v/>
      </c>
      <c r="AC704" s="425">
        <f>IF(L704="Passed","Archived","Active")</f>
        <v/>
      </c>
    </row>
    <row r="705">
      <c r="A705" s="425" t="inlineStr">
        <is>
          <t>EXOS-0704</t>
        </is>
      </c>
      <c r="B705" s="425" t="inlineStr">
        <is>
          <t>John - Investor Contacts</t>
        </is>
      </c>
      <c r="C705" s="425" t="inlineStr">
        <is>
          <t>Financial Investor</t>
        </is>
      </c>
      <c r="D705" s="425" t="inlineStr">
        <is>
          <t>Seldor Capital</t>
        </is>
      </c>
      <c r="E705" s="425" t="inlineStr">
        <is>
          <t>Steven Gonzalez</t>
        </is>
      </c>
      <c r="F705" s="425" t="inlineStr"/>
      <c r="G705" s="111" t="inlineStr">
        <is>
          <t>steven@seldorcapital.com</t>
        </is>
      </c>
      <c r="H705" s="425" t="inlineStr"/>
      <c r="I705" s="425" t="inlineStr"/>
      <c r="J705" s="111" t="inlineStr">
        <is>
          <t>https://www.linkedin.com/in/steven-gonzalez-248312/</t>
        </is>
      </c>
      <c r="K705" s="426" t="inlineStr">
        <is>
          <t>John Quinn</t>
        </is>
      </c>
      <c r="L705" s="426" t="inlineStr">
        <is>
          <t>Follow Up</t>
        </is>
      </c>
      <c r="M705" s="425" t="inlineStr">
        <is>
          <t>Space / Defense / Aerospace / Advanced Manufacturing</t>
        </is>
      </c>
      <c r="N705" s="426" t="inlineStr">
        <is>
          <t>Tier 2</t>
        </is>
      </c>
      <c r="O705" s="441" t="n">
        <v>45910</v>
      </c>
      <c r="P705" s="441" t="n">
        <v>45973</v>
      </c>
      <c r="Q705" s="425">
        <f>IF(P705="","",TODAY()-P705)</f>
        <v/>
      </c>
      <c r="R705" s="441">
        <f>IF(OR(L705="Passed",Z705=""),"",P705+Z705)</f>
        <v/>
      </c>
      <c r="S705" s="425">
        <f>IF(OR(R705="",L705="Passed"),"",IF(R705&lt;=TODAY(),"DUE",IF(R705&lt;=TODAY()+3,"Next 3 Days","Later")))</f>
        <v/>
      </c>
      <c r="T705" s="425" t="inlineStr"/>
      <c r="U705" s="426" t="inlineStr">
        <is>
          <t>https://www.linkedin.com/in/steven-gonzalez-248312/</t>
        </is>
      </c>
      <c r="V705" s="426" t="inlineStr"/>
      <c r="W705" s="428" t="inlineStr">
        <is>
          <t xml:space="preserve"> | 12/15/2025 | </t>
        </is>
      </c>
      <c r="X705" s="425" t="inlineStr">
        <is>
          <t>John - Investor Contacts!653</t>
        </is>
      </c>
      <c r="Y705" s="426" t="inlineStr">
        <is>
          <t>Send next follow-up with traction + CTA</t>
        </is>
      </c>
      <c r="Z705" s="425" t="n">
        <v>7</v>
      </c>
      <c r="AA705" s="425">
        <f>IF(AC705="Archived",0,ROUND((IF(N705="Tier 1",35,IF(N705="Tier 2",20,8))+IF(C705="Financial Investor",15,IF(C705="Intermediary / Banker",12,8))+IF(L705="Term Sheet / Proposal",25,IF(L705="Engaged",20,IF(L705="Meeting Requested",18,IF(L705="Meeting Held",14,IF(L705="Follow Up",10,5)))))+MIN(Q705,30)+IF(S705="DUE",15,IF(S705="Next 3 Days",8,0))),0))</f>
        <v/>
      </c>
      <c r="AB705" s="425">
        <f>IF(AND(AC705="Active",OR(N705="Tier 1",N705="Tier 2"),OR(S705="DUE",S705="Next 3 Days")),"YES","")</f>
        <v/>
      </c>
      <c r="AC705" s="425">
        <f>IF(L705="Passed","Archived","Active")</f>
        <v/>
      </c>
    </row>
    <row r="706">
      <c r="A706" s="425" t="inlineStr">
        <is>
          <t>EXOS-0705</t>
        </is>
      </c>
      <c r="B706" s="425" t="inlineStr">
        <is>
          <t>John - Investor Contacts</t>
        </is>
      </c>
      <c r="C706" s="425" t="inlineStr">
        <is>
          <t>Financial Investor</t>
        </is>
      </c>
      <c r="D706" s="425" t="inlineStr">
        <is>
          <t>Serra Ventures</t>
        </is>
      </c>
      <c r="E706" s="425" t="inlineStr">
        <is>
          <t>Eric Wilson</t>
        </is>
      </c>
      <c r="F706" s="425" t="inlineStr"/>
      <c r="G706" s="111" t="inlineStr">
        <is>
          <t>eric@serraventures.com</t>
        </is>
      </c>
      <c r="H706" s="425" t="inlineStr"/>
      <c r="I706" s="425" t="inlineStr"/>
      <c r="J706" s="111" t="inlineStr">
        <is>
          <t>https://www.linkedin.com/in/eric-wilson-67936a90/</t>
        </is>
      </c>
      <c r="K706" s="426" t="inlineStr">
        <is>
          <t>John Quinn</t>
        </is>
      </c>
      <c r="L706" s="426" t="inlineStr">
        <is>
          <t>Follow Up</t>
        </is>
      </c>
      <c r="M706" s="425" t="inlineStr">
        <is>
          <t>Space / Defense / Aerospace / Advanced Manufacturing</t>
        </is>
      </c>
      <c r="N706" s="426" t="inlineStr">
        <is>
          <t>Tier 2</t>
        </is>
      </c>
      <c r="O706" s="441" t="n">
        <v>45903</v>
      </c>
      <c r="P706" s="441" t="n">
        <v>45972</v>
      </c>
      <c r="Q706" s="425">
        <f>IF(P706="","",TODAY()-P706)</f>
        <v/>
      </c>
      <c r="R706" s="441">
        <f>IF(OR(L706="Passed",Z706=""),"",P706+Z706)</f>
        <v/>
      </c>
      <c r="S706" s="425">
        <f>IF(OR(R706="",L706="Passed"),"",IF(R706&lt;=TODAY(),"DUE",IF(R706&lt;=TODAY()+3,"Next 3 Days","Later")))</f>
        <v/>
      </c>
      <c r="T706" s="425" t="inlineStr"/>
      <c r="U706" s="426" t="inlineStr">
        <is>
          <t>https://www.linkedin.com/in/eric-wilson-67936a90/</t>
        </is>
      </c>
      <c r="V706" s="426" t="inlineStr"/>
      <c r="W706" s="428" t="inlineStr">
        <is>
          <t xml:space="preserve"> | 12/05/2025 | </t>
        </is>
      </c>
      <c r="X706" s="425" t="inlineStr">
        <is>
          <t>John - Investor Contacts!603</t>
        </is>
      </c>
      <c r="Y706" s="426" t="inlineStr">
        <is>
          <t>Send next follow-up with traction + CTA</t>
        </is>
      </c>
      <c r="Z706" s="425" t="n">
        <v>7</v>
      </c>
      <c r="AA706" s="425">
        <f>IF(AC706="Archived",0,ROUND((IF(N706="Tier 1",35,IF(N706="Tier 2",20,8))+IF(C706="Financial Investor",15,IF(C706="Intermediary / Banker",12,8))+IF(L706="Term Sheet / Proposal",25,IF(L706="Engaged",20,IF(L706="Meeting Requested",18,IF(L706="Meeting Held",14,IF(L706="Follow Up",10,5)))))+MIN(Q706,30)+IF(S706="DUE",15,IF(S706="Next 3 Days",8,0))),0))</f>
        <v/>
      </c>
      <c r="AB706" s="425">
        <f>IF(AND(AC706="Active",OR(N706="Tier 1",N706="Tier 2"),OR(S706="DUE",S706="Next 3 Days")),"YES","")</f>
        <v/>
      </c>
      <c r="AC706" s="425">
        <f>IF(L706="Passed","Archived","Active")</f>
        <v/>
      </c>
    </row>
    <row r="707">
      <c r="A707" s="425" t="inlineStr">
        <is>
          <t>EXOS-0706</t>
        </is>
      </c>
      <c r="B707" s="425" t="inlineStr">
        <is>
          <t>John - Investor Contacts</t>
        </is>
      </c>
      <c r="C707" s="425" t="inlineStr">
        <is>
          <t>Financial Investor</t>
        </is>
      </c>
      <c r="D707" s="425" t="inlineStr">
        <is>
          <t>Sierra Ventures</t>
        </is>
      </c>
      <c r="E707" s="425" t="inlineStr">
        <is>
          <t>Brendon Schmidt</t>
        </is>
      </c>
      <c r="F707" s="425" t="inlineStr"/>
      <c r="G707" s="111" t="inlineStr">
        <is>
          <t>brendon@sierraventures.com</t>
        </is>
      </c>
      <c r="H707" s="425" t="inlineStr"/>
      <c r="I707" s="425" t="inlineStr"/>
      <c r="J707" s="111" t="inlineStr">
        <is>
          <t>https://www.linkedin.com/in/brendonschmidt/</t>
        </is>
      </c>
      <c r="K707" s="426" t="inlineStr">
        <is>
          <t>John Quinn</t>
        </is>
      </c>
      <c r="L707" s="426" t="inlineStr">
        <is>
          <t>Follow Up</t>
        </is>
      </c>
      <c r="M707" s="425" t="inlineStr">
        <is>
          <t>Space / Defense / Aerospace / Advanced Manufacturing</t>
        </is>
      </c>
      <c r="N707" s="426" t="inlineStr">
        <is>
          <t>Tier 2</t>
        </is>
      </c>
      <c r="O707" s="441" t="n">
        <v>45903</v>
      </c>
      <c r="P707" s="441" t="n">
        <v>45972</v>
      </c>
      <c r="Q707" s="425">
        <f>IF(P707="","",TODAY()-P707)</f>
        <v/>
      </c>
      <c r="R707" s="441">
        <f>IF(OR(L707="Passed",Z707=""),"",P707+Z707)</f>
        <v/>
      </c>
      <c r="S707" s="425">
        <f>IF(OR(R707="",L707="Passed"),"",IF(R707&lt;=TODAY(),"DUE",IF(R707&lt;=TODAY()+3,"Next 3 Days","Later")))</f>
        <v/>
      </c>
      <c r="T707" s="425" t="inlineStr"/>
      <c r="U707" s="426" t="inlineStr">
        <is>
          <t>https://www.linkedin.com/in/brendonschmidt/</t>
        </is>
      </c>
      <c r="V707" s="426" t="inlineStr"/>
      <c r="W707" s="428" t="inlineStr">
        <is>
          <t xml:space="preserve"> | 12/05/2025 | </t>
        </is>
      </c>
      <c r="X707" s="425" t="inlineStr">
        <is>
          <t>John - Investor Contacts!604</t>
        </is>
      </c>
      <c r="Y707" s="426" t="inlineStr">
        <is>
          <t>Send next follow-up with traction + CTA</t>
        </is>
      </c>
      <c r="Z707" s="425" t="n">
        <v>7</v>
      </c>
      <c r="AA707" s="425">
        <f>IF(AC707="Archived",0,ROUND((IF(N707="Tier 1",35,IF(N707="Tier 2",20,8))+IF(C707="Financial Investor",15,IF(C707="Intermediary / Banker",12,8))+IF(L707="Term Sheet / Proposal",25,IF(L707="Engaged",20,IF(L707="Meeting Requested",18,IF(L707="Meeting Held",14,IF(L707="Follow Up",10,5)))))+MIN(Q707,30)+IF(S707="DUE",15,IF(S707="Next 3 Days",8,0))),0))</f>
        <v/>
      </c>
      <c r="AB707" s="425">
        <f>IF(AND(AC707="Active",OR(N707="Tier 1",N707="Tier 2"),OR(S707="DUE",S707="Next 3 Days")),"YES","")</f>
        <v/>
      </c>
      <c r="AC707" s="425">
        <f>IF(L707="Passed","Archived","Active")</f>
        <v/>
      </c>
    </row>
    <row r="708">
      <c r="A708" s="425" t="inlineStr">
        <is>
          <t>EXOS-0707</t>
        </is>
      </c>
      <c r="B708" s="425" t="inlineStr">
        <is>
          <t>John - Investor Contacts</t>
        </is>
      </c>
      <c r="C708" s="425" t="inlineStr">
        <is>
          <t>Financial Investor</t>
        </is>
      </c>
      <c r="D708" s="425" t="inlineStr">
        <is>
          <t>Signal Fire</t>
        </is>
      </c>
      <c r="E708" s="425" t="inlineStr">
        <is>
          <t>Chris Farmer</t>
        </is>
      </c>
      <c r="F708" s="425" t="inlineStr"/>
      <c r="G708" s="111" t="inlineStr">
        <is>
          <t>chris@signalfire.com</t>
        </is>
      </c>
      <c r="H708" s="425" t="inlineStr"/>
      <c r="I708" s="425" t="inlineStr"/>
      <c r="J708" s="111" t="inlineStr">
        <is>
          <t>https://www.linkedin.com/in/chriswfarmer/</t>
        </is>
      </c>
      <c r="K708" s="426" t="inlineStr">
        <is>
          <t>John Quinn</t>
        </is>
      </c>
      <c r="L708" s="426" t="inlineStr">
        <is>
          <t>Follow Up</t>
        </is>
      </c>
      <c r="M708" s="425" t="inlineStr">
        <is>
          <t>Space / Defense / Aerospace / Advanced Manufacturing</t>
        </is>
      </c>
      <c r="N708" s="426" t="inlineStr">
        <is>
          <t>Tier 2</t>
        </is>
      </c>
      <c r="O708" s="441" t="n">
        <v>45965</v>
      </c>
      <c r="P708" s="441" t="n">
        <v>45985</v>
      </c>
      <c r="Q708" s="425">
        <f>IF(P708="","",TODAY()-P708)</f>
        <v/>
      </c>
      <c r="R708" s="441">
        <f>IF(OR(L708="Passed",Z708=""),"",P708+Z708)</f>
        <v/>
      </c>
      <c r="S708" s="425">
        <f>IF(OR(R708="",L708="Passed"),"",IF(R708&lt;=TODAY(),"DUE",IF(R708&lt;=TODAY()+3,"Next 3 Days","Later")))</f>
        <v/>
      </c>
      <c r="T708" s="425" t="inlineStr"/>
      <c r="U708" s="426" t="inlineStr">
        <is>
          <t>https://www.linkedin.com/in/chriswfarmer/</t>
        </is>
      </c>
      <c r="V708" s="426" t="inlineStr"/>
      <c r="W708" s="428" t="inlineStr">
        <is>
          <t xml:space="preserve"> | 12/30/2025 | </t>
        </is>
      </c>
      <c r="X708" s="425" t="inlineStr">
        <is>
          <t>John - Investor Contacts!821</t>
        </is>
      </c>
      <c r="Y708" s="426" t="inlineStr">
        <is>
          <t>Send next follow-up with traction + CTA</t>
        </is>
      </c>
      <c r="Z708" s="425" t="n">
        <v>7</v>
      </c>
      <c r="AA708" s="425">
        <f>IF(AC708="Archived",0,ROUND((IF(N708="Tier 1",35,IF(N708="Tier 2",20,8))+IF(C708="Financial Investor",15,IF(C708="Intermediary / Banker",12,8))+IF(L708="Term Sheet / Proposal",25,IF(L708="Engaged",20,IF(L708="Meeting Requested",18,IF(L708="Meeting Held",14,IF(L708="Follow Up",10,5)))))+MIN(Q708,30)+IF(S708="DUE",15,IF(S708="Next 3 Days",8,0))),0))</f>
        <v/>
      </c>
      <c r="AB708" s="425">
        <f>IF(AND(AC708="Active",OR(N708="Tier 1",N708="Tier 2"),OR(S708="DUE",S708="Next 3 Days")),"YES","")</f>
        <v/>
      </c>
      <c r="AC708" s="425">
        <f>IF(L708="Passed","Archived","Active")</f>
        <v/>
      </c>
    </row>
    <row r="709">
      <c r="A709" s="425" t="inlineStr">
        <is>
          <t>EXOS-0708</t>
        </is>
      </c>
      <c r="B709" s="425" t="inlineStr">
        <is>
          <t>John - Investor Contacts</t>
        </is>
      </c>
      <c r="C709" s="425" t="inlineStr">
        <is>
          <t>Financial Investor</t>
        </is>
      </c>
      <c r="D709" s="425" t="inlineStr">
        <is>
          <t>Signal Fire</t>
        </is>
      </c>
      <c r="E709" s="425" t="inlineStr">
        <is>
          <t>Ilya Kirnos</t>
        </is>
      </c>
      <c r="F709" s="425" t="inlineStr"/>
      <c r="G709" s="111" t="inlineStr">
        <is>
          <t>ilya@signalfire.com</t>
        </is>
      </c>
      <c r="H709" s="425" t="inlineStr"/>
      <c r="I709" s="425" t="inlineStr"/>
      <c r="J709" s="111" t="inlineStr">
        <is>
          <t>https://www.linkedin.com/in/imkirnos/</t>
        </is>
      </c>
      <c r="K709" s="426" t="inlineStr">
        <is>
          <t>John Quinn</t>
        </is>
      </c>
      <c r="L709" s="426" t="inlineStr">
        <is>
          <t>Follow Up</t>
        </is>
      </c>
      <c r="M709" s="425" t="inlineStr">
        <is>
          <t>Space / Defense / Aerospace / Advanced Manufacturing</t>
        </is>
      </c>
      <c r="N709" s="426" t="inlineStr">
        <is>
          <t>Tier 2</t>
        </is>
      </c>
      <c r="O709" s="441" t="n">
        <v>45965</v>
      </c>
      <c r="P709" s="441" t="n">
        <v>45985</v>
      </c>
      <c r="Q709" s="425">
        <f>IF(P709="","",TODAY()-P709)</f>
        <v/>
      </c>
      <c r="R709" s="441">
        <f>IF(OR(L709="Passed",Z709=""),"",P709+Z709)</f>
        <v/>
      </c>
      <c r="S709" s="425">
        <f>IF(OR(R709="",L709="Passed"),"",IF(R709&lt;=TODAY(),"DUE",IF(R709&lt;=TODAY()+3,"Next 3 Days","Later")))</f>
        <v/>
      </c>
      <c r="T709" s="425" t="inlineStr"/>
      <c r="U709" s="426" t="inlineStr">
        <is>
          <t>https://www.linkedin.com/in/imkirnos/</t>
        </is>
      </c>
      <c r="V709" s="426" t="inlineStr"/>
      <c r="W709" s="428" t="inlineStr">
        <is>
          <t xml:space="preserve"> | 12/30/2025 | </t>
        </is>
      </c>
      <c r="X709" s="425" t="inlineStr">
        <is>
          <t>John - Investor Contacts!819</t>
        </is>
      </c>
      <c r="Y709" s="426" t="inlineStr">
        <is>
          <t>Send next follow-up with traction + CTA</t>
        </is>
      </c>
      <c r="Z709" s="425" t="n">
        <v>7</v>
      </c>
      <c r="AA709" s="425">
        <f>IF(AC709="Archived",0,ROUND((IF(N709="Tier 1",35,IF(N709="Tier 2",20,8))+IF(C709="Financial Investor",15,IF(C709="Intermediary / Banker",12,8))+IF(L709="Term Sheet / Proposal",25,IF(L709="Engaged",20,IF(L709="Meeting Requested",18,IF(L709="Meeting Held",14,IF(L709="Follow Up",10,5)))))+MIN(Q709,30)+IF(S709="DUE",15,IF(S709="Next 3 Days",8,0))),0))</f>
        <v/>
      </c>
      <c r="AB709" s="425">
        <f>IF(AND(AC709="Active",OR(N709="Tier 1",N709="Tier 2"),OR(S709="DUE",S709="Next 3 Days")),"YES","")</f>
        <v/>
      </c>
      <c r="AC709" s="425">
        <f>IF(L709="Passed","Archived","Active")</f>
        <v/>
      </c>
    </row>
    <row r="710">
      <c r="A710" s="425" t="inlineStr">
        <is>
          <t>EXOS-0709</t>
        </is>
      </c>
      <c r="B710" s="425" t="inlineStr">
        <is>
          <t>John - Investor Contacts</t>
        </is>
      </c>
      <c r="C710" s="425" t="inlineStr">
        <is>
          <t>Financial Investor</t>
        </is>
      </c>
      <c r="D710" s="425" t="inlineStr">
        <is>
          <t>Signal Fire</t>
        </is>
      </c>
      <c r="E710" s="425" t="inlineStr">
        <is>
          <t>Jon Lim</t>
        </is>
      </c>
      <c r="F710" s="425" t="inlineStr"/>
      <c r="G710" s="111" t="inlineStr">
        <is>
          <t>jlim@signalfire.com</t>
        </is>
      </c>
      <c r="H710" s="425" t="inlineStr"/>
      <c r="I710" s="425" t="inlineStr"/>
      <c r="J710" s="111" t="inlineStr">
        <is>
          <t>https://www.linkedin.com/in/jonathan-lim-5180803a/</t>
        </is>
      </c>
      <c r="K710" s="426" t="inlineStr">
        <is>
          <t>John Quinn</t>
        </is>
      </c>
      <c r="L710" s="426" t="inlineStr">
        <is>
          <t>Follow Up</t>
        </is>
      </c>
      <c r="M710" s="425" t="inlineStr">
        <is>
          <t>Space / Defense / Aerospace / Advanced Manufacturing</t>
        </is>
      </c>
      <c r="N710" s="426" t="inlineStr">
        <is>
          <t>Tier 2</t>
        </is>
      </c>
      <c r="O710" s="441" t="n">
        <v>45903</v>
      </c>
      <c r="P710" s="441" t="n">
        <v>45972</v>
      </c>
      <c r="Q710" s="425">
        <f>IF(P710="","",TODAY()-P710)</f>
        <v/>
      </c>
      <c r="R710" s="441">
        <f>IF(OR(L710="Passed",Z710=""),"",P710+Z710)</f>
        <v/>
      </c>
      <c r="S710" s="425">
        <f>IF(OR(R710="",L710="Passed"),"",IF(R710&lt;=TODAY(),"DUE",IF(R710&lt;=TODAY()+3,"Next 3 Days","Later")))</f>
        <v/>
      </c>
      <c r="T710" s="425" t="inlineStr"/>
      <c r="U710" s="426" t="inlineStr">
        <is>
          <t>https://www.linkedin.com/in/jonathan-lim-5180803a/</t>
        </is>
      </c>
      <c r="V710" s="426" t="inlineStr"/>
      <c r="W710" s="428" t="inlineStr">
        <is>
          <t xml:space="preserve"> | 12/05/2025 | </t>
        </is>
      </c>
      <c r="X710" s="425" t="inlineStr">
        <is>
          <t>John - Investor Contacts!605</t>
        </is>
      </c>
      <c r="Y710" s="426" t="inlineStr">
        <is>
          <t>Send next follow-up with traction + CTA</t>
        </is>
      </c>
      <c r="Z710" s="425" t="n">
        <v>7</v>
      </c>
      <c r="AA710" s="425">
        <f>IF(AC710="Archived",0,ROUND((IF(N710="Tier 1",35,IF(N710="Tier 2",20,8))+IF(C710="Financial Investor",15,IF(C710="Intermediary / Banker",12,8))+IF(L710="Term Sheet / Proposal",25,IF(L710="Engaged",20,IF(L710="Meeting Requested",18,IF(L710="Meeting Held",14,IF(L710="Follow Up",10,5)))))+MIN(Q710,30)+IF(S710="DUE",15,IF(S710="Next 3 Days",8,0))),0))</f>
        <v/>
      </c>
      <c r="AB710" s="425">
        <f>IF(AND(AC710="Active",OR(N710="Tier 1",N710="Tier 2"),OR(S710="DUE",S710="Next 3 Days")),"YES","")</f>
        <v/>
      </c>
      <c r="AC710" s="425">
        <f>IF(L710="Passed","Archived","Active")</f>
        <v/>
      </c>
    </row>
    <row r="711">
      <c r="A711" s="425" t="inlineStr">
        <is>
          <t>EXOS-0710</t>
        </is>
      </c>
      <c r="B711" s="425" t="inlineStr">
        <is>
          <t>John - Investor Contacts</t>
        </is>
      </c>
      <c r="C711" s="425" t="inlineStr">
        <is>
          <t>Financial Investor</t>
        </is>
      </c>
      <c r="D711" s="425" t="inlineStr">
        <is>
          <t>Signal Fire</t>
        </is>
      </c>
      <c r="E711" s="425" t="inlineStr">
        <is>
          <t>Wayne Hu</t>
        </is>
      </c>
      <c r="F711" s="425" t="inlineStr"/>
      <c r="G711" s="111" t="inlineStr">
        <is>
          <t>wayne@signalfire.com</t>
        </is>
      </c>
      <c r="H711" s="425" t="inlineStr"/>
      <c r="I711" s="425" t="inlineStr"/>
      <c r="J711" s="111" t="inlineStr">
        <is>
          <t>https://www.linkedin.com/in/wayne-hu-05570132/</t>
        </is>
      </c>
      <c r="K711" s="426" t="inlineStr">
        <is>
          <t>John Quinn</t>
        </is>
      </c>
      <c r="L711" s="426" t="inlineStr">
        <is>
          <t>Follow Up</t>
        </is>
      </c>
      <c r="M711" s="425" t="inlineStr">
        <is>
          <t>Space / Defense / Aerospace / Advanced Manufacturing</t>
        </is>
      </c>
      <c r="N711" s="426" t="inlineStr">
        <is>
          <t>Tier 2</t>
        </is>
      </c>
      <c r="O711" s="441" t="n">
        <v>45965</v>
      </c>
      <c r="P711" s="441" t="n">
        <v>45985</v>
      </c>
      <c r="Q711" s="425">
        <f>IF(P711="","",TODAY()-P711)</f>
        <v/>
      </c>
      <c r="R711" s="441">
        <f>IF(OR(L711="Passed",Z711=""),"",P711+Z711)</f>
        <v/>
      </c>
      <c r="S711" s="425">
        <f>IF(OR(R711="",L711="Passed"),"",IF(R711&lt;=TODAY(),"DUE",IF(R711&lt;=TODAY()+3,"Next 3 Days","Later")))</f>
        <v/>
      </c>
      <c r="T711" s="425" t="inlineStr"/>
      <c r="U711" s="426" t="inlineStr">
        <is>
          <t>https://www.linkedin.com/in/wayne-hu-05570132/</t>
        </is>
      </c>
      <c r="V711" s="426" t="inlineStr"/>
      <c r="W711" s="428" t="inlineStr">
        <is>
          <t xml:space="preserve"> | 12/30/2025 | </t>
        </is>
      </c>
      <c r="X711" s="425" t="inlineStr">
        <is>
          <t>John - Investor Contacts!820</t>
        </is>
      </c>
      <c r="Y711" s="426" t="inlineStr">
        <is>
          <t>Send next follow-up with traction + CTA</t>
        </is>
      </c>
      <c r="Z711" s="425" t="n">
        <v>7</v>
      </c>
      <c r="AA711" s="425">
        <f>IF(AC711="Archived",0,ROUND((IF(N711="Tier 1",35,IF(N711="Tier 2",20,8))+IF(C711="Financial Investor",15,IF(C711="Intermediary / Banker",12,8))+IF(L711="Term Sheet / Proposal",25,IF(L711="Engaged",20,IF(L711="Meeting Requested",18,IF(L711="Meeting Held",14,IF(L711="Follow Up",10,5)))))+MIN(Q711,30)+IF(S711="DUE",15,IF(S711="Next 3 Days",8,0))),0))</f>
        <v/>
      </c>
      <c r="AB711" s="425">
        <f>IF(AND(AC711="Active",OR(N711="Tier 1",N711="Tier 2"),OR(S711="DUE",S711="Next 3 Days")),"YES","")</f>
        <v/>
      </c>
      <c r="AC711" s="425">
        <f>IF(L711="Passed","Archived","Active")</f>
        <v/>
      </c>
    </row>
    <row r="712">
      <c r="A712" s="425" t="inlineStr">
        <is>
          <t>EXOS-0711</t>
        </is>
      </c>
      <c r="B712" s="425" t="inlineStr">
        <is>
          <t>John - Investor Contacts</t>
        </is>
      </c>
      <c r="C712" s="425" t="inlineStr">
        <is>
          <t>Financial Investor</t>
        </is>
      </c>
      <c r="D712" s="425" t="inlineStr">
        <is>
          <t>Silent Ventures</t>
        </is>
      </c>
      <c r="E712" s="425" t="inlineStr">
        <is>
          <t>Jackson Moses</t>
        </is>
      </c>
      <c r="F712" s="425" t="inlineStr"/>
      <c r="G712" s="111" t="inlineStr">
        <is>
          <t>jackson@silentvc.com</t>
        </is>
      </c>
      <c r="H712" s="425" t="inlineStr"/>
      <c r="I712" s="425" t="inlineStr"/>
      <c r="J712" s="111" t="inlineStr">
        <is>
          <t>https://www.linkedin.com/in/jacksonmoses/</t>
        </is>
      </c>
      <c r="K712" s="426" t="inlineStr">
        <is>
          <t>John Quinn</t>
        </is>
      </c>
      <c r="L712" s="426" t="inlineStr">
        <is>
          <t>Follow Up</t>
        </is>
      </c>
      <c r="M712" s="425" t="inlineStr">
        <is>
          <t>Space / Defense / Aerospace / Advanced Manufacturing</t>
        </is>
      </c>
      <c r="N712" s="426" t="inlineStr">
        <is>
          <t>Tier 2</t>
        </is>
      </c>
      <c r="O712" s="441" t="n">
        <v>45951</v>
      </c>
      <c r="P712" s="441" t="n">
        <v>45973</v>
      </c>
      <c r="Q712" s="425">
        <f>IF(P712="","",TODAY()-P712)</f>
        <v/>
      </c>
      <c r="R712" s="441">
        <f>IF(OR(L712="Passed",Z712=""),"",P712+Z712)</f>
        <v/>
      </c>
      <c r="S712" s="425">
        <f>IF(OR(R712="",L712="Passed"),"",IF(R712&lt;=TODAY(),"DUE",IF(R712&lt;=TODAY()+3,"Next 3 Days","Later")))</f>
        <v/>
      </c>
      <c r="T712" s="425" t="inlineStr"/>
      <c r="U712" s="426" t="inlineStr">
        <is>
          <t>https://www.linkedin.com/in/jacksonmoses/</t>
        </is>
      </c>
      <c r="V712" s="426" t="inlineStr"/>
      <c r="W712" s="428" t="inlineStr">
        <is>
          <t xml:space="preserve"> | 12/30/2025 | </t>
        </is>
      </c>
      <c r="X712" s="425" t="inlineStr">
        <is>
          <t>John - Investor Contacts!785</t>
        </is>
      </c>
      <c r="Y712" s="426" t="inlineStr">
        <is>
          <t>Send next follow-up with traction + CTA</t>
        </is>
      </c>
      <c r="Z712" s="425" t="n">
        <v>7</v>
      </c>
      <c r="AA712" s="425">
        <f>IF(AC712="Archived",0,ROUND((IF(N712="Tier 1",35,IF(N712="Tier 2",20,8))+IF(C712="Financial Investor",15,IF(C712="Intermediary / Banker",12,8))+IF(L712="Term Sheet / Proposal",25,IF(L712="Engaged",20,IF(L712="Meeting Requested",18,IF(L712="Meeting Held",14,IF(L712="Follow Up",10,5)))))+MIN(Q712,30)+IF(S712="DUE",15,IF(S712="Next 3 Days",8,0))),0))</f>
        <v/>
      </c>
      <c r="AB712" s="425">
        <f>IF(AND(AC712="Active",OR(N712="Tier 1",N712="Tier 2"),OR(S712="DUE",S712="Next 3 Days")),"YES","")</f>
        <v/>
      </c>
      <c r="AC712" s="425">
        <f>IF(L712="Passed","Archived","Active")</f>
        <v/>
      </c>
    </row>
    <row r="713">
      <c r="A713" s="425" t="inlineStr">
        <is>
          <t>EXOS-0712</t>
        </is>
      </c>
      <c r="B713" s="425" t="inlineStr">
        <is>
          <t>John - Investor Contacts</t>
        </is>
      </c>
      <c r="C713" s="425" t="inlineStr">
        <is>
          <t>Financial Investor</t>
        </is>
      </c>
      <c r="D713" s="425" t="inlineStr">
        <is>
          <t>Silicon Catalyst</t>
        </is>
      </c>
      <c r="E713" s="425" t="inlineStr">
        <is>
          <t>Paul Pickering</t>
        </is>
      </c>
      <c r="F713" s="425" t="inlineStr"/>
      <c r="G713" s="111" t="inlineStr">
        <is>
          <t>paul@sicatalyst.com</t>
        </is>
      </c>
      <c r="H713" s="425" t="inlineStr"/>
      <c r="I713" s="425" t="inlineStr"/>
      <c r="J713" s="425" t="inlineStr"/>
      <c r="K713" s="426" t="inlineStr">
        <is>
          <t>John Quinn</t>
        </is>
      </c>
      <c r="L713" s="426" t="inlineStr">
        <is>
          <t>Follow Up</t>
        </is>
      </c>
      <c r="M713" s="425" t="inlineStr">
        <is>
          <t>Space / Defense / Aerospace / Advanced Manufacturing</t>
        </is>
      </c>
      <c r="N713" s="426" t="inlineStr">
        <is>
          <t>Tier 2</t>
        </is>
      </c>
      <c r="O713" s="441" t="n">
        <v>45993</v>
      </c>
      <c r="P713" s="441" t="n">
        <v>46036</v>
      </c>
      <c r="Q713" s="425">
        <f>IF(P713="","",TODAY()-P713)</f>
        <v/>
      </c>
      <c r="R713" s="441">
        <f>IF(OR(L713="Passed",Z713=""),"",P713+Z713)</f>
        <v/>
      </c>
      <c r="S713" s="425">
        <f>IF(OR(R713="",L713="Passed"),"",IF(R713&lt;=TODAY(),"DUE",IF(R713&lt;=TODAY()+3,"Next 3 Days","Later")))</f>
        <v/>
      </c>
      <c r="T713" s="425" t="inlineStr"/>
      <c r="U713" s="426" t="inlineStr">
        <is>
          <t>linkedin.com/in/paul-pickering-48a46b</t>
        </is>
      </c>
      <c r="V713" s="426" t="inlineStr"/>
      <c r="W713" s="428" t="inlineStr">
        <is>
          <t xml:space="preserve"> | not a fit | </t>
        </is>
      </c>
      <c r="X713" s="425" t="inlineStr">
        <is>
          <t>John - Investor Contacts!701</t>
        </is>
      </c>
      <c r="Y713" s="426" t="inlineStr">
        <is>
          <t>Send next follow-up with traction + CTA</t>
        </is>
      </c>
      <c r="Z713" s="425" t="n">
        <v>7</v>
      </c>
      <c r="AA713" s="425">
        <f>IF(AC713="Archived",0,ROUND((IF(N713="Tier 1",35,IF(N713="Tier 2",20,8))+IF(C713="Financial Investor",15,IF(C713="Intermediary / Banker",12,8))+IF(L713="Term Sheet / Proposal",25,IF(L713="Engaged",20,IF(L713="Meeting Requested",18,IF(L713="Meeting Held",14,IF(L713="Follow Up",10,5)))))+MIN(Q713,30)+IF(S713="DUE",15,IF(S713="Next 3 Days",8,0))),0))</f>
        <v/>
      </c>
      <c r="AB713" s="425">
        <f>IF(AND(AC713="Active",OR(N713="Tier 1",N713="Tier 2"),OR(S713="DUE",S713="Next 3 Days")),"YES","")</f>
        <v/>
      </c>
      <c r="AC713" s="425">
        <f>IF(L713="Passed","Archived","Active")</f>
        <v/>
      </c>
    </row>
    <row r="714">
      <c r="A714" s="425" t="inlineStr">
        <is>
          <t>EXOS-0713</t>
        </is>
      </c>
      <c r="B714" s="425" t="inlineStr">
        <is>
          <t>John - Investor Contacts</t>
        </is>
      </c>
      <c r="C714" s="425" t="inlineStr">
        <is>
          <t>Financial Investor</t>
        </is>
      </c>
      <c r="D714" s="425" t="inlineStr">
        <is>
          <t>Silver Peak</t>
        </is>
      </c>
      <c r="E714" s="425" t="inlineStr">
        <is>
          <t>David Ford</t>
        </is>
      </c>
      <c r="F714" s="425" t="inlineStr"/>
      <c r="G714" s="111" t="inlineStr">
        <is>
          <t>df@silverpeakib.com</t>
        </is>
      </c>
      <c r="H714" s="425" t="inlineStr"/>
      <c r="I714" s="425" t="inlineStr"/>
      <c r="J714" s="425" t="inlineStr"/>
      <c r="K714" s="426" t="inlineStr">
        <is>
          <t>John Quinn</t>
        </is>
      </c>
      <c r="L714" s="426" t="inlineStr">
        <is>
          <t>Follow Up</t>
        </is>
      </c>
      <c r="M714" s="425" t="inlineStr">
        <is>
          <t>Space / Defense / Aerospace / Advanced Manufacturing</t>
        </is>
      </c>
      <c r="N714" s="426" t="inlineStr">
        <is>
          <t>Tier 2</t>
        </is>
      </c>
      <c r="O714" s="441" t="n">
        <v>45855</v>
      </c>
      <c r="P714" s="441" t="n">
        <v>45946</v>
      </c>
      <c r="Q714" s="425">
        <f>IF(P714="","",TODAY()-P714)</f>
        <v/>
      </c>
      <c r="R714" s="441">
        <f>IF(OR(L714="Passed",Z714=""),"",P714+Z714)</f>
        <v/>
      </c>
      <c r="S714" s="425">
        <f>IF(OR(R714="",L714="Passed"),"",IF(R714&lt;=TODAY(),"DUE",IF(R714&lt;=TODAY()+3,"Next 3 Days","Later")))</f>
        <v/>
      </c>
      <c r="T714" s="425" t="inlineStr"/>
      <c r="U714" s="426" t="inlineStr">
        <is>
          <t>refered by Andy@abuchholtz.com</t>
        </is>
      </c>
      <c r="V714" s="426" t="inlineStr"/>
      <c r="W714" s="428" t="inlineStr">
        <is>
          <t>too small right now, said to follow up later on - avg deal is $40 mil | 12/18/2025</t>
        </is>
      </c>
      <c r="X714" s="425" t="inlineStr">
        <is>
          <t>John - Investor Contacts!410 | John - Investor Contacts!750</t>
        </is>
      </c>
      <c r="Y714" s="426" t="inlineStr">
        <is>
          <t>Send next follow-up with traction + CTA</t>
        </is>
      </c>
      <c r="Z714" s="425" t="n">
        <v>7</v>
      </c>
      <c r="AA714" s="425">
        <f>IF(AC714="Archived",0,ROUND((IF(N714="Tier 1",35,IF(N714="Tier 2",20,8))+IF(C714="Financial Investor",15,IF(C714="Intermediary / Banker",12,8))+IF(L714="Term Sheet / Proposal",25,IF(L714="Engaged",20,IF(L714="Meeting Requested",18,IF(L714="Meeting Held",14,IF(L714="Follow Up",10,5)))))+MIN(Q714,30)+IF(S714="DUE",15,IF(S714="Next 3 Days",8,0))),0))</f>
        <v/>
      </c>
      <c r="AB714" s="425">
        <f>IF(AND(AC714="Active",OR(N714="Tier 1",N714="Tier 2"),OR(S714="DUE",S714="Next 3 Days")),"YES","")</f>
        <v/>
      </c>
      <c r="AC714" s="425">
        <f>IF(L714="Passed","Archived","Active")</f>
        <v/>
      </c>
    </row>
    <row r="715">
      <c r="A715" s="425" t="inlineStr">
        <is>
          <t>EXOS-0714</t>
        </is>
      </c>
      <c r="B715" s="425" t="inlineStr">
        <is>
          <t>John - Investor Contacts</t>
        </is>
      </c>
      <c r="C715" s="425" t="inlineStr">
        <is>
          <t>Financial Investor</t>
        </is>
      </c>
      <c r="D715" s="425" t="inlineStr">
        <is>
          <t>Silver Peak</t>
        </is>
      </c>
      <c r="E715" s="425" t="inlineStr">
        <is>
          <t>Nicholas Sealy</t>
        </is>
      </c>
      <c r="F715" s="425" t="inlineStr"/>
      <c r="G715" s="111" t="inlineStr">
        <is>
          <t>ns@silverpeakib.com</t>
        </is>
      </c>
      <c r="H715" s="425" t="inlineStr"/>
      <c r="I715" s="425" t="inlineStr"/>
      <c r="J715" s="425" t="inlineStr"/>
      <c r="K715" s="426" t="inlineStr">
        <is>
          <t>John Quinn</t>
        </is>
      </c>
      <c r="L715" s="426" t="inlineStr">
        <is>
          <t>Follow Up</t>
        </is>
      </c>
      <c r="M715" s="425" t="inlineStr">
        <is>
          <t>Space / Defense / Aerospace / Advanced Manufacturing</t>
        </is>
      </c>
      <c r="N715" s="426" t="inlineStr">
        <is>
          <t>Tier 2</t>
        </is>
      </c>
      <c r="O715" s="441" t="n">
        <v>45946</v>
      </c>
      <c r="P715" s="441" t="n">
        <v>45946</v>
      </c>
      <c r="Q715" s="425">
        <f>IF(P715="","",TODAY()-P715)</f>
        <v/>
      </c>
      <c r="R715" s="441">
        <f>IF(OR(L715="Passed",Z715=""),"",P715+Z715)</f>
        <v/>
      </c>
      <c r="S715" s="425">
        <f>IF(OR(R715="",L715="Passed"),"",IF(R715&lt;=TODAY(),"DUE",IF(R715&lt;=TODAY()+3,"Next 3 Days","Later")))</f>
        <v/>
      </c>
      <c r="T715" s="425" t="inlineStr"/>
      <c r="U715" s="426" t="inlineStr"/>
      <c r="V715" s="426" t="inlineStr"/>
      <c r="W715" s="428" t="inlineStr">
        <is>
          <t xml:space="preserve"> | 12/18/2025 | </t>
        </is>
      </c>
      <c r="X715" s="425" t="inlineStr">
        <is>
          <t>John - Investor Contacts!752</t>
        </is>
      </c>
      <c r="Y715" s="426" t="inlineStr">
        <is>
          <t>Send next follow-up with traction + CTA</t>
        </is>
      </c>
      <c r="Z715" s="425" t="n">
        <v>7</v>
      </c>
      <c r="AA715" s="425">
        <f>IF(AC715="Archived",0,ROUND((IF(N715="Tier 1",35,IF(N715="Tier 2",20,8))+IF(C715="Financial Investor",15,IF(C715="Intermediary / Banker",12,8))+IF(L715="Term Sheet / Proposal",25,IF(L715="Engaged",20,IF(L715="Meeting Requested",18,IF(L715="Meeting Held",14,IF(L715="Follow Up",10,5)))))+MIN(Q715,30)+IF(S715="DUE",15,IF(S715="Next 3 Days",8,0))),0))</f>
        <v/>
      </c>
      <c r="AB715" s="425">
        <f>IF(AND(AC715="Active",OR(N715="Tier 1",N715="Tier 2"),OR(S715="DUE",S715="Next 3 Days")),"YES","")</f>
        <v/>
      </c>
      <c r="AC715" s="425">
        <f>IF(L715="Passed","Archived","Active")</f>
        <v/>
      </c>
    </row>
    <row r="716">
      <c r="A716" s="425" t="inlineStr">
        <is>
          <t>EXOS-0715</t>
        </is>
      </c>
      <c r="B716" s="425" t="inlineStr">
        <is>
          <t>John - Investor Contacts</t>
        </is>
      </c>
      <c r="C716" s="425" t="inlineStr">
        <is>
          <t>Financial Investor</t>
        </is>
      </c>
      <c r="D716" s="425" t="inlineStr">
        <is>
          <t>Silver Peak</t>
        </is>
      </c>
      <c r="E716" s="425" t="inlineStr">
        <is>
          <t>William Edwards</t>
        </is>
      </c>
      <c r="F716" s="425" t="inlineStr"/>
      <c r="G716" s="111" t="inlineStr">
        <is>
          <t>we@silverpeakib.com</t>
        </is>
      </c>
      <c r="H716" s="425" t="inlineStr"/>
      <c r="I716" s="425" t="inlineStr"/>
      <c r="J716" s="425" t="inlineStr"/>
      <c r="K716" s="426" t="inlineStr">
        <is>
          <t>John Quinn</t>
        </is>
      </c>
      <c r="L716" s="426" t="inlineStr">
        <is>
          <t>Follow Up</t>
        </is>
      </c>
      <c r="M716" s="425" t="inlineStr">
        <is>
          <t>Space / Defense / Aerospace / Advanced Manufacturing</t>
        </is>
      </c>
      <c r="N716" s="426" t="inlineStr">
        <is>
          <t>Tier 2</t>
        </is>
      </c>
      <c r="O716" s="441" t="n">
        <v>45946</v>
      </c>
      <c r="P716" s="441" t="n">
        <v>45946</v>
      </c>
      <c r="Q716" s="425">
        <f>IF(P716="","",TODAY()-P716)</f>
        <v/>
      </c>
      <c r="R716" s="441">
        <f>IF(OR(L716="Passed",Z716=""),"",P716+Z716)</f>
        <v/>
      </c>
      <c r="S716" s="425">
        <f>IF(OR(R716="",L716="Passed"),"",IF(R716&lt;=TODAY(),"DUE",IF(R716&lt;=TODAY()+3,"Next 3 Days","Later")))</f>
        <v/>
      </c>
      <c r="T716" s="425" t="inlineStr"/>
      <c r="U716" s="426" t="inlineStr"/>
      <c r="V716" s="426" t="inlineStr"/>
      <c r="W716" s="428" t="inlineStr">
        <is>
          <t xml:space="preserve"> | 12/30/2025 | </t>
        </is>
      </c>
      <c r="X716" s="425" t="inlineStr">
        <is>
          <t>John - Investor Contacts!751</t>
        </is>
      </c>
      <c r="Y716" s="426" t="inlineStr">
        <is>
          <t>Send next follow-up with traction + CTA</t>
        </is>
      </c>
      <c r="Z716" s="425" t="n">
        <v>7</v>
      </c>
      <c r="AA716" s="425">
        <f>IF(AC716="Archived",0,ROUND((IF(N716="Tier 1",35,IF(N716="Tier 2",20,8))+IF(C716="Financial Investor",15,IF(C716="Intermediary / Banker",12,8))+IF(L716="Term Sheet / Proposal",25,IF(L716="Engaged",20,IF(L716="Meeting Requested",18,IF(L716="Meeting Held",14,IF(L716="Follow Up",10,5)))))+MIN(Q716,30)+IF(S716="DUE",15,IF(S716="Next 3 Days",8,0))),0))</f>
        <v/>
      </c>
      <c r="AB716" s="425">
        <f>IF(AND(AC716="Active",OR(N716="Tier 1",N716="Tier 2"),OR(S716="DUE",S716="Next 3 Days")),"YES","")</f>
        <v/>
      </c>
      <c r="AC716" s="425">
        <f>IF(L716="Passed","Archived","Active")</f>
        <v/>
      </c>
    </row>
    <row r="717">
      <c r="A717" s="425" t="inlineStr">
        <is>
          <t>EXOS-0716</t>
        </is>
      </c>
      <c r="B717" s="425" t="inlineStr">
        <is>
          <t>John - Investor Contacts</t>
        </is>
      </c>
      <c r="C717" s="425" t="inlineStr">
        <is>
          <t>Financial Investor</t>
        </is>
      </c>
      <c r="D717" s="425" t="inlineStr">
        <is>
          <t>Silverton Partners</t>
        </is>
      </c>
      <c r="E717" s="425" t="inlineStr">
        <is>
          <t>Kip McClanahan</t>
        </is>
      </c>
      <c r="F717" s="425" t="inlineStr"/>
      <c r="G717" s="111" t="inlineStr">
        <is>
          <t>kmcclanahan@silvertonpartners.com</t>
        </is>
      </c>
      <c r="H717" s="425" t="inlineStr"/>
      <c r="I717" s="425" t="inlineStr"/>
      <c r="J717" s="111" t="inlineStr">
        <is>
          <t>https://www.linkedin.com/in/kipmcclanahan/</t>
        </is>
      </c>
      <c r="K717" s="426" t="inlineStr">
        <is>
          <t>John Quinn</t>
        </is>
      </c>
      <c r="L717" s="426" t="inlineStr">
        <is>
          <t>Follow Up</t>
        </is>
      </c>
      <c r="M717" s="425" t="inlineStr">
        <is>
          <t>Space / Defense / Aerospace / Advanced Manufacturing</t>
        </is>
      </c>
      <c r="N717" s="426" t="inlineStr">
        <is>
          <t>Tier 2</t>
        </is>
      </c>
      <c r="O717" s="441" t="n">
        <v>45804</v>
      </c>
      <c r="P717" s="441" t="n">
        <v>45841</v>
      </c>
      <c r="Q717" s="425">
        <f>IF(P717="","",TODAY()-P717)</f>
        <v/>
      </c>
      <c r="R717" s="441">
        <f>IF(OR(L717="Passed",Z717=""),"",P717+Z717)</f>
        <v/>
      </c>
      <c r="S717" s="425">
        <f>IF(OR(R717="",L717="Passed"),"",IF(R717&lt;=TODAY(),"DUE",IF(R717&lt;=TODAY()+3,"Next 3 Days","Later")))</f>
        <v/>
      </c>
      <c r="T717" s="425" t="inlineStr"/>
      <c r="U717" s="426" t="inlineStr">
        <is>
          <t>https://www.linkedin.com/in/kipmcclanahan/</t>
        </is>
      </c>
      <c r="V717" s="426" t="inlineStr"/>
      <c r="W717" s="428" t="inlineStr">
        <is>
          <t xml:space="preserve"> |  | </t>
        </is>
      </c>
      <c r="X717" s="425" t="inlineStr">
        <is>
          <t>John - Investor Contacts!84</t>
        </is>
      </c>
      <c r="Y717" s="426" t="inlineStr">
        <is>
          <t>Send next follow-up with traction + CTA</t>
        </is>
      </c>
      <c r="Z717" s="425" t="n">
        <v>7</v>
      </c>
      <c r="AA717" s="425">
        <f>IF(AC717="Archived",0,ROUND((IF(N717="Tier 1",35,IF(N717="Tier 2",20,8))+IF(C717="Financial Investor",15,IF(C717="Intermediary / Banker",12,8))+IF(L717="Term Sheet / Proposal",25,IF(L717="Engaged",20,IF(L717="Meeting Requested",18,IF(L717="Meeting Held",14,IF(L717="Follow Up",10,5)))))+MIN(Q717,30)+IF(S717="DUE",15,IF(S717="Next 3 Days",8,0))),0))</f>
        <v/>
      </c>
      <c r="AB717" s="425">
        <f>IF(AND(AC717="Active",OR(N717="Tier 1",N717="Tier 2"),OR(S717="DUE",S717="Next 3 Days")),"YES","")</f>
        <v/>
      </c>
      <c r="AC717" s="425">
        <f>IF(L717="Passed","Archived","Active")</f>
        <v/>
      </c>
    </row>
    <row r="718">
      <c r="A718" s="425" t="inlineStr">
        <is>
          <t>EXOS-0717</t>
        </is>
      </c>
      <c r="B718" s="425" t="inlineStr">
        <is>
          <t>John - Investor Contacts</t>
        </is>
      </c>
      <c r="C718" s="425" t="inlineStr">
        <is>
          <t>Financial Investor</t>
        </is>
      </c>
      <c r="D718" s="425" t="inlineStr">
        <is>
          <t>Silverton Partners</t>
        </is>
      </c>
      <c r="E718" s="425" t="inlineStr">
        <is>
          <t>Mike Dodd</t>
        </is>
      </c>
      <c r="F718" s="425" t="inlineStr"/>
      <c r="G718" s="111" t="inlineStr">
        <is>
          <t>mike@silvertonpartners.com</t>
        </is>
      </c>
      <c r="H718" s="425" t="inlineStr"/>
      <c r="I718" s="425" t="inlineStr"/>
      <c r="J718" s="111" t="inlineStr">
        <is>
          <t>https://www.linkedin.com/in/mikedodd1/</t>
        </is>
      </c>
      <c r="K718" s="426" t="inlineStr">
        <is>
          <t>John Quinn</t>
        </is>
      </c>
      <c r="L718" s="426" t="inlineStr">
        <is>
          <t>Follow Up</t>
        </is>
      </c>
      <c r="M718" s="425" t="inlineStr">
        <is>
          <t>Space / Defense / Aerospace / Advanced Manufacturing</t>
        </is>
      </c>
      <c r="N718" s="426" t="inlineStr">
        <is>
          <t>Tier 2</t>
        </is>
      </c>
      <c r="O718" s="441" t="n">
        <v>45804</v>
      </c>
      <c r="P718" s="441" t="n">
        <v>45841</v>
      </c>
      <c r="Q718" s="425">
        <f>IF(P718="","",TODAY()-P718)</f>
        <v/>
      </c>
      <c r="R718" s="441">
        <f>IF(OR(L718="Passed",Z718=""),"",P718+Z718)</f>
        <v/>
      </c>
      <c r="S718" s="425">
        <f>IF(OR(R718="",L718="Passed"),"",IF(R718&lt;=TODAY(),"DUE",IF(R718&lt;=TODAY()+3,"Next 3 Days","Later")))</f>
        <v/>
      </c>
      <c r="T718" s="425" t="inlineStr"/>
      <c r="U718" s="426" t="inlineStr">
        <is>
          <t>https://www.linkedin.com/in/mikedodd1/</t>
        </is>
      </c>
      <c r="V718" s="426" t="inlineStr"/>
      <c r="W718" s="428" t="inlineStr">
        <is>
          <t xml:space="preserve"> |  | </t>
        </is>
      </c>
      <c r="X718" s="425" t="inlineStr">
        <is>
          <t>John - Investor Contacts!83</t>
        </is>
      </c>
      <c r="Y718" s="426" t="inlineStr">
        <is>
          <t>Send next follow-up with traction + CTA</t>
        </is>
      </c>
      <c r="Z718" s="425" t="n">
        <v>7</v>
      </c>
      <c r="AA718" s="425">
        <f>IF(AC718="Archived",0,ROUND((IF(N718="Tier 1",35,IF(N718="Tier 2",20,8))+IF(C718="Financial Investor",15,IF(C718="Intermediary / Banker",12,8))+IF(L718="Term Sheet / Proposal",25,IF(L718="Engaged",20,IF(L718="Meeting Requested",18,IF(L718="Meeting Held",14,IF(L718="Follow Up",10,5)))))+MIN(Q718,30)+IF(S718="DUE",15,IF(S718="Next 3 Days",8,0))),0))</f>
        <v/>
      </c>
      <c r="AB718" s="425">
        <f>IF(AND(AC718="Active",OR(N718="Tier 1",N718="Tier 2"),OR(S718="DUE",S718="Next 3 Days")),"YES","")</f>
        <v/>
      </c>
      <c r="AC718" s="425">
        <f>IF(L718="Passed","Archived","Active")</f>
        <v/>
      </c>
    </row>
    <row r="719">
      <c r="A719" s="425" t="inlineStr">
        <is>
          <t>EXOS-0718</t>
        </is>
      </c>
      <c r="B719" s="425" t="inlineStr">
        <is>
          <t>John - Investor Contacts</t>
        </is>
      </c>
      <c r="C719" s="425" t="inlineStr">
        <is>
          <t>Financial Investor</t>
        </is>
      </c>
      <c r="D719" s="425" t="inlineStr">
        <is>
          <t>Silverton Partners</t>
        </is>
      </c>
      <c r="E719" s="425" t="inlineStr">
        <is>
          <t>Morgan Flager</t>
        </is>
      </c>
      <c r="F719" s="425" t="inlineStr"/>
      <c r="G719" s="111" t="inlineStr">
        <is>
          <t>mflager@silvertonpartners.com</t>
        </is>
      </c>
      <c r="H719" s="425" t="inlineStr"/>
      <c r="I719" s="425" t="inlineStr"/>
      <c r="J719" s="111" t="inlineStr">
        <is>
          <t>https://www.linkedin.com/in/mflager</t>
        </is>
      </c>
      <c r="K719" s="426" t="inlineStr">
        <is>
          <t>John Quinn</t>
        </is>
      </c>
      <c r="L719" s="426" t="inlineStr">
        <is>
          <t>Follow Up</t>
        </is>
      </c>
      <c r="M719" s="425" t="inlineStr">
        <is>
          <t>Space / Defense / Aerospace / Advanced Manufacturing</t>
        </is>
      </c>
      <c r="N719" s="426" t="inlineStr">
        <is>
          <t>Tier 2</t>
        </is>
      </c>
      <c r="O719" s="441" t="n">
        <v>45804</v>
      </c>
      <c r="P719" s="441" t="n">
        <v>45841</v>
      </c>
      <c r="Q719" s="425">
        <f>IF(P719="","",TODAY()-P719)</f>
        <v/>
      </c>
      <c r="R719" s="441">
        <f>IF(OR(L719="Passed",Z719=""),"",P719+Z719)</f>
        <v/>
      </c>
      <c r="S719" s="425">
        <f>IF(OR(R719="",L719="Passed"),"",IF(R719&lt;=TODAY(),"DUE",IF(R719&lt;=TODAY()+3,"Next 3 Days","Later")))</f>
        <v/>
      </c>
      <c r="T719" s="425" t="inlineStr"/>
      <c r="U719" s="426" t="inlineStr">
        <is>
          <t>https://www.linkedin.com/in/mflager</t>
        </is>
      </c>
      <c r="V719" s="426" t="inlineStr"/>
      <c r="W719" s="428" t="inlineStr">
        <is>
          <t xml:space="preserve"> |  | </t>
        </is>
      </c>
      <c r="X719" s="425" t="inlineStr">
        <is>
          <t>John - Investor Contacts!81</t>
        </is>
      </c>
      <c r="Y719" s="426" t="inlineStr">
        <is>
          <t>Send next follow-up with traction + CTA</t>
        </is>
      </c>
      <c r="Z719" s="425" t="n">
        <v>7</v>
      </c>
      <c r="AA719" s="425">
        <f>IF(AC719="Archived",0,ROUND((IF(N719="Tier 1",35,IF(N719="Tier 2",20,8))+IF(C719="Financial Investor",15,IF(C719="Intermediary / Banker",12,8))+IF(L719="Term Sheet / Proposal",25,IF(L719="Engaged",20,IF(L719="Meeting Requested",18,IF(L719="Meeting Held",14,IF(L719="Follow Up",10,5)))))+MIN(Q719,30)+IF(S719="DUE",15,IF(S719="Next 3 Days",8,0))),0))</f>
        <v/>
      </c>
      <c r="AB719" s="425">
        <f>IF(AND(AC719="Active",OR(N719="Tier 1",N719="Tier 2"),OR(S719="DUE",S719="Next 3 Days")),"YES","")</f>
        <v/>
      </c>
      <c r="AC719" s="425">
        <f>IF(L719="Passed","Archived","Active")</f>
        <v/>
      </c>
    </row>
    <row r="720">
      <c r="A720" s="425" t="inlineStr">
        <is>
          <t>EXOS-0719</t>
        </is>
      </c>
      <c r="B720" s="425" t="inlineStr">
        <is>
          <t>John - Investor Contacts</t>
        </is>
      </c>
      <c r="C720" s="425" t="inlineStr">
        <is>
          <t>Financial Investor</t>
        </is>
      </c>
      <c r="D720" s="425" t="inlineStr">
        <is>
          <t>Silverton Partners</t>
        </is>
      </c>
      <c r="E720" s="425" t="inlineStr">
        <is>
          <t>Roger Chen</t>
        </is>
      </c>
      <c r="F720" s="425" t="inlineStr"/>
      <c r="G720" s="111" t="inlineStr">
        <is>
          <t>roger@silvertonpartners.com</t>
        </is>
      </c>
      <c r="H720" s="425" t="inlineStr"/>
      <c r="I720" s="425" t="inlineStr"/>
      <c r="J720" s="111" t="inlineStr">
        <is>
          <t>https://www.linkedin.com/in/chenro/</t>
        </is>
      </c>
      <c r="K720" s="426" t="inlineStr">
        <is>
          <t>John Quinn</t>
        </is>
      </c>
      <c r="L720" s="426" t="inlineStr">
        <is>
          <t>Follow Up</t>
        </is>
      </c>
      <c r="M720" s="425" t="inlineStr">
        <is>
          <t>Space / Defense / Aerospace / Advanced Manufacturing</t>
        </is>
      </c>
      <c r="N720" s="426" t="inlineStr">
        <is>
          <t>Tier 2</t>
        </is>
      </c>
      <c r="O720" s="441" t="n">
        <v>45804</v>
      </c>
      <c r="P720" s="441" t="n">
        <v>45841</v>
      </c>
      <c r="Q720" s="425">
        <f>IF(P720="","",TODAY()-P720)</f>
        <v/>
      </c>
      <c r="R720" s="441">
        <f>IF(OR(L720="Passed",Z720=""),"",P720+Z720)</f>
        <v/>
      </c>
      <c r="S720" s="425">
        <f>IF(OR(R720="",L720="Passed"),"",IF(R720&lt;=TODAY(),"DUE",IF(R720&lt;=TODAY()+3,"Next 3 Days","Later")))</f>
        <v/>
      </c>
      <c r="T720" s="425" t="inlineStr"/>
      <c r="U720" s="426" t="inlineStr">
        <is>
          <t>https://www.linkedin.com/in/chenro/</t>
        </is>
      </c>
      <c r="V720" s="426" t="inlineStr"/>
      <c r="W720" s="428" t="inlineStr">
        <is>
          <t xml:space="preserve"> |  | </t>
        </is>
      </c>
      <c r="X720" s="425" t="inlineStr">
        <is>
          <t>John - Investor Contacts!82</t>
        </is>
      </c>
      <c r="Y720" s="426" t="inlineStr">
        <is>
          <t>Send next follow-up with traction + CTA</t>
        </is>
      </c>
      <c r="Z720" s="425" t="n">
        <v>7</v>
      </c>
      <c r="AA720" s="425">
        <f>IF(AC720="Archived",0,ROUND((IF(N720="Tier 1",35,IF(N720="Tier 2",20,8))+IF(C720="Financial Investor",15,IF(C720="Intermediary / Banker",12,8))+IF(L720="Term Sheet / Proposal",25,IF(L720="Engaged",20,IF(L720="Meeting Requested",18,IF(L720="Meeting Held",14,IF(L720="Follow Up",10,5)))))+MIN(Q720,30)+IF(S720="DUE",15,IF(S720="Next 3 Days",8,0))),0))</f>
        <v/>
      </c>
      <c r="AB720" s="425">
        <f>IF(AND(AC720="Active",OR(N720="Tier 1",N720="Tier 2"),OR(S720="DUE",S720="Next 3 Days")),"YES","")</f>
        <v/>
      </c>
      <c r="AC720" s="425">
        <f>IF(L720="Passed","Archived","Active")</f>
        <v/>
      </c>
    </row>
    <row r="721">
      <c r="A721" s="425" t="inlineStr">
        <is>
          <t>EXOS-0720</t>
        </is>
      </c>
      <c r="B721" s="425" t="inlineStr">
        <is>
          <t>John - Investor Contacts</t>
        </is>
      </c>
      <c r="C721" s="425" t="inlineStr">
        <is>
          <t>Financial Investor</t>
        </is>
      </c>
      <c r="D721" s="425" t="inlineStr">
        <is>
          <t>Sixty Degree Capital</t>
        </is>
      </c>
      <c r="E721" s="425" t="inlineStr">
        <is>
          <t>Brett Liu</t>
        </is>
      </c>
      <c r="F721" s="425" t="inlineStr"/>
      <c r="G721" s="111" t="inlineStr">
        <is>
          <t>brett.liu@sixtydegreecapital.com</t>
        </is>
      </c>
      <c r="H721" s="425" t="inlineStr"/>
      <c r="I721" s="425" t="inlineStr"/>
      <c r="J721" s="425" t="inlineStr"/>
      <c r="K721" s="426" t="inlineStr">
        <is>
          <t>John Quinn</t>
        </is>
      </c>
      <c r="L721" s="426" t="inlineStr">
        <is>
          <t>Follow Up</t>
        </is>
      </c>
      <c r="M721" s="425" t="inlineStr">
        <is>
          <t>Space / Defense / Aerospace / Advanced Manufacturing</t>
        </is>
      </c>
      <c r="N721" s="426" t="inlineStr">
        <is>
          <t>Tier 2</t>
        </is>
      </c>
      <c r="O721" s="441" t="n">
        <v>45878</v>
      </c>
      <c r="P721" s="441" t="n">
        <v>45890</v>
      </c>
      <c r="Q721" s="425">
        <f>IF(P721="","",TODAY()-P721)</f>
        <v/>
      </c>
      <c r="R721" s="441">
        <f>IF(OR(L721="Passed",Z721=""),"",P721+Z721)</f>
        <v/>
      </c>
      <c r="S721" s="425">
        <f>IF(OR(R721="",L721="Passed"),"",IF(R721&lt;=TODAY(),"DUE",IF(R721&lt;=TODAY()+3,"Next 3 Days","Later")))</f>
        <v/>
      </c>
      <c r="T721" s="425" t="inlineStr"/>
      <c r="U721" s="426" t="inlineStr"/>
      <c r="V721" s="426" t="inlineStr"/>
      <c r="W721" s="428" t="inlineStr">
        <is>
          <t xml:space="preserve"> | 12/29/2025 | </t>
        </is>
      </c>
      <c r="X721" s="425" t="inlineStr">
        <is>
          <t>John - Investor Contacts!458</t>
        </is>
      </c>
      <c r="Y721" s="426" t="inlineStr">
        <is>
          <t>Send next follow-up with traction + CTA</t>
        </is>
      </c>
      <c r="Z721" s="425" t="n">
        <v>7</v>
      </c>
      <c r="AA721" s="425">
        <f>IF(AC721="Archived",0,ROUND((IF(N721="Tier 1",35,IF(N721="Tier 2",20,8))+IF(C721="Financial Investor",15,IF(C721="Intermediary / Banker",12,8))+IF(L721="Term Sheet / Proposal",25,IF(L721="Engaged",20,IF(L721="Meeting Requested",18,IF(L721="Meeting Held",14,IF(L721="Follow Up",10,5)))))+MIN(Q721,30)+IF(S721="DUE",15,IF(S721="Next 3 Days",8,0))),0))</f>
        <v/>
      </c>
      <c r="AB721" s="425">
        <f>IF(AND(AC721="Active",OR(N721="Tier 1",N721="Tier 2"),OR(S721="DUE",S721="Next 3 Days")),"YES","")</f>
        <v/>
      </c>
      <c r="AC721" s="425">
        <f>IF(L721="Passed","Archived","Active")</f>
        <v/>
      </c>
    </row>
    <row r="722">
      <c r="A722" s="425" t="inlineStr">
        <is>
          <t>EXOS-0721</t>
        </is>
      </c>
      <c r="B722" s="425" t="inlineStr">
        <is>
          <t>John - Investor Contacts</t>
        </is>
      </c>
      <c r="C722" s="425" t="inlineStr">
        <is>
          <t>Financial Investor</t>
        </is>
      </c>
      <c r="D722" s="425" t="inlineStr">
        <is>
          <t>Sixty Degree Capital</t>
        </is>
      </c>
      <c r="E722" s="425" t="inlineStr">
        <is>
          <t>Cheryl Kuai</t>
        </is>
      </c>
      <c r="F722" s="425" t="inlineStr"/>
      <c r="G722" s="111" t="inlineStr">
        <is>
          <t>cheryl.kuai@sixtydegreecapital.com</t>
        </is>
      </c>
      <c r="H722" s="425" t="inlineStr"/>
      <c r="I722" s="425" t="inlineStr"/>
      <c r="J722" s="111" t="inlineStr">
        <is>
          <t>https://www.linkedin.com/in/cheryl-kuai-ph-d-cfa-72aa4297/</t>
        </is>
      </c>
      <c r="K722" s="426" t="inlineStr">
        <is>
          <t>John Quinn</t>
        </is>
      </c>
      <c r="L722" s="426" t="inlineStr">
        <is>
          <t>Follow Up</t>
        </is>
      </c>
      <c r="M722" s="425" t="inlineStr">
        <is>
          <t>Space / Defense / Aerospace / Advanced Manufacturing</t>
        </is>
      </c>
      <c r="N722" s="426" t="inlineStr">
        <is>
          <t>Tier 2</t>
        </is>
      </c>
      <c r="O722" s="441" t="n">
        <v>45878</v>
      </c>
      <c r="P722" s="441" t="n">
        <v>45890</v>
      </c>
      <c r="Q722" s="425">
        <f>IF(P722="","",TODAY()-P722)</f>
        <v/>
      </c>
      <c r="R722" s="441">
        <f>IF(OR(L722="Passed",Z722=""),"",P722+Z722)</f>
        <v/>
      </c>
      <c r="S722" s="425">
        <f>IF(OR(R722="",L722="Passed"),"",IF(R722&lt;=TODAY(),"DUE",IF(R722&lt;=TODAY()+3,"Next 3 Days","Later")))</f>
        <v/>
      </c>
      <c r="T722" s="425" t="inlineStr"/>
      <c r="U722" s="426" t="inlineStr">
        <is>
          <t>https://www.linkedin.com/in/cheryl-kuai-ph-d-cfa-72aa4297/</t>
        </is>
      </c>
      <c r="V722" s="426" t="inlineStr"/>
      <c r="W722" s="428" t="inlineStr">
        <is>
          <t xml:space="preserve"> | 12/29/2025 | </t>
        </is>
      </c>
      <c r="X722" s="425" t="inlineStr">
        <is>
          <t>John - Investor Contacts!462</t>
        </is>
      </c>
      <c r="Y722" s="426" t="inlineStr">
        <is>
          <t>Send next follow-up with traction + CTA</t>
        </is>
      </c>
      <c r="Z722" s="425" t="n">
        <v>7</v>
      </c>
      <c r="AA722" s="425">
        <f>IF(AC722="Archived",0,ROUND((IF(N722="Tier 1",35,IF(N722="Tier 2",20,8))+IF(C722="Financial Investor",15,IF(C722="Intermediary / Banker",12,8))+IF(L722="Term Sheet / Proposal",25,IF(L722="Engaged",20,IF(L722="Meeting Requested",18,IF(L722="Meeting Held",14,IF(L722="Follow Up",10,5)))))+MIN(Q722,30)+IF(S722="DUE",15,IF(S722="Next 3 Days",8,0))),0))</f>
        <v/>
      </c>
      <c r="AB722" s="425">
        <f>IF(AND(AC722="Active",OR(N722="Tier 1",N722="Tier 2"),OR(S722="DUE",S722="Next 3 Days")),"YES","")</f>
        <v/>
      </c>
      <c r="AC722" s="425">
        <f>IF(L722="Passed","Archived","Active")</f>
        <v/>
      </c>
    </row>
    <row r="723">
      <c r="A723" s="425" t="inlineStr">
        <is>
          <t>EXOS-0722</t>
        </is>
      </c>
      <c r="B723" s="425" t="inlineStr">
        <is>
          <t>John - Investor Contacts</t>
        </is>
      </c>
      <c r="C723" s="425" t="inlineStr">
        <is>
          <t>Financial Investor</t>
        </is>
      </c>
      <c r="D723" s="425" t="inlineStr">
        <is>
          <t>Sixty Degree Capital</t>
        </is>
      </c>
      <c r="E723" s="425" t="inlineStr">
        <is>
          <t>Jenny Lo</t>
        </is>
      </c>
      <c r="F723" s="425" t="inlineStr"/>
      <c r="G723" s="111" t="inlineStr">
        <is>
          <t>jenny.lo@sixtydegreecapital.com</t>
        </is>
      </c>
      <c r="H723" s="425" t="inlineStr"/>
      <c r="I723" s="425" t="inlineStr"/>
      <c r="J723" s="111" t="inlineStr">
        <is>
          <t>https://www.linkedin.com/in/chiao-ni-lo/</t>
        </is>
      </c>
      <c r="K723" s="426" t="inlineStr">
        <is>
          <t>John Quinn</t>
        </is>
      </c>
      <c r="L723" s="426" t="inlineStr">
        <is>
          <t>Follow Up</t>
        </is>
      </c>
      <c r="M723" s="425" t="inlineStr">
        <is>
          <t>Space / Defense / Aerospace / Advanced Manufacturing</t>
        </is>
      </c>
      <c r="N723" s="426" t="inlineStr">
        <is>
          <t>Tier 2</t>
        </is>
      </c>
      <c r="O723" s="441" t="n">
        <v>45878</v>
      </c>
      <c r="P723" s="441" t="n">
        <v>45890</v>
      </c>
      <c r="Q723" s="425">
        <f>IF(P723="","",TODAY()-P723)</f>
        <v/>
      </c>
      <c r="R723" s="441">
        <f>IF(OR(L723="Passed",Z723=""),"",P723+Z723)</f>
        <v/>
      </c>
      <c r="S723" s="425">
        <f>IF(OR(R723="",L723="Passed"),"",IF(R723&lt;=TODAY(),"DUE",IF(R723&lt;=TODAY()+3,"Next 3 Days","Later")))</f>
        <v/>
      </c>
      <c r="T723" s="425" t="inlineStr"/>
      <c r="U723" s="426" t="inlineStr">
        <is>
          <t>https://www.linkedin.com/in/chiao-ni-lo/</t>
        </is>
      </c>
      <c r="V723" s="426" t="inlineStr"/>
      <c r="W723" s="428" t="inlineStr">
        <is>
          <t xml:space="preserve"> | 12/29/2025 | </t>
        </is>
      </c>
      <c r="X723" s="425" t="inlineStr">
        <is>
          <t>John - Investor Contacts!460</t>
        </is>
      </c>
      <c r="Y723" s="426" t="inlineStr">
        <is>
          <t>Send next follow-up with traction + CTA</t>
        </is>
      </c>
      <c r="Z723" s="425" t="n">
        <v>7</v>
      </c>
      <c r="AA723" s="425">
        <f>IF(AC723="Archived",0,ROUND((IF(N723="Tier 1",35,IF(N723="Tier 2",20,8))+IF(C723="Financial Investor",15,IF(C723="Intermediary / Banker",12,8))+IF(L723="Term Sheet / Proposal",25,IF(L723="Engaged",20,IF(L723="Meeting Requested",18,IF(L723="Meeting Held",14,IF(L723="Follow Up",10,5)))))+MIN(Q723,30)+IF(S723="DUE",15,IF(S723="Next 3 Days",8,0))),0))</f>
        <v/>
      </c>
      <c r="AB723" s="425">
        <f>IF(AND(AC723="Active",OR(N723="Tier 1",N723="Tier 2"),OR(S723="DUE",S723="Next 3 Days")),"YES","")</f>
        <v/>
      </c>
      <c r="AC723" s="425">
        <f>IF(L723="Passed","Archived","Active")</f>
        <v/>
      </c>
    </row>
    <row r="724">
      <c r="A724" s="425" t="inlineStr">
        <is>
          <t>EXOS-0723</t>
        </is>
      </c>
      <c r="B724" s="425" t="inlineStr">
        <is>
          <t>John - Investor Contacts</t>
        </is>
      </c>
      <c r="C724" s="425" t="inlineStr">
        <is>
          <t>Financial Investor</t>
        </is>
      </c>
      <c r="D724" s="425" t="inlineStr">
        <is>
          <t>Sixty Degree Capital</t>
        </is>
      </c>
      <c r="E724" s="425" t="inlineStr">
        <is>
          <t>Robert Guo</t>
        </is>
      </c>
      <c r="F724" s="425" t="inlineStr"/>
      <c r="G724" s="111" t="inlineStr">
        <is>
          <t>robert.guo@sixtydegreecapital.com</t>
        </is>
      </c>
      <c r="H724" s="425" t="inlineStr"/>
      <c r="I724" s="425" t="inlineStr"/>
      <c r="J724" s="111" t="inlineStr">
        <is>
          <t>https://www.linkedin.com/in/robert-guo-6a7ba0193/</t>
        </is>
      </c>
      <c r="K724" s="426" t="inlineStr">
        <is>
          <t>John Quinn</t>
        </is>
      </c>
      <c r="L724" s="426" t="inlineStr">
        <is>
          <t>Follow Up</t>
        </is>
      </c>
      <c r="M724" s="425" t="inlineStr">
        <is>
          <t>Space / Defense / Aerospace / Advanced Manufacturing</t>
        </is>
      </c>
      <c r="N724" s="426" t="inlineStr">
        <is>
          <t>Tier 2</t>
        </is>
      </c>
      <c r="O724" s="441" t="n">
        <v>45878</v>
      </c>
      <c r="P724" s="441" t="n">
        <v>45890</v>
      </c>
      <c r="Q724" s="425">
        <f>IF(P724="","",TODAY()-P724)</f>
        <v/>
      </c>
      <c r="R724" s="441">
        <f>IF(OR(L724="Passed",Z724=""),"",P724+Z724)</f>
        <v/>
      </c>
      <c r="S724" s="425">
        <f>IF(OR(R724="",L724="Passed"),"",IF(R724&lt;=TODAY(),"DUE",IF(R724&lt;=TODAY()+3,"Next 3 Days","Later")))</f>
        <v/>
      </c>
      <c r="T724" s="425" t="inlineStr"/>
      <c r="U724" s="426" t="inlineStr">
        <is>
          <t>https://www.linkedin.com/in/robert-guo-6a7ba0193/</t>
        </is>
      </c>
      <c r="V724" s="426" t="inlineStr"/>
      <c r="W724" s="428" t="inlineStr">
        <is>
          <t xml:space="preserve"> | 12/29/2025 | </t>
        </is>
      </c>
      <c r="X724" s="425" t="inlineStr">
        <is>
          <t>John - Investor Contacts!459</t>
        </is>
      </c>
      <c r="Y724" s="426" t="inlineStr">
        <is>
          <t>Send next follow-up with traction + CTA</t>
        </is>
      </c>
      <c r="Z724" s="425" t="n">
        <v>7</v>
      </c>
      <c r="AA724" s="425">
        <f>IF(AC724="Archived",0,ROUND((IF(N724="Tier 1",35,IF(N724="Tier 2",20,8))+IF(C724="Financial Investor",15,IF(C724="Intermediary / Banker",12,8))+IF(L724="Term Sheet / Proposal",25,IF(L724="Engaged",20,IF(L724="Meeting Requested",18,IF(L724="Meeting Held",14,IF(L724="Follow Up",10,5)))))+MIN(Q724,30)+IF(S724="DUE",15,IF(S724="Next 3 Days",8,0))),0))</f>
        <v/>
      </c>
      <c r="AB724" s="425">
        <f>IF(AND(AC724="Active",OR(N724="Tier 1",N724="Tier 2"),OR(S724="DUE",S724="Next 3 Days")),"YES","")</f>
        <v/>
      </c>
      <c r="AC724" s="425">
        <f>IF(L724="Passed","Archived","Active")</f>
        <v/>
      </c>
    </row>
    <row r="725">
      <c r="A725" s="425" t="inlineStr">
        <is>
          <t>EXOS-0724</t>
        </is>
      </c>
      <c r="B725" s="425" t="inlineStr">
        <is>
          <t>John - Investor Contacts</t>
        </is>
      </c>
      <c r="C725" s="425" t="inlineStr">
        <is>
          <t>Financial Investor</t>
        </is>
      </c>
      <c r="D725" s="425" t="inlineStr">
        <is>
          <t>Sixty Degree Capital</t>
        </is>
      </c>
      <c r="E725" s="425" t="inlineStr">
        <is>
          <t>Robin Gao</t>
        </is>
      </c>
      <c r="F725" s="425" t="inlineStr"/>
      <c r="G725" s="111" t="inlineStr">
        <is>
          <t>robin.gao@sixtydegreecapital.com</t>
        </is>
      </c>
      <c r="H725" s="425" t="inlineStr"/>
      <c r="I725" s="425" t="inlineStr"/>
      <c r="J725" s="111" t="inlineStr">
        <is>
          <t>https://www.linkedin.com/in/robingaowenbo/</t>
        </is>
      </c>
      <c r="K725" s="426" t="inlineStr">
        <is>
          <t>John Quinn</t>
        </is>
      </c>
      <c r="L725" s="426" t="inlineStr">
        <is>
          <t>Follow Up</t>
        </is>
      </c>
      <c r="M725" s="425" t="inlineStr">
        <is>
          <t>Space / Defense / Aerospace / Advanced Manufacturing</t>
        </is>
      </c>
      <c r="N725" s="426" t="inlineStr">
        <is>
          <t>Tier 2</t>
        </is>
      </c>
      <c r="O725" s="441" t="n">
        <v>45878</v>
      </c>
      <c r="P725" s="441" t="n">
        <v>45890</v>
      </c>
      <c r="Q725" s="425">
        <f>IF(P725="","",TODAY()-P725)</f>
        <v/>
      </c>
      <c r="R725" s="441">
        <f>IF(OR(L725="Passed",Z725=""),"",P725+Z725)</f>
        <v/>
      </c>
      <c r="S725" s="425">
        <f>IF(OR(R725="",L725="Passed"),"",IF(R725&lt;=TODAY(),"DUE",IF(R725&lt;=TODAY()+3,"Next 3 Days","Later")))</f>
        <v/>
      </c>
      <c r="T725" s="425" t="inlineStr"/>
      <c r="U725" s="426" t="inlineStr">
        <is>
          <t>https://www.linkedin.com/in/robingaowenbo/</t>
        </is>
      </c>
      <c r="V725" s="426" t="inlineStr"/>
      <c r="W725" s="428" t="inlineStr">
        <is>
          <t xml:space="preserve"> | 12/29/2025 | </t>
        </is>
      </c>
      <c r="X725" s="425" t="inlineStr">
        <is>
          <t>John - Investor Contacts!461</t>
        </is>
      </c>
      <c r="Y725" s="426" t="inlineStr">
        <is>
          <t>Send next follow-up with traction + CTA</t>
        </is>
      </c>
      <c r="Z725" s="425" t="n">
        <v>7</v>
      </c>
      <c r="AA725" s="425">
        <f>IF(AC725="Archived",0,ROUND((IF(N725="Tier 1",35,IF(N725="Tier 2",20,8))+IF(C725="Financial Investor",15,IF(C725="Intermediary / Banker",12,8))+IF(L725="Term Sheet / Proposal",25,IF(L725="Engaged",20,IF(L725="Meeting Requested",18,IF(L725="Meeting Held",14,IF(L725="Follow Up",10,5)))))+MIN(Q725,30)+IF(S725="DUE",15,IF(S725="Next 3 Days",8,0))),0))</f>
        <v/>
      </c>
      <c r="AB725" s="425">
        <f>IF(AND(AC725="Active",OR(N725="Tier 1",N725="Tier 2"),OR(S725="DUE",S725="Next 3 Days")),"YES","")</f>
        <v/>
      </c>
      <c r="AC725" s="425">
        <f>IF(L725="Passed","Archived","Active")</f>
        <v/>
      </c>
    </row>
    <row r="726">
      <c r="A726" s="425" t="inlineStr">
        <is>
          <t>EXOS-0725</t>
        </is>
      </c>
      <c r="B726" s="425" t="inlineStr">
        <is>
          <t>John - Investor Contacts</t>
        </is>
      </c>
      <c r="C726" s="425" t="inlineStr">
        <is>
          <t>Financial Investor</t>
        </is>
      </c>
      <c r="D726" s="425" t="inlineStr">
        <is>
          <t>Snowpoint VC</t>
        </is>
      </c>
      <c r="E726" s="425" t="inlineStr">
        <is>
          <t>Alexander Creasey</t>
        </is>
      </c>
      <c r="F726" s="425" t="inlineStr"/>
      <c r="G726" s="111" t="inlineStr">
        <is>
          <t>alex@snowpoint.vc</t>
        </is>
      </c>
      <c r="H726" s="425" t="inlineStr"/>
      <c r="I726" s="425" t="inlineStr"/>
      <c r="J726" s="111" t="inlineStr">
        <is>
          <t>https://www.linkedin.com/in/alexander-creasey-90998436/</t>
        </is>
      </c>
      <c r="K726" s="426" t="inlineStr">
        <is>
          <t>John Quinn</t>
        </is>
      </c>
      <c r="L726" s="426" t="inlineStr">
        <is>
          <t>Follow Up</t>
        </is>
      </c>
      <c r="M726" s="425" t="inlineStr">
        <is>
          <t>Space / Defense / Aerospace / Advanced Manufacturing</t>
        </is>
      </c>
      <c r="N726" s="426" t="inlineStr">
        <is>
          <t>Tier 2</t>
        </is>
      </c>
      <c r="O726" s="441" t="n">
        <v>45903</v>
      </c>
      <c r="P726" s="441" t="n">
        <v>45903</v>
      </c>
      <c r="Q726" s="425">
        <f>IF(P726="","",TODAY()-P726)</f>
        <v/>
      </c>
      <c r="R726" s="441">
        <f>IF(OR(L726="Passed",Z726=""),"",P726+Z726)</f>
        <v/>
      </c>
      <c r="S726" s="425">
        <f>IF(OR(R726="",L726="Passed"),"",IF(R726&lt;=TODAY(),"DUE",IF(R726&lt;=TODAY()+3,"Next 3 Days","Later")))</f>
        <v/>
      </c>
      <c r="T726" s="425" t="inlineStr"/>
      <c r="U726" s="426" t="inlineStr">
        <is>
          <t>https://www.linkedin.com/in/alexander-creasey-90998436/</t>
        </is>
      </c>
      <c r="V726" s="426" t="inlineStr"/>
      <c r="W726" s="428" t="inlineStr">
        <is>
          <t xml:space="preserve"> | most recent follow up, 12/5 | </t>
        </is>
      </c>
      <c r="X726" s="425" t="inlineStr">
        <is>
          <t>John - Investor Contacts!611</t>
        </is>
      </c>
      <c r="Y726" s="426" t="inlineStr">
        <is>
          <t>Send next follow-up with traction + CTA</t>
        </is>
      </c>
      <c r="Z726" s="425" t="n">
        <v>7</v>
      </c>
      <c r="AA726" s="425">
        <f>IF(AC726="Archived",0,ROUND((IF(N726="Tier 1",35,IF(N726="Tier 2",20,8))+IF(C726="Financial Investor",15,IF(C726="Intermediary / Banker",12,8))+IF(L726="Term Sheet / Proposal",25,IF(L726="Engaged",20,IF(L726="Meeting Requested",18,IF(L726="Meeting Held",14,IF(L726="Follow Up",10,5)))))+MIN(Q726,30)+IF(S726="DUE",15,IF(S726="Next 3 Days",8,0))),0))</f>
        <v/>
      </c>
      <c r="AB726" s="425">
        <f>IF(AND(AC726="Active",OR(N726="Tier 1",N726="Tier 2"),OR(S726="DUE",S726="Next 3 Days")),"YES","")</f>
        <v/>
      </c>
      <c r="AC726" s="425">
        <f>IF(L726="Passed","Archived","Active")</f>
        <v/>
      </c>
    </row>
    <row r="727">
      <c r="A727" s="425" t="inlineStr">
        <is>
          <t>EXOS-0726</t>
        </is>
      </c>
      <c r="B727" s="425" t="inlineStr">
        <is>
          <t>John - Investor Contacts</t>
        </is>
      </c>
      <c r="C727" s="425" t="inlineStr">
        <is>
          <t>Financial Investor</t>
        </is>
      </c>
      <c r="D727" s="425" t="inlineStr">
        <is>
          <t>Snowpoint VC</t>
        </is>
      </c>
      <c r="E727" s="425" t="inlineStr">
        <is>
          <t>Doug Philippone</t>
        </is>
      </c>
      <c r="F727" s="425" t="inlineStr"/>
      <c r="G727" s="111" t="inlineStr">
        <is>
          <t>doug@snowpoint.vc</t>
        </is>
      </c>
      <c r="H727" s="425" t="inlineStr"/>
      <c r="I727" s="425" t="inlineStr"/>
      <c r="J727" s="111" t="inlineStr">
        <is>
          <t>https://www.linkedin.com/in/dougphilippone/</t>
        </is>
      </c>
      <c r="K727" s="426" t="inlineStr">
        <is>
          <t>John Quinn</t>
        </is>
      </c>
      <c r="L727" s="426" t="inlineStr">
        <is>
          <t>Follow Up</t>
        </is>
      </c>
      <c r="M727" s="425" t="inlineStr">
        <is>
          <t>Space / Defense / Aerospace / Advanced Manufacturing</t>
        </is>
      </c>
      <c r="N727" s="426" t="inlineStr">
        <is>
          <t>Tier 2</t>
        </is>
      </c>
      <c r="O727" s="441" t="n">
        <v>45903</v>
      </c>
      <c r="P727" s="441" t="n">
        <v>45972</v>
      </c>
      <c r="Q727" s="425">
        <f>IF(P727="","",TODAY()-P727)</f>
        <v/>
      </c>
      <c r="R727" s="441">
        <f>IF(OR(L727="Passed",Z727=""),"",P727+Z727)</f>
        <v/>
      </c>
      <c r="S727" s="425">
        <f>IF(OR(R727="",L727="Passed"),"",IF(R727&lt;=TODAY(),"DUE",IF(R727&lt;=TODAY()+3,"Next 3 Days","Later")))</f>
        <v/>
      </c>
      <c r="T727" s="425" t="inlineStr"/>
      <c r="U727" s="426" t="inlineStr">
        <is>
          <t>https://www.linkedin.com/in/dougphilippone/</t>
        </is>
      </c>
      <c r="V727" s="426" t="inlineStr"/>
      <c r="W727" s="428" t="inlineStr">
        <is>
          <t xml:space="preserve"> | 12/05/2025 | </t>
        </is>
      </c>
      <c r="X727" s="425" t="inlineStr">
        <is>
          <t>John - Investor Contacts!612</t>
        </is>
      </c>
      <c r="Y727" s="426" t="inlineStr">
        <is>
          <t>Send next follow-up with traction + CTA</t>
        </is>
      </c>
      <c r="Z727" s="425" t="n">
        <v>7</v>
      </c>
      <c r="AA727" s="425">
        <f>IF(AC727="Archived",0,ROUND((IF(N727="Tier 1",35,IF(N727="Tier 2",20,8))+IF(C727="Financial Investor",15,IF(C727="Intermediary / Banker",12,8))+IF(L727="Term Sheet / Proposal",25,IF(L727="Engaged",20,IF(L727="Meeting Requested",18,IF(L727="Meeting Held",14,IF(L727="Follow Up",10,5)))))+MIN(Q727,30)+IF(S727="DUE",15,IF(S727="Next 3 Days",8,0))),0))</f>
        <v/>
      </c>
      <c r="AB727" s="425">
        <f>IF(AND(AC727="Active",OR(N727="Tier 1",N727="Tier 2"),OR(S727="DUE",S727="Next 3 Days")),"YES","")</f>
        <v/>
      </c>
      <c r="AC727" s="425">
        <f>IF(L727="Passed","Archived","Active")</f>
        <v/>
      </c>
    </row>
    <row r="728">
      <c r="A728" s="425" t="inlineStr">
        <is>
          <t>EXOS-0727</t>
        </is>
      </c>
      <c r="B728" s="425" t="inlineStr">
        <is>
          <t>John - Investor Contacts</t>
        </is>
      </c>
      <c r="C728" s="425" t="inlineStr">
        <is>
          <t>Financial Investor</t>
        </is>
      </c>
      <c r="D728" s="425" t="inlineStr">
        <is>
          <t>Snowpoint Ventures</t>
        </is>
      </c>
      <c r="E728" s="425" t="inlineStr">
        <is>
          <t>Kevin Higgins - Kipton Intro</t>
        </is>
      </c>
      <c r="F728" s="425" t="inlineStr"/>
      <c r="G728" s="111" t="inlineStr">
        <is>
          <t>kevin@snowpoint.vc</t>
        </is>
      </c>
      <c r="H728" s="425" t="inlineStr"/>
      <c r="I728" s="425" t="inlineStr"/>
      <c r="J728" s="111" t="inlineStr">
        <is>
          <t>https://www.linkedin.com/in/kevin-higgins-a981667/</t>
        </is>
      </c>
      <c r="K728" s="426" t="inlineStr">
        <is>
          <t>John Quinn</t>
        </is>
      </c>
      <c r="L728" s="426" t="inlineStr">
        <is>
          <t>Follow Up</t>
        </is>
      </c>
      <c r="M728" s="425" t="inlineStr">
        <is>
          <t>Space / Defense / Aerospace / Advanced Manufacturing</t>
        </is>
      </c>
      <c r="N728" s="426" t="inlineStr">
        <is>
          <t>Tier 2</t>
        </is>
      </c>
      <c r="O728" s="441" t="n">
        <v>45835</v>
      </c>
      <c r="P728" s="441" t="n">
        <v>45848</v>
      </c>
      <c r="Q728" s="425">
        <f>IF(P728="","",TODAY()-P728)</f>
        <v/>
      </c>
      <c r="R728" s="441">
        <f>IF(OR(L728="Passed",Z728=""),"",P728+Z728)</f>
        <v/>
      </c>
      <c r="S728" s="425">
        <f>IF(OR(R728="",L728="Passed"),"",IF(R728&lt;=TODAY(),"DUE",IF(R728&lt;=TODAY()+3,"Next 3 Days","Later")))</f>
        <v/>
      </c>
      <c r="T728" s="425" t="inlineStr"/>
      <c r="U728" s="426" t="inlineStr">
        <is>
          <t>https://www.linkedin.com/in/kevin-higgins-a981667/</t>
        </is>
      </c>
      <c r="V728" s="426" t="inlineStr"/>
      <c r="W728" s="428" t="inlineStr">
        <is>
          <t xml:space="preserve"> | outside scope | </t>
        </is>
      </c>
      <c r="X728" s="425" t="inlineStr">
        <is>
          <t>John - Investor Contacts!269</t>
        </is>
      </c>
      <c r="Y728" s="426" t="inlineStr">
        <is>
          <t>Send next follow-up with traction + CTA</t>
        </is>
      </c>
      <c r="Z728" s="425" t="n">
        <v>7</v>
      </c>
      <c r="AA728" s="425">
        <f>IF(AC728="Archived",0,ROUND((IF(N728="Tier 1",35,IF(N728="Tier 2",20,8))+IF(C728="Financial Investor",15,IF(C728="Intermediary / Banker",12,8))+IF(L728="Term Sheet / Proposal",25,IF(L728="Engaged",20,IF(L728="Meeting Requested",18,IF(L728="Meeting Held",14,IF(L728="Follow Up",10,5)))))+MIN(Q728,30)+IF(S728="DUE",15,IF(S728="Next 3 Days",8,0))),0))</f>
        <v/>
      </c>
      <c r="AB728" s="425">
        <f>IF(AND(AC728="Active",OR(N728="Tier 1",N728="Tier 2"),OR(S728="DUE",S728="Next 3 Days")),"YES","")</f>
        <v/>
      </c>
      <c r="AC728" s="425">
        <f>IF(L728="Passed","Archived","Active")</f>
        <v/>
      </c>
    </row>
    <row r="729">
      <c r="A729" s="425" t="inlineStr">
        <is>
          <t>EXOS-0728</t>
        </is>
      </c>
      <c r="B729" s="425" t="inlineStr">
        <is>
          <t>John - Investor Contacts</t>
        </is>
      </c>
      <c r="C729" s="425" t="inlineStr">
        <is>
          <t>Financial Investor</t>
        </is>
      </c>
      <c r="D729" s="425" t="inlineStr">
        <is>
          <t>Snowpoint Ventures</t>
        </is>
      </c>
      <c r="E729" s="425" t="inlineStr">
        <is>
          <t>Lillie Belle (Viebranz) Renner</t>
        </is>
      </c>
      <c r="F729" s="425" t="inlineStr"/>
      <c r="G729" s="111" t="inlineStr">
        <is>
          <t>lilliebelle@snowpoint.vc</t>
        </is>
      </c>
      <c r="H729" s="425" t="inlineStr"/>
      <c r="I729" s="425" t="inlineStr"/>
      <c r="J729" s="111" t="inlineStr">
        <is>
          <t>https://www.linkedin.com/in/lbviebranz/</t>
        </is>
      </c>
      <c r="K729" s="426" t="inlineStr">
        <is>
          <t>John Quinn</t>
        </is>
      </c>
      <c r="L729" s="426" t="inlineStr">
        <is>
          <t>Follow Up</t>
        </is>
      </c>
      <c r="M729" s="425" t="inlineStr">
        <is>
          <t>Space / Defense / Aerospace / Advanced Manufacturing</t>
        </is>
      </c>
      <c r="N729" s="426" t="inlineStr">
        <is>
          <t>Tier 2</t>
        </is>
      </c>
      <c r="O729" s="441" t="n">
        <v>45814</v>
      </c>
      <c r="P729" s="441" t="n">
        <v>45841</v>
      </c>
      <c r="Q729" s="425">
        <f>IF(P729="","",TODAY()-P729)</f>
        <v/>
      </c>
      <c r="R729" s="441">
        <f>IF(OR(L729="Passed",Z729=""),"",P729+Z729)</f>
        <v/>
      </c>
      <c r="S729" s="425">
        <f>IF(OR(R729="",L729="Passed"),"",IF(R729&lt;=TODAY(),"DUE",IF(R729&lt;=TODAY()+3,"Next 3 Days","Later")))</f>
        <v/>
      </c>
      <c r="T729" s="425" t="inlineStr"/>
      <c r="U729" s="426" t="inlineStr">
        <is>
          <t>https://www.linkedin.com/in/lbviebranz/</t>
        </is>
      </c>
      <c r="V729" s="426" t="inlineStr"/>
      <c r="W729" s="428" t="inlineStr">
        <is>
          <t xml:space="preserve">out until after labor day on maternity leave |  | </t>
        </is>
      </c>
      <c r="X729" s="425" t="inlineStr">
        <is>
          <t>John - Investor Contacts!142</t>
        </is>
      </c>
      <c r="Y729" s="426" t="inlineStr">
        <is>
          <t>Send next follow-up with traction + CTA</t>
        </is>
      </c>
      <c r="Z729" s="425" t="n">
        <v>7</v>
      </c>
      <c r="AA729" s="425">
        <f>IF(AC729="Archived",0,ROUND((IF(N729="Tier 1",35,IF(N729="Tier 2",20,8))+IF(C729="Financial Investor",15,IF(C729="Intermediary / Banker",12,8))+IF(L729="Term Sheet / Proposal",25,IF(L729="Engaged",20,IF(L729="Meeting Requested",18,IF(L729="Meeting Held",14,IF(L729="Follow Up",10,5)))))+MIN(Q729,30)+IF(S729="DUE",15,IF(S729="Next 3 Days",8,0))),0))</f>
        <v/>
      </c>
      <c r="AB729" s="425">
        <f>IF(AND(AC729="Active",OR(N729="Tier 1",N729="Tier 2"),OR(S729="DUE",S729="Next 3 Days")),"YES","")</f>
        <v/>
      </c>
      <c r="AC729" s="425">
        <f>IF(L729="Passed","Archived","Active")</f>
        <v/>
      </c>
    </row>
    <row r="730">
      <c r="A730" s="425" t="inlineStr">
        <is>
          <t>EXOS-0729</t>
        </is>
      </c>
      <c r="B730" s="425" t="inlineStr">
        <is>
          <t>John - Investor Contacts</t>
        </is>
      </c>
      <c r="C730" s="425" t="inlineStr">
        <is>
          <t>Financial Investor</t>
        </is>
      </c>
      <c r="D730" s="425" t="inlineStr">
        <is>
          <t>Softeq</t>
        </is>
      </c>
      <c r="E730" s="425" t="inlineStr">
        <is>
          <t>Albert Esser</t>
        </is>
      </c>
      <c r="F730" s="425" t="inlineStr"/>
      <c r="G730" s="111" t="inlineStr">
        <is>
          <t>albert.esser@softeq.com</t>
        </is>
      </c>
      <c r="H730" s="425" t="inlineStr"/>
      <c r="I730" s="425" t="inlineStr"/>
      <c r="J730" s="425" t="inlineStr"/>
      <c r="K730" s="426" t="inlineStr">
        <is>
          <t>John Quinn</t>
        </is>
      </c>
      <c r="L730" s="426" t="inlineStr">
        <is>
          <t>Follow Up</t>
        </is>
      </c>
      <c r="M730" s="425" t="inlineStr">
        <is>
          <t>Space / Defense / Aerospace / Advanced Manufacturing</t>
        </is>
      </c>
      <c r="N730" s="426" t="inlineStr">
        <is>
          <t>Tier 2</t>
        </is>
      </c>
      <c r="O730" s="441" t="n">
        <v>45821</v>
      </c>
      <c r="P730" s="441" t="n">
        <v>45841</v>
      </c>
      <c r="Q730" s="425">
        <f>IF(P730="","",TODAY()-P730)</f>
        <v/>
      </c>
      <c r="R730" s="441">
        <f>IF(OR(L730="Passed",Z730=""),"",P730+Z730)</f>
        <v/>
      </c>
      <c r="S730" s="425">
        <f>IF(OR(R730="",L730="Passed"),"",IF(R730&lt;=TODAY(),"DUE",IF(R730&lt;=TODAY()+3,"Next 3 Days","Later")))</f>
        <v/>
      </c>
      <c r="T730" s="425" t="inlineStr"/>
      <c r="U730" s="426" t="inlineStr"/>
      <c r="V730" s="426" t="inlineStr"/>
      <c r="W730" s="428" t="inlineStr">
        <is>
          <t xml:space="preserve"> |  | </t>
        </is>
      </c>
      <c r="X730" s="425" t="inlineStr">
        <is>
          <t>John - Investor Contacts!105</t>
        </is>
      </c>
      <c r="Y730" s="426" t="inlineStr">
        <is>
          <t>Send next follow-up with traction + CTA</t>
        </is>
      </c>
      <c r="Z730" s="425" t="n">
        <v>7</v>
      </c>
      <c r="AA730" s="425">
        <f>IF(AC730="Archived",0,ROUND((IF(N730="Tier 1",35,IF(N730="Tier 2",20,8))+IF(C730="Financial Investor",15,IF(C730="Intermediary / Banker",12,8))+IF(L730="Term Sheet / Proposal",25,IF(L730="Engaged",20,IF(L730="Meeting Requested",18,IF(L730="Meeting Held",14,IF(L730="Follow Up",10,5)))))+MIN(Q730,30)+IF(S730="DUE",15,IF(S730="Next 3 Days",8,0))),0))</f>
        <v/>
      </c>
      <c r="AB730" s="425">
        <f>IF(AND(AC730="Active",OR(N730="Tier 1",N730="Tier 2"),OR(S730="DUE",S730="Next 3 Days")),"YES","")</f>
        <v/>
      </c>
      <c r="AC730" s="425">
        <f>IF(L730="Passed","Archived","Active")</f>
        <v/>
      </c>
    </row>
    <row r="731">
      <c r="A731" s="425" t="inlineStr">
        <is>
          <t>EXOS-0730</t>
        </is>
      </c>
      <c r="B731" s="425" t="inlineStr">
        <is>
          <t>John - Investor Contacts</t>
        </is>
      </c>
      <c r="C731" s="425" t="inlineStr">
        <is>
          <t>Financial Investor</t>
        </is>
      </c>
      <c r="D731" s="425" t="inlineStr">
        <is>
          <t>Softeq</t>
        </is>
      </c>
      <c r="E731" s="425" t="inlineStr">
        <is>
          <t>Chris Howard</t>
        </is>
      </c>
      <c r="F731" s="425" t="inlineStr"/>
      <c r="G731" s="111" t="inlineStr">
        <is>
          <t>chris.howard@softeq.com</t>
        </is>
      </c>
      <c r="H731" s="425" t="inlineStr"/>
      <c r="I731" s="425" t="inlineStr"/>
      <c r="J731" s="111" t="inlineStr">
        <is>
          <t>https://www.linkedin.com/in/techris/</t>
        </is>
      </c>
      <c r="K731" s="426" t="inlineStr">
        <is>
          <t>John Quinn</t>
        </is>
      </c>
      <c r="L731" s="426" t="inlineStr">
        <is>
          <t>Follow Up</t>
        </is>
      </c>
      <c r="M731" s="425" t="inlineStr">
        <is>
          <t>Space / Defense / Aerospace / Advanced Manufacturing</t>
        </is>
      </c>
      <c r="N731" s="426" t="inlineStr">
        <is>
          <t>Tier 2</t>
        </is>
      </c>
      <c r="O731" s="441" t="n">
        <v>45807</v>
      </c>
      <c r="P731" s="441" t="n">
        <v>45841</v>
      </c>
      <c r="Q731" s="425">
        <f>IF(P731="","",TODAY()-P731)</f>
        <v/>
      </c>
      <c r="R731" s="441">
        <f>IF(OR(L731="Passed",Z731=""),"",P731+Z731)</f>
        <v/>
      </c>
      <c r="S731" s="425">
        <f>IF(OR(R731="",L731="Passed"),"",IF(R731&lt;=TODAY(),"DUE",IF(R731&lt;=TODAY()+3,"Next 3 Days","Later")))</f>
        <v/>
      </c>
      <c r="T731" s="425" t="inlineStr"/>
      <c r="U731" s="426" t="inlineStr">
        <is>
          <t>https://www.linkedin.com/in/techris/</t>
        </is>
      </c>
      <c r="V731" s="426" t="inlineStr"/>
      <c r="W731" s="428" t="inlineStr">
        <is>
          <t xml:space="preserve"> | Softeq Application: https://www.softeq.com/contact | </t>
        </is>
      </c>
      <c r="X731" s="425" t="inlineStr">
        <is>
          <t>John - Investor Contacts!103</t>
        </is>
      </c>
      <c r="Y731" s="426" t="inlineStr">
        <is>
          <t>Send next follow-up with traction + CTA</t>
        </is>
      </c>
      <c r="Z731" s="425" t="n">
        <v>7</v>
      </c>
      <c r="AA731" s="425">
        <f>IF(AC731="Archived",0,ROUND((IF(N731="Tier 1",35,IF(N731="Tier 2",20,8))+IF(C731="Financial Investor",15,IF(C731="Intermediary / Banker",12,8))+IF(L731="Term Sheet / Proposal",25,IF(L731="Engaged",20,IF(L731="Meeting Requested",18,IF(L731="Meeting Held",14,IF(L731="Follow Up",10,5)))))+MIN(Q731,30)+IF(S731="DUE",15,IF(S731="Next 3 Days",8,0))),0))</f>
        <v/>
      </c>
      <c r="AB731" s="425">
        <f>IF(AND(AC731="Active",OR(N731="Tier 1",N731="Tier 2"),OR(S731="DUE",S731="Next 3 Days")),"YES","")</f>
        <v/>
      </c>
      <c r="AC731" s="425">
        <f>IF(L731="Passed","Archived","Active")</f>
        <v/>
      </c>
    </row>
    <row r="732">
      <c r="A732" s="425" t="inlineStr">
        <is>
          <t>EXOS-0731</t>
        </is>
      </c>
      <c r="B732" s="425" t="inlineStr">
        <is>
          <t>John - Investor Contacts</t>
        </is>
      </c>
      <c r="C732" s="425" t="inlineStr">
        <is>
          <t>Financial Investor</t>
        </is>
      </c>
      <c r="D732" s="425" t="inlineStr">
        <is>
          <t>Softeq</t>
        </is>
      </c>
      <c r="E732" s="425" t="inlineStr">
        <is>
          <t>Craig Ceccanti</t>
        </is>
      </c>
      <c r="F732" s="425" t="inlineStr"/>
      <c r="G732" s="111" t="inlineStr">
        <is>
          <t>craig.ceccanti@softeq.com</t>
        </is>
      </c>
      <c r="H732" s="425" t="inlineStr"/>
      <c r="I732" s="425" t="inlineStr"/>
      <c r="J732" s="111" t="inlineStr">
        <is>
          <t>https://www.linkedin.com/in/craigceccanti/</t>
        </is>
      </c>
      <c r="K732" s="426" t="inlineStr">
        <is>
          <t>John Quinn</t>
        </is>
      </c>
      <c r="L732" s="426" t="inlineStr">
        <is>
          <t>Follow Up</t>
        </is>
      </c>
      <c r="M732" s="425" t="inlineStr">
        <is>
          <t>Space / Defense / Aerospace / Advanced Manufacturing</t>
        </is>
      </c>
      <c r="N732" s="426" t="inlineStr">
        <is>
          <t>Tier 2</t>
        </is>
      </c>
      <c r="O732" s="441" t="n">
        <v>45807</v>
      </c>
      <c r="P732" s="441" t="n">
        <v>45841</v>
      </c>
      <c r="Q732" s="425">
        <f>IF(P732="","",TODAY()-P732)</f>
        <v/>
      </c>
      <c r="R732" s="441">
        <f>IF(OR(L732="Passed",Z732=""),"",P732+Z732)</f>
        <v/>
      </c>
      <c r="S732" s="425">
        <f>IF(OR(R732="",L732="Passed"),"",IF(R732&lt;=TODAY(),"DUE",IF(R732&lt;=TODAY()+3,"Next 3 Days","Later")))</f>
        <v/>
      </c>
      <c r="T732" s="425" t="inlineStr"/>
      <c r="U732" s="426" t="inlineStr">
        <is>
          <t>https://www.linkedin.com/in/craigceccanti/</t>
        </is>
      </c>
      <c r="V732" s="426" t="inlineStr"/>
      <c r="W732" s="428" t="inlineStr">
        <is>
          <t xml:space="preserve"> |  | </t>
        </is>
      </c>
      <c r="X732" s="425" t="inlineStr">
        <is>
          <t>John - Investor Contacts!104</t>
        </is>
      </c>
      <c r="Y732" s="426" t="inlineStr">
        <is>
          <t>Send next follow-up with traction + CTA</t>
        </is>
      </c>
      <c r="Z732" s="425" t="n">
        <v>7</v>
      </c>
      <c r="AA732" s="425">
        <f>IF(AC732="Archived",0,ROUND((IF(N732="Tier 1",35,IF(N732="Tier 2",20,8))+IF(C732="Financial Investor",15,IF(C732="Intermediary / Banker",12,8))+IF(L732="Term Sheet / Proposal",25,IF(L732="Engaged",20,IF(L732="Meeting Requested",18,IF(L732="Meeting Held",14,IF(L732="Follow Up",10,5)))))+MIN(Q732,30)+IF(S732="DUE",15,IF(S732="Next 3 Days",8,0))),0))</f>
        <v/>
      </c>
      <c r="AB732" s="425">
        <f>IF(AND(AC732="Active",OR(N732="Tier 1",N732="Tier 2"),OR(S732="DUE",S732="Next 3 Days")),"YES","")</f>
        <v/>
      </c>
      <c r="AC732" s="425">
        <f>IF(L732="Passed","Archived","Active")</f>
        <v/>
      </c>
    </row>
    <row r="733">
      <c r="A733" s="425" t="inlineStr">
        <is>
          <t>EXOS-0732</t>
        </is>
      </c>
      <c r="B733" s="425" t="inlineStr">
        <is>
          <t>John - Investor Contacts</t>
        </is>
      </c>
      <c r="C733" s="425" t="inlineStr">
        <is>
          <t>Financial Investor</t>
        </is>
      </c>
      <c r="D733" s="425" t="inlineStr">
        <is>
          <t>Softeq</t>
        </is>
      </c>
      <c r="E733" s="425" t="inlineStr">
        <is>
          <t>Edwin Lemus</t>
        </is>
      </c>
      <c r="F733" s="425" t="inlineStr"/>
      <c r="G733" s="111" t="inlineStr">
        <is>
          <t>edwin.lemus@softeq.com</t>
        </is>
      </c>
      <c r="H733" s="425" t="inlineStr"/>
      <c r="I733" s="425" t="inlineStr"/>
      <c r="J733" s="111" t="inlineStr">
        <is>
          <t>https://www.linkedin.com/in/edwin-lemus/</t>
        </is>
      </c>
      <c r="K733" s="426" t="inlineStr">
        <is>
          <t>John Quinn</t>
        </is>
      </c>
      <c r="L733" s="426" t="inlineStr">
        <is>
          <t>Follow Up</t>
        </is>
      </c>
      <c r="M733" s="425" t="inlineStr">
        <is>
          <t>Space / Defense / Aerospace / Advanced Manufacturing</t>
        </is>
      </c>
      <c r="N733" s="426" t="inlineStr">
        <is>
          <t>Tier 2</t>
        </is>
      </c>
      <c r="O733" s="441" t="n">
        <v>45807</v>
      </c>
      <c r="P733" s="441" t="n">
        <v>45841</v>
      </c>
      <c r="Q733" s="425">
        <f>IF(P733="","",TODAY()-P733)</f>
        <v/>
      </c>
      <c r="R733" s="441">
        <f>IF(OR(L733="Passed",Z733=""),"",P733+Z733)</f>
        <v/>
      </c>
      <c r="S733" s="425">
        <f>IF(OR(R733="",L733="Passed"),"",IF(R733&lt;=TODAY(),"DUE",IF(R733&lt;=TODAY()+3,"Next 3 Days","Later")))</f>
        <v/>
      </c>
      <c r="T733" s="425" t="inlineStr"/>
      <c r="U733" s="426" t="inlineStr">
        <is>
          <t>https://www.linkedin.com/in/edwin-lemus/</t>
        </is>
      </c>
      <c r="V733" s="426" t="inlineStr"/>
      <c r="W733" s="428" t="inlineStr">
        <is>
          <t xml:space="preserve"> |  | </t>
        </is>
      </c>
      <c r="X733" s="425" t="inlineStr">
        <is>
          <t>John - Investor Contacts!106</t>
        </is>
      </c>
      <c r="Y733" s="426" t="inlineStr">
        <is>
          <t>Send next follow-up with traction + CTA</t>
        </is>
      </c>
      <c r="Z733" s="425" t="n">
        <v>7</v>
      </c>
      <c r="AA733" s="425">
        <f>IF(AC733="Archived",0,ROUND((IF(N733="Tier 1",35,IF(N733="Tier 2",20,8))+IF(C733="Financial Investor",15,IF(C733="Intermediary / Banker",12,8))+IF(L733="Term Sheet / Proposal",25,IF(L733="Engaged",20,IF(L733="Meeting Requested",18,IF(L733="Meeting Held",14,IF(L733="Follow Up",10,5)))))+MIN(Q733,30)+IF(S733="DUE",15,IF(S733="Next 3 Days",8,0))),0))</f>
        <v/>
      </c>
      <c r="AB733" s="425">
        <f>IF(AND(AC733="Active",OR(N733="Tier 1",N733="Tier 2"),OR(S733="DUE",S733="Next 3 Days")),"YES","")</f>
        <v/>
      </c>
      <c r="AC733" s="425">
        <f>IF(L733="Passed","Archived","Active")</f>
        <v/>
      </c>
    </row>
    <row r="734">
      <c r="A734" s="425" t="inlineStr">
        <is>
          <t>EXOS-0733</t>
        </is>
      </c>
      <c r="B734" s="425" t="inlineStr">
        <is>
          <t>John - Investor Contacts</t>
        </is>
      </c>
      <c r="C734" s="425" t="inlineStr">
        <is>
          <t>Financial Investor</t>
        </is>
      </c>
      <c r="D734" s="425" t="inlineStr">
        <is>
          <t>Sorenson</t>
        </is>
      </c>
      <c r="E734" s="425" t="inlineStr">
        <is>
          <t>Fraser Bullock</t>
        </is>
      </c>
      <c r="F734" s="425" t="inlineStr"/>
      <c r="G734" s="111" t="inlineStr">
        <is>
          <t>fbullock@sorensoncap.com</t>
        </is>
      </c>
      <c r="H734" s="425" t="inlineStr"/>
      <c r="I734" s="425" t="inlineStr"/>
      <c r="J734" s="111" t="inlineStr">
        <is>
          <t>https://www.linkedin.com/in/fraser-bullock-7bb8194/</t>
        </is>
      </c>
      <c r="K734" s="426" t="inlineStr">
        <is>
          <t>John Quinn</t>
        </is>
      </c>
      <c r="L734" s="426" t="inlineStr">
        <is>
          <t>Follow Up</t>
        </is>
      </c>
      <c r="M734" s="425" t="inlineStr">
        <is>
          <t>Space / Defense / Aerospace / Advanced Manufacturing</t>
        </is>
      </c>
      <c r="N734" s="426" t="inlineStr">
        <is>
          <t>Tier 2</t>
        </is>
      </c>
      <c r="O734" s="441" t="n">
        <v>45968</v>
      </c>
      <c r="P734" s="441" t="n">
        <v>45986</v>
      </c>
      <c r="Q734" s="425">
        <f>IF(P734="","",TODAY()-P734)</f>
        <v/>
      </c>
      <c r="R734" s="441">
        <f>IF(OR(L734="Passed",Z734=""),"",P734+Z734)</f>
        <v/>
      </c>
      <c r="S734" s="425">
        <f>IF(OR(R734="",L734="Passed"),"",IF(R734&lt;=TODAY(),"DUE",IF(R734&lt;=TODAY()+3,"Next 3 Days","Later")))</f>
        <v/>
      </c>
      <c r="T734" s="425" t="inlineStr"/>
      <c r="U734" s="426" t="inlineStr">
        <is>
          <t>https://www.linkedin.com/in/fraser-bullock-7bb8194/</t>
        </is>
      </c>
      <c r="V734" s="426" t="inlineStr"/>
      <c r="W734" s="428" t="inlineStr">
        <is>
          <t xml:space="preserve"> | 01/14/2026 | </t>
        </is>
      </c>
      <c r="X734" s="425" t="inlineStr">
        <is>
          <t>John - Investor Contacts!857</t>
        </is>
      </c>
      <c r="Y734" s="426" t="inlineStr">
        <is>
          <t>Send next follow-up with traction + CTA</t>
        </is>
      </c>
      <c r="Z734" s="425" t="n">
        <v>7</v>
      </c>
      <c r="AA734" s="425">
        <f>IF(AC734="Archived",0,ROUND((IF(N734="Tier 1",35,IF(N734="Tier 2",20,8))+IF(C734="Financial Investor",15,IF(C734="Intermediary / Banker",12,8))+IF(L734="Term Sheet / Proposal",25,IF(L734="Engaged",20,IF(L734="Meeting Requested",18,IF(L734="Meeting Held",14,IF(L734="Follow Up",10,5)))))+MIN(Q734,30)+IF(S734="DUE",15,IF(S734="Next 3 Days",8,0))),0))</f>
        <v/>
      </c>
      <c r="AB734" s="425">
        <f>IF(AND(AC734="Active",OR(N734="Tier 1",N734="Tier 2"),OR(S734="DUE",S734="Next 3 Days")),"YES","")</f>
        <v/>
      </c>
      <c r="AC734" s="425">
        <f>IF(L734="Passed","Archived","Active")</f>
        <v/>
      </c>
    </row>
    <row r="735">
      <c r="A735" s="425" t="inlineStr">
        <is>
          <t>EXOS-0734</t>
        </is>
      </c>
      <c r="B735" s="425" t="inlineStr">
        <is>
          <t>John - Investor Contacts</t>
        </is>
      </c>
      <c r="C735" s="425" t="inlineStr">
        <is>
          <t>Financial Investor</t>
        </is>
      </c>
      <c r="D735" s="425" t="inlineStr">
        <is>
          <t>Sorenson</t>
        </is>
      </c>
      <c r="E735" s="425" t="inlineStr">
        <is>
          <t>Luke Sorenson</t>
        </is>
      </c>
      <c r="F735" s="425" t="inlineStr"/>
      <c r="G735" s="111" t="inlineStr">
        <is>
          <t>lsorenson@sorensoncap.com</t>
        </is>
      </c>
      <c r="H735" s="425" t="inlineStr"/>
      <c r="I735" s="425" t="inlineStr"/>
      <c r="J735" s="425" t="inlineStr"/>
      <c r="K735" s="426" t="inlineStr">
        <is>
          <t>John Quinn</t>
        </is>
      </c>
      <c r="L735" s="426" t="inlineStr">
        <is>
          <t>Follow Up</t>
        </is>
      </c>
      <c r="M735" s="425" t="inlineStr">
        <is>
          <t>Space / Defense / Aerospace / Advanced Manufacturing</t>
        </is>
      </c>
      <c r="N735" s="426" t="inlineStr">
        <is>
          <t>Tier 2</t>
        </is>
      </c>
      <c r="O735" s="441" t="n">
        <v>45968</v>
      </c>
      <c r="P735" s="441" t="n">
        <v>45986</v>
      </c>
      <c r="Q735" s="425">
        <f>IF(P735="","",TODAY()-P735)</f>
        <v/>
      </c>
      <c r="R735" s="441">
        <f>IF(OR(L735="Passed",Z735=""),"",P735+Z735)</f>
        <v/>
      </c>
      <c r="S735" s="425">
        <f>IF(OR(R735="",L735="Passed"),"",IF(R735&lt;=TODAY(),"DUE",IF(R735&lt;=TODAY()+3,"Next 3 Days","Later")))</f>
        <v/>
      </c>
      <c r="T735" s="425" t="inlineStr"/>
      <c r="U735" s="426" t="inlineStr">
        <is>
          <t>linkedin.com/in/lukesorenson</t>
        </is>
      </c>
      <c r="V735" s="426" t="inlineStr"/>
      <c r="W735" s="428" t="inlineStr">
        <is>
          <t xml:space="preserve"> | 01/14/2026 | </t>
        </is>
      </c>
      <c r="X735" s="425" t="inlineStr">
        <is>
          <t>John - Investor Contacts!856</t>
        </is>
      </c>
      <c r="Y735" s="426" t="inlineStr">
        <is>
          <t>Send next follow-up with traction + CTA</t>
        </is>
      </c>
      <c r="Z735" s="425" t="n">
        <v>7</v>
      </c>
      <c r="AA735" s="425">
        <f>IF(AC735="Archived",0,ROUND((IF(N735="Tier 1",35,IF(N735="Tier 2",20,8))+IF(C735="Financial Investor",15,IF(C735="Intermediary / Banker",12,8))+IF(L735="Term Sheet / Proposal",25,IF(L735="Engaged",20,IF(L735="Meeting Requested",18,IF(L735="Meeting Held",14,IF(L735="Follow Up",10,5)))))+MIN(Q735,30)+IF(S735="DUE",15,IF(S735="Next 3 Days",8,0))),0))</f>
        <v/>
      </c>
      <c r="AB735" s="425">
        <f>IF(AND(AC735="Active",OR(N735="Tier 1",N735="Tier 2"),OR(S735="DUE",S735="Next 3 Days")),"YES","")</f>
        <v/>
      </c>
      <c r="AC735" s="425">
        <f>IF(L735="Passed","Archived","Active")</f>
        <v/>
      </c>
    </row>
    <row r="736">
      <c r="A736" s="425" t="inlineStr">
        <is>
          <t>EXOS-0735</t>
        </is>
      </c>
      <c r="B736" s="425" t="inlineStr">
        <is>
          <t>John - Investor Contacts</t>
        </is>
      </c>
      <c r="C736" s="425" t="inlineStr">
        <is>
          <t>Financial Investor</t>
        </is>
      </c>
      <c r="D736" s="425" t="inlineStr">
        <is>
          <t>Sorenson Capital</t>
        </is>
      </c>
      <c r="E736" s="425" t="inlineStr">
        <is>
          <t>Brady Broadbent</t>
        </is>
      </c>
      <c r="F736" s="425" t="inlineStr"/>
      <c r="G736" s="111" t="inlineStr">
        <is>
          <t>bbroadbent@sorensoncap.com</t>
        </is>
      </c>
      <c r="H736" s="425" t="inlineStr"/>
      <c r="I736" s="425" t="inlineStr"/>
      <c r="J736" s="111" t="inlineStr">
        <is>
          <t>https://www.linkedin.com/in/brady-broadbent-554a7a1/</t>
        </is>
      </c>
      <c r="K736" s="426" t="inlineStr">
        <is>
          <t>John Quinn</t>
        </is>
      </c>
      <c r="L736" s="426" t="inlineStr">
        <is>
          <t>Follow Up</t>
        </is>
      </c>
      <c r="M736" s="425" t="inlineStr">
        <is>
          <t>Space / Defense / Aerospace / Advanced Manufacturing</t>
        </is>
      </c>
      <c r="N736" s="426" t="inlineStr">
        <is>
          <t>Tier 2</t>
        </is>
      </c>
      <c r="O736" s="441" t="n">
        <v>45821</v>
      </c>
      <c r="P736" s="441" t="n">
        <v>45835</v>
      </c>
      <c r="Q736" s="425">
        <f>IF(P736="","",TODAY()-P736)</f>
        <v/>
      </c>
      <c r="R736" s="441">
        <f>IF(OR(L736="Passed",Z736=""),"",P736+Z736)</f>
        <v/>
      </c>
      <c r="S736" s="425">
        <f>IF(OR(R736="",L736="Passed"),"",IF(R736&lt;=TODAY(),"DUE",IF(R736&lt;=TODAY()+3,"Next 3 Days","Later")))</f>
        <v/>
      </c>
      <c r="T736" s="425" t="inlineStr"/>
      <c r="U736" s="426" t="inlineStr">
        <is>
          <t>https://www.linkedin.com/in/brady-broadbent-554a7a1/</t>
        </is>
      </c>
      <c r="V736" s="426" t="inlineStr"/>
      <c r="W736" s="428" t="inlineStr">
        <is>
          <t xml:space="preserve"> | 12/23/2025 | </t>
        </is>
      </c>
      <c r="X736" s="425" t="inlineStr">
        <is>
          <t>John - Investor Contacts!204</t>
        </is>
      </c>
      <c r="Y736" s="426" t="inlineStr">
        <is>
          <t>Send next follow-up with traction + CTA</t>
        </is>
      </c>
      <c r="Z736" s="425" t="n">
        <v>7</v>
      </c>
      <c r="AA736" s="425">
        <f>IF(AC736="Archived",0,ROUND((IF(N736="Tier 1",35,IF(N736="Tier 2",20,8))+IF(C736="Financial Investor",15,IF(C736="Intermediary / Banker",12,8))+IF(L736="Term Sheet / Proposal",25,IF(L736="Engaged",20,IF(L736="Meeting Requested",18,IF(L736="Meeting Held",14,IF(L736="Follow Up",10,5)))))+MIN(Q736,30)+IF(S736="DUE",15,IF(S736="Next 3 Days",8,0))),0))</f>
        <v/>
      </c>
      <c r="AB736" s="425">
        <f>IF(AND(AC736="Active",OR(N736="Tier 1",N736="Tier 2"),OR(S736="DUE",S736="Next 3 Days")),"YES","")</f>
        <v/>
      </c>
      <c r="AC736" s="425">
        <f>IF(L736="Passed","Archived","Active")</f>
        <v/>
      </c>
    </row>
    <row r="737">
      <c r="A737" s="425" t="inlineStr">
        <is>
          <t>EXOS-0736</t>
        </is>
      </c>
      <c r="B737" s="425" t="inlineStr">
        <is>
          <t>John - Investor Contacts</t>
        </is>
      </c>
      <c r="C737" s="425" t="inlineStr">
        <is>
          <t>Financial Investor</t>
        </is>
      </c>
      <c r="D737" s="425" t="inlineStr">
        <is>
          <t>Sorenson Capital</t>
        </is>
      </c>
      <c r="E737" s="425" t="inlineStr">
        <is>
          <t>Burke Davis</t>
        </is>
      </c>
      <c r="F737" s="425" t="inlineStr"/>
      <c r="G737" s="111" t="inlineStr">
        <is>
          <t>bdavis@sorensoncap.com</t>
        </is>
      </c>
      <c r="H737" s="425" t="inlineStr"/>
      <c r="I737" s="425" t="inlineStr"/>
      <c r="J737" s="425" t="inlineStr"/>
      <c r="K737" s="426" t="inlineStr">
        <is>
          <t>John Quinn</t>
        </is>
      </c>
      <c r="L737" s="426" t="inlineStr">
        <is>
          <t>Follow Up</t>
        </is>
      </c>
      <c r="M737" s="425" t="inlineStr">
        <is>
          <t>Space / Defense / Aerospace / Advanced Manufacturing</t>
        </is>
      </c>
      <c r="N737" s="426" t="inlineStr">
        <is>
          <t>Tier 2</t>
        </is>
      </c>
      <c r="O737" s="441" t="n">
        <v>45821</v>
      </c>
      <c r="P737" s="441" t="n">
        <v>45835</v>
      </c>
      <c r="Q737" s="425">
        <f>IF(P737="","",TODAY()-P737)</f>
        <v/>
      </c>
      <c r="R737" s="441">
        <f>IF(OR(L737="Passed",Z737=""),"",P737+Z737)</f>
        <v/>
      </c>
      <c r="S737" s="425">
        <f>IF(OR(R737="",L737="Passed"),"",IF(R737&lt;=TODAY(),"DUE",IF(R737&lt;=TODAY()+3,"Next 3 Days","Later")))</f>
        <v/>
      </c>
      <c r="T737" s="425" t="inlineStr"/>
      <c r="U737" s="426" t="inlineStr">
        <is>
          <t>linkedin.com/in/burkedavis</t>
        </is>
      </c>
      <c r="V737" s="426" t="inlineStr"/>
      <c r="W737" s="428" t="inlineStr">
        <is>
          <t xml:space="preserve"> | 12/23/2025 | </t>
        </is>
      </c>
      <c r="X737" s="425" t="inlineStr">
        <is>
          <t>John - Investor Contacts!206</t>
        </is>
      </c>
      <c r="Y737" s="426" t="inlineStr">
        <is>
          <t>Send next follow-up with traction + CTA</t>
        </is>
      </c>
      <c r="Z737" s="425" t="n">
        <v>7</v>
      </c>
      <c r="AA737" s="425">
        <f>IF(AC737="Archived",0,ROUND((IF(N737="Tier 1",35,IF(N737="Tier 2",20,8))+IF(C737="Financial Investor",15,IF(C737="Intermediary / Banker",12,8))+IF(L737="Term Sheet / Proposal",25,IF(L737="Engaged",20,IF(L737="Meeting Requested",18,IF(L737="Meeting Held",14,IF(L737="Follow Up",10,5)))))+MIN(Q737,30)+IF(S737="DUE",15,IF(S737="Next 3 Days",8,0))),0))</f>
        <v/>
      </c>
      <c r="AB737" s="425">
        <f>IF(AND(AC737="Active",OR(N737="Tier 1",N737="Tier 2"),OR(S737="DUE",S737="Next 3 Days")),"YES","")</f>
        <v/>
      </c>
      <c r="AC737" s="425">
        <f>IF(L737="Passed","Archived","Active")</f>
        <v/>
      </c>
    </row>
    <row r="738">
      <c r="A738" s="425" t="inlineStr">
        <is>
          <t>EXOS-0737</t>
        </is>
      </c>
      <c r="B738" s="425" t="inlineStr">
        <is>
          <t>John - Investor Contacts</t>
        </is>
      </c>
      <c r="C738" s="425" t="inlineStr">
        <is>
          <t>Financial Investor</t>
        </is>
      </c>
      <c r="D738" s="425" t="inlineStr">
        <is>
          <t>Sorenson Capital</t>
        </is>
      </c>
      <c r="E738" s="425" t="inlineStr">
        <is>
          <t>Eric Hilton</t>
        </is>
      </c>
      <c r="F738" s="425" t="inlineStr"/>
      <c r="G738" s="111" t="inlineStr">
        <is>
          <t>ehilton@sorensoncap.com</t>
        </is>
      </c>
      <c r="H738" s="425" t="inlineStr"/>
      <c r="I738" s="425" t="inlineStr"/>
      <c r="J738" s="111" t="inlineStr">
        <is>
          <t>https://www.linkedin.com/in/eric-hilton/</t>
        </is>
      </c>
      <c r="K738" s="426" t="inlineStr">
        <is>
          <t>John Quinn</t>
        </is>
      </c>
      <c r="L738" s="426" t="inlineStr">
        <is>
          <t>Follow Up</t>
        </is>
      </c>
      <c r="M738" s="425" t="inlineStr">
        <is>
          <t>Space / Defense / Aerospace / Advanced Manufacturing</t>
        </is>
      </c>
      <c r="N738" s="426" t="inlineStr">
        <is>
          <t>Tier 2</t>
        </is>
      </c>
      <c r="O738" s="441" t="n">
        <v>45821</v>
      </c>
      <c r="P738" s="441" t="n">
        <v>45835</v>
      </c>
      <c r="Q738" s="425">
        <f>IF(P738="","",TODAY()-P738)</f>
        <v/>
      </c>
      <c r="R738" s="441">
        <f>IF(OR(L738="Passed",Z738=""),"",P738+Z738)</f>
        <v/>
      </c>
      <c r="S738" s="425">
        <f>IF(OR(R738="",L738="Passed"),"",IF(R738&lt;=TODAY(),"DUE",IF(R738&lt;=TODAY()+3,"Next 3 Days","Later")))</f>
        <v/>
      </c>
      <c r="T738" s="425" t="inlineStr"/>
      <c r="U738" s="426" t="inlineStr">
        <is>
          <t>https://www.linkedin.com/in/eric-hilton/</t>
        </is>
      </c>
      <c r="V738" s="426" t="inlineStr"/>
      <c r="W738" s="428" t="inlineStr">
        <is>
          <t xml:space="preserve"> | 12/23/2025 | </t>
        </is>
      </c>
      <c r="X738" s="425" t="inlineStr">
        <is>
          <t>John - Investor Contacts!205</t>
        </is>
      </c>
      <c r="Y738" s="426" t="inlineStr">
        <is>
          <t>Send next follow-up with traction + CTA</t>
        </is>
      </c>
      <c r="Z738" s="425" t="n">
        <v>7</v>
      </c>
      <c r="AA738" s="425">
        <f>IF(AC738="Archived",0,ROUND((IF(N738="Tier 1",35,IF(N738="Tier 2",20,8))+IF(C738="Financial Investor",15,IF(C738="Intermediary / Banker",12,8))+IF(L738="Term Sheet / Proposal",25,IF(L738="Engaged",20,IF(L738="Meeting Requested",18,IF(L738="Meeting Held",14,IF(L738="Follow Up",10,5)))))+MIN(Q738,30)+IF(S738="DUE",15,IF(S738="Next 3 Days",8,0))),0))</f>
        <v/>
      </c>
      <c r="AB738" s="425">
        <f>IF(AND(AC738="Active",OR(N738="Tier 1",N738="Tier 2"),OR(S738="DUE",S738="Next 3 Days")),"YES","")</f>
        <v/>
      </c>
      <c r="AC738" s="425">
        <f>IF(L738="Passed","Archived","Active")</f>
        <v/>
      </c>
    </row>
    <row r="739">
      <c r="A739" s="425" t="inlineStr">
        <is>
          <t>EXOS-0738</t>
        </is>
      </c>
      <c r="B739" s="425" t="inlineStr">
        <is>
          <t>John - Investor Contacts</t>
        </is>
      </c>
      <c r="C739" s="425" t="inlineStr">
        <is>
          <t>Financial Investor</t>
        </is>
      </c>
      <c r="D739" s="425" t="inlineStr">
        <is>
          <t>Sorenson Capital</t>
        </is>
      </c>
      <c r="E739" s="425" t="inlineStr">
        <is>
          <t>Ken Elefant</t>
        </is>
      </c>
      <c r="F739" s="425" t="inlineStr"/>
      <c r="G739" s="111" t="inlineStr">
        <is>
          <t>kelefant@sorensoncap.com</t>
        </is>
      </c>
      <c r="H739" s="425" t="inlineStr"/>
      <c r="I739" s="425" t="inlineStr"/>
      <c r="J739" s="111" t="inlineStr">
        <is>
          <t>https://www.linkedin.com/in/kenelefant/</t>
        </is>
      </c>
      <c r="K739" s="426" t="inlineStr">
        <is>
          <t>John Quinn</t>
        </is>
      </c>
      <c r="L739" s="426" t="inlineStr">
        <is>
          <t>Follow Up</t>
        </is>
      </c>
      <c r="M739" s="425" t="inlineStr">
        <is>
          <t>Space / Defense / Aerospace / Advanced Manufacturing</t>
        </is>
      </c>
      <c r="N739" s="426" t="inlineStr">
        <is>
          <t>Tier 2</t>
        </is>
      </c>
      <c r="O739" s="441" t="n">
        <v>45821</v>
      </c>
      <c r="P739" s="441" t="n">
        <v>45835</v>
      </c>
      <c r="Q739" s="425">
        <f>IF(P739="","",TODAY()-P739)</f>
        <v/>
      </c>
      <c r="R739" s="441">
        <f>IF(OR(L739="Passed",Z739=""),"",P739+Z739)</f>
        <v/>
      </c>
      <c r="S739" s="425">
        <f>IF(OR(R739="",L739="Passed"),"",IF(R739&lt;=TODAY(),"DUE",IF(R739&lt;=TODAY()+3,"Next 3 Days","Later")))</f>
        <v/>
      </c>
      <c r="T739" s="425" t="inlineStr"/>
      <c r="U739" s="426" t="inlineStr">
        <is>
          <t>https://www.linkedin.com/in/kenelefant/</t>
        </is>
      </c>
      <c r="V739" s="426" t="inlineStr"/>
      <c r="W739" s="428" t="inlineStr">
        <is>
          <t xml:space="preserve"> | 12/23/2025 | </t>
        </is>
      </c>
      <c r="X739" s="425" t="inlineStr">
        <is>
          <t>John - Investor Contacts!202</t>
        </is>
      </c>
      <c r="Y739" s="426" t="inlineStr">
        <is>
          <t>Send next follow-up with traction + CTA</t>
        </is>
      </c>
      <c r="Z739" s="425" t="n">
        <v>7</v>
      </c>
      <c r="AA739" s="425">
        <f>IF(AC739="Archived",0,ROUND((IF(N739="Tier 1",35,IF(N739="Tier 2",20,8))+IF(C739="Financial Investor",15,IF(C739="Intermediary / Banker",12,8))+IF(L739="Term Sheet / Proposal",25,IF(L739="Engaged",20,IF(L739="Meeting Requested",18,IF(L739="Meeting Held",14,IF(L739="Follow Up",10,5)))))+MIN(Q739,30)+IF(S739="DUE",15,IF(S739="Next 3 Days",8,0))),0))</f>
        <v/>
      </c>
      <c r="AB739" s="425">
        <f>IF(AND(AC739="Active",OR(N739="Tier 1",N739="Tier 2"),OR(S739="DUE",S739="Next 3 Days")),"YES","")</f>
        <v/>
      </c>
      <c r="AC739" s="425">
        <f>IF(L739="Passed","Archived","Active")</f>
        <v/>
      </c>
    </row>
    <row r="740">
      <c r="A740" s="425" t="inlineStr">
        <is>
          <t>EXOS-0739</t>
        </is>
      </c>
      <c r="B740" s="425" t="inlineStr">
        <is>
          <t>John - Investor Contacts</t>
        </is>
      </c>
      <c r="C740" s="425" t="inlineStr">
        <is>
          <t>Financial Investor</t>
        </is>
      </c>
      <c r="D740" s="425" t="inlineStr">
        <is>
          <t>Sorenson Capital</t>
        </is>
      </c>
      <c r="E740" s="425" t="inlineStr">
        <is>
          <t>Rob Rueckert</t>
        </is>
      </c>
      <c r="F740" s="425" t="inlineStr"/>
      <c r="G740" s="111" t="inlineStr">
        <is>
          <t>rrueckert@sorensoncap.com</t>
        </is>
      </c>
      <c r="H740" s="425" t="inlineStr"/>
      <c r="I740" s="425" t="inlineStr"/>
      <c r="J740" s="111" t="inlineStr">
        <is>
          <t>https://www.linkedin.com/in/robrueckert/</t>
        </is>
      </c>
      <c r="K740" s="426" t="inlineStr">
        <is>
          <t>John Quinn</t>
        </is>
      </c>
      <c r="L740" s="426" t="inlineStr">
        <is>
          <t>Follow Up</t>
        </is>
      </c>
      <c r="M740" s="425" t="inlineStr">
        <is>
          <t>Space / Defense / Aerospace / Advanced Manufacturing</t>
        </is>
      </c>
      <c r="N740" s="426" t="inlineStr">
        <is>
          <t>Tier 2</t>
        </is>
      </c>
      <c r="O740" s="441" t="n">
        <v>45821</v>
      </c>
      <c r="P740" s="441" t="n">
        <v>45835</v>
      </c>
      <c r="Q740" s="425">
        <f>IF(P740="","",TODAY()-P740)</f>
        <v/>
      </c>
      <c r="R740" s="441">
        <f>IF(OR(L740="Passed",Z740=""),"",P740+Z740)</f>
        <v/>
      </c>
      <c r="S740" s="425">
        <f>IF(OR(R740="",L740="Passed"),"",IF(R740&lt;=TODAY(),"DUE",IF(R740&lt;=TODAY()+3,"Next 3 Days","Later")))</f>
        <v/>
      </c>
      <c r="T740" s="425" t="inlineStr"/>
      <c r="U740" s="426" t="inlineStr">
        <is>
          <t>https://www.linkedin.com/in/robrueckert/</t>
        </is>
      </c>
      <c r="V740" s="426" t="inlineStr"/>
      <c r="W740" s="428" t="inlineStr">
        <is>
          <t xml:space="preserve"> | 12/23/2025 | </t>
        </is>
      </c>
      <c r="X740" s="425" t="inlineStr">
        <is>
          <t>John - Investor Contacts!203</t>
        </is>
      </c>
      <c r="Y740" s="426" t="inlineStr">
        <is>
          <t>Send next follow-up with traction + CTA</t>
        </is>
      </c>
      <c r="Z740" s="425" t="n">
        <v>7</v>
      </c>
      <c r="AA740" s="425">
        <f>IF(AC740="Archived",0,ROUND((IF(N740="Tier 1",35,IF(N740="Tier 2",20,8))+IF(C740="Financial Investor",15,IF(C740="Intermediary / Banker",12,8))+IF(L740="Term Sheet / Proposal",25,IF(L740="Engaged",20,IF(L740="Meeting Requested",18,IF(L740="Meeting Held",14,IF(L740="Follow Up",10,5)))))+MIN(Q740,30)+IF(S740="DUE",15,IF(S740="Next 3 Days",8,0))),0))</f>
        <v/>
      </c>
      <c r="AB740" s="425">
        <f>IF(AND(AC740="Active",OR(N740="Tier 1",N740="Tier 2"),OR(S740="DUE",S740="Next 3 Days")),"YES","")</f>
        <v/>
      </c>
      <c r="AC740" s="425">
        <f>IF(L740="Passed","Archived","Active")</f>
        <v/>
      </c>
    </row>
    <row r="741">
      <c r="A741" s="425" t="inlineStr">
        <is>
          <t>EXOS-0740</t>
        </is>
      </c>
      <c r="B741" s="425" t="inlineStr">
        <is>
          <t>John - Investor Contacts</t>
        </is>
      </c>
      <c r="C741" s="425" t="inlineStr">
        <is>
          <t>Financial Investor</t>
        </is>
      </c>
      <c r="D741" s="425" t="inlineStr">
        <is>
          <t>Sorenson Capital</t>
        </is>
      </c>
      <c r="E741" s="425" t="inlineStr">
        <is>
          <t>Suril Butala</t>
        </is>
      </c>
      <c r="F741" s="425" t="inlineStr"/>
      <c r="G741" s="111" t="inlineStr">
        <is>
          <t>sbutala@sorensoncap.com</t>
        </is>
      </c>
      <c r="H741" s="425" t="inlineStr"/>
      <c r="I741" s="425" t="inlineStr"/>
      <c r="J741" s="111" t="inlineStr">
        <is>
          <t>https://www.linkedin.com/in/surilbutala/</t>
        </is>
      </c>
      <c r="K741" s="426" t="inlineStr">
        <is>
          <t>John Quinn</t>
        </is>
      </c>
      <c r="L741" s="426" t="inlineStr">
        <is>
          <t>Follow Up</t>
        </is>
      </c>
      <c r="M741" s="425" t="inlineStr">
        <is>
          <t>Space / Defense / Aerospace / Advanced Manufacturing</t>
        </is>
      </c>
      <c r="N741" s="426" t="inlineStr">
        <is>
          <t>Tier 2</t>
        </is>
      </c>
      <c r="O741" s="441" t="n">
        <v>45821</v>
      </c>
      <c r="P741" s="441" t="n">
        <v>45835</v>
      </c>
      <c r="Q741" s="425">
        <f>IF(P741="","",TODAY()-P741)</f>
        <v/>
      </c>
      <c r="R741" s="441">
        <f>IF(OR(L741="Passed",Z741=""),"",P741+Z741)</f>
        <v/>
      </c>
      <c r="S741" s="425">
        <f>IF(OR(R741="",L741="Passed"),"",IF(R741&lt;=TODAY(),"DUE",IF(R741&lt;=TODAY()+3,"Next 3 Days","Later")))</f>
        <v/>
      </c>
      <c r="T741" s="425" t="inlineStr"/>
      <c r="U741" s="426" t="inlineStr">
        <is>
          <t>https://www.linkedin.com/in/surilbutala/</t>
        </is>
      </c>
      <c r="V741" s="426" t="inlineStr"/>
      <c r="W741" s="428" t="inlineStr">
        <is>
          <t xml:space="preserve"> | 12/23/2025 | </t>
        </is>
      </c>
      <c r="X741" s="425" t="inlineStr">
        <is>
          <t>John - Investor Contacts!207</t>
        </is>
      </c>
      <c r="Y741" s="426" t="inlineStr">
        <is>
          <t>Send next follow-up with traction + CTA</t>
        </is>
      </c>
      <c r="Z741" s="425" t="n">
        <v>7</v>
      </c>
      <c r="AA741" s="425">
        <f>IF(AC741="Archived",0,ROUND((IF(N741="Tier 1",35,IF(N741="Tier 2",20,8))+IF(C741="Financial Investor",15,IF(C741="Intermediary / Banker",12,8))+IF(L741="Term Sheet / Proposal",25,IF(L741="Engaged",20,IF(L741="Meeting Requested",18,IF(L741="Meeting Held",14,IF(L741="Follow Up",10,5)))))+MIN(Q741,30)+IF(S741="DUE",15,IF(S741="Next 3 Days",8,0))),0))</f>
        <v/>
      </c>
      <c r="AB741" s="425">
        <f>IF(AND(AC741="Active",OR(N741="Tier 1",N741="Tier 2"),OR(S741="DUE",S741="Next 3 Days")),"YES","")</f>
        <v/>
      </c>
      <c r="AC741" s="425">
        <f>IF(L741="Passed","Archived","Active")</f>
        <v/>
      </c>
    </row>
    <row r="742">
      <c r="A742" s="425" t="inlineStr">
        <is>
          <t>EXOS-0741</t>
        </is>
      </c>
      <c r="B742" s="425" t="inlineStr">
        <is>
          <t>John - Investor Contacts</t>
        </is>
      </c>
      <c r="C742" s="425" t="inlineStr">
        <is>
          <t>Financial Investor</t>
        </is>
      </c>
      <c r="D742" s="425" t="inlineStr">
        <is>
          <t>South Loop VC</t>
        </is>
      </c>
      <c r="E742" s="425" t="inlineStr">
        <is>
          <t>Blair Garrou</t>
        </is>
      </c>
      <c r="F742" s="425" t="inlineStr"/>
      <c r="G742" s="111" t="inlineStr">
        <is>
          <t>bgarrou@gmail.com</t>
        </is>
      </c>
      <c r="H742" s="425" t="inlineStr"/>
      <c r="I742" s="425" t="inlineStr"/>
      <c r="J742" s="111" t="inlineStr">
        <is>
          <t>https://www.linkedin.com/in/bgarrou/</t>
        </is>
      </c>
      <c r="K742" s="426" t="inlineStr">
        <is>
          <t>John Quinn</t>
        </is>
      </c>
      <c r="L742" s="426" t="inlineStr">
        <is>
          <t>Follow Up</t>
        </is>
      </c>
      <c r="M742" s="425" t="inlineStr">
        <is>
          <t>Space / Defense / Aerospace / Advanced Manufacturing</t>
        </is>
      </c>
      <c r="N742" s="426" t="inlineStr">
        <is>
          <t>Tier 2</t>
        </is>
      </c>
      <c r="O742" s="441" t="n">
        <v>45840</v>
      </c>
      <c r="P742" s="441" t="n">
        <v>45861</v>
      </c>
      <c r="Q742" s="425">
        <f>IF(P742="","",TODAY()-P742)</f>
        <v/>
      </c>
      <c r="R742" s="441">
        <f>IF(OR(L742="Passed",Z742=""),"",P742+Z742)</f>
        <v/>
      </c>
      <c r="S742" s="425">
        <f>IF(OR(R742="",L742="Passed"),"",IF(R742&lt;=TODAY(),"DUE",IF(R742&lt;=TODAY()+3,"Next 3 Days","Later")))</f>
        <v/>
      </c>
      <c r="T742" s="425" t="inlineStr"/>
      <c r="U742" s="426" t="inlineStr">
        <is>
          <t>https://www.linkedin.com/in/bgarrou/</t>
        </is>
      </c>
      <c r="V742" s="426" t="inlineStr"/>
      <c r="W742" s="428" t="inlineStr">
        <is>
          <t xml:space="preserve"> | 12/26/2025 | </t>
        </is>
      </c>
      <c r="X742" s="425" t="inlineStr">
        <is>
          <t>John - Investor Contacts!323</t>
        </is>
      </c>
      <c r="Y742" s="426" t="inlineStr">
        <is>
          <t>Send next follow-up with traction + CTA</t>
        </is>
      </c>
      <c r="Z742" s="425" t="n">
        <v>7</v>
      </c>
      <c r="AA742" s="425">
        <f>IF(AC742="Archived",0,ROUND((IF(N742="Tier 1",35,IF(N742="Tier 2",20,8))+IF(C742="Financial Investor",15,IF(C742="Intermediary / Banker",12,8))+IF(L742="Term Sheet / Proposal",25,IF(L742="Engaged",20,IF(L742="Meeting Requested",18,IF(L742="Meeting Held",14,IF(L742="Follow Up",10,5)))))+MIN(Q742,30)+IF(S742="DUE",15,IF(S742="Next 3 Days",8,0))),0))</f>
        <v/>
      </c>
      <c r="AB742" s="425">
        <f>IF(AND(AC742="Active",OR(N742="Tier 1",N742="Tier 2"),OR(S742="DUE",S742="Next 3 Days")),"YES","")</f>
        <v/>
      </c>
      <c r="AC742" s="425">
        <f>IF(L742="Passed","Archived","Active")</f>
        <v/>
      </c>
    </row>
    <row r="743">
      <c r="A743" s="425" t="inlineStr">
        <is>
          <t>EXOS-0742</t>
        </is>
      </c>
      <c r="B743" s="425" t="inlineStr">
        <is>
          <t>John - Investor Contacts</t>
        </is>
      </c>
      <c r="C743" s="425" t="inlineStr">
        <is>
          <t>Financial Investor</t>
        </is>
      </c>
      <c r="D743" s="425" t="inlineStr">
        <is>
          <t>South Loop VC</t>
        </is>
      </c>
      <c r="E743" s="425" t="inlineStr">
        <is>
          <t>Zach Ellis</t>
        </is>
      </c>
      <c r="F743" s="425" t="inlineStr"/>
      <c r="G743" s="111" t="inlineStr">
        <is>
          <t>zach@southloop.vc</t>
        </is>
      </c>
      <c r="H743" s="425" t="inlineStr"/>
      <c r="I743" s="425" t="inlineStr"/>
      <c r="J743" s="111" t="inlineStr">
        <is>
          <t>https://www.linkedin.com/in/zacharyellisjr/</t>
        </is>
      </c>
      <c r="K743" s="426" t="inlineStr">
        <is>
          <t>John Quinn</t>
        </is>
      </c>
      <c r="L743" s="426" t="inlineStr">
        <is>
          <t>Follow Up</t>
        </is>
      </c>
      <c r="M743" s="425" t="inlineStr">
        <is>
          <t>Space / Defense / Aerospace / Advanced Manufacturing</t>
        </is>
      </c>
      <c r="N743" s="426" t="inlineStr">
        <is>
          <t>Tier 2</t>
        </is>
      </c>
      <c r="O743" s="441" t="n">
        <v>45840</v>
      </c>
      <c r="P743" s="441" t="n">
        <v>45861</v>
      </c>
      <c r="Q743" s="425">
        <f>IF(P743="","",TODAY()-P743)</f>
        <v/>
      </c>
      <c r="R743" s="441">
        <f>IF(OR(L743="Passed",Z743=""),"",P743+Z743)</f>
        <v/>
      </c>
      <c r="S743" s="425">
        <f>IF(OR(R743="",L743="Passed"),"",IF(R743&lt;=TODAY(),"DUE",IF(R743&lt;=TODAY()+3,"Next 3 Days","Later")))</f>
        <v/>
      </c>
      <c r="T743" s="425" t="inlineStr"/>
      <c r="U743" s="426" t="inlineStr">
        <is>
          <t>https://www.linkedin.com/in/zacharyellisjr/</t>
        </is>
      </c>
      <c r="V743" s="426" t="inlineStr"/>
      <c r="W743" s="428" t="inlineStr">
        <is>
          <t xml:space="preserve"> | 12/26/2025 | online application: https://www.southloop.vc/contact</t>
        </is>
      </c>
      <c r="X743" s="425" t="inlineStr">
        <is>
          <t>John - Investor Contacts!322</t>
        </is>
      </c>
      <c r="Y743" s="426" t="inlineStr">
        <is>
          <t>Send next follow-up with traction + CTA</t>
        </is>
      </c>
      <c r="Z743" s="425" t="n">
        <v>7</v>
      </c>
      <c r="AA743" s="425">
        <f>IF(AC743="Archived",0,ROUND((IF(N743="Tier 1",35,IF(N743="Tier 2",20,8))+IF(C743="Financial Investor",15,IF(C743="Intermediary / Banker",12,8))+IF(L743="Term Sheet / Proposal",25,IF(L743="Engaged",20,IF(L743="Meeting Requested",18,IF(L743="Meeting Held",14,IF(L743="Follow Up",10,5)))))+MIN(Q743,30)+IF(S743="DUE",15,IF(S743="Next 3 Days",8,0))),0))</f>
        <v/>
      </c>
      <c r="AB743" s="425">
        <f>IF(AND(AC743="Active",OR(N743="Tier 1",N743="Tier 2"),OR(S743="DUE",S743="Next 3 Days")),"YES","")</f>
        <v/>
      </c>
      <c r="AC743" s="425">
        <f>IF(L743="Passed","Archived","Active")</f>
        <v/>
      </c>
    </row>
    <row r="744">
      <c r="A744" s="425" t="inlineStr">
        <is>
          <t>EXOS-0743</t>
        </is>
      </c>
      <c r="B744" s="425" t="inlineStr">
        <is>
          <t>John - Investor Contacts</t>
        </is>
      </c>
      <c r="C744" s="425" t="inlineStr">
        <is>
          <t>Financial Investor</t>
        </is>
      </c>
      <c r="D744" s="425" t="inlineStr">
        <is>
          <t>Space 42</t>
        </is>
      </c>
      <c r="E744" s="425" t="inlineStr">
        <is>
          <t>Karim Michel Sabbagh</t>
        </is>
      </c>
      <c r="F744" s="425" t="inlineStr"/>
      <c r="G744" s="111" t="inlineStr">
        <is>
          <t>karim.sabbagh@space42.ai</t>
        </is>
      </c>
      <c r="H744" s="425" t="inlineStr"/>
      <c r="I744" s="425" t="inlineStr"/>
      <c r="J744" s="425" t="inlineStr"/>
      <c r="K744" s="426" t="inlineStr">
        <is>
          <t>John Quinn</t>
        </is>
      </c>
      <c r="L744" s="426" t="inlineStr">
        <is>
          <t>Follow Up</t>
        </is>
      </c>
      <c r="M744" s="425" t="inlineStr">
        <is>
          <t>Space / Defense / Aerospace / Advanced Manufacturing</t>
        </is>
      </c>
      <c r="N744" s="426" t="inlineStr">
        <is>
          <t>Tier 2</t>
        </is>
      </c>
      <c r="O744" s="441" t="n">
        <v>45856</v>
      </c>
      <c r="P744" s="441" t="n">
        <v>45878</v>
      </c>
      <c r="Q744" s="425">
        <f>IF(P744="","",TODAY()-P744)</f>
        <v/>
      </c>
      <c r="R744" s="441">
        <f>IF(OR(L744="Passed",Z744=""),"",P744+Z744)</f>
        <v/>
      </c>
      <c r="S744" s="425">
        <f>IF(OR(R744="",L744="Passed"),"",IF(R744&lt;=TODAY(),"DUE",IF(R744&lt;=TODAY()+3,"Next 3 Days","Later")))</f>
        <v/>
      </c>
      <c r="T744" s="425" t="inlineStr"/>
      <c r="U744" s="426" t="inlineStr"/>
      <c r="V744" s="426" t="inlineStr"/>
      <c r="W744" s="428" t="inlineStr">
        <is>
          <t xml:space="preserve"> | 12/26/2025 | </t>
        </is>
      </c>
      <c r="X744" s="425" t="inlineStr">
        <is>
          <t>John - Investor Contacts!412</t>
        </is>
      </c>
      <c r="Y744" s="426" t="inlineStr">
        <is>
          <t>Send next follow-up with traction + CTA</t>
        </is>
      </c>
      <c r="Z744" s="425" t="n">
        <v>7</v>
      </c>
      <c r="AA744" s="425">
        <f>IF(AC744="Archived",0,ROUND((IF(N744="Tier 1",35,IF(N744="Tier 2",20,8))+IF(C744="Financial Investor",15,IF(C744="Intermediary / Banker",12,8))+IF(L744="Term Sheet / Proposal",25,IF(L744="Engaged",20,IF(L744="Meeting Requested",18,IF(L744="Meeting Held",14,IF(L744="Follow Up",10,5)))))+MIN(Q744,30)+IF(S744="DUE",15,IF(S744="Next 3 Days",8,0))),0))</f>
        <v/>
      </c>
      <c r="AB744" s="425">
        <f>IF(AND(AC744="Active",OR(N744="Tier 1",N744="Tier 2"),OR(S744="DUE",S744="Next 3 Days")),"YES","")</f>
        <v/>
      </c>
      <c r="AC744" s="425">
        <f>IF(L744="Passed","Archived","Active")</f>
        <v/>
      </c>
    </row>
    <row r="745">
      <c r="A745" s="425" t="inlineStr">
        <is>
          <t>EXOS-0744</t>
        </is>
      </c>
      <c r="B745" s="425" t="inlineStr">
        <is>
          <t>John - Investor Contacts</t>
        </is>
      </c>
      <c r="C745" s="425" t="inlineStr">
        <is>
          <t>Financial Investor</t>
        </is>
      </c>
      <c r="D745" s="425" t="inlineStr">
        <is>
          <t>Space Capital</t>
        </is>
      </c>
      <c r="E745" s="425" t="inlineStr">
        <is>
          <t>Alan Yu</t>
        </is>
      </c>
      <c r="F745" s="425" t="inlineStr"/>
      <c r="G745" s="111" t="inlineStr">
        <is>
          <t>alan@spacecapital.com</t>
        </is>
      </c>
      <c r="H745" s="425" t="inlineStr"/>
      <c r="I745" s="425" t="inlineStr"/>
      <c r="J745" s="111" t="inlineStr">
        <is>
          <t>https://www.linkedin.com/in/alan-yu-spacecapital/</t>
        </is>
      </c>
      <c r="K745" s="426" t="inlineStr">
        <is>
          <t>John Quinn</t>
        </is>
      </c>
      <c r="L745" s="426" t="inlineStr">
        <is>
          <t>Follow Up</t>
        </is>
      </c>
      <c r="M745" s="425" t="inlineStr">
        <is>
          <t>Space / Defense / Aerospace / Advanced Manufacturing</t>
        </is>
      </c>
      <c r="N745" s="426" t="inlineStr">
        <is>
          <t>Tier 2</t>
        </is>
      </c>
      <c r="O745" s="441" t="n">
        <v>45849</v>
      </c>
      <c r="P745" s="441" t="n">
        <v>45878</v>
      </c>
      <c r="Q745" s="425">
        <f>IF(P745="","",TODAY()-P745)</f>
        <v/>
      </c>
      <c r="R745" s="441">
        <f>IF(OR(L745="Passed",Z745=""),"",P745+Z745)</f>
        <v/>
      </c>
      <c r="S745" s="425">
        <f>IF(OR(R745="",L745="Passed"),"",IF(R745&lt;=TODAY(),"DUE",IF(R745&lt;=TODAY()+3,"Next 3 Days","Later")))</f>
        <v/>
      </c>
      <c r="T745" s="425" t="inlineStr"/>
      <c r="U745" s="426" t="inlineStr">
        <is>
          <t>https://www.linkedin.com/in/alan-yu-spacecapital/</t>
        </is>
      </c>
      <c r="V745" s="426" t="inlineStr"/>
      <c r="W745" s="428" t="inlineStr">
        <is>
          <t xml:space="preserve"> | 12/26/2025 | If you would like to share your ideas, business, or feedback with us, please email us. All business plan submissions must include a clear description of your operations and current progress.</t>
        </is>
      </c>
      <c r="X745" s="425" t="inlineStr">
        <is>
          <t>John - Investor Contacts!405</t>
        </is>
      </c>
      <c r="Y745" s="426" t="inlineStr">
        <is>
          <t>Send next follow-up with traction + CTA</t>
        </is>
      </c>
      <c r="Z745" s="425" t="n">
        <v>7</v>
      </c>
      <c r="AA745" s="425">
        <f>IF(AC745="Archived",0,ROUND((IF(N745="Tier 1",35,IF(N745="Tier 2",20,8))+IF(C745="Financial Investor",15,IF(C745="Intermediary / Banker",12,8))+IF(L745="Term Sheet / Proposal",25,IF(L745="Engaged",20,IF(L745="Meeting Requested",18,IF(L745="Meeting Held",14,IF(L745="Follow Up",10,5)))))+MIN(Q745,30)+IF(S745="DUE",15,IF(S745="Next 3 Days",8,0))),0))</f>
        <v/>
      </c>
      <c r="AB745" s="425">
        <f>IF(AND(AC745="Active",OR(N745="Tier 1",N745="Tier 2"),OR(S745="DUE",S745="Next 3 Days")),"YES","")</f>
        <v/>
      </c>
      <c r="AC745" s="425">
        <f>IF(L745="Passed","Archived","Active")</f>
        <v/>
      </c>
    </row>
    <row r="746">
      <c r="A746" s="425" t="inlineStr">
        <is>
          <t>EXOS-0745</t>
        </is>
      </c>
      <c r="B746" s="425" t="inlineStr">
        <is>
          <t>John - Investor Contacts</t>
        </is>
      </c>
      <c r="C746" s="425" t="inlineStr">
        <is>
          <t>Financial Investor</t>
        </is>
      </c>
      <c r="D746" s="425" t="inlineStr">
        <is>
          <t>Space Capital</t>
        </is>
      </c>
      <c r="E746" s="425" t="inlineStr">
        <is>
          <t>Chad Anderson</t>
        </is>
      </c>
      <c r="F746" s="425" t="inlineStr"/>
      <c r="G746" s="111" t="inlineStr">
        <is>
          <t>chad@spacecapital.com</t>
        </is>
      </c>
      <c r="H746" s="425" t="inlineStr"/>
      <c r="I746" s="425" t="inlineStr"/>
      <c r="J746" s="111" t="inlineStr">
        <is>
          <t>https://www.linkedin.com/in/chadson</t>
        </is>
      </c>
      <c r="K746" s="426" t="inlineStr">
        <is>
          <t>John Quinn</t>
        </is>
      </c>
      <c r="L746" s="426" t="inlineStr">
        <is>
          <t>Follow Up</t>
        </is>
      </c>
      <c r="M746" s="425" t="inlineStr">
        <is>
          <t>Space / Defense / Aerospace / Advanced Manufacturing</t>
        </is>
      </c>
      <c r="N746" s="426" t="inlineStr">
        <is>
          <t>Tier 2</t>
        </is>
      </c>
      <c r="O746" s="441" t="n">
        <v>45849</v>
      </c>
      <c r="P746" s="441" t="n">
        <v>45878</v>
      </c>
      <c r="Q746" s="425">
        <f>IF(P746="","",TODAY()-P746)</f>
        <v/>
      </c>
      <c r="R746" s="441">
        <f>IF(OR(L746="Passed",Z746=""),"",P746+Z746)</f>
        <v/>
      </c>
      <c r="S746" s="425">
        <f>IF(OR(R746="",L746="Passed"),"",IF(R746&lt;=TODAY(),"DUE",IF(R746&lt;=TODAY()+3,"Next 3 Days","Later")))</f>
        <v/>
      </c>
      <c r="T746" s="425" t="inlineStr"/>
      <c r="U746" s="426" t="inlineStr">
        <is>
          <t>https://www.linkedin.com/in/chadson</t>
        </is>
      </c>
      <c r="V746" s="426" t="inlineStr"/>
      <c r="W746" s="428" t="inlineStr">
        <is>
          <t xml:space="preserve"> | 12/26/2025 | </t>
        </is>
      </c>
      <c r="X746" s="425" t="inlineStr">
        <is>
          <t>John - Investor Contacts!406</t>
        </is>
      </c>
      <c r="Y746" s="426" t="inlineStr">
        <is>
          <t>Send next follow-up with traction + CTA</t>
        </is>
      </c>
      <c r="Z746" s="425" t="n">
        <v>7</v>
      </c>
      <c r="AA746" s="425">
        <f>IF(AC746="Archived",0,ROUND((IF(N746="Tier 1",35,IF(N746="Tier 2",20,8))+IF(C746="Financial Investor",15,IF(C746="Intermediary / Banker",12,8))+IF(L746="Term Sheet / Proposal",25,IF(L746="Engaged",20,IF(L746="Meeting Requested",18,IF(L746="Meeting Held",14,IF(L746="Follow Up",10,5)))))+MIN(Q746,30)+IF(S746="DUE",15,IF(S746="Next 3 Days",8,0))),0))</f>
        <v/>
      </c>
      <c r="AB746" s="425">
        <f>IF(AND(AC746="Active",OR(N746="Tier 1",N746="Tier 2"),OR(S746="DUE",S746="Next 3 Days")),"YES","")</f>
        <v/>
      </c>
      <c r="AC746" s="425">
        <f>IF(L746="Passed","Archived","Active")</f>
        <v/>
      </c>
    </row>
    <row r="747">
      <c r="A747" s="425" t="inlineStr">
        <is>
          <t>EXOS-0746</t>
        </is>
      </c>
      <c r="B747" s="425" t="inlineStr">
        <is>
          <t>John - Investor Contacts</t>
        </is>
      </c>
      <c r="C747" s="425" t="inlineStr">
        <is>
          <t>Financial Investor</t>
        </is>
      </c>
      <c r="D747" s="425" t="inlineStr">
        <is>
          <t>Space Capital</t>
        </is>
      </c>
      <c r="E747" s="425" t="inlineStr">
        <is>
          <t>Justus Kilian</t>
        </is>
      </c>
      <c r="F747" s="425" t="inlineStr"/>
      <c r="G747" s="111" t="inlineStr">
        <is>
          <t>justus@spacecapital.com</t>
        </is>
      </c>
      <c r="H747" s="425" t="inlineStr"/>
      <c r="I747" s="425" t="inlineStr"/>
      <c r="J747" s="425" t="inlineStr"/>
      <c r="K747" s="426" t="inlineStr">
        <is>
          <t>John Quinn</t>
        </is>
      </c>
      <c r="L747" s="426" t="inlineStr">
        <is>
          <t>Follow Up</t>
        </is>
      </c>
      <c r="M747" s="425" t="inlineStr">
        <is>
          <t>Space / Defense / Aerospace / Advanced Manufacturing</t>
        </is>
      </c>
      <c r="N747" s="426" t="inlineStr">
        <is>
          <t>Tier 2</t>
        </is>
      </c>
      <c r="O747" s="441" t="n">
        <v>45849</v>
      </c>
      <c r="P747" s="441" t="n">
        <v>45878</v>
      </c>
      <c r="Q747" s="425">
        <f>IF(P747="","",TODAY()-P747)</f>
        <v/>
      </c>
      <c r="R747" s="441">
        <f>IF(OR(L747="Passed",Z747=""),"",P747+Z747)</f>
        <v/>
      </c>
      <c r="S747" s="425">
        <f>IF(OR(R747="",L747="Passed"),"",IF(R747&lt;=TODAY(),"DUE",IF(R747&lt;=TODAY()+3,"Next 3 Days","Later")))</f>
        <v/>
      </c>
      <c r="T747" s="425" t="inlineStr"/>
      <c r="U747" s="426" t="inlineStr">
        <is>
          <t>linkedin.com/in/justuskilian</t>
        </is>
      </c>
      <c r="V747" s="426" t="inlineStr"/>
      <c r="W747" s="428" t="inlineStr">
        <is>
          <t xml:space="preserve"> | 12/26/2025 | Contact us</t>
        </is>
      </c>
      <c r="X747" s="425" t="inlineStr">
        <is>
          <t>John - Investor Contacts!404</t>
        </is>
      </c>
      <c r="Y747" s="426" t="inlineStr">
        <is>
          <t>Send next follow-up with traction + CTA</t>
        </is>
      </c>
      <c r="Z747" s="425" t="n">
        <v>7</v>
      </c>
      <c r="AA747" s="425">
        <f>IF(AC747="Archived",0,ROUND((IF(N747="Tier 1",35,IF(N747="Tier 2",20,8))+IF(C747="Financial Investor",15,IF(C747="Intermediary / Banker",12,8))+IF(L747="Term Sheet / Proposal",25,IF(L747="Engaged",20,IF(L747="Meeting Requested",18,IF(L747="Meeting Held",14,IF(L747="Follow Up",10,5)))))+MIN(Q747,30)+IF(S747="DUE",15,IF(S747="Next 3 Days",8,0))),0))</f>
        <v/>
      </c>
      <c r="AB747" s="425">
        <f>IF(AND(AC747="Active",OR(N747="Tier 1",N747="Tier 2"),OR(S747="DUE",S747="Next 3 Days")),"YES","")</f>
        <v/>
      </c>
      <c r="AC747" s="425">
        <f>IF(L747="Passed","Archived","Active")</f>
        <v/>
      </c>
    </row>
    <row r="748">
      <c r="A748" s="425" t="inlineStr">
        <is>
          <t>EXOS-0747</t>
        </is>
      </c>
      <c r="B748" s="425" t="inlineStr">
        <is>
          <t>John - Investor Contacts</t>
        </is>
      </c>
      <c r="C748" s="425" t="inlineStr">
        <is>
          <t>Financial Investor</t>
        </is>
      </c>
      <c r="D748" s="425" t="inlineStr">
        <is>
          <t>Space Capital</t>
        </is>
      </c>
      <c r="E748" s="425" t="inlineStr">
        <is>
          <t>Tom Ingersoll</t>
        </is>
      </c>
      <c r="F748" s="425" t="inlineStr"/>
      <c r="G748" s="111" t="inlineStr">
        <is>
          <t>tom@spacecapital.com</t>
        </is>
      </c>
      <c r="H748" s="425" t="inlineStr"/>
      <c r="I748" s="425" t="inlineStr"/>
      <c r="J748" s="111" t="inlineStr">
        <is>
          <t>https://www.linkedin.com/in/tom-ingersoll-6382b11/</t>
        </is>
      </c>
      <c r="K748" s="426" t="inlineStr">
        <is>
          <t>John Quinn</t>
        </is>
      </c>
      <c r="L748" s="426" t="inlineStr">
        <is>
          <t>Follow Up</t>
        </is>
      </c>
      <c r="M748" s="425" t="inlineStr">
        <is>
          <t>Space / Defense / Aerospace / Advanced Manufacturing</t>
        </is>
      </c>
      <c r="N748" s="426" t="inlineStr">
        <is>
          <t>Tier 2</t>
        </is>
      </c>
      <c r="O748" s="441" t="n">
        <v>45849</v>
      </c>
      <c r="P748" s="441" t="n">
        <v>45878</v>
      </c>
      <c r="Q748" s="425">
        <f>IF(P748="","",TODAY()-P748)</f>
        <v/>
      </c>
      <c r="R748" s="441">
        <f>IF(OR(L748="Passed",Z748=""),"",P748+Z748)</f>
        <v/>
      </c>
      <c r="S748" s="425">
        <f>IF(OR(R748="",L748="Passed"),"",IF(R748&lt;=TODAY(),"DUE",IF(R748&lt;=TODAY()+3,"Next 3 Days","Later")))</f>
        <v/>
      </c>
      <c r="T748" s="425" t="inlineStr"/>
      <c r="U748" s="426" t="inlineStr">
        <is>
          <t>https://www.linkedin.com/in/tom-ingersoll-6382b11/</t>
        </is>
      </c>
      <c r="V748" s="426" t="inlineStr"/>
      <c r="W748" s="428" t="inlineStr">
        <is>
          <t xml:space="preserve"> | 12/26/2025 | launch@spacecapital.com</t>
        </is>
      </c>
      <c r="X748" s="425" t="inlineStr">
        <is>
          <t>John - Investor Contacts!407</t>
        </is>
      </c>
      <c r="Y748" s="426" t="inlineStr">
        <is>
          <t>Send next follow-up with traction + CTA</t>
        </is>
      </c>
      <c r="Z748" s="425" t="n">
        <v>7</v>
      </c>
      <c r="AA748" s="425">
        <f>IF(AC748="Archived",0,ROUND((IF(N748="Tier 1",35,IF(N748="Tier 2",20,8))+IF(C748="Financial Investor",15,IF(C748="Intermediary / Banker",12,8))+IF(L748="Term Sheet / Proposal",25,IF(L748="Engaged",20,IF(L748="Meeting Requested",18,IF(L748="Meeting Held",14,IF(L748="Follow Up",10,5)))))+MIN(Q748,30)+IF(S748="DUE",15,IF(S748="Next 3 Days",8,0))),0))</f>
        <v/>
      </c>
      <c r="AB748" s="425">
        <f>IF(AND(AC748="Active",OR(N748="Tier 1",N748="Tier 2"),OR(S748="DUE",S748="Next 3 Days")),"YES","")</f>
        <v/>
      </c>
      <c r="AC748" s="425">
        <f>IF(L748="Passed","Archived","Active")</f>
        <v/>
      </c>
    </row>
    <row r="749">
      <c r="A749" s="425" t="inlineStr">
        <is>
          <t>EXOS-0748</t>
        </is>
      </c>
      <c r="B749" s="425" t="inlineStr">
        <is>
          <t>John - Investor Contacts</t>
        </is>
      </c>
      <c r="C749" s="425" t="inlineStr">
        <is>
          <t>Financial Investor</t>
        </is>
      </c>
      <c r="D749" s="425" t="inlineStr">
        <is>
          <t>Space Fund</t>
        </is>
      </c>
      <c r="E749" s="425" t="inlineStr">
        <is>
          <t>Dan Schatzman</t>
        </is>
      </c>
      <c r="F749" s="425" t="inlineStr"/>
      <c r="G749" s="111" t="inlineStr">
        <is>
          <t>dan@spacefund.com</t>
        </is>
      </c>
      <c r="H749" s="425" t="inlineStr"/>
      <c r="I749" s="425" t="inlineStr"/>
      <c r="J749" s="111" t="inlineStr">
        <is>
          <t>https://www.linkedin.com/in/dan-schatzman-23345570/</t>
        </is>
      </c>
      <c r="K749" s="426" t="inlineStr">
        <is>
          <t>John Quinn</t>
        </is>
      </c>
      <c r="L749" s="426" t="inlineStr">
        <is>
          <t>Follow Up</t>
        </is>
      </c>
      <c r="M749" s="425" t="inlineStr">
        <is>
          <t>Space / Defense / Aerospace / Advanced Manufacturing</t>
        </is>
      </c>
      <c r="N749" s="426" t="inlineStr">
        <is>
          <t>Tier 2</t>
        </is>
      </c>
      <c r="O749" s="441" t="n">
        <v>45965</v>
      </c>
      <c r="P749" s="441" t="n">
        <v>45985</v>
      </c>
      <c r="Q749" s="425">
        <f>IF(P749="","",TODAY()-P749)</f>
        <v/>
      </c>
      <c r="R749" s="441">
        <f>IF(OR(L749="Passed",Z749=""),"",P749+Z749)</f>
        <v/>
      </c>
      <c r="S749" s="425">
        <f>IF(OR(R749="",L749="Passed"),"",IF(R749&lt;=TODAY(),"DUE",IF(R749&lt;=TODAY()+3,"Next 3 Days","Later")))</f>
        <v/>
      </c>
      <c r="T749" s="425" t="inlineStr"/>
      <c r="U749" s="426" t="inlineStr">
        <is>
          <t>https://www.linkedin.com/in/dan-schatzman-23345570/</t>
        </is>
      </c>
      <c r="V749" s="426" t="inlineStr"/>
      <c r="W749" s="428" t="inlineStr">
        <is>
          <t xml:space="preserve"> | 12/30/2026 | </t>
        </is>
      </c>
      <c r="X749" s="425" t="inlineStr">
        <is>
          <t>John - Investor Contacts!822</t>
        </is>
      </c>
      <c r="Y749" s="426" t="inlineStr">
        <is>
          <t>Send next follow-up with traction + CTA</t>
        </is>
      </c>
      <c r="Z749" s="425" t="n">
        <v>7</v>
      </c>
      <c r="AA749" s="425">
        <f>IF(AC749="Archived",0,ROUND((IF(N749="Tier 1",35,IF(N749="Tier 2",20,8))+IF(C749="Financial Investor",15,IF(C749="Intermediary / Banker",12,8))+IF(L749="Term Sheet / Proposal",25,IF(L749="Engaged",20,IF(L749="Meeting Requested",18,IF(L749="Meeting Held",14,IF(L749="Follow Up",10,5)))))+MIN(Q749,30)+IF(S749="DUE",15,IF(S749="Next 3 Days",8,0))),0))</f>
        <v/>
      </c>
      <c r="AB749" s="425">
        <f>IF(AND(AC749="Active",OR(N749="Tier 1",N749="Tier 2"),OR(S749="DUE",S749="Next 3 Days")),"YES","")</f>
        <v/>
      </c>
      <c r="AC749" s="425">
        <f>IF(L749="Passed","Archived","Active")</f>
        <v/>
      </c>
    </row>
    <row r="750">
      <c r="A750" s="425" t="inlineStr">
        <is>
          <t>EXOS-0749</t>
        </is>
      </c>
      <c r="B750" s="425" t="inlineStr">
        <is>
          <t>John - Investor Contacts</t>
        </is>
      </c>
      <c r="C750" s="425" t="inlineStr">
        <is>
          <t>Financial Investor</t>
        </is>
      </c>
      <c r="D750" s="425" t="inlineStr">
        <is>
          <t>Space Fund</t>
        </is>
      </c>
      <c r="E750" s="425" t="inlineStr">
        <is>
          <t>Meagan Murphy Crawford</t>
        </is>
      </c>
      <c r="F750" s="425" t="inlineStr"/>
      <c r="G750" s="111" t="inlineStr">
        <is>
          <t>meagan@spacefund.com</t>
        </is>
      </c>
      <c r="H750" s="425" t="inlineStr"/>
      <c r="I750" s="425" t="inlineStr"/>
      <c r="J750" s="111" t="inlineStr">
        <is>
          <t>https://www.linkedin.com/in/meagan/</t>
        </is>
      </c>
      <c r="K750" s="426" t="inlineStr">
        <is>
          <t>John Quinn</t>
        </is>
      </c>
      <c r="L750" s="426" t="inlineStr">
        <is>
          <t>Follow Up</t>
        </is>
      </c>
      <c r="M750" s="425" t="inlineStr">
        <is>
          <t>Space / Defense / Aerospace / Advanced Manufacturing</t>
        </is>
      </c>
      <c r="N750" s="426" t="inlineStr">
        <is>
          <t>Tier 2</t>
        </is>
      </c>
      <c r="O750" s="441" t="n">
        <v>45965</v>
      </c>
      <c r="P750" s="441" t="n">
        <v>45985</v>
      </c>
      <c r="Q750" s="425">
        <f>IF(P750="","",TODAY()-P750)</f>
        <v/>
      </c>
      <c r="R750" s="441">
        <f>IF(OR(L750="Passed",Z750=""),"",P750+Z750)</f>
        <v/>
      </c>
      <c r="S750" s="425">
        <f>IF(OR(R750="",L750="Passed"),"",IF(R750&lt;=TODAY(),"DUE",IF(R750&lt;=TODAY()+3,"Next 3 Days","Later")))</f>
        <v/>
      </c>
      <c r="T750" s="425" t="inlineStr"/>
      <c r="U750" s="426" t="inlineStr">
        <is>
          <t>https://www.linkedin.com/in/meagan/</t>
        </is>
      </c>
      <c r="V750" s="426" t="inlineStr"/>
      <c r="W750" s="428" t="inlineStr">
        <is>
          <t xml:space="preserve"> | 12/30/2025 | </t>
        </is>
      </c>
      <c r="X750" s="425" t="inlineStr">
        <is>
          <t>John - Investor Contacts!823</t>
        </is>
      </c>
      <c r="Y750" s="426" t="inlineStr">
        <is>
          <t>Send next follow-up with traction + CTA</t>
        </is>
      </c>
      <c r="Z750" s="425" t="n">
        <v>7</v>
      </c>
      <c r="AA750" s="425">
        <f>IF(AC750="Archived",0,ROUND((IF(N750="Tier 1",35,IF(N750="Tier 2",20,8))+IF(C750="Financial Investor",15,IF(C750="Intermediary / Banker",12,8))+IF(L750="Term Sheet / Proposal",25,IF(L750="Engaged",20,IF(L750="Meeting Requested",18,IF(L750="Meeting Held",14,IF(L750="Follow Up",10,5)))))+MIN(Q750,30)+IF(S750="DUE",15,IF(S750="Next 3 Days",8,0))),0))</f>
        <v/>
      </c>
      <c r="AB750" s="425">
        <f>IF(AND(AC750="Active",OR(N750="Tier 1",N750="Tier 2"),OR(S750="DUE",S750="Next 3 Days")),"YES","")</f>
        <v/>
      </c>
      <c r="AC750" s="425">
        <f>IF(L750="Passed","Archived","Active")</f>
        <v/>
      </c>
    </row>
    <row r="751">
      <c r="A751" s="425" t="inlineStr">
        <is>
          <t>EXOS-0750</t>
        </is>
      </c>
      <c r="B751" s="425" t="inlineStr">
        <is>
          <t>John - Investor Contacts</t>
        </is>
      </c>
      <c r="C751" s="425" t="inlineStr">
        <is>
          <t>Financial Investor</t>
        </is>
      </c>
      <c r="D751" s="425" t="inlineStr">
        <is>
          <t>Spark Capital</t>
        </is>
      </c>
      <c r="E751" s="425" t="inlineStr">
        <is>
          <t>Nabeel Hyatt</t>
        </is>
      </c>
      <c r="F751" s="425" t="inlineStr"/>
      <c r="G751" s="111" t="inlineStr">
        <is>
          <t>nabeel@sparkcapital.com</t>
        </is>
      </c>
      <c r="H751" s="425" t="inlineStr"/>
      <c r="I751" s="425" t="inlineStr"/>
      <c r="J751" s="111" t="inlineStr">
        <is>
          <t>https://www.linkedin.com/in/nabeelhyatt/</t>
        </is>
      </c>
      <c r="K751" s="426" t="inlineStr">
        <is>
          <t>John Quinn</t>
        </is>
      </c>
      <c r="L751" s="426" t="inlineStr">
        <is>
          <t>Follow Up</t>
        </is>
      </c>
      <c r="M751" s="425" t="inlineStr">
        <is>
          <t>Space / Defense / Aerospace / Advanced Manufacturing</t>
        </is>
      </c>
      <c r="N751" s="426" t="inlineStr">
        <is>
          <t>Tier 2</t>
        </is>
      </c>
      <c r="O751" s="441" t="n">
        <v>45791</v>
      </c>
      <c r="P751" s="441" t="n">
        <v>45841</v>
      </c>
      <c r="Q751" s="425">
        <f>IF(P751="","",TODAY()-P751)</f>
        <v/>
      </c>
      <c r="R751" s="441">
        <f>IF(OR(L751="Passed",Z751=""),"",P751+Z751)</f>
        <v/>
      </c>
      <c r="S751" s="425">
        <f>IF(OR(R751="",L751="Passed"),"",IF(R751&lt;=TODAY(),"DUE",IF(R751&lt;=TODAY()+3,"Next 3 Days","Later")))</f>
        <v/>
      </c>
      <c r="T751" s="425" t="inlineStr"/>
      <c r="U751" s="426" t="inlineStr">
        <is>
          <t>https://www.linkedin.com/in/nabeelhyatt/</t>
        </is>
      </c>
      <c r="V751" s="426" t="inlineStr"/>
      <c r="W751" s="428" t="inlineStr">
        <is>
          <t xml:space="preserve"> |  | </t>
        </is>
      </c>
      <c r="X751" s="425" t="inlineStr">
        <is>
          <t>John - Investor Contacts!23</t>
        </is>
      </c>
      <c r="Y751" s="426" t="inlineStr">
        <is>
          <t>Send next follow-up with traction + CTA</t>
        </is>
      </c>
      <c r="Z751" s="425" t="n">
        <v>7</v>
      </c>
      <c r="AA751" s="425">
        <f>IF(AC751="Archived",0,ROUND((IF(N751="Tier 1",35,IF(N751="Tier 2",20,8))+IF(C751="Financial Investor",15,IF(C751="Intermediary / Banker",12,8))+IF(L751="Term Sheet / Proposal",25,IF(L751="Engaged",20,IF(L751="Meeting Requested",18,IF(L751="Meeting Held",14,IF(L751="Follow Up",10,5)))))+MIN(Q751,30)+IF(S751="DUE",15,IF(S751="Next 3 Days",8,0))),0))</f>
        <v/>
      </c>
      <c r="AB751" s="425">
        <f>IF(AND(AC751="Active",OR(N751="Tier 1",N751="Tier 2"),OR(S751="DUE",S751="Next 3 Days")),"YES","")</f>
        <v/>
      </c>
      <c r="AC751" s="425">
        <f>IF(L751="Passed","Archived","Active")</f>
        <v/>
      </c>
    </row>
    <row r="752">
      <c r="A752" s="425" t="inlineStr">
        <is>
          <t>EXOS-0751</t>
        </is>
      </c>
      <c r="B752" s="425" t="inlineStr">
        <is>
          <t>John - Investor Contacts</t>
        </is>
      </c>
      <c r="C752" s="425" t="inlineStr">
        <is>
          <t>Financial Investor</t>
        </is>
      </c>
      <c r="D752" s="425" t="inlineStr">
        <is>
          <t>Spark Capital</t>
        </is>
      </c>
      <c r="E752" s="425" t="inlineStr">
        <is>
          <t>Santo Politi</t>
        </is>
      </c>
      <c r="F752" s="425" t="inlineStr"/>
      <c r="G752" s="111" t="inlineStr">
        <is>
          <t>santo@sparkcapital.com</t>
        </is>
      </c>
      <c r="H752" s="425" t="inlineStr"/>
      <c r="I752" s="425" t="inlineStr"/>
      <c r="J752" s="111" t="inlineStr">
        <is>
          <t>https://www.linkedin.com/in/santopoliti/</t>
        </is>
      </c>
      <c r="K752" s="426" t="inlineStr">
        <is>
          <t>John Quinn</t>
        </is>
      </c>
      <c r="L752" s="426" t="inlineStr">
        <is>
          <t>Follow Up</t>
        </is>
      </c>
      <c r="M752" s="425" t="inlineStr">
        <is>
          <t>Space / Defense / Aerospace / Advanced Manufacturing</t>
        </is>
      </c>
      <c r="N752" s="426" t="inlineStr">
        <is>
          <t>Tier 2</t>
        </is>
      </c>
      <c r="O752" s="441" t="n">
        <v>45791</v>
      </c>
      <c r="P752" s="441" t="n">
        <v>45841</v>
      </c>
      <c r="Q752" s="425">
        <f>IF(P752="","",TODAY()-P752)</f>
        <v/>
      </c>
      <c r="R752" s="441">
        <f>IF(OR(L752="Passed",Z752=""),"",P752+Z752)</f>
        <v/>
      </c>
      <c r="S752" s="425">
        <f>IF(OR(R752="",L752="Passed"),"",IF(R752&lt;=TODAY(),"DUE",IF(R752&lt;=TODAY()+3,"Next 3 Days","Later")))</f>
        <v/>
      </c>
      <c r="T752" s="425" t="inlineStr"/>
      <c r="U752" s="426" t="inlineStr">
        <is>
          <t>https://www.linkedin.com/in/santopoliti/</t>
        </is>
      </c>
      <c r="V752" s="426" t="inlineStr"/>
      <c r="W752" s="428" t="inlineStr">
        <is>
          <t xml:space="preserve">concerns over investment in potential competitor company |  | </t>
        </is>
      </c>
      <c r="X752" s="425" t="inlineStr">
        <is>
          <t>John - Investor Contacts!21</t>
        </is>
      </c>
      <c r="Y752" s="426" t="inlineStr">
        <is>
          <t>Send next follow-up with traction + CTA</t>
        </is>
      </c>
      <c r="Z752" s="425" t="n">
        <v>7</v>
      </c>
      <c r="AA752" s="425">
        <f>IF(AC752="Archived",0,ROUND((IF(N752="Tier 1",35,IF(N752="Tier 2",20,8))+IF(C752="Financial Investor",15,IF(C752="Intermediary / Banker",12,8))+IF(L752="Term Sheet / Proposal",25,IF(L752="Engaged",20,IF(L752="Meeting Requested",18,IF(L752="Meeting Held",14,IF(L752="Follow Up",10,5)))))+MIN(Q752,30)+IF(S752="DUE",15,IF(S752="Next 3 Days",8,0))),0))</f>
        <v/>
      </c>
      <c r="AB752" s="425">
        <f>IF(AND(AC752="Active",OR(N752="Tier 1",N752="Tier 2"),OR(S752="DUE",S752="Next 3 Days")),"YES","")</f>
        <v/>
      </c>
      <c r="AC752" s="425">
        <f>IF(L752="Passed","Archived","Active")</f>
        <v/>
      </c>
    </row>
    <row r="753">
      <c r="A753" s="425" t="inlineStr">
        <is>
          <t>EXOS-0752</t>
        </is>
      </c>
      <c r="B753" s="425" t="inlineStr">
        <is>
          <t>John - Investor Contacts</t>
        </is>
      </c>
      <c r="C753" s="425" t="inlineStr">
        <is>
          <t>Financial Investor</t>
        </is>
      </c>
      <c r="D753" s="425" t="inlineStr">
        <is>
          <t>Spark Capital</t>
        </is>
      </c>
      <c r="E753" s="425" t="inlineStr">
        <is>
          <t>Yasmin Razavi</t>
        </is>
      </c>
      <c r="F753" s="425" t="inlineStr"/>
      <c r="G753" s="111" t="inlineStr">
        <is>
          <t>yasmin@sparkcapital.com</t>
        </is>
      </c>
      <c r="H753" s="425" t="inlineStr"/>
      <c r="I753" s="425" t="inlineStr"/>
      <c r="J753" s="111" t="inlineStr">
        <is>
          <t>https://www.linkedin.com/in/yasminrazavi/</t>
        </is>
      </c>
      <c r="K753" s="426" t="inlineStr">
        <is>
          <t>John Quinn</t>
        </is>
      </c>
      <c r="L753" s="426" t="inlineStr">
        <is>
          <t>Follow Up</t>
        </is>
      </c>
      <c r="M753" s="425" t="inlineStr">
        <is>
          <t>Space / Defense / Aerospace / Advanced Manufacturing</t>
        </is>
      </c>
      <c r="N753" s="426" t="inlineStr">
        <is>
          <t>Tier 2</t>
        </is>
      </c>
      <c r="O753" s="441" t="n">
        <v>45791</v>
      </c>
      <c r="P753" s="441" t="n">
        <v>45841</v>
      </c>
      <c r="Q753" s="425">
        <f>IF(P753="","",TODAY()-P753)</f>
        <v/>
      </c>
      <c r="R753" s="441">
        <f>IF(OR(L753="Passed",Z753=""),"",P753+Z753)</f>
        <v/>
      </c>
      <c r="S753" s="425">
        <f>IF(OR(R753="",L753="Passed"),"",IF(R753&lt;=TODAY(),"DUE",IF(R753&lt;=TODAY()+3,"Next 3 Days","Later")))</f>
        <v/>
      </c>
      <c r="T753" s="425" t="inlineStr"/>
      <c r="U753" s="426" t="inlineStr">
        <is>
          <t>https://www.linkedin.com/in/yasminrazavi/</t>
        </is>
      </c>
      <c r="V753" s="426" t="inlineStr"/>
      <c r="W753" s="428" t="inlineStr">
        <is>
          <t xml:space="preserve"> |  | </t>
        </is>
      </c>
      <c r="X753" s="425" t="inlineStr">
        <is>
          <t>John - Investor Contacts!22</t>
        </is>
      </c>
      <c r="Y753" s="426" t="inlineStr">
        <is>
          <t>Send next follow-up with traction + CTA</t>
        </is>
      </c>
      <c r="Z753" s="425" t="n">
        <v>7</v>
      </c>
      <c r="AA753" s="425">
        <f>IF(AC753="Archived",0,ROUND((IF(N753="Tier 1",35,IF(N753="Tier 2",20,8))+IF(C753="Financial Investor",15,IF(C753="Intermediary / Banker",12,8))+IF(L753="Term Sheet / Proposal",25,IF(L753="Engaged",20,IF(L753="Meeting Requested",18,IF(L753="Meeting Held",14,IF(L753="Follow Up",10,5)))))+MIN(Q753,30)+IF(S753="DUE",15,IF(S753="Next 3 Days",8,0))),0))</f>
        <v/>
      </c>
      <c r="AB753" s="425">
        <f>IF(AND(AC753="Active",OR(N753="Tier 1",N753="Tier 2"),OR(S753="DUE",S753="Next 3 Days")),"YES","")</f>
        <v/>
      </c>
      <c r="AC753" s="425">
        <f>IF(L753="Passed","Archived","Active")</f>
        <v/>
      </c>
    </row>
    <row r="754">
      <c r="A754" s="425" t="inlineStr">
        <is>
          <t>EXOS-0753</t>
        </is>
      </c>
      <c r="B754" s="425" t="inlineStr">
        <is>
          <t>John - Investor Contacts</t>
        </is>
      </c>
      <c r="C754" s="425" t="inlineStr">
        <is>
          <t>Financial Investor</t>
        </is>
      </c>
      <c r="D754" s="425" t="inlineStr">
        <is>
          <t>Spring Mountain Capital</t>
        </is>
      </c>
      <c r="E754" s="425" t="inlineStr">
        <is>
          <t>Gregory P. Ho</t>
        </is>
      </c>
      <c r="F754" s="425" t="inlineStr"/>
      <c r="G754" s="111" t="inlineStr">
        <is>
          <t>gh@smcinvest.com</t>
        </is>
      </c>
      <c r="H754" s="425" t="inlineStr"/>
      <c r="I754" s="425" t="inlineStr"/>
      <c r="J754" s="111" t="inlineStr">
        <is>
          <t>https://www.linkedin.com/in/gregory-ho-68126215/</t>
        </is>
      </c>
      <c r="K754" s="426" t="inlineStr">
        <is>
          <t>John Quinn</t>
        </is>
      </c>
      <c r="L754" s="426" t="inlineStr">
        <is>
          <t>Follow Up</t>
        </is>
      </c>
      <c r="M754" s="425" t="inlineStr">
        <is>
          <t>Space / Defense / Aerospace / Advanced Manufacturing</t>
        </is>
      </c>
      <c r="N754" s="426" t="inlineStr">
        <is>
          <t>Tier 2</t>
        </is>
      </c>
      <c r="O754" s="441" t="n">
        <v>45848</v>
      </c>
      <c r="P754" s="441" t="n">
        <v>45861</v>
      </c>
      <c r="Q754" s="425">
        <f>IF(P754="","",TODAY()-P754)</f>
        <v/>
      </c>
      <c r="R754" s="441">
        <f>IF(OR(L754="Passed",Z754=""),"",P754+Z754)</f>
        <v/>
      </c>
      <c r="S754" s="425">
        <f>IF(OR(R754="",L754="Passed"),"",IF(R754&lt;=TODAY(),"DUE",IF(R754&lt;=TODAY()+3,"Next 3 Days","Later")))</f>
        <v/>
      </c>
      <c r="T754" s="425" t="inlineStr"/>
      <c r="U754" s="426" t="inlineStr">
        <is>
          <t>https://www.linkedin.com/in/gregory-ho-68126215/</t>
        </is>
      </c>
      <c r="V754" s="426" t="inlineStr"/>
      <c r="W754" s="428" t="inlineStr">
        <is>
          <t xml:space="preserve"> | 12/26/2025 | </t>
        </is>
      </c>
      <c r="X754" s="425" t="inlineStr">
        <is>
          <t>John - Investor Contacts!389</t>
        </is>
      </c>
      <c r="Y754" s="426" t="inlineStr">
        <is>
          <t>Send next follow-up with traction + CTA</t>
        </is>
      </c>
      <c r="Z754" s="425" t="n">
        <v>7</v>
      </c>
      <c r="AA754" s="425">
        <f>IF(AC754="Archived",0,ROUND((IF(N754="Tier 1",35,IF(N754="Tier 2",20,8))+IF(C754="Financial Investor",15,IF(C754="Intermediary / Banker",12,8))+IF(L754="Term Sheet / Proposal",25,IF(L754="Engaged",20,IF(L754="Meeting Requested",18,IF(L754="Meeting Held",14,IF(L754="Follow Up",10,5)))))+MIN(Q754,30)+IF(S754="DUE",15,IF(S754="Next 3 Days",8,0))),0))</f>
        <v/>
      </c>
      <c r="AB754" s="425">
        <f>IF(AND(AC754="Active",OR(N754="Tier 1",N754="Tier 2"),OR(S754="DUE",S754="Next 3 Days")),"YES","")</f>
        <v/>
      </c>
      <c r="AC754" s="425">
        <f>IF(L754="Passed","Archived","Active")</f>
        <v/>
      </c>
    </row>
    <row r="755">
      <c r="A755" s="425" t="inlineStr">
        <is>
          <t>EXOS-0754</t>
        </is>
      </c>
      <c r="B755" s="425" t="inlineStr">
        <is>
          <t>John - Investor Contacts</t>
        </is>
      </c>
      <c r="C755" s="425" t="inlineStr">
        <is>
          <t>Financial Investor</t>
        </is>
      </c>
      <c r="D755" s="425" t="inlineStr">
        <is>
          <t>Spring Mountain Capital</t>
        </is>
      </c>
      <c r="E755" s="425" t="inlineStr">
        <is>
          <t>Jack Januszewski</t>
        </is>
      </c>
      <c r="F755" s="425" t="inlineStr"/>
      <c r="G755" s="111" t="inlineStr">
        <is>
          <t>jjanuszewski@smcinvest.com</t>
        </is>
      </c>
      <c r="H755" s="425" t="inlineStr"/>
      <c r="I755" s="425" t="inlineStr"/>
      <c r="J755" s="111" t="inlineStr">
        <is>
          <t>https://www.linkedin.com/in/jjanuszewski/</t>
        </is>
      </c>
      <c r="K755" s="426" t="inlineStr">
        <is>
          <t>John Quinn</t>
        </is>
      </c>
      <c r="L755" s="426" t="inlineStr">
        <is>
          <t>Follow Up</t>
        </is>
      </c>
      <c r="M755" s="425" t="inlineStr">
        <is>
          <t>Space / Defense / Aerospace / Advanced Manufacturing</t>
        </is>
      </c>
      <c r="N755" s="426" t="inlineStr">
        <is>
          <t>Tier 2</t>
        </is>
      </c>
      <c r="O755" s="441" t="n">
        <v>45848</v>
      </c>
      <c r="P755" s="441" t="n">
        <v>45861</v>
      </c>
      <c r="Q755" s="425">
        <f>IF(P755="","",TODAY()-P755)</f>
        <v/>
      </c>
      <c r="R755" s="441">
        <f>IF(OR(L755="Passed",Z755=""),"",P755+Z755)</f>
        <v/>
      </c>
      <c r="S755" s="425">
        <f>IF(OR(R755="",L755="Passed"),"",IF(R755&lt;=TODAY(),"DUE",IF(R755&lt;=TODAY()+3,"Next 3 Days","Later")))</f>
        <v/>
      </c>
      <c r="T755" s="425" t="inlineStr"/>
      <c r="U755" s="426" t="inlineStr">
        <is>
          <t>https://www.linkedin.com/in/jjanuszewski/</t>
        </is>
      </c>
      <c r="V755" s="426" t="inlineStr"/>
      <c r="W755" s="428" t="inlineStr">
        <is>
          <t xml:space="preserve"> | 12/26/2025 | </t>
        </is>
      </c>
      <c r="X755" s="425" t="inlineStr">
        <is>
          <t>John - Investor Contacts!388</t>
        </is>
      </c>
      <c r="Y755" s="426" t="inlineStr">
        <is>
          <t>Send next follow-up with traction + CTA</t>
        </is>
      </c>
      <c r="Z755" s="425" t="n">
        <v>7</v>
      </c>
      <c r="AA755" s="425">
        <f>IF(AC755="Archived",0,ROUND((IF(N755="Tier 1",35,IF(N755="Tier 2",20,8))+IF(C755="Financial Investor",15,IF(C755="Intermediary / Banker",12,8))+IF(L755="Term Sheet / Proposal",25,IF(L755="Engaged",20,IF(L755="Meeting Requested",18,IF(L755="Meeting Held",14,IF(L755="Follow Up",10,5)))))+MIN(Q755,30)+IF(S755="DUE",15,IF(S755="Next 3 Days",8,0))),0))</f>
        <v/>
      </c>
      <c r="AB755" s="425">
        <f>IF(AND(AC755="Active",OR(N755="Tier 1",N755="Tier 2"),OR(S755="DUE",S755="Next 3 Days")),"YES","")</f>
        <v/>
      </c>
      <c r="AC755" s="425">
        <f>IF(L755="Passed","Archived","Active")</f>
        <v/>
      </c>
    </row>
    <row r="756">
      <c r="A756" s="425" t="inlineStr">
        <is>
          <t>EXOS-0755</t>
        </is>
      </c>
      <c r="B756" s="425" t="inlineStr">
        <is>
          <t>John - Investor Contacts</t>
        </is>
      </c>
      <c r="C756" s="425" t="inlineStr">
        <is>
          <t>Financial Investor</t>
        </is>
      </c>
      <c r="D756" s="425" t="inlineStr">
        <is>
          <t>Sputnik ATX VC</t>
        </is>
      </c>
      <c r="E756" s="425" t="inlineStr">
        <is>
          <t>Oksana Malysheva</t>
        </is>
      </c>
      <c r="F756" s="425" t="inlineStr"/>
      <c r="G756" s="111" t="inlineStr">
        <is>
          <t>oksana@sputnikatx.com</t>
        </is>
      </c>
      <c r="H756" s="425" t="inlineStr"/>
      <c r="I756" s="425" t="inlineStr"/>
      <c r="J756" s="425" t="inlineStr"/>
      <c r="K756" s="426" t="inlineStr">
        <is>
          <t>John Quinn</t>
        </is>
      </c>
      <c r="L756" s="426" t="inlineStr">
        <is>
          <t>Follow Up</t>
        </is>
      </c>
      <c r="M756" s="425" t="inlineStr">
        <is>
          <t>Space / Defense / Aerospace / Advanced Manufacturing</t>
        </is>
      </c>
      <c r="N756" s="426" t="inlineStr">
        <is>
          <t>Tier 2</t>
        </is>
      </c>
      <c r="O756" s="441" t="n">
        <v>45805</v>
      </c>
      <c r="P756" s="441" t="n">
        <v>45841</v>
      </c>
      <c r="Q756" s="425">
        <f>IF(P756="","",TODAY()-P756)</f>
        <v/>
      </c>
      <c r="R756" s="441">
        <f>IF(OR(L756="Passed",Z756=""),"",P756+Z756)</f>
        <v/>
      </c>
      <c r="S756" s="425">
        <f>IF(OR(R756="",L756="Passed"),"",IF(R756&lt;=TODAY(),"DUE",IF(R756&lt;=TODAY()+3,"Next 3 Days","Later")))</f>
        <v/>
      </c>
      <c r="T756" s="425" t="inlineStr"/>
      <c r="U756" s="426" t="inlineStr"/>
      <c r="V756" s="426" t="inlineStr"/>
      <c r="W756" s="428" t="inlineStr">
        <is>
          <t xml:space="preserve"> |  | </t>
        </is>
      </c>
      <c r="X756" s="425" t="inlineStr">
        <is>
          <t>John - Investor Contacts!89</t>
        </is>
      </c>
      <c r="Y756" s="426" t="inlineStr">
        <is>
          <t>Send next follow-up with traction + CTA</t>
        </is>
      </c>
      <c r="Z756" s="425" t="n">
        <v>7</v>
      </c>
      <c r="AA756" s="425">
        <f>IF(AC756="Archived",0,ROUND((IF(N756="Tier 1",35,IF(N756="Tier 2",20,8))+IF(C756="Financial Investor",15,IF(C756="Intermediary / Banker",12,8))+IF(L756="Term Sheet / Proposal",25,IF(L756="Engaged",20,IF(L756="Meeting Requested",18,IF(L756="Meeting Held",14,IF(L756="Follow Up",10,5)))))+MIN(Q756,30)+IF(S756="DUE",15,IF(S756="Next 3 Days",8,0))),0))</f>
        <v/>
      </c>
      <c r="AB756" s="425">
        <f>IF(AND(AC756="Active",OR(N756="Tier 1",N756="Tier 2"),OR(S756="DUE",S756="Next 3 Days")),"YES","")</f>
        <v/>
      </c>
      <c r="AC756" s="425">
        <f>IF(L756="Passed","Archived","Active")</f>
        <v/>
      </c>
    </row>
    <row r="757">
      <c r="A757" s="425" t="inlineStr">
        <is>
          <t>EXOS-0756</t>
        </is>
      </c>
      <c r="B757" s="425" t="inlineStr">
        <is>
          <t>John - Investor Contacts</t>
        </is>
      </c>
      <c r="C757" s="425" t="inlineStr">
        <is>
          <t>Financial Investor</t>
        </is>
      </c>
      <c r="D757" s="425" t="inlineStr">
        <is>
          <t>Stage2 Capital</t>
        </is>
      </c>
      <c r="E757" s="425" t="inlineStr">
        <is>
          <t>Jay Po</t>
        </is>
      </c>
      <c r="F757" s="425" t="inlineStr"/>
      <c r="G757" s="111" t="inlineStr">
        <is>
          <t>jay@stage2.capital</t>
        </is>
      </c>
      <c r="H757" s="425" t="inlineStr"/>
      <c r="I757" s="425" t="inlineStr"/>
      <c r="J757" s="425" t="inlineStr"/>
      <c r="K757" s="426" t="inlineStr">
        <is>
          <t>John Quinn</t>
        </is>
      </c>
      <c r="L757" s="426" t="inlineStr">
        <is>
          <t>Follow Up</t>
        </is>
      </c>
      <c r="M757" s="425" t="inlineStr">
        <is>
          <t>Space / Defense / Aerospace / Advanced Manufacturing</t>
        </is>
      </c>
      <c r="N757" s="426" t="inlineStr">
        <is>
          <t>Tier 2</t>
        </is>
      </c>
      <c r="O757" s="441" t="n">
        <v>45839</v>
      </c>
      <c r="P757" s="441" t="n">
        <v>45861</v>
      </c>
      <c r="Q757" s="425">
        <f>IF(P757="","",TODAY()-P757)</f>
        <v/>
      </c>
      <c r="R757" s="441">
        <f>IF(OR(L757="Passed",Z757=""),"",P757+Z757)</f>
        <v/>
      </c>
      <c r="S757" s="425">
        <f>IF(OR(R757="",L757="Passed"),"",IF(R757&lt;=TODAY(),"DUE",IF(R757&lt;=TODAY()+3,"Next 3 Days","Later")))</f>
        <v/>
      </c>
      <c r="T757" s="425" t="inlineStr"/>
      <c r="U757" s="426" t="inlineStr">
        <is>
          <t>linkedin.com/in/jaylpo</t>
        </is>
      </c>
      <c r="V757" s="426" t="inlineStr"/>
      <c r="W757" s="428" t="inlineStr">
        <is>
          <t xml:space="preserve"> | 12/26/2025 | </t>
        </is>
      </c>
      <c r="X757" s="425" t="inlineStr">
        <is>
          <t>John - Investor Contacts!298</t>
        </is>
      </c>
      <c r="Y757" s="426" t="inlineStr">
        <is>
          <t>Send next follow-up with traction + CTA</t>
        </is>
      </c>
      <c r="Z757" s="425" t="n">
        <v>7</v>
      </c>
      <c r="AA757" s="425">
        <f>IF(AC757="Archived",0,ROUND((IF(N757="Tier 1",35,IF(N757="Tier 2",20,8))+IF(C757="Financial Investor",15,IF(C757="Intermediary / Banker",12,8))+IF(L757="Term Sheet / Proposal",25,IF(L757="Engaged",20,IF(L757="Meeting Requested",18,IF(L757="Meeting Held",14,IF(L757="Follow Up",10,5)))))+MIN(Q757,30)+IF(S757="DUE",15,IF(S757="Next 3 Days",8,0))),0))</f>
        <v/>
      </c>
      <c r="AB757" s="425">
        <f>IF(AND(AC757="Active",OR(N757="Tier 1",N757="Tier 2"),OR(S757="DUE",S757="Next 3 Days")),"YES","")</f>
        <v/>
      </c>
      <c r="AC757" s="425">
        <f>IF(L757="Passed","Archived","Active")</f>
        <v/>
      </c>
    </row>
    <row r="758">
      <c r="A758" s="425" t="inlineStr">
        <is>
          <t>EXOS-0757</t>
        </is>
      </c>
      <c r="B758" s="425" t="inlineStr">
        <is>
          <t>John - Investor Contacts</t>
        </is>
      </c>
      <c r="C758" s="425" t="inlineStr">
        <is>
          <t>Financial Investor</t>
        </is>
      </c>
      <c r="D758" s="425" t="inlineStr">
        <is>
          <t>Stage2 Capital</t>
        </is>
      </c>
      <c r="E758" s="425" t="inlineStr">
        <is>
          <t>Liz Christo</t>
        </is>
      </c>
      <c r="F758" s="425" t="inlineStr"/>
      <c r="G758" s="111" t="inlineStr">
        <is>
          <t>liz@stage2.capital</t>
        </is>
      </c>
      <c r="H758" s="425" t="inlineStr"/>
      <c r="I758" s="425" t="inlineStr"/>
      <c r="J758" s="425" t="inlineStr"/>
      <c r="K758" s="426" t="inlineStr">
        <is>
          <t>John Quinn</t>
        </is>
      </c>
      <c r="L758" s="426" t="inlineStr">
        <is>
          <t>Follow Up</t>
        </is>
      </c>
      <c r="M758" s="425" t="inlineStr">
        <is>
          <t>Space / Defense / Aerospace / Advanced Manufacturing</t>
        </is>
      </c>
      <c r="N758" s="426" t="inlineStr">
        <is>
          <t>Tier 2</t>
        </is>
      </c>
      <c r="O758" s="441" t="n">
        <v>45839</v>
      </c>
      <c r="P758" s="441" t="n">
        <v>45861</v>
      </c>
      <c r="Q758" s="425">
        <f>IF(P758="","",TODAY()-P758)</f>
        <v/>
      </c>
      <c r="R758" s="441">
        <f>IF(OR(L758="Passed",Z758=""),"",P758+Z758)</f>
        <v/>
      </c>
      <c r="S758" s="425">
        <f>IF(OR(R758="",L758="Passed"),"",IF(R758&lt;=TODAY(),"DUE",IF(R758&lt;=TODAY()+3,"Next 3 Days","Later")))</f>
        <v/>
      </c>
      <c r="T758" s="425" t="inlineStr"/>
      <c r="U758" s="426" t="inlineStr">
        <is>
          <t>linkedin.com/in/lizchristo</t>
        </is>
      </c>
      <c r="V758" s="426" t="inlineStr"/>
      <c r="W758" s="428" t="inlineStr">
        <is>
          <t xml:space="preserve"> | 12/26/2025 | </t>
        </is>
      </c>
      <c r="X758" s="425" t="inlineStr">
        <is>
          <t>John - Investor Contacts!297</t>
        </is>
      </c>
      <c r="Y758" s="426" t="inlineStr">
        <is>
          <t>Send next follow-up with traction + CTA</t>
        </is>
      </c>
      <c r="Z758" s="425" t="n">
        <v>7</v>
      </c>
      <c r="AA758" s="425">
        <f>IF(AC758="Archived",0,ROUND((IF(N758="Tier 1",35,IF(N758="Tier 2",20,8))+IF(C758="Financial Investor",15,IF(C758="Intermediary / Banker",12,8))+IF(L758="Term Sheet / Proposal",25,IF(L758="Engaged",20,IF(L758="Meeting Requested",18,IF(L758="Meeting Held",14,IF(L758="Follow Up",10,5)))))+MIN(Q758,30)+IF(S758="DUE",15,IF(S758="Next 3 Days",8,0))),0))</f>
        <v/>
      </c>
      <c r="AB758" s="425">
        <f>IF(AND(AC758="Active",OR(N758="Tier 1",N758="Tier 2"),OR(S758="DUE",S758="Next 3 Days")),"YES","")</f>
        <v/>
      </c>
      <c r="AC758" s="425">
        <f>IF(L758="Passed","Archived","Active")</f>
        <v/>
      </c>
    </row>
    <row r="759">
      <c r="A759" s="425" t="inlineStr">
        <is>
          <t>EXOS-0758</t>
        </is>
      </c>
      <c r="B759" s="425" t="inlineStr">
        <is>
          <t>John - Investor Contacts</t>
        </is>
      </c>
      <c r="C759" s="425" t="inlineStr">
        <is>
          <t>Financial Investor</t>
        </is>
      </c>
      <c r="D759" s="425" t="inlineStr">
        <is>
          <t>Stage2 Capital</t>
        </is>
      </c>
      <c r="E759" s="425" t="inlineStr">
        <is>
          <t>Mark Roberge</t>
        </is>
      </c>
      <c r="F759" s="425" t="inlineStr"/>
      <c r="G759" s="111" t="inlineStr">
        <is>
          <t>mark@stage2.capital</t>
        </is>
      </c>
      <c r="H759" s="425" t="inlineStr"/>
      <c r="I759" s="425" t="inlineStr"/>
      <c r="J759" s="111" t="inlineStr">
        <is>
          <t>https://www.linkedin.com/in/markroberge/</t>
        </is>
      </c>
      <c r="K759" s="426" t="inlineStr">
        <is>
          <t>John Quinn</t>
        </is>
      </c>
      <c r="L759" s="426" t="inlineStr">
        <is>
          <t>Follow Up</t>
        </is>
      </c>
      <c r="M759" s="425" t="inlineStr">
        <is>
          <t>Space / Defense / Aerospace / Advanced Manufacturing</t>
        </is>
      </c>
      <c r="N759" s="426" t="inlineStr">
        <is>
          <t>Tier 2</t>
        </is>
      </c>
      <c r="O759" s="441" t="n">
        <v>45839</v>
      </c>
      <c r="P759" s="441" t="n">
        <v>45861</v>
      </c>
      <c r="Q759" s="425">
        <f>IF(P759="","",TODAY()-P759)</f>
        <v/>
      </c>
      <c r="R759" s="441">
        <f>IF(OR(L759="Passed",Z759=""),"",P759+Z759)</f>
        <v/>
      </c>
      <c r="S759" s="425">
        <f>IF(OR(R759="",L759="Passed"),"",IF(R759&lt;=TODAY(),"DUE",IF(R759&lt;=TODAY()+3,"Next 3 Days","Later")))</f>
        <v/>
      </c>
      <c r="T759" s="425" t="inlineStr"/>
      <c r="U759" s="426" t="inlineStr">
        <is>
          <t>https://www.linkedin.com/in/markroberge/</t>
        </is>
      </c>
      <c r="V759" s="426" t="inlineStr"/>
      <c r="W759" s="428" t="inlineStr">
        <is>
          <t xml:space="preserve"> | 12/26/2025 | online application: https://www.stage2.capital/seek-capital</t>
        </is>
      </c>
      <c r="X759" s="425" t="inlineStr">
        <is>
          <t>John - Investor Contacts!295</t>
        </is>
      </c>
      <c r="Y759" s="426" t="inlineStr">
        <is>
          <t>Send next follow-up with traction + CTA</t>
        </is>
      </c>
      <c r="Z759" s="425" t="n">
        <v>7</v>
      </c>
      <c r="AA759" s="425">
        <f>IF(AC759="Archived",0,ROUND((IF(N759="Tier 1",35,IF(N759="Tier 2",20,8))+IF(C759="Financial Investor",15,IF(C759="Intermediary / Banker",12,8))+IF(L759="Term Sheet / Proposal",25,IF(L759="Engaged",20,IF(L759="Meeting Requested",18,IF(L759="Meeting Held",14,IF(L759="Follow Up",10,5)))))+MIN(Q759,30)+IF(S759="DUE",15,IF(S759="Next 3 Days",8,0))),0))</f>
        <v/>
      </c>
      <c r="AB759" s="425">
        <f>IF(AND(AC759="Active",OR(N759="Tier 1",N759="Tier 2"),OR(S759="DUE",S759="Next 3 Days")),"YES","")</f>
        <v/>
      </c>
      <c r="AC759" s="425">
        <f>IF(L759="Passed","Archived","Active")</f>
        <v/>
      </c>
    </row>
    <row r="760">
      <c r="A760" s="425" t="inlineStr">
        <is>
          <t>EXOS-0759</t>
        </is>
      </c>
      <c r="B760" s="425" t="inlineStr">
        <is>
          <t>John - Investor Contacts</t>
        </is>
      </c>
      <c r="C760" s="425" t="inlineStr">
        <is>
          <t>Financial Investor</t>
        </is>
      </c>
      <c r="D760" s="425" t="inlineStr">
        <is>
          <t>Stage2 Capital</t>
        </is>
      </c>
      <c r="E760" s="425" t="inlineStr">
        <is>
          <t>Sakib Dadi</t>
        </is>
      </c>
      <c r="F760" s="425" t="inlineStr"/>
      <c r="G760" s="111" t="inlineStr">
        <is>
          <t>sakib@stage2.capital</t>
        </is>
      </c>
      <c r="H760" s="425" t="inlineStr"/>
      <c r="I760" s="425" t="inlineStr"/>
      <c r="J760" s="425" t="inlineStr"/>
      <c r="K760" s="426" t="inlineStr">
        <is>
          <t>John Quinn</t>
        </is>
      </c>
      <c r="L760" s="426" t="inlineStr">
        <is>
          <t>Follow Up</t>
        </is>
      </c>
      <c r="M760" s="425" t="inlineStr">
        <is>
          <t>Space / Defense / Aerospace / Advanced Manufacturing</t>
        </is>
      </c>
      <c r="N760" s="426" t="inlineStr">
        <is>
          <t>Tier 2</t>
        </is>
      </c>
      <c r="O760" s="441" t="n">
        <v>45839</v>
      </c>
      <c r="P760" s="441" t="n">
        <v>45861</v>
      </c>
      <c r="Q760" s="425">
        <f>IF(P760="","",TODAY()-P760)</f>
        <v/>
      </c>
      <c r="R760" s="441">
        <f>IF(OR(L760="Passed",Z760=""),"",P760+Z760)</f>
        <v/>
      </c>
      <c r="S760" s="425">
        <f>IF(OR(R760="",L760="Passed"),"",IF(R760&lt;=TODAY(),"DUE",IF(R760&lt;=TODAY()+3,"Next 3 Days","Later")))</f>
        <v/>
      </c>
      <c r="T760" s="425" t="inlineStr"/>
      <c r="U760" s="426" t="inlineStr">
        <is>
          <t>linkedin.com/in/sakibdadi</t>
        </is>
      </c>
      <c r="V760" s="426" t="inlineStr"/>
      <c r="W760" s="428" t="inlineStr">
        <is>
          <t xml:space="preserve"> | 12/26/2025 | </t>
        </is>
      </c>
      <c r="X760" s="425" t="inlineStr">
        <is>
          <t>John - Investor Contacts!296</t>
        </is>
      </c>
      <c r="Y760" s="426" t="inlineStr">
        <is>
          <t>Send next follow-up with traction + CTA</t>
        </is>
      </c>
      <c r="Z760" s="425" t="n">
        <v>7</v>
      </c>
      <c r="AA760" s="425">
        <f>IF(AC760="Archived",0,ROUND((IF(N760="Tier 1",35,IF(N760="Tier 2",20,8))+IF(C760="Financial Investor",15,IF(C760="Intermediary / Banker",12,8))+IF(L760="Term Sheet / Proposal",25,IF(L760="Engaged",20,IF(L760="Meeting Requested",18,IF(L760="Meeting Held",14,IF(L760="Follow Up",10,5)))))+MIN(Q760,30)+IF(S760="DUE",15,IF(S760="Next 3 Days",8,0))),0))</f>
        <v/>
      </c>
      <c r="AB760" s="425">
        <f>IF(AND(AC760="Active",OR(N760="Tier 1",N760="Tier 2"),OR(S760="DUE",S760="Next 3 Days")),"YES","")</f>
        <v/>
      </c>
      <c r="AC760" s="425">
        <f>IF(L760="Passed","Archived","Active")</f>
        <v/>
      </c>
    </row>
    <row r="761">
      <c r="A761" s="425" t="inlineStr">
        <is>
          <t>EXOS-0760</t>
        </is>
      </c>
      <c r="B761" s="425" t="inlineStr">
        <is>
          <t>John - Investor Contacts</t>
        </is>
      </c>
      <c r="C761" s="425" t="inlineStr">
        <is>
          <t>Financial Investor</t>
        </is>
      </c>
      <c r="D761" s="425" t="inlineStr">
        <is>
          <t>Starburst Aero</t>
        </is>
      </c>
      <c r="E761" s="425" t="inlineStr">
        <is>
          <t>François Chopard</t>
        </is>
      </c>
      <c r="F761" s="425" t="inlineStr"/>
      <c r="G761" s="111" t="inlineStr">
        <is>
          <t>chopard@starburst.aero</t>
        </is>
      </c>
      <c r="H761" s="425" t="inlineStr"/>
      <c r="I761" s="425" t="inlineStr"/>
      <c r="J761" s="111" t="inlineStr">
        <is>
          <t>https://www.linkedin.com/in/francoischopard/</t>
        </is>
      </c>
      <c r="K761" s="426" t="inlineStr">
        <is>
          <t>John Quinn</t>
        </is>
      </c>
      <c r="L761" s="426" t="inlineStr">
        <is>
          <t>Follow Up</t>
        </is>
      </c>
      <c r="M761" s="425" t="inlineStr">
        <is>
          <t>Space / Defense / Aerospace / Advanced Manufacturing</t>
        </is>
      </c>
      <c r="N761" s="426" t="inlineStr">
        <is>
          <t>Tier 2</t>
        </is>
      </c>
      <c r="O761" s="441" t="n">
        <v>45967</v>
      </c>
      <c r="P761" s="441" t="n">
        <v>45985</v>
      </c>
      <c r="Q761" s="425">
        <f>IF(P761="","",TODAY()-P761)</f>
        <v/>
      </c>
      <c r="R761" s="441">
        <f>IF(OR(L761="Passed",Z761=""),"",P761+Z761)</f>
        <v/>
      </c>
      <c r="S761" s="425">
        <f>IF(OR(R761="",L761="Passed"),"",IF(R761&lt;=TODAY(),"DUE",IF(R761&lt;=TODAY()+3,"Next 3 Days","Later")))</f>
        <v/>
      </c>
      <c r="T761" s="425" t="inlineStr"/>
      <c r="U761" s="426" t="inlineStr">
        <is>
          <t>https://www.linkedin.com/in/francoischopard/</t>
        </is>
      </c>
      <c r="V761" s="426" t="inlineStr"/>
      <c r="W761" s="428" t="inlineStr">
        <is>
          <t xml:space="preserve"> | 01/14/2026 | </t>
        </is>
      </c>
      <c r="X761" s="425" t="inlineStr">
        <is>
          <t>John - Investor Contacts!842</t>
        </is>
      </c>
      <c r="Y761" s="426" t="inlineStr">
        <is>
          <t>Send next follow-up with traction + CTA</t>
        </is>
      </c>
      <c r="Z761" s="425" t="n">
        <v>7</v>
      </c>
      <c r="AA761" s="425">
        <f>IF(AC761="Archived",0,ROUND((IF(N761="Tier 1",35,IF(N761="Tier 2",20,8))+IF(C761="Financial Investor",15,IF(C761="Intermediary / Banker",12,8))+IF(L761="Term Sheet / Proposal",25,IF(L761="Engaged",20,IF(L761="Meeting Requested",18,IF(L761="Meeting Held",14,IF(L761="Follow Up",10,5)))))+MIN(Q761,30)+IF(S761="DUE",15,IF(S761="Next 3 Days",8,0))),0))</f>
        <v/>
      </c>
      <c r="AB761" s="425">
        <f>IF(AND(AC761="Active",OR(N761="Tier 1",N761="Tier 2"),OR(S761="DUE",S761="Next 3 Days")),"YES","")</f>
        <v/>
      </c>
      <c r="AC761" s="425">
        <f>IF(L761="Passed","Archived","Active")</f>
        <v/>
      </c>
    </row>
    <row r="762">
      <c r="A762" s="425" t="inlineStr">
        <is>
          <t>EXOS-0761</t>
        </is>
      </c>
      <c r="B762" s="425" t="inlineStr">
        <is>
          <t>John - Investor Contacts</t>
        </is>
      </c>
      <c r="C762" s="425" t="inlineStr">
        <is>
          <t>Financial Investor</t>
        </is>
      </c>
      <c r="D762" s="425" t="inlineStr">
        <is>
          <t>Starburst Aero</t>
        </is>
      </c>
      <c r="E762" s="425" t="inlineStr">
        <is>
          <t>Ilan Rozenkopf</t>
        </is>
      </c>
      <c r="F762" s="425" t="inlineStr"/>
      <c r="G762" s="111" t="inlineStr">
        <is>
          <t>ilan@starburst.aero</t>
        </is>
      </c>
      <c r="H762" s="425" t="inlineStr"/>
      <c r="I762" s="425" t="inlineStr"/>
      <c r="J762" s="111" t="inlineStr">
        <is>
          <t>https://www.linkedin.com/in/ilan-rozenkopf-77a15810/</t>
        </is>
      </c>
      <c r="K762" s="426" t="inlineStr">
        <is>
          <t>John Quinn</t>
        </is>
      </c>
      <c r="L762" s="426" t="inlineStr">
        <is>
          <t>Follow Up</t>
        </is>
      </c>
      <c r="M762" s="425" t="inlineStr">
        <is>
          <t>Space / Defense / Aerospace / Advanced Manufacturing</t>
        </is>
      </c>
      <c r="N762" s="426" t="inlineStr">
        <is>
          <t>Tier 2</t>
        </is>
      </c>
      <c r="O762" s="441" t="n">
        <v>45967</v>
      </c>
      <c r="P762" s="441" t="n">
        <v>45985</v>
      </c>
      <c r="Q762" s="425">
        <f>IF(P762="","",TODAY()-P762)</f>
        <v/>
      </c>
      <c r="R762" s="441">
        <f>IF(OR(L762="Passed",Z762=""),"",P762+Z762)</f>
        <v/>
      </c>
      <c r="S762" s="425">
        <f>IF(OR(R762="",L762="Passed"),"",IF(R762&lt;=TODAY(),"DUE",IF(R762&lt;=TODAY()+3,"Next 3 Days","Later")))</f>
        <v/>
      </c>
      <c r="T762" s="425" t="inlineStr"/>
      <c r="U762" s="426" t="inlineStr">
        <is>
          <t>https://www.linkedin.com/in/ilan-rozenkopf-77a15810/</t>
        </is>
      </c>
      <c r="V762" s="426" t="inlineStr"/>
      <c r="W762" s="428" t="inlineStr">
        <is>
          <t xml:space="preserve"> | 01/14/2026 | </t>
        </is>
      </c>
      <c r="X762" s="425" t="inlineStr">
        <is>
          <t>John - Investor Contacts!843</t>
        </is>
      </c>
      <c r="Y762" s="426" t="inlineStr">
        <is>
          <t>Send next follow-up with traction + CTA</t>
        </is>
      </c>
      <c r="Z762" s="425" t="n">
        <v>7</v>
      </c>
      <c r="AA762" s="425">
        <f>IF(AC762="Archived",0,ROUND((IF(N762="Tier 1",35,IF(N762="Tier 2",20,8))+IF(C762="Financial Investor",15,IF(C762="Intermediary / Banker",12,8))+IF(L762="Term Sheet / Proposal",25,IF(L762="Engaged",20,IF(L762="Meeting Requested",18,IF(L762="Meeting Held",14,IF(L762="Follow Up",10,5)))))+MIN(Q762,30)+IF(S762="DUE",15,IF(S762="Next 3 Days",8,0))),0))</f>
        <v/>
      </c>
      <c r="AB762" s="425">
        <f>IF(AND(AC762="Active",OR(N762="Tier 1",N762="Tier 2"),OR(S762="DUE",S762="Next 3 Days")),"YES","")</f>
        <v/>
      </c>
      <c r="AC762" s="425">
        <f>IF(L762="Passed","Archived","Active")</f>
        <v/>
      </c>
    </row>
    <row r="763">
      <c r="A763" s="425" t="inlineStr">
        <is>
          <t>EXOS-0762</t>
        </is>
      </c>
      <c r="B763" s="425" t="inlineStr">
        <is>
          <t>John - Investor Contacts</t>
        </is>
      </c>
      <c r="C763" s="425" t="inlineStr">
        <is>
          <t>Financial Investor</t>
        </is>
      </c>
      <c r="D763" s="425" t="inlineStr">
        <is>
          <t>StartFast Ventures</t>
        </is>
      </c>
      <c r="E763" s="425" t="inlineStr">
        <is>
          <t>Chuck Stormon</t>
        </is>
      </c>
      <c r="F763" s="425" t="inlineStr"/>
      <c r="G763" s="111" t="inlineStr">
        <is>
          <t>chuck@startfastventures.com</t>
        </is>
      </c>
      <c r="H763" s="425" t="inlineStr"/>
      <c r="I763" s="425" t="inlineStr"/>
      <c r="J763" s="111" t="inlineStr">
        <is>
          <t>https://www.linkedin.com/in/chuckstormon</t>
        </is>
      </c>
      <c r="K763" s="426" t="inlineStr">
        <is>
          <t>John Quinn</t>
        </is>
      </c>
      <c r="L763" s="426" t="inlineStr">
        <is>
          <t>Follow Up</t>
        </is>
      </c>
      <c r="M763" s="425" t="inlineStr">
        <is>
          <t>Space / Defense / Aerospace / Advanced Manufacturing</t>
        </is>
      </c>
      <c r="N763" s="426" t="inlineStr">
        <is>
          <t>Tier 2</t>
        </is>
      </c>
      <c r="O763" s="441" t="n">
        <v>45841</v>
      </c>
      <c r="P763" s="441" t="n">
        <v>45861</v>
      </c>
      <c r="Q763" s="425">
        <f>IF(P763="","",TODAY()-P763)</f>
        <v/>
      </c>
      <c r="R763" s="441">
        <f>IF(OR(L763="Passed",Z763=""),"",P763+Z763)</f>
        <v/>
      </c>
      <c r="S763" s="425">
        <f>IF(OR(R763="",L763="Passed"),"",IF(R763&lt;=TODAY(),"DUE",IF(R763&lt;=TODAY()+3,"Next 3 Days","Later")))</f>
        <v/>
      </c>
      <c r="T763" s="425" t="inlineStr"/>
      <c r="U763" s="426" t="inlineStr">
        <is>
          <t>https://www.linkedin.com/in/chuckstormon</t>
        </is>
      </c>
      <c r="V763" s="426" t="inlineStr"/>
      <c r="W763" s="428" t="inlineStr">
        <is>
          <t xml:space="preserve"> | 12/26/2025 | </t>
        </is>
      </c>
      <c r="X763" s="425" t="inlineStr">
        <is>
          <t>John - Investor Contacts!345</t>
        </is>
      </c>
      <c r="Y763" s="426" t="inlineStr">
        <is>
          <t>Send next follow-up with traction + CTA</t>
        </is>
      </c>
      <c r="Z763" s="425" t="n">
        <v>7</v>
      </c>
      <c r="AA763" s="425">
        <f>IF(AC763="Archived",0,ROUND((IF(N763="Tier 1",35,IF(N763="Tier 2",20,8))+IF(C763="Financial Investor",15,IF(C763="Intermediary / Banker",12,8))+IF(L763="Term Sheet / Proposal",25,IF(L763="Engaged",20,IF(L763="Meeting Requested",18,IF(L763="Meeting Held",14,IF(L763="Follow Up",10,5)))))+MIN(Q763,30)+IF(S763="DUE",15,IF(S763="Next 3 Days",8,0))),0))</f>
        <v/>
      </c>
      <c r="AB763" s="425">
        <f>IF(AND(AC763="Active",OR(N763="Tier 1",N763="Tier 2"),OR(S763="DUE",S763="Next 3 Days")),"YES","")</f>
        <v/>
      </c>
      <c r="AC763" s="425">
        <f>IF(L763="Passed","Archived","Active")</f>
        <v/>
      </c>
    </row>
    <row r="764">
      <c r="A764" s="425" t="inlineStr">
        <is>
          <t>EXOS-0763</t>
        </is>
      </c>
      <c r="B764" s="425" t="inlineStr">
        <is>
          <t>John - Investor Contacts</t>
        </is>
      </c>
      <c r="C764" s="425" t="inlineStr">
        <is>
          <t>Financial Investor</t>
        </is>
      </c>
      <c r="D764" s="425" t="inlineStr">
        <is>
          <t>StartFast Ventures</t>
        </is>
      </c>
      <c r="E764" s="425" t="inlineStr">
        <is>
          <t>Nasir Ali</t>
        </is>
      </c>
      <c r="F764" s="425" t="inlineStr"/>
      <c r="G764" s="111" t="inlineStr">
        <is>
          <t>nasir@startfastventures.com</t>
        </is>
      </c>
      <c r="H764" s="425" t="inlineStr"/>
      <c r="I764" s="425" t="inlineStr"/>
      <c r="J764" s="425" t="inlineStr"/>
      <c r="K764" s="426" t="inlineStr">
        <is>
          <t>John Quinn</t>
        </is>
      </c>
      <c r="L764" s="426" t="inlineStr">
        <is>
          <t>Follow Up</t>
        </is>
      </c>
      <c r="M764" s="425" t="inlineStr">
        <is>
          <t>Space / Defense / Aerospace / Advanced Manufacturing</t>
        </is>
      </c>
      <c r="N764" s="426" t="inlineStr">
        <is>
          <t>Tier 2</t>
        </is>
      </c>
      <c r="O764" s="441" t="n">
        <v>45841</v>
      </c>
      <c r="P764" s="441" t="n">
        <v>45861</v>
      </c>
      <c r="Q764" s="425">
        <f>IF(P764="","",TODAY()-P764)</f>
        <v/>
      </c>
      <c r="R764" s="441">
        <f>IF(OR(L764="Passed",Z764=""),"",P764+Z764)</f>
        <v/>
      </c>
      <c r="S764" s="425">
        <f>IF(OR(R764="",L764="Passed"),"",IF(R764&lt;=TODAY(),"DUE",IF(R764&lt;=TODAY()+3,"Next 3 Days","Later")))</f>
        <v/>
      </c>
      <c r="T764" s="425" t="inlineStr"/>
      <c r="U764" s="426" t="inlineStr">
        <is>
          <t>linkedin.com/in/snasirali</t>
        </is>
      </c>
      <c r="V764" s="426" t="inlineStr"/>
      <c r="W764" s="428" t="inlineStr">
        <is>
          <t xml:space="preserve"> | 12/26/2025 | </t>
        </is>
      </c>
      <c r="X764" s="425" t="inlineStr">
        <is>
          <t>John - Investor Contacts!347</t>
        </is>
      </c>
      <c r="Y764" s="426" t="inlineStr">
        <is>
          <t>Send next follow-up with traction + CTA</t>
        </is>
      </c>
      <c r="Z764" s="425" t="n">
        <v>7</v>
      </c>
      <c r="AA764" s="425">
        <f>IF(AC764="Archived",0,ROUND((IF(N764="Tier 1",35,IF(N764="Tier 2",20,8))+IF(C764="Financial Investor",15,IF(C764="Intermediary / Banker",12,8))+IF(L764="Term Sheet / Proposal",25,IF(L764="Engaged",20,IF(L764="Meeting Requested",18,IF(L764="Meeting Held",14,IF(L764="Follow Up",10,5)))))+MIN(Q764,30)+IF(S764="DUE",15,IF(S764="Next 3 Days",8,0))),0))</f>
        <v/>
      </c>
      <c r="AB764" s="425">
        <f>IF(AND(AC764="Active",OR(N764="Tier 1",N764="Tier 2"),OR(S764="DUE",S764="Next 3 Days")),"YES","")</f>
        <v/>
      </c>
      <c r="AC764" s="425">
        <f>IF(L764="Passed","Archived","Active")</f>
        <v/>
      </c>
    </row>
    <row r="765">
      <c r="A765" s="425" t="inlineStr">
        <is>
          <t>EXOS-0764</t>
        </is>
      </c>
      <c r="B765" s="425" t="inlineStr">
        <is>
          <t>John - Investor Contacts</t>
        </is>
      </c>
      <c r="C765" s="425" t="inlineStr">
        <is>
          <t>Financial Investor</t>
        </is>
      </c>
      <c r="D765" s="425" t="inlineStr">
        <is>
          <t>StartFast Ventures</t>
        </is>
      </c>
      <c r="E765" s="425" t="inlineStr">
        <is>
          <t>Olivia Goldstein</t>
        </is>
      </c>
      <c r="F765" s="425" t="inlineStr"/>
      <c r="G765" s="111" t="inlineStr">
        <is>
          <t>olivia@startfastventures.com</t>
        </is>
      </c>
      <c r="H765" s="425" t="inlineStr"/>
      <c r="I765" s="425" t="inlineStr"/>
      <c r="J765" s="111" t="inlineStr">
        <is>
          <t>https://www.linkedin.com/in/oliviagoldstein/</t>
        </is>
      </c>
      <c r="K765" s="426" t="inlineStr">
        <is>
          <t>John Quinn</t>
        </is>
      </c>
      <c r="L765" s="426" t="inlineStr">
        <is>
          <t>Follow Up</t>
        </is>
      </c>
      <c r="M765" s="425" t="inlineStr">
        <is>
          <t>Space / Defense / Aerospace / Advanced Manufacturing</t>
        </is>
      </c>
      <c r="N765" s="426" t="inlineStr">
        <is>
          <t>Tier 2</t>
        </is>
      </c>
      <c r="O765" s="441" t="n">
        <v>45841</v>
      </c>
      <c r="P765" s="441" t="n">
        <v>45861</v>
      </c>
      <c r="Q765" s="425">
        <f>IF(P765="","",TODAY()-P765)</f>
        <v/>
      </c>
      <c r="R765" s="441">
        <f>IF(OR(L765="Passed",Z765=""),"",P765+Z765)</f>
        <v/>
      </c>
      <c r="S765" s="425">
        <f>IF(OR(R765="",L765="Passed"),"",IF(R765&lt;=TODAY(),"DUE",IF(R765&lt;=TODAY()+3,"Next 3 Days","Later")))</f>
        <v/>
      </c>
      <c r="T765" s="425" t="inlineStr"/>
      <c r="U765" s="426" t="inlineStr">
        <is>
          <t>https://www.linkedin.com/in/oliviagoldstein/</t>
        </is>
      </c>
      <c r="V765" s="426" t="inlineStr"/>
      <c r="W765" s="428" t="inlineStr">
        <is>
          <t xml:space="preserve"> | 12/26/2025 | </t>
        </is>
      </c>
      <c r="X765" s="425" t="inlineStr">
        <is>
          <t>John - Investor Contacts!346</t>
        </is>
      </c>
      <c r="Y765" s="426" t="inlineStr">
        <is>
          <t>Send next follow-up with traction + CTA</t>
        </is>
      </c>
      <c r="Z765" s="425" t="n">
        <v>7</v>
      </c>
      <c r="AA765" s="425">
        <f>IF(AC765="Archived",0,ROUND((IF(N765="Tier 1",35,IF(N765="Tier 2",20,8))+IF(C765="Financial Investor",15,IF(C765="Intermediary / Banker",12,8))+IF(L765="Term Sheet / Proposal",25,IF(L765="Engaged",20,IF(L765="Meeting Requested",18,IF(L765="Meeting Held",14,IF(L765="Follow Up",10,5)))))+MIN(Q765,30)+IF(S765="DUE",15,IF(S765="Next 3 Days",8,0))),0))</f>
        <v/>
      </c>
      <c r="AB765" s="425">
        <f>IF(AND(AC765="Active",OR(N765="Tier 1",N765="Tier 2"),OR(S765="DUE",S765="Next 3 Days")),"YES","")</f>
        <v/>
      </c>
      <c r="AC765" s="425">
        <f>IF(L765="Passed","Archived","Active")</f>
        <v/>
      </c>
    </row>
    <row r="766">
      <c r="A766" s="425" t="inlineStr">
        <is>
          <t>EXOS-0765</t>
        </is>
      </c>
      <c r="B766" s="425" t="inlineStr">
        <is>
          <t>John - Investor Contacts</t>
        </is>
      </c>
      <c r="C766" s="425" t="inlineStr">
        <is>
          <t>Financial Investor</t>
        </is>
      </c>
      <c r="D766" s="425" t="inlineStr">
        <is>
          <t>Structure Capital</t>
        </is>
      </c>
      <c r="E766" s="425" t="inlineStr">
        <is>
          <t>Jacob Shea</t>
        </is>
      </c>
      <c r="F766" s="425" t="inlineStr"/>
      <c r="G766" s="111" t="inlineStr">
        <is>
          <t>jacob@structure.vc</t>
        </is>
      </c>
      <c r="H766" s="425" t="inlineStr"/>
      <c r="I766" s="425" t="inlineStr"/>
      <c r="J766" s="425" t="inlineStr"/>
      <c r="K766" s="426" t="inlineStr">
        <is>
          <t>John Quinn</t>
        </is>
      </c>
      <c r="L766" s="426" t="inlineStr">
        <is>
          <t>Follow Up</t>
        </is>
      </c>
      <c r="M766" s="425" t="inlineStr">
        <is>
          <t>Space / Defense / Aerospace / Advanced Manufacturing</t>
        </is>
      </c>
      <c r="N766" s="426" t="inlineStr">
        <is>
          <t>Tier 2</t>
        </is>
      </c>
      <c r="O766" s="441" t="n">
        <v>45953</v>
      </c>
      <c r="P766" s="441" t="n">
        <v>45985</v>
      </c>
      <c r="Q766" s="425">
        <f>IF(P766="","",TODAY()-P766)</f>
        <v/>
      </c>
      <c r="R766" s="441">
        <f>IF(OR(L766="Passed",Z766=""),"",P766+Z766)</f>
        <v/>
      </c>
      <c r="S766" s="425">
        <f>IF(OR(R766="",L766="Passed"),"",IF(R766&lt;=TODAY(),"DUE",IF(R766&lt;=TODAY()+3,"Next 3 Days","Later")))</f>
        <v/>
      </c>
      <c r="T766" s="425" t="inlineStr"/>
      <c r="U766" s="426" t="inlineStr">
        <is>
          <t>linkedin.com/in/jacobshea</t>
        </is>
      </c>
      <c r="V766" s="426" t="inlineStr"/>
      <c r="W766" s="428" t="inlineStr">
        <is>
          <t xml:space="preserve"> | 12/30/2025 | </t>
        </is>
      </c>
      <c r="X766" s="425" t="inlineStr">
        <is>
          <t>John - Investor Contacts!807</t>
        </is>
      </c>
      <c r="Y766" s="426" t="inlineStr">
        <is>
          <t>Send next follow-up with traction + CTA</t>
        </is>
      </c>
      <c r="Z766" s="425" t="n">
        <v>7</v>
      </c>
      <c r="AA766" s="425">
        <f>IF(AC766="Archived",0,ROUND((IF(N766="Tier 1",35,IF(N766="Tier 2",20,8))+IF(C766="Financial Investor",15,IF(C766="Intermediary / Banker",12,8))+IF(L766="Term Sheet / Proposal",25,IF(L766="Engaged",20,IF(L766="Meeting Requested",18,IF(L766="Meeting Held",14,IF(L766="Follow Up",10,5)))))+MIN(Q766,30)+IF(S766="DUE",15,IF(S766="Next 3 Days",8,0))),0))</f>
        <v/>
      </c>
      <c r="AB766" s="425">
        <f>IF(AND(AC766="Active",OR(N766="Tier 1",N766="Tier 2"),OR(S766="DUE",S766="Next 3 Days")),"YES","")</f>
        <v/>
      </c>
      <c r="AC766" s="425">
        <f>IF(L766="Passed","Archived","Active")</f>
        <v/>
      </c>
    </row>
    <row r="767">
      <c r="A767" s="425" t="inlineStr">
        <is>
          <t>EXOS-0766</t>
        </is>
      </c>
      <c r="B767" s="425" t="inlineStr">
        <is>
          <t>John - Investor Contacts</t>
        </is>
      </c>
      <c r="C767" s="425" t="inlineStr">
        <is>
          <t>Financial Investor</t>
        </is>
      </c>
      <c r="D767" s="425" t="inlineStr">
        <is>
          <t>Structure Capital</t>
        </is>
      </c>
      <c r="E767" s="425" t="inlineStr">
        <is>
          <t>Jilian Manus</t>
        </is>
      </c>
      <c r="F767" s="425" t="inlineStr"/>
      <c r="G767" s="111" t="inlineStr">
        <is>
          <t>jillian@structure.vc</t>
        </is>
      </c>
      <c r="H767" s="425" t="inlineStr"/>
      <c r="I767" s="425" t="inlineStr"/>
      <c r="J767" s="111" t="inlineStr">
        <is>
          <t>https://www.linkedin.com/in/jillian-manus-19112a13/</t>
        </is>
      </c>
      <c r="K767" s="426" t="inlineStr">
        <is>
          <t>John Quinn</t>
        </is>
      </c>
      <c r="L767" s="426" t="inlineStr">
        <is>
          <t>Follow Up</t>
        </is>
      </c>
      <c r="M767" s="425" t="inlineStr">
        <is>
          <t>Space / Defense / Aerospace / Advanced Manufacturing</t>
        </is>
      </c>
      <c r="N767" s="426" t="inlineStr">
        <is>
          <t>Tier 2</t>
        </is>
      </c>
      <c r="O767" s="441" t="n">
        <v>45953</v>
      </c>
      <c r="P767" s="441" t="n">
        <v>45985</v>
      </c>
      <c r="Q767" s="425">
        <f>IF(P767="","",TODAY()-P767)</f>
        <v/>
      </c>
      <c r="R767" s="441">
        <f>IF(OR(L767="Passed",Z767=""),"",P767+Z767)</f>
        <v/>
      </c>
      <c r="S767" s="425">
        <f>IF(OR(R767="",L767="Passed"),"",IF(R767&lt;=TODAY(),"DUE",IF(R767&lt;=TODAY()+3,"Next 3 Days","Later")))</f>
        <v/>
      </c>
      <c r="T767" s="425" t="inlineStr"/>
      <c r="U767" s="426" t="inlineStr">
        <is>
          <t>https://www.linkedin.com/in/jillian-manus-19112a13/</t>
        </is>
      </c>
      <c r="V767" s="426" t="inlineStr"/>
      <c r="W767" s="428" t="inlineStr">
        <is>
          <t xml:space="preserve"> | 12/30/2025 | </t>
        </is>
      </c>
      <c r="X767" s="425" t="inlineStr">
        <is>
          <t>John - Investor Contacts!806</t>
        </is>
      </c>
      <c r="Y767" s="426" t="inlineStr">
        <is>
          <t>Send next follow-up with traction + CTA</t>
        </is>
      </c>
      <c r="Z767" s="425" t="n">
        <v>7</v>
      </c>
      <c r="AA767" s="425">
        <f>IF(AC767="Archived",0,ROUND((IF(N767="Tier 1",35,IF(N767="Tier 2",20,8))+IF(C767="Financial Investor",15,IF(C767="Intermediary / Banker",12,8))+IF(L767="Term Sheet / Proposal",25,IF(L767="Engaged",20,IF(L767="Meeting Requested",18,IF(L767="Meeting Held",14,IF(L767="Follow Up",10,5)))))+MIN(Q767,30)+IF(S767="DUE",15,IF(S767="Next 3 Days",8,0))),0))</f>
        <v/>
      </c>
      <c r="AB767" s="425">
        <f>IF(AND(AC767="Active",OR(N767="Tier 1",N767="Tier 2"),OR(S767="DUE",S767="Next 3 Days")),"YES","")</f>
        <v/>
      </c>
      <c r="AC767" s="425">
        <f>IF(L767="Passed","Archived","Active")</f>
        <v/>
      </c>
    </row>
    <row r="768">
      <c r="A768" s="425" t="inlineStr">
        <is>
          <t>EXOS-0767</t>
        </is>
      </c>
      <c r="B768" s="425" t="inlineStr">
        <is>
          <t>John - Investor Contacts</t>
        </is>
      </c>
      <c r="C768" s="425" t="inlineStr">
        <is>
          <t>Financial Investor</t>
        </is>
      </c>
      <c r="D768" s="425" t="inlineStr">
        <is>
          <t>Structure Capital</t>
        </is>
      </c>
      <c r="E768" s="425" t="inlineStr">
        <is>
          <t>Mike Walsh</t>
        </is>
      </c>
      <c r="F768" s="425" t="inlineStr"/>
      <c r="G768" s="111" t="inlineStr">
        <is>
          <t>mike@structure.vc</t>
        </is>
      </c>
      <c r="H768" s="425" t="inlineStr"/>
      <c r="I768" s="425" t="inlineStr"/>
      <c r="J768" s="425" t="inlineStr"/>
      <c r="K768" s="426" t="inlineStr">
        <is>
          <t>John Quinn</t>
        </is>
      </c>
      <c r="L768" s="426" t="inlineStr">
        <is>
          <t>Follow Up</t>
        </is>
      </c>
      <c r="M768" s="425" t="inlineStr">
        <is>
          <t>Space / Defense / Aerospace / Advanced Manufacturing</t>
        </is>
      </c>
      <c r="N768" s="426" t="inlineStr">
        <is>
          <t>Tier 2</t>
        </is>
      </c>
      <c r="O768" s="441" t="n">
        <v>45953</v>
      </c>
      <c r="P768" s="441" t="n">
        <v>45985</v>
      </c>
      <c r="Q768" s="425">
        <f>IF(P768="","",TODAY()-P768)</f>
        <v/>
      </c>
      <c r="R768" s="441">
        <f>IF(OR(L768="Passed",Z768=""),"",P768+Z768)</f>
        <v/>
      </c>
      <c r="S768" s="425">
        <f>IF(OR(R768="",L768="Passed"),"",IF(R768&lt;=TODAY(),"DUE",IF(R768&lt;=TODAY()+3,"Next 3 Days","Later")))</f>
        <v/>
      </c>
      <c r="T768" s="425" t="inlineStr"/>
      <c r="U768" s="426" t="inlineStr">
        <is>
          <t>linkedin.com/in/themikewalsh</t>
        </is>
      </c>
      <c r="V768" s="426" t="inlineStr"/>
      <c r="W768" s="428" t="inlineStr">
        <is>
          <t xml:space="preserve"> | 12/30/2025 | </t>
        </is>
      </c>
      <c r="X768" s="425" t="inlineStr">
        <is>
          <t>John - Investor Contacts!808</t>
        </is>
      </c>
      <c r="Y768" s="426" t="inlineStr">
        <is>
          <t>Send next follow-up with traction + CTA</t>
        </is>
      </c>
      <c r="Z768" s="425" t="n">
        <v>7</v>
      </c>
      <c r="AA768" s="425">
        <f>IF(AC768="Archived",0,ROUND((IF(N768="Tier 1",35,IF(N768="Tier 2",20,8))+IF(C768="Financial Investor",15,IF(C768="Intermediary / Banker",12,8))+IF(L768="Term Sheet / Proposal",25,IF(L768="Engaged",20,IF(L768="Meeting Requested",18,IF(L768="Meeting Held",14,IF(L768="Follow Up",10,5)))))+MIN(Q768,30)+IF(S768="DUE",15,IF(S768="Next 3 Days",8,0))),0))</f>
        <v/>
      </c>
      <c r="AB768" s="425">
        <f>IF(AND(AC768="Active",OR(N768="Tier 1",N768="Tier 2"),OR(S768="DUE",S768="Next 3 Days")),"YES","")</f>
        <v/>
      </c>
      <c r="AC768" s="425">
        <f>IF(L768="Passed","Archived","Active")</f>
        <v/>
      </c>
    </row>
    <row r="769">
      <c r="A769" s="425" t="inlineStr">
        <is>
          <t>EXOS-0768</t>
        </is>
      </c>
      <c r="B769" s="425" t="inlineStr">
        <is>
          <t>John - Investor Contacts</t>
        </is>
      </c>
      <c r="C769" s="425" t="inlineStr">
        <is>
          <t>Financial Investor</t>
        </is>
      </c>
      <c r="D769" s="425" t="inlineStr">
        <is>
          <t>Summit Peak Investments</t>
        </is>
      </c>
      <c r="E769" s="425" t="inlineStr">
        <is>
          <t>Apurva Mehta</t>
        </is>
      </c>
      <c r="F769" s="425" t="inlineStr"/>
      <c r="G769" s="111" t="inlineStr">
        <is>
          <t>apurva@summitpeak.com</t>
        </is>
      </c>
      <c r="H769" s="425" t="inlineStr"/>
      <c r="I769" s="425" t="inlineStr"/>
      <c r="J769" s="425" t="inlineStr"/>
      <c r="K769" s="426" t="inlineStr">
        <is>
          <t>John Quinn</t>
        </is>
      </c>
      <c r="L769" s="426" t="inlineStr">
        <is>
          <t>Follow Up</t>
        </is>
      </c>
      <c r="M769" s="425" t="inlineStr">
        <is>
          <t>Space / Defense / Aerospace / Advanced Manufacturing</t>
        </is>
      </c>
      <c r="N769" s="426" t="inlineStr">
        <is>
          <t>Tier 2</t>
        </is>
      </c>
      <c r="O769" s="441" t="n">
        <v>45993</v>
      </c>
      <c r="P769" s="441" t="n">
        <v>46036</v>
      </c>
      <c r="Q769" s="425">
        <f>IF(P769="","",TODAY()-P769)</f>
        <v/>
      </c>
      <c r="R769" s="441">
        <f>IF(OR(L769="Passed",Z769=""),"",P769+Z769)</f>
        <v/>
      </c>
      <c r="S769" s="425">
        <f>IF(OR(R769="",L769="Passed"),"",IF(R769&lt;=TODAY(),"DUE",IF(R769&lt;=TODAY()+3,"Next 3 Days","Later")))</f>
        <v/>
      </c>
      <c r="T769" s="425" t="inlineStr"/>
      <c r="U769" s="426" t="inlineStr">
        <is>
          <t>linkedin.com/in/apurvaamehta</t>
        </is>
      </c>
      <c r="V769" s="426" t="inlineStr"/>
      <c r="W769" s="428" t="inlineStr">
        <is>
          <t xml:space="preserve"> |  | </t>
        </is>
      </c>
      <c r="X769" s="425" t="inlineStr">
        <is>
          <t>John - Investor Contacts!698</t>
        </is>
      </c>
      <c r="Y769" s="426" t="inlineStr">
        <is>
          <t>Send next follow-up with traction + CTA</t>
        </is>
      </c>
      <c r="Z769" s="425" t="n">
        <v>7</v>
      </c>
      <c r="AA769" s="425">
        <f>IF(AC769="Archived",0,ROUND((IF(N769="Tier 1",35,IF(N769="Tier 2",20,8))+IF(C769="Financial Investor",15,IF(C769="Intermediary / Banker",12,8))+IF(L769="Term Sheet / Proposal",25,IF(L769="Engaged",20,IF(L769="Meeting Requested",18,IF(L769="Meeting Held",14,IF(L769="Follow Up",10,5)))))+MIN(Q769,30)+IF(S769="DUE",15,IF(S769="Next 3 Days",8,0))),0))</f>
        <v/>
      </c>
      <c r="AB769" s="425">
        <f>IF(AND(AC769="Active",OR(N769="Tier 1",N769="Tier 2"),OR(S769="DUE",S769="Next 3 Days")),"YES","")</f>
        <v/>
      </c>
      <c r="AC769" s="425">
        <f>IF(L769="Passed","Archived","Active")</f>
        <v/>
      </c>
    </row>
    <row r="770">
      <c r="A770" s="425" t="inlineStr">
        <is>
          <t>EXOS-0769</t>
        </is>
      </c>
      <c r="B770" s="425" t="inlineStr">
        <is>
          <t>John - Investor Contacts</t>
        </is>
      </c>
      <c r="C770" s="425" t="inlineStr">
        <is>
          <t>Financial Investor</t>
        </is>
      </c>
      <c r="D770" s="425" t="inlineStr">
        <is>
          <t>Suncoast Ventures</t>
        </is>
      </c>
      <c r="E770" s="425" t="inlineStr">
        <is>
          <t>Genevieve LeMarchal</t>
        </is>
      </c>
      <c r="F770" s="425" t="inlineStr"/>
      <c r="G770" s="111" t="inlineStr">
        <is>
          <t>g.lemarchal@suncoastvc.com</t>
        </is>
      </c>
      <c r="H770" s="425" t="inlineStr"/>
      <c r="I770" s="425" t="inlineStr"/>
      <c r="J770" s="111" t="inlineStr">
        <is>
          <t>https://www.linkedin.com/in/genevievelemarchal/</t>
        </is>
      </c>
      <c r="K770" s="426" t="inlineStr">
        <is>
          <t>John Quinn</t>
        </is>
      </c>
      <c r="L770" s="426" t="inlineStr">
        <is>
          <t>Follow Up</t>
        </is>
      </c>
      <c r="M770" s="425" t="inlineStr">
        <is>
          <t>Space / Defense / Aerospace / Advanced Manufacturing</t>
        </is>
      </c>
      <c r="N770" s="426" t="inlineStr">
        <is>
          <t>Tier 2</t>
        </is>
      </c>
      <c r="O770" s="441" t="n">
        <v>45930</v>
      </c>
      <c r="P770" s="441" t="n">
        <v>45973</v>
      </c>
      <c r="Q770" s="425">
        <f>IF(P770="","",TODAY()-P770)</f>
        <v/>
      </c>
      <c r="R770" s="441">
        <f>IF(OR(L770="Passed",Z770=""),"",P770+Z770)</f>
        <v/>
      </c>
      <c r="S770" s="425">
        <f>IF(OR(R770="",L770="Passed"),"",IF(R770&lt;=TODAY(),"DUE",IF(R770&lt;=TODAY()+3,"Next 3 Days","Later")))</f>
        <v/>
      </c>
      <c r="T770" s="425" t="inlineStr"/>
      <c r="U770" s="426" t="inlineStr">
        <is>
          <t>https://www.linkedin.com/in/genevievelemarchal/</t>
        </is>
      </c>
      <c r="V770" s="426" t="inlineStr"/>
      <c r="W770" s="428" t="inlineStr">
        <is>
          <t xml:space="preserve"> | 12/19/2025 | </t>
        </is>
      </c>
      <c r="X770" s="425" t="inlineStr">
        <is>
          <t>John - Investor Contacts!691</t>
        </is>
      </c>
      <c r="Y770" s="426" t="inlineStr">
        <is>
          <t>Send next follow-up with traction + CTA</t>
        </is>
      </c>
      <c r="Z770" s="425" t="n">
        <v>7</v>
      </c>
      <c r="AA770" s="425">
        <f>IF(AC770="Archived",0,ROUND((IF(N770="Tier 1",35,IF(N770="Tier 2",20,8))+IF(C770="Financial Investor",15,IF(C770="Intermediary / Banker",12,8))+IF(L770="Term Sheet / Proposal",25,IF(L770="Engaged",20,IF(L770="Meeting Requested",18,IF(L770="Meeting Held",14,IF(L770="Follow Up",10,5)))))+MIN(Q770,30)+IF(S770="DUE",15,IF(S770="Next 3 Days",8,0))),0))</f>
        <v/>
      </c>
      <c r="AB770" s="425">
        <f>IF(AND(AC770="Active",OR(N770="Tier 1",N770="Tier 2"),OR(S770="DUE",S770="Next 3 Days")),"YES","")</f>
        <v/>
      </c>
      <c r="AC770" s="425">
        <f>IF(L770="Passed","Archived","Active")</f>
        <v/>
      </c>
    </row>
    <row r="771">
      <c r="A771" s="425" t="inlineStr">
        <is>
          <t>EXOS-0770</t>
        </is>
      </c>
      <c r="B771" s="425" t="inlineStr">
        <is>
          <t>JQ Follow Up | John - Investor Contacts</t>
        </is>
      </c>
      <c r="C771" s="425" t="inlineStr">
        <is>
          <t>Financial Investor</t>
        </is>
      </c>
      <c r="D771" s="425" t="inlineStr">
        <is>
          <t>Sutton Capital</t>
        </is>
      </c>
      <c r="E771" s="425" t="inlineStr">
        <is>
          <t>Joel Palathinkal - Kipton Intro</t>
        </is>
      </c>
      <c r="F771" s="425" t="inlineStr"/>
      <c r="G771" s="111" t="inlineStr">
        <is>
          <t>joel@suttoncapital.co</t>
        </is>
      </c>
      <c r="H771" s="425" t="inlineStr"/>
      <c r="I771" s="425" t="inlineStr"/>
      <c r="J771" s="111" t="inlineStr">
        <is>
          <t>https://www.linkedin.com/in/joelpalathinkal/</t>
        </is>
      </c>
      <c r="K771" s="426" t="inlineStr">
        <is>
          <t>John Quinn</t>
        </is>
      </c>
      <c r="L771" s="426" t="inlineStr">
        <is>
          <t>Follow Up</t>
        </is>
      </c>
      <c r="M771" s="425" t="inlineStr">
        <is>
          <t>Space / Defense / Aerospace / Advanced Manufacturing</t>
        </is>
      </c>
      <c r="N771" s="426" t="inlineStr">
        <is>
          <t>Tier 2</t>
        </is>
      </c>
      <c r="O771" s="441" t="n">
        <v>45835</v>
      </c>
      <c r="P771" s="441" t="n">
        <v>46015</v>
      </c>
      <c r="Q771" s="425">
        <f>IF(P771="","",TODAY()-P771)</f>
        <v/>
      </c>
      <c r="R771" s="441">
        <f>IF(OR(L771="Passed",Z771=""),"",P771+Z771)</f>
        <v/>
      </c>
      <c r="S771" s="425">
        <f>IF(OR(R771="",L771="Passed"),"",IF(R771&lt;=TODAY(),"DUE",IF(R771&lt;=TODAY()+3,"Next 3 Days","Later")))</f>
        <v/>
      </c>
      <c r="T771" s="425" t="inlineStr"/>
      <c r="U771" s="426" t="inlineStr">
        <is>
          <t>https://www.linkedin.com/in/joelpalathinkal/</t>
        </is>
      </c>
      <c r="V771" s="426" t="inlineStr"/>
      <c r="W771" s="428" t="inlineStr">
        <is>
          <t>one pager sent on 12/29 | 12/24/2025 | asked for deck on 12/26</t>
        </is>
      </c>
      <c r="X771" s="425" t="inlineStr">
        <is>
          <t>JQ Follow Up!24 | John - Investor Contacts!271</t>
        </is>
      </c>
      <c r="Y771" s="426" t="inlineStr">
        <is>
          <t>Send next follow-up with traction + CTA</t>
        </is>
      </c>
      <c r="Z771" s="425" t="n">
        <v>7</v>
      </c>
      <c r="AA771" s="425">
        <f>IF(AC771="Archived",0,ROUND((IF(N771="Tier 1",35,IF(N771="Tier 2",20,8))+IF(C771="Financial Investor",15,IF(C771="Intermediary / Banker",12,8))+IF(L771="Term Sheet / Proposal",25,IF(L771="Engaged",20,IF(L771="Meeting Requested",18,IF(L771="Meeting Held",14,IF(L771="Follow Up",10,5)))))+MIN(Q771,30)+IF(S771="DUE",15,IF(S771="Next 3 Days",8,0))),0))</f>
        <v/>
      </c>
      <c r="AB771" s="425">
        <f>IF(AND(AC771="Active",OR(N771="Tier 1",N771="Tier 2"),OR(S771="DUE",S771="Next 3 Days")),"YES","")</f>
        <v/>
      </c>
      <c r="AC771" s="425">
        <f>IF(L771="Passed","Archived","Active")</f>
        <v/>
      </c>
    </row>
    <row r="772">
      <c r="A772" s="425" t="inlineStr">
        <is>
          <t>EXOS-0771</t>
        </is>
      </c>
      <c r="B772" s="425" t="inlineStr">
        <is>
          <t>John - Investor Contacts</t>
        </is>
      </c>
      <c r="C772" s="425" t="inlineStr">
        <is>
          <t>Financial Investor</t>
        </is>
      </c>
      <c r="D772" s="425" t="inlineStr">
        <is>
          <t>Swisscom Ventures</t>
        </is>
      </c>
      <c r="E772" s="425" t="inlineStr">
        <is>
          <t>Anish Srivastava</t>
        </is>
      </c>
      <c r="F772" s="425" t="inlineStr"/>
      <c r="G772" s="111" t="inlineStr">
        <is>
          <t>anish.srivastava1@swisscom.com</t>
        </is>
      </c>
      <c r="H772" s="425" t="inlineStr"/>
      <c r="I772" s="425" t="inlineStr"/>
      <c r="J772" s="111" t="inlineStr">
        <is>
          <t>https://www.linkedin.com/in/anishksrivastava/</t>
        </is>
      </c>
      <c r="K772" s="426" t="inlineStr">
        <is>
          <t>John Quinn</t>
        </is>
      </c>
      <c r="L772" s="426" t="inlineStr">
        <is>
          <t>Follow Up</t>
        </is>
      </c>
      <c r="M772" s="425" t="inlineStr">
        <is>
          <t>Space / Defense / Aerospace / Advanced Manufacturing</t>
        </is>
      </c>
      <c r="N772" s="426" t="inlineStr">
        <is>
          <t>Tier 2</t>
        </is>
      </c>
      <c r="O772" s="441" t="n">
        <v>45994</v>
      </c>
      <c r="P772" s="441" t="n">
        <v>46036</v>
      </c>
      <c r="Q772" s="425">
        <f>IF(P772="","",TODAY()-P772)</f>
        <v/>
      </c>
      <c r="R772" s="441">
        <f>IF(OR(L772="Passed",Z772=""),"",P772+Z772)</f>
        <v/>
      </c>
      <c r="S772" s="425">
        <f>IF(OR(R772="",L772="Passed"),"",IF(R772&lt;=TODAY(),"DUE",IF(R772&lt;=TODAY()+3,"Next 3 Days","Later")))</f>
        <v/>
      </c>
      <c r="T772" s="425" t="inlineStr"/>
      <c r="U772" s="426" t="inlineStr">
        <is>
          <t>https://www.linkedin.com/in/anishksrivastava/</t>
        </is>
      </c>
      <c r="V772" s="426" t="inlineStr"/>
      <c r="W772" s="428" t="inlineStr">
        <is>
          <t xml:space="preserve"> |  | </t>
        </is>
      </c>
      <c r="X772" s="425" t="inlineStr">
        <is>
          <t>John - Investor Contacts!708</t>
        </is>
      </c>
      <c r="Y772" s="426" t="inlineStr">
        <is>
          <t>Send next follow-up with traction + CTA</t>
        </is>
      </c>
      <c r="Z772" s="425" t="n">
        <v>7</v>
      </c>
      <c r="AA772" s="425">
        <f>IF(AC772="Archived",0,ROUND((IF(N772="Tier 1",35,IF(N772="Tier 2",20,8))+IF(C772="Financial Investor",15,IF(C772="Intermediary / Banker",12,8))+IF(L772="Term Sheet / Proposal",25,IF(L772="Engaged",20,IF(L772="Meeting Requested",18,IF(L772="Meeting Held",14,IF(L772="Follow Up",10,5)))))+MIN(Q772,30)+IF(S772="DUE",15,IF(S772="Next 3 Days",8,0))),0))</f>
        <v/>
      </c>
      <c r="AB772" s="425">
        <f>IF(AND(AC772="Active",OR(N772="Tier 1",N772="Tier 2"),OR(S772="DUE",S772="Next 3 Days")),"YES","")</f>
        <v/>
      </c>
      <c r="AC772" s="425">
        <f>IF(L772="Passed","Archived","Active")</f>
        <v/>
      </c>
    </row>
    <row r="773">
      <c r="A773" s="425" t="inlineStr">
        <is>
          <t>EXOS-0772</t>
        </is>
      </c>
      <c r="B773" s="425" t="inlineStr">
        <is>
          <t>John - Investor Contacts</t>
        </is>
      </c>
      <c r="C773" s="425" t="inlineStr">
        <is>
          <t>Financial Investor</t>
        </is>
      </c>
      <c r="D773" s="425" t="inlineStr">
        <is>
          <t>TSVC</t>
        </is>
      </c>
      <c r="E773" s="425" t="inlineStr">
        <is>
          <t>Spencer Greene</t>
        </is>
      </c>
      <c r="F773" s="425" t="inlineStr"/>
      <c r="G773" s="111" t="inlineStr">
        <is>
          <t>spencer@tsvcap.com</t>
        </is>
      </c>
      <c r="H773" s="425" t="inlineStr"/>
      <c r="I773" s="425" t="inlineStr"/>
      <c r="J773" s="111" t="inlineStr">
        <is>
          <t>https://www.linkedin.com/in/spencergreene/</t>
        </is>
      </c>
      <c r="K773" s="426" t="inlineStr">
        <is>
          <t>John Quinn</t>
        </is>
      </c>
      <c r="L773" s="426" t="inlineStr">
        <is>
          <t>Follow Up</t>
        </is>
      </c>
      <c r="M773" s="425" t="inlineStr">
        <is>
          <t>Space / Defense / Aerospace / Advanced Manufacturing</t>
        </is>
      </c>
      <c r="N773" s="426" t="inlineStr">
        <is>
          <t>Tier 2</t>
        </is>
      </c>
      <c r="O773" s="441" t="n">
        <v>45912</v>
      </c>
      <c r="P773" s="441" t="n">
        <v>45973</v>
      </c>
      <c r="Q773" s="425">
        <f>IF(P773="","",TODAY()-P773)</f>
        <v/>
      </c>
      <c r="R773" s="441">
        <f>IF(OR(L773="Passed",Z773=""),"",P773+Z773)</f>
        <v/>
      </c>
      <c r="S773" s="425">
        <f>IF(OR(R773="",L773="Passed"),"",IF(R773&lt;=TODAY(),"DUE",IF(R773&lt;=TODAY()+3,"Next 3 Days","Later")))</f>
        <v/>
      </c>
      <c r="T773" s="425" t="inlineStr"/>
      <c r="U773" s="426" t="inlineStr">
        <is>
          <t>https://www.linkedin.com/in/spencergreene/</t>
        </is>
      </c>
      <c r="V773" s="426" t="inlineStr"/>
      <c r="W773" s="428" t="inlineStr">
        <is>
          <t xml:space="preserve"> | 12/19/2025 | </t>
        </is>
      </c>
      <c r="X773" s="425" t="inlineStr">
        <is>
          <t>John - Investor Contacts!685</t>
        </is>
      </c>
      <c r="Y773" s="426" t="inlineStr">
        <is>
          <t>Send next follow-up with traction + CTA</t>
        </is>
      </c>
      <c r="Z773" s="425" t="n">
        <v>7</v>
      </c>
      <c r="AA773" s="425">
        <f>IF(AC773="Archived",0,ROUND((IF(N773="Tier 1",35,IF(N773="Tier 2",20,8))+IF(C773="Financial Investor",15,IF(C773="Intermediary / Banker",12,8))+IF(L773="Term Sheet / Proposal",25,IF(L773="Engaged",20,IF(L773="Meeting Requested",18,IF(L773="Meeting Held",14,IF(L773="Follow Up",10,5)))))+MIN(Q773,30)+IF(S773="DUE",15,IF(S773="Next 3 Days",8,0))),0))</f>
        <v/>
      </c>
      <c r="AB773" s="425">
        <f>IF(AND(AC773="Active",OR(N773="Tier 1",N773="Tier 2"),OR(S773="DUE",S773="Next 3 Days")),"YES","")</f>
        <v/>
      </c>
      <c r="AC773" s="425">
        <f>IF(L773="Passed","Archived","Active")</f>
        <v/>
      </c>
    </row>
    <row r="774">
      <c r="A774" s="425" t="inlineStr">
        <is>
          <t>EXOS-0773</t>
        </is>
      </c>
      <c r="B774" s="425" t="inlineStr">
        <is>
          <t>John - Investor Contacts</t>
        </is>
      </c>
      <c r="C774" s="425" t="inlineStr">
        <is>
          <t>Financial Investor</t>
        </is>
      </c>
      <c r="D774" s="425" t="inlineStr">
        <is>
          <t>Taiwan Global Angels</t>
        </is>
      </c>
      <c r="E774" s="425" t="inlineStr">
        <is>
          <t>Austin Hwang</t>
        </is>
      </c>
      <c r="F774" s="425" t="inlineStr"/>
      <c r="G774" s="111" t="inlineStr">
        <is>
          <t>austin@taiwanglobalangels.com</t>
        </is>
      </c>
      <c r="H774" s="425" t="inlineStr"/>
      <c r="I774" s="425" t="inlineStr"/>
      <c r="J774" s="111" t="inlineStr">
        <is>
          <t>https://www.linkedin.com/in/austin-hwang/</t>
        </is>
      </c>
      <c r="K774" s="426" t="inlineStr">
        <is>
          <t>John Quinn</t>
        </is>
      </c>
      <c r="L774" s="426" t="inlineStr">
        <is>
          <t>Follow Up</t>
        </is>
      </c>
      <c r="M774" s="425" t="inlineStr">
        <is>
          <t>Space / Defense / Aerospace / Advanced Manufacturing</t>
        </is>
      </c>
      <c r="N774" s="426" t="inlineStr">
        <is>
          <t>Tier 2</t>
        </is>
      </c>
      <c r="O774" s="441" t="n">
        <v>45835</v>
      </c>
      <c r="P774" s="441" t="n">
        <v>45848</v>
      </c>
      <c r="Q774" s="425">
        <f>IF(P774="","",TODAY()-P774)</f>
        <v/>
      </c>
      <c r="R774" s="441">
        <f>IF(OR(L774="Passed",Z774=""),"",P774+Z774)</f>
        <v/>
      </c>
      <c r="S774" s="425">
        <f>IF(OR(R774="",L774="Passed"),"",IF(R774&lt;=TODAY(),"DUE",IF(R774&lt;=TODAY()+3,"Next 3 Days","Later")))</f>
        <v/>
      </c>
      <c r="T774" s="425" t="inlineStr"/>
      <c r="U774" s="426" t="inlineStr">
        <is>
          <t>https://www.linkedin.com/in/austin-hwang/</t>
        </is>
      </c>
      <c r="V774" s="426" t="inlineStr"/>
      <c r="W774" s="428" t="inlineStr">
        <is>
          <t xml:space="preserve"> | 12/26/2025 | pitch application: https://airtable.com/appPe7LVD2CEtZk2o/shrbSa84CnndXQIIM</t>
        </is>
      </c>
      <c r="X774" s="425" t="inlineStr">
        <is>
          <t>John - Investor Contacts!279</t>
        </is>
      </c>
      <c r="Y774" s="426" t="inlineStr">
        <is>
          <t>Send next follow-up with traction + CTA</t>
        </is>
      </c>
      <c r="Z774" s="425" t="n">
        <v>7</v>
      </c>
      <c r="AA774" s="425">
        <f>IF(AC774="Archived",0,ROUND((IF(N774="Tier 1",35,IF(N774="Tier 2",20,8))+IF(C774="Financial Investor",15,IF(C774="Intermediary / Banker",12,8))+IF(L774="Term Sheet / Proposal",25,IF(L774="Engaged",20,IF(L774="Meeting Requested",18,IF(L774="Meeting Held",14,IF(L774="Follow Up",10,5)))))+MIN(Q774,30)+IF(S774="DUE",15,IF(S774="Next 3 Days",8,0))),0))</f>
        <v/>
      </c>
      <c r="AB774" s="425">
        <f>IF(AND(AC774="Active",OR(N774="Tier 1",N774="Tier 2"),OR(S774="DUE",S774="Next 3 Days")),"YES","")</f>
        <v/>
      </c>
      <c r="AC774" s="425">
        <f>IF(L774="Passed","Archived","Active")</f>
        <v/>
      </c>
    </row>
    <row r="775">
      <c r="A775" s="425" t="inlineStr">
        <is>
          <t>EXOS-0774</t>
        </is>
      </c>
      <c r="B775" s="425" t="inlineStr">
        <is>
          <t>John - Investor Contacts</t>
        </is>
      </c>
      <c r="C775" s="425" t="inlineStr">
        <is>
          <t>Financial Investor</t>
        </is>
      </c>
      <c r="D775" s="425" t="inlineStr">
        <is>
          <t>Taiwan Global Angels</t>
        </is>
      </c>
      <c r="E775" s="425" t="inlineStr">
        <is>
          <t>the team</t>
        </is>
      </c>
      <c r="F775" s="425" t="inlineStr"/>
      <c r="G775" s="111" t="inlineStr">
        <is>
          <t>info@taiwanglobalangels.com</t>
        </is>
      </c>
      <c r="H775" s="425" t="inlineStr"/>
      <c r="I775" s="425" t="inlineStr"/>
      <c r="J775" s="425" t="inlineStr"/>
      <c r="K775" s="426" t="inlineStr">
        <is>
          <t>John Quinn</t>
        </is>
      </c>
      <c r="L775" s="426" t="inlineStr">
        <is>
          <t>Follow Up</t>
        </is>
      </c>
      <c r="M775" s="425" t="inlineStr">
        <is>
          <t>Space / Defense / Aerospace / Advanced Manufacturing</t>
        </is>
      </c>
      <c r="N775" s="426" t="inlineStr">
        <is>
          <t>Tier 2</t>
        </is>
      </c>
      <c r="O775" s="441" t="n">
        <v>45835</v>
      </c>
      <c r="P775" s="441" t="n">
        <v>45848</v>
      </c>
      <c r="Q775" s="425">
        <f>IF(P775="","",TODAY()-P775)</f>
        <v/>
      </c>
      <c r="R775" s="441">
        <f>IF(OR(L775="Passed",Z775=""),"",P775+Z775)</f>
        <v/>
      </c>
      <c r="S775" s="425">
        <f>IF(OR(R775="",L775="Passed"),"",IF(R775&lt;=TODAY(),"DUE",IF(R775&lt;=TODAY()+3,"Next 3 Days","Later")))</f>
        <v/>
      </c>
      <c r="T775" s="425" t="inlineStr"/>
      <c r="U775" s="426" t="inlineStr"/>
      <c r="V775" s="426" t="inlineStr"/>
      <c r="W775" s="428" t="inlineStr">
        <is>
          <t xml:space="preserve"> |  | asked for deck on 7/10</t>
        </is>
      </c>
      <c r="X775" s="425" t="inlineStr">
        <is>
          <t>John - Investor Contacts!280</t>
        </is>
      </c>
      <c r="Y775" s="426" t="inlineStr">
        <is>
          <t>Send next follow-up with traction + CTA</t>
        </is>
      </c>
      <c r="Z775" s="425" t="n">
        <v>7</v>
      </c>
      <c r="AA775" s="425">
        <f>IF(AC775="Archived",0,ROUND((IF(N775="Tier 1",35,IF(N775="Tier 2",20,8))+IF(C775="Financial Investor",15,IF(C775="Intermediary / Banker",12,8))+IF(L775="Term Sheet / Proposal",25,IF(L775="Engaged",20,IF(L775="Meeting Requested",18,IF(L775="Meeting Held",14,IF(L775="Follow Up",10,5)))))+MIN(Q775,30)+IF(S775="DUE",15,IF(S775="Next 3 Days",8,0))),0))</f>
        <v/>
      </c>
      <c r="AB775" s="425">
        <f>IF(AND(AC775="Active",OR(N775="Tier 1",N775="Tier 2"),OR(S775="DUE",S775="Next 3 Days")),"YES","")</f>
        <v/>
      </c>
      <c r="AC775" s="425">
        <f>IF(L775="Passed","Archived","Active")</f>
        <v/>
      </c>
    </row>
    <row r="776">
      <c r="A776" s="425" t="inlineStr">
        <is>
          <t>EXOS-0775</t>
        </is>
      </c>
      <c r="B776" s="425" t="inlineStr">
        <is>
          <t>John - Investor Contacts</t>
        </is>
      </c>
      <c r="C776" s="425" t="inlineStr">
        <is>
          <t>Financial Investor</t>
        </is>
      </c>
      <c r="D776" s="425" t="inlineStr">
        <is>
          <t>Takeda Digital Ventures</t>
        </is>
      </c>
      <c r="E776" s="425" t="inlineStr">
        <is>
          <t>Suzie Yoon</t>
        </is>
      </c>
      <c r="F776" s="425" t="inlineStr"/>
      <c r="G776" s="111" t="inlineStr">
        <is>
          <t>suzie.yoon@takeda.com</t>
        </is>
      </c>
      <c r="H776" s="425" t="inlineStr"/>
      <c r="I776" s="425" t="inlineStr"/>
      <c r="J776" s="111" t="inlineStr">
        <is>
          <t>https://www.linkedin.com/in/suzz/</t>
        </is>
      </c>
      <c r="K776" s="426" t="inlineStr">
        <is>
          <t>John Quinn</t>
        </is>
      </c>
      <c r="L776" s="426" t="inlineStr">
        <is>
          <t>Follow Up</t>
        </is>
      </c>
      <c r="M776" s="425" t="inlineStr">
        <is>
          <t>Space / Defense / Aerospace / Advanced Manufacturing</t>
        </is>
      </c>
      <c r="N776" s="426" t="inlineStr">
        <is>
          <t>Tier 2</t>
        </is>
      </c>
      <c r="O776" s="441" t="n">
        <v>45994</v>
      </c>
      <c r="P776" s="441" t="n">
        <v>46036</v>
      </c>
      <c r="Q776" s="425">
        <f>IF(P776="","",TODAY()-P776)</f>
        <v/>
      </c>
      <c r="R776" s="441">
        <f>IF(OR(L776="Passed",Z776=""),"",P776+Z776)</f>
        <v/>
      </c>
      <c r="S776" s="425">
        <f>IF(OR(R776="",L776="Passed"),"",IF(R776&lt;=TODAY(),"DUE",IF(R776&lt;=TODAY()+3,"Next 3 Days","Later")))</f>
        <v/>
      </c>
      <c r="T776" s="425" t="inlineStr"/>
      <c r="U776" s="426" t="inlineStr">
        <is>
          <t>https://www.linkedin.com/in/suzz/</t>
        </is>
      </c>
      <c r="V776" s="426" t="inlineStr"/>
      <c r="W776" s="428" t="inlineStr">
        <is>
          <t xml:space="preserve"> |  | </t>
        </is>
      </c>
      <c r="X776" s="425" t="inlineStr">
        <is>
          <t>John - Investor Contacts!714</t>
        </is>
      </c>
      <c r="Y776" s="426" t="inlineStr">
        <is>
          <t>Send next follow-up with traction + CTA</t>
        </is>
      </c>
      <c r="Z776" s="425" t="n">
        <v>7</v>
      </c>
      <c r="AA776" s="425">
        <f>IF(AC776="Archived",0,ROUND((IF(N776="Tier 1",35,IF(N776="Tier 2",20,8))+IF(C776="Financial Investor",15,IF(C776="Intermediary / Banker",12,8))+IF(L776="Term Sheet / Proposal",25,IF(L776="Engaged",20,IF(L776="Meeting Requested",18,IF(L776="Meeting Held",14,IF(L776="Follow Up",10,5)))))+MIN(Q776,30)+IF(S776="DUE",15,IF(S776="Next 3 Days",8,0))),0))</f>
        <v/>
      </c>
      <c r="AB776" s="425">
        <f>IF(AND(AC776="Active",OR(N776="Tier 1",N776="Tier 2"),OR(S776="DUE",S776="Next 3 Days")),"YES","")</f>
        <v/>
      </c>
      <c r="AC776" s="425">
        <f>IF(L776="Passed","Archived","Active")</f>
        <v/>
      </c>
    </row>
    <row r="777">
      <c r="A777" s="425" t="inlineStr">
        <is>
          <t>EXOS-0776</t>
        </is>
      </c>
      <c r="B777" s="425" t="inlineStr">
        <is>
          <t>John - Investor Contacts</t>
        </is>
      </c>
      <c r="C777" s="425" t="inlineStr">
        <is>
          <t>Financial Investor</t>
        </is>
      </c>
      <c r="D777" s="425" t="inlineStr">
        <is>
          <t>Tawazun Economic Council</t>
        </is>
      </c>
      <c r="E777" s="425" t="inlineStr">
        <is>
          <t>Ahmet Lutfi Varoglu</t>
        </is>
      </c>
      <c r="F777" s="425" t="inlineStr"/>
      <c r="G777" s="111" t="inlineStr">
        <is>
          <t>avaroglu@tawazun.ae</t>
        </is>
      </c>
      <c r="H777" s="425" t="inlineStr"/>
      <c r="I777" s="425" t="inlineStr"/>
      <c r="J777" s="111" t="inlineStr">
        <is>
          <t>https://www.linkedin.com/in/ahmet-lutfi-varoglu-695b7224/</t>
        </is>
      </c>
      <c r="K777" s="426" t="inlineStr">
        <is>
          <t>John Quinn</t>
        </is>
      </c>
      <c r="L777" s="426" t="inlineStr">
        <is>
          <t>Follow Up</t>
        </is>
      </c>
      <c r="M777" s="425" t="inlineStr">
        <is>
          <t>Space / Defense / Aerospace / Advanced Manufacturing</t>
        </is>
      </c>
      <c r="N777" s="426" t="inlineStr">
        <is>
          <t>Tier 2</t>
        </is>
      </c>
      <c r="O777" s="441" t="n">
        <v>45856</v>
      </c>
      <c r="P777" s="441" t="n">
        <v>45878</v>
      </c>
      <c r="Q777" s="425">
        <f>IF(P777="","",TODAY()-P777)</f>
        <v/>
      </c>
      <c r="R777" s="441">
        <f>IF(OR(L777="Passed",Z777=""),"",P777+Z777)</f>
        <v/>
      </c>
      <c r="S777" s="425">
        <f>IF(OR(R777="",L777="Passed"),"",IF(R777&lt;=TODAY(),"DUE",IF(R777&lt;=TODAY()+3,"Next 3 Days","Later")))</f>
        <v/>
      </c>
      <c r="T777" s="425" t="inlineStr"/>
      <c r="U777" s="426" t="inlineStr">
        <is>
          <t>https://www.linkedin.com/in/ahmet-lutfi-varoglu-695b7224/</t>
        </is>
      </c>
      <c r="V777" s="426" t="inlineStr"/>
      <c r="W777" s="428" t="inlineStr">
        <is>
          <t xml:space="preserve"> | 12/26/2025 | </t>
        </is>
      </c>
      <c r="X777" s="425" t="inlineStr">
        <is>
          <t>John - Investor Contacts!411</t>
        </is>
      </c>
      <c r="Y777" s="426" t="inlineStr">
        <is>
          <t>Send next follow-up with traction + CTA</t>
        </is>
      </c>
      <c r="Z777" s="425" t="n">
        <v>7</v>
      </c>
      <c r="AA777" s="425">
        <f>IF(AC777="Archived",0,ROUND((IF(N777="Tier 1",35,IF(N777="Tier 2",20,8))+IF(C777="Financial Investor",15,IF(C777="Intermediary / Banker",12,8))+IF(L777="Term Sheet / Proposal",25,IF(L777="Engaged",20,IF(L777="Meeting Requested",18,IF(L777="Meeting Held",14,IF(L777="Follow Up",10,5)))))+MIN(Q777,30)+IF(S777="DUE",15,IF(S777="Next 3 Days",8,0))),0))</f>
        <v/>
      </c>
      <c r="AB777" s="425">
        <f>IF(AND(AC777="Active",OR(N777="Tier 1",N777="Tier 2"),OR(S777="DUE",S777="Next 3 Days")),"YES","")</f>
        <v/>
      </c>
      <c r="AC777" s="425">
        <f>IF(L777="Passed","Archived","Active")</f>
        <v/>
      </c>
    </row>
    <row r="778">
      <c r="A778" s="425" t="inlineStr">
        <is>
          <t>EXOS-0777</t>
        </is>
      </c>
      <c r="B778" s="425" t="inlineStr">
        <is>
          <t>John - Investor Contacts</t>
        </is>
      </c>
      <c r="C778" s="425" t="inlineStr">
        <is>
          <t>Financial Investor</t>
        </is>
      </c>
      <c r="D778" s="425" t="inlineStr">
        <is>
          <t>TenOneTen Ventures</t>
        </is>
      </c>
      <c r="E778" s="425" t="inlineStr">
        <is>
          <t>David Waxman</t>
        </is>
      </c>
      <c r="F778" s="425" t="inlineStr"/>
      <c r="G778" s="111" t="inlineStr">
        <is>
          <t>david@tenoneten.net</t>
        </is>
      </c>
      <c r="H778" s="425" t="inlineStr"/>
      <c r="I778" s="425" t="inlineStr"/>
      <c r="J778" s="425" t="inlineStr"/>
      <c r="K778" s="426" t="inlineStr">
        <is>
          <t>John Quinn</t>
        </is>
      </c>
      <c r="L778" s="426" t="inlineStr">
        <is>
          <t>Follow Up</t>
        </is>
      </c>
      <c r="M778" s="425" t="inlineStr">
        <is>
          <t>Space / Defense / Aerospace / Advanced Manufacturing</t>
        </is>
      </c>
      <c r="N778" s="426" t="inlineStr">
        <is>
          <t>Tier 2</t>
        </is>
      </c>
      <c r="O778" s="441" t="n">
        <v>45896</v>
      </c>
      <c r="P778" s="441" t="n">
        <v>45929</v>
      </c>
      <c r="Q778" s="425">
        <f>IF(P778="","",TODAY()-P778)</f>
        <v/>
      </c>
      <c r="R778" s="441">
        <f>IF(OR(L778="Passed",Z778=""),"",P778+Z778)</f>
        <v/>
      </c>
      <c r="S778" s="425">
        <f>IF(OR(R778="",L778="Passed"),"",IF(R778&lt;=TODAY(),"DUE",IF(R778&lt;=TODAY()+3,"Next 3 Days","Later")))</f>
        <v/>
      </c>
      <c r="T778" s="425" t="inlineStr"/>
      <c r="U778" s="426" t="inlineStr">
        <is>
          <t>linkedin.com/in/dwaxman</t>
        </is>
      </c>
      <c r="V778" s="426" t="inlineStr"/>
      <c r="W778" s="428" t="inlineStr">
        <is>
          <t xml:space="preserve"> | 12/04/2025 | </t>
        </is>
      </c>
      <c r="X778" s="425" t="inlineStr">
        <is>
          <t>John - Investor Contacts!558</t>
        </is>
      </c>
      <c r="Y778" s="426" t="inlineStr">
        <is>
          <t>Send next follow-up with traction + CTA</t>
        </is>
      </c>
      <c r="Z778" s="425" t="n">
        <v>7</v>
      </c>
      <c r="AA778" s="425">
        <f>IF(AC778="Archived",0,ROUND((IF(N778="Tier 1",35,IF(N778="Tier 2",20,8))+IF(C778="Financial Investor",15,IF(C778="Intermediary / Banker",12,8))+IF(L778="Term Sheet / Proposal",25,IF(L778="Engaged",20,IF(L778="Meeting Requested",18,IF(L778="Meeting Held",14,IF(L778="Follow Up",10,5)))))+MIN(Q778,30)+IF(S778="DUE",15,IF(S778="Next 3 Days",8,0))),0))</f>
        <v/>
      </c>
      <c r="AB778" s="425">
        <f>IF(AND(AC778="Active",OR(N778="Tier 1",N778="Tier 2"),OR(S778="DUE",S778="Next 3 Days")),"YES","")</f>
        <v/>
      </c>
      <c r="AC778" s="425">
        <f>IF(L778="Passed","Archived","Active")</f>
        <v/>
      </c>
    </row>
    <row r="779">
      <c r="A779" s="425" t="inlineStr">
        <is>
          <t>EXOS-0778</t>
        </is>
      </c>
      <c r="B779" s="425" t="inlineStr">
        <is>
          <t>John - Investor Contacts</t>
        </is>
      </c>
      <c r="C779" s="425" t="inlineStr">
        <is>
          <t>Financial Investor</t>
        </is>
      </c>
      <c r="D779" s="425" t="inlineStr">
        <is>
          <t>TenOneTen Ventures</t>
        </is>
      </c>
      <c r="E779" s="425" t="inlineStr">
        <is>
          <t>Eric Pakravan</t>
        </is>
      </c>
      <c r="F779" s="425" t="inlineStr"/>
      <c r="G779" s="111" t="inlineStr">
        <is>
          <t>eric@tenoneten.net</t>
        </is>
      </c>
      <c r="H779" s="425" t="inlineStr"/>
      <c r="I779" s="425" t="inlineStr"/>
      <c r="J779" s="111" t="inlineStr">
        <is>
          <t>https://www.linkedin.com/in/epakravan</t>
        </is>
      </c>
      <c r="K779" s="426" t="inlineStr">
        <is>
          <t>John Quinn</t>
        </is>
      </c>
      <c r="L779" s="426" t="inlineStr">
        <is>
          <t>Follow Up</t>
        </is>
      </c>
      <c r="M779" s="425" t="inlineStr">
        <is>
          <t>Space / Defense / Aerospace / Advanced Manufacturing</t>
        </is>
      </c>
      <c r="N779" s="426" t="inlineStr">
        <is>
          <t>Tier 2</t>
        </is>
      </c>
      <c r="O779" s="441" t="n">
        <v>45896</v>
      </c>
      <c r="P779" s="441" t="n">
        <v>45929</v>
      </c>
      <c r="Q779" s="425">
        <f>IF(P779="","",TODAY()-P779)</f>
        <v/>
      </c>
      <c r="R779" s="441">
        <f>IF(OR(L779="Passed",Z779=""),"",P779+Z779)</f>
        <v/>
      </c>
      <c r="S779" s="425">
        <f>IF(OR(R779="",L779="Passed"),"",IF(R779&lt;=TODAY(),"DUE",IF(R779&lt;=TODAY()+3,"Next 3 Days","Later")))</f>
        <v/>
      </c>
      <c r="T779" s="425" t="inlineStr"/>
      <c r="U779" s="426" t="inlineStr">
        <is>
          <t>https://www.linkedin.com/in/epakravan</t>
        </is>
      </c>
      <c r="V779" s="426" t="inlineStr"/>
      <c r="W779" s="428" t="inlineStr">
        <is>
          <t xml:space="preserve"> | 12/04/2025 | </t>
        </is>
      </c>
      <c r="X779" s="425" t="inlineStr">
        <is>
          <t>John - Investor Contacts!557</t>
        </is>
      </c>
      <c r="Y779" s="426" t="inlineStr">
        <is>
          <t>Send next follow-up with traction + CTA</t>
        </is>
      </c>
      <c r="Z779" s="425" t="n">
        <v>7</v>
      </c>
      <c r="AA779" s="425">
        <f>IF(AC779="Archived",0,ROUND((IF(N779="Tier 1",35,IF(N779="Tier 2",20,8))+IF(C779="Financial Investor",15,IF(C779="Intermediary / Banker",12,8))+IF(L779="Term Sheet / Proposal",25,IF(L779="Engaged",20,IF(L779="Meeting Requested",18,IF(L779="Meeting Held",14,IF(L779="Follow Up",10,5)))))+MIN(Q779,30)+IF(S779="DUE",15,IF(S779="Next 3 Days",8,0))),0))</f>
        <v/>
      </c>
      <c r="AB779" s="425">
        <f>IF(AND(AC779="Active",OR(N779="Tier 1",N779="Tier 2"),OR(S779="DUE",S779="Next 3 Days")),"YES","")</f>
        <v/>
      </c>
      <c r="AC779" s="425">
        <f>IF(L779="Passed","Archived","Active")</f>
        <v/>
      </c>
    </row>
    <row r="780">
      <c r="A780" s="425" t="inlineStr">
        <is>
          <t>EXOS-0779</t>
        </is>
      </c>
      <c r="B780" s="425" t="inlineStr">
        <is>
          <t>John - Investor Contacts</t>
        </is>
      </c>
      <c r="C780" s="425" t="inlineStr">
        <is>
          <t>Financial Investor</t>
        </is>
      </c>
      <c r="D780" s="425" t="inlineStr">
        <is>
          <t>The Pritzker Org</t>
        </is>
      </c>
      <c r="E780" s="425" t="inlineStr">
        <is>
          <t>Jordan Federbush</t>
        </is>
      </c>
      <c r="F780" s="425" t="inlineStr"/>
      <c r="G780" s="111" t="inlineStr">
        <is>
          <t>jfederbush@pritzkerorg.com</t>
        </is>
      </c>
      <c r="H780" s="425" t="inlineStr"/>
      <c r="I780" s="425" t="inlineStr"/>
      <c r="J780" s="111" t="inlineStr">
        <is>
          <t>https://www.linkedin.com/in/jordan-federbush-69435357/</t>
        </is>
      </c>
      <c r="K780" s="426" t="inlineStr">
        <is>
          <t>John Quinn</t>
        </is>
      </c>
      <c r="L780" s="426" t="inlineStr">
        <is>
          <t>Follow Up</t>
        </is>
      </c>
      <c r="M780" s="425" t="inlineStr">
        <is>
          <t>Space / Defense / Aerospace / Advanced Manufacturing</t>
        </is>
      </c>
      <c r="N780" s="426" t="inlineStr">
        <is>
          <t>Tier 2</t>
        </is>
      </c>
      <c r="O780" s="441" t="n">
        <v>45903</v>
      </c>
      <c r="P780" s="441" t="n">
        <v>45972</v>
      </c>
      <c r="Q780" s="425">
        <f>IF(P780="","",TODAY()-P780)</f>
        <v/>
      </c>
      <c r="R780" s="441">
        <f>IF(OR(L780="Passed",Z780=""),"",P780+Z780)</f>
        <v/>
      </c>
      <c r="S780" s="425">
        <f>IF(OR(R780="",L780="Passed"),"",IF(R780&lt;=TODAY(),"DUE",IF(R780&lt;=TODAY()+3,"Next 3 Days","Later")))</f>
        <v/>
      </c>
      <c r="T780" s="425" t="inlineStr"/>
      <c r="U780" s="426" t="inlineStr">
        <is>
          <t>https://www.linkedin.com/in/jordan-federbush-69435357/</t>
        </is>
      </c>
      <c r="V780" s="426" t="inlineStr"/>
      <c r="W780" s="428" t="inlineStr">
        <is>
          <t xml:space="preserve"> | 12/05/2025 | </t>
        </is>
      </c>
      <c r="X780" s="425" t="inlineStr">
        <is>
          <t>John - Investor Contacts!608</t>
        </is>
      </c>
      <c r="Y780" s="426" t="inlineStr">
        <is>
          <t>Send next follow-up with traction + CTA</t>
        </is>
      </c>
      <c r="Z780" s="425" t="n">
        <v>7</v>
      </c>
      <c r="AA780" s="425">
        <f>IF(AC780="Archived",0,ROUND((IF(N780="Tier 1",35,IF(N780="Tier 2",20,8))+IF(C780="Financial Investor",15,IF(C780="Intermediary / Banker",12,8))+IF(L780="Term Sheet / Proposal",25,IF(L780="Engaged",20,IF(L780="Meeting Requested",18,IF(L780="Meeting Held",14,IF(L780="Follow Up",10,5)))))+MIN(Q780,30)+IF(S780="DUE",15,IF(S780="Next 3 Days",8,0))),0))</f>
        <v/>
      </c>
      <c r="AB780" s="425">
        <f>IF(AND(AC780="Active",OR(N780="Tier 1",N780="Tier 2"),OR(S780="DUE",S780="Next 3 Days")),"YES","")</f>
        <v/>
      </c>
      <c r="AC780" s="425">
        <f>IF(L780="Passed","Archived","Active")</f>
        <v/>
      </c>
    </row>
    <row r="781">
      <c r="A781" s="425" t="inlineStr">
        <is>
          <t>EXOS-0780</t>
        </is>
      </c>
      <c r="B781" s="425" t="inlineStr">
        <is>
          <t>John - Investor Contacts</t>
        </is>
      </c>
      <c r="C781" s="425" t="inlineStr">
        <is>
          <t>Financial Investor</t>
        </is>
      </c>
      <c r="D781" s="425" t="inlineStr">
        <is>
          <t>The Roda Group/Starshot Capital</t>
        </is>
      </c>
      <c r="E781" s="425" t="inlineStr">
        <is>
          <t>Daniel Miller</t>
        </is>
      </c>
      <c r="F781" s="425" t="inlineStr"/>
      <c r="G781" s="111" t="inlineStr">
        <is>
          <t>dan@rodagroup.com</t>
        </is>
      </c>
      <c r="H781" s="425" t="inlineStr"/>
      <c r="I781" s="425" t="inlineStr"/>
      <c r="J781" s="111" t="inlineStr">
        <is>
          <t>https://www.linkedin.com/in/danielmiller/</t>
        </is>
      </c>
      <c r="K781" s="426" t="inlineStr">
        <is>
          <t>John Quinn</t>
        </is>
      </c>
      <c r="L781" s="426" t="inlineStr">
        <is>
          <t>Follow Up</t>
        </is>
      </c>
      <c r="M781" s="425" t="inlineStr">
        <is>
          <t>Space / Defense / Aerospace / Advanced Manufacturing</t>
        </is>
      </c>
      <c r="N781" s="426" t="inlineStr">
        <is>
          <t>Tier 2</t>
        </is>
      </c>
      <c r="O781" s="441" t="n">
        <v>45993</v>
      </c>
      <c r="P781" s="441" t="n">
        <v>46036</v>
      </c>
      <c r="Q781" s="425">
        <f>IF(P781="","",TODAY()-P781)</f>
        <v/>
      </c>
      <c r="R781" s="441">
        <f>IF(OR(L781="Passed",Z781=""),"",P781+Z781)</f>
        <v/>
      </c>
      <c r="S781" s="425">
        <f>IF(OR(R781="",L781="Passed"),"",IF(R781&lt;=TODAY(),"DUE",IF(R781&lt;=TODAY()+3,"Next 3 Days","Later")))</f>
        <v/>
      </c>
      <c r="T781" s="425" t="inlineStr"/>
      <c r="U781" s="426" t="inlineStr">
        <is>
          <t>https://www.linkedin.com/in/danielmiller/</t>
        </is>
      </c>
      <c r="V781" s="426" t="inlineStr"/>
      <c r="W781" s="428" t="inlineStr">
        <is>
          <t xml:space="preserve"> |  | </t>
        </is>
      </c>
      <c r="X781" s="425" t="inlineStr">
        <is>
          <t>John - Investor Contacts!699</t>
        </is>
      </c>
      <c r="Y781" s="426" t="inlineStr">
        <is>
          <t>Send next follow-up with traction + CTA</t>
        </is>
      </c>
      <c r="Z781" s="425" t="n">
        <v>7</v>
      </c>
      <c r="AA781" s="425">
        <f>IF(AC781="Archived",0,ROUND((IF(N781="Tier 1",35,IF(N781="Tier 2",20,8))+IF(C781="Financial Investor",15,IF(C781="Intermediary / Banker",12,8))+IF(L781="Term Sheet / Proposal",25,IF(L781="Engaged",20,IF(L781="Meeting Requested",18,IF(L781="Meeting Held",14,IF(L781="Follow Up",10,5)))))+MIN(Q781,30)+IF(S781="DUE",15,IF(S781="Next 3 Days",8,0))),0))</f>
        <v/>
      </c>
      <c r="AB781" s="425">
        <f>IF(AND(AC781="Active",OR(N781="Tier 1",N781="Tier 2"),OR(S781="DUE",S781="Next 3 Days")),"YES","")</f>
        <v/>
      </c>
      <c r="AC781" s="425">
        <f>IF(L781="Passed","Archived","Active")</f>
        <v/>
      </c>
    </row>
    <row r="782">
      <c r="A782" s="425" t="inlineStr">
        <is>
          <t>EXOS-0781</t>
        </is>
      </c>
      <c r="B782" s="425" t="inlineStr">
        <is>
          <t>Derek Contacts</t>
        </is>
      </c>
      <c r="C782" s="425" t="inlineStr">
        <is>
          <t>Financial Investor</t>
        </is>
      </c>
      <c r="D782" s="425" t="inlineStr">
        <is>
          <t>Thunder Rock Capital</t>
        </is>
      </c>
      <c r="E782" s="425" t="inlineStr">
        <is>
          <t>Varun Ajjarapu</t>
        </is>
      </c>
      <c r="F782" s="425" t="inlineStr">
        <is>
          <t>Investor</t>
        </is>
      </c>
      <c r="G782" s="111" t="inlineStr">
        <is>
          <t>va@thunderrockcapital.com</t>
        </is>
      </c>
      <c r="H782" s="425" t="inlineStr"/>
      <c r="I782" s="425" t="inlineStr"/>
      <c r="J782" s="425" t="inlineStr"/>
      <c r="K782" s="426" t="inlineStr">
        <is>
          <t>John Quinn</t>
        </is>
      </c>
      <c r="L782" s="426" t="inlineStr">
        <is>
          <t>Follow Up</t>
        </is>
      </c>
      <c r="M782" s="425" t="inlineStr">
        <is>
          <t>Space / Defense / Aerospace / Advanced Manufacturing</t>
        </is>
      </c>
      <c r="N782" s="426" t="inlineStr">
        <is>
          <t>Tier 2</t>
        </is>
      </c>
      <c r="O782" s="425" t="n"/>
      <c r="P782" s="425" t="n"/>
      <c r="Q782" s="425">
        <f>IF(P782="","",TODAY()-P782)</f>
        <v/>
      </c>
      <c r="R782" s="441">
        <f>IF(OR(L782="Passed",Z782=""),"",P782+Z782)</f>
        <v/>
      </c>
      <c r="S782" s="425">
        <f>IF(OR(R782="",L782="Passed"),"",IF(R782&lt;=TODAY(),"DUE",IF(R782&lt;=TODAY()+3,"Next 3 Days","Later")))</f>
        <v/>
      </c>
      <c r="T782" s="425" t="inlineStr"/>
      <c r="U782" s="426" t="inlineStr"/>
      <c r="V782" s="426" t="inlineStr"/>
      <c r="W782" s="428" t="inlineStr">
        <is>
          <t>materials sent / no follow up</t>
        </is>
      </c>
      <c r="X782" s="425" t="inlineStr">
        <is>
          <t>Derek Contacts!54</t>
        </is>
      </c>
      <c r="Y782" s="426" t="inlineStr">
        <is>
          <t>Send next follow-up with traction + CTA</t>
        </is>
      </c>
      <c r="Z782" s="425" t="n">
        <v>7</v>
      </c>
      <c r="AA782" s="425">
        <f>IF(AC782="Archived",0,ROUND((IF(N782="Tier 1",35,IF(N782="Tier 2",20,8))+IF(C782="Financial Investor",15,IF(C782="Intermediary / Banker",12,8))+IF(L782="Term Sheet / Proposal",25,IF(L782="Engaged",20,IF(L782="Meeting Requested",18,IF(L782="Meeting Held",14,IF(L782="Follow Up",10,5)))))+MIN(Q782,30)+IF(S782="DUE",15,IF(S782="Next 3 Days",8,0))),0))</f>
        <v/>
      </c>
      <c r="AB782" s="425">
        <f>IF(AND(AC782="Active",OR(N782="Tier 1",N782="Tier 2"),OR(S782="DUE",S782="Next 3 Days")),"YES","")</f>
        <v/>
      </c>
      <c r="AC782" s="425">
        <f>IF(L782="Passed","Archived","Active")</f>
        <v/>
      </c>
    </row>
    <row r="783">
      <c r="A783" s="425" t="inlineStr">
        <is>
          <t>EXOS-0782</t>
        </is>
      </c>
      <c r="B783" s="425" t="inlineStr">
        <is>
          <t>John - Investor Contacts</t>
        </is>
      </c>
      <c r="C783" s="425" t="inlineStr">
        <is>
          <t>Financial Investor</t>
        </is>
      </c>
      <c r="D783" s="425" t="inlineStr">
        <is>
          <t>Time Zero Capital</t>
        </is>
      </c>
      <c r="E783" s="425" t="inlineStr">
        <is>
          <t>Dinesh Moorjani</t>
        </is>
      </c>
      <c r="F783" s="425" t="inlineStr"/>
      <c r="G783" s="111" t="inlineStr">
        <is>
          <t>dinesh@timezerocapital.com</t>
        </is>
      </c>
      <c r="H783" s="425" t="inlineStr"/>
      <c r="I783" s="425" t="inlineStr"/>
      <c r="J783" s="111" t="inlineStr">
        <is>
          <t>https://www.linkedin.com/in/dineshmoorjani/</t>
        </is>
      </c>
      <c r="K783" s="426" t="inlineStr">
        <is>
          <t>John Quinn</t>
        </is>
      </c>
      <c r="L783" s="426" t="inlineStr">
        <is>
          <t>Follow Up</t>
        </is>
      </c>
      <c r="M783" s="425" t="inlineStr">
        <is>
          <t>Space / Defense / Aerospace / Advanced Manufacturing</t>
        </is>
      </c>
      <c r="N783" s="426" t="inlineStr">
        <is>
          <t>Tier 2</t>
        </is>
      </c>
      <c r="O783" s="441" t="n">
        <v>45894</v>
      </c>
      <c r="P783" s="441" t="n">
        <v>45924</v>
      </c>
      <c r="Q783" s="425">
        <f>IF(P783="","",TODAY()-P783)</f>
        <v/>
      </c>
      <c r="R783" s="441">
        <f>IF(OR(L783="Passed",Z783=""),"",P783+Z783)</f>
        <v/>
      </c>
      <c r="S783" s="425">
        <f>IF(OR(R783="",L783="Passed"),"",IF(R783&lt;=TODAY(),"DUE",IF(R783&lt;=TODAY()+3,"Next 3 Days","Later")))</f>
        <v/>
      </c>
      <c r="T783" s="425" t="inlineStr"/>
      <c r="U783" s="426" t="inlineStr">
        <is>
          <t>https://www.linkedin.com/in/dineshmoorjani/</t>
        </is>
      </c>
      <c r="V783" s="426" t="inlineStr"/>
      <c r="W783" s="428" t="inlineStr">
        <is>
          <t xml:space="preserve"> | 12/04/2025 | </t>
        </is>
      </c>
      <c r="X783" s="425" t="inlineStr">
        <is>
          <t>John - Investor Contacts!530</t>
        </is>
      </c>
      <c r="Y783" s="426" t="inlineStr">
        <is>
          <t>Send next follow-up with traction + CTA</t>
        </is>
      </c>
      <c r="Z783" s="425" t="n">
        <v>7</v>
      </c>
      <c r="AA783" s="425">
        <f>IF(AC783="Archived",0,ROUND((IF(N783="Tier 1",35,IF(N783="Tier 2",20,8))+IF(C783="Financial Investor",15,IF(C783="Intermediary / Banker",12,8))+IF(L783="Term Sheet / Proposal",25,IF(L783="Engaged",20,IF(L783="Meeting Requested",18,IF(L783="Meeting Held",14,IF(L783="Follow Up",10,5)))))+MIN(Q783,30)+IF(S783="DUE",15,IF(S783="Next 3 Days",8,0))),0))</f>
        <v/>
      </c>
      <c r="AB783" s="425">
        <f>IF(AND(AC783="Active",OR(N783="Tier 1",N783="Tier 2"),OR(S783="DUE",S783="Next 3 Days")),"YES","")</f>
        <v/>
      </c>
      <c r="AC783" s="425">
        <f>IF(L783="Passed","Archived","Active")</f>
        <v/>
      </c>
    </row>
    <row r="784">
      <c r="A784" s="425" t="inlineStr">
        <is>
          <t>EXOS-0783</t>
        </is>
      </c>
      <c r="B784" s="425" t="inlineStr">
        <is>
          <t>John - Investor Contacts</t>
        </is>
      </c>
      <c r="C784" s="425" t="inlineStr">
        <is>
          <t>Financial Investor</t>
        </is>
      </c>
      <c r="D784" s="425" t="inlineStr">
        <is>
          <t>Torch Capital</t>
        </is>
      </c>
      <c r="E784" s="425" t="inlineStr">
        <is>
          <t>Allie Molner</t>
        </is>
      </c>
      <c r="F784" s="425" t="inlineStr"/>
      <c r="G784" s="111" t="inlineStr">
        <is>
          <t>allie@torchcapital.vc</t>
        </is>
      </c>
      <c r="H784" s="425" t="inlineStr"/>
      <c r="I784" s="425" t="inlineStr"/>
      <c r="J784" s="111" t="inlineStr">
        <is>
          <t>https://www.linkedin.com/in/allie-molner-745295156/</t>
        </is>
      </c>
      <c r="K784" s="426" t="inlineStr">
        <is>
          <t>John Quinn</t>
        </is>
      </c>
      <c r="L784" s="426" t="inlineStr">
        <is>
          <t>Follow Up</t>
        </is>
      </c>
      <c r="M784" s="425" t="inlineStr">
        <is>
          <t>Space / Defense / Aerospace / Advanced Manufacturing</t>
        </is>
      </c>
      <c r="N784" s="426" t="inlineStr">
        <is>
          <t>Tier 2</t>
        </is>
      </c>
      <c r="O784" s="441" t="n">
        <v>45892</v>
      </c>
      <c r="P784" s="441" t="n">
        <v>45924</v>
      </c>
      <c r="Q784" s="425">
        <f>IF(P784="","",TODAY()-P784)</f>
        <v/>
      </c>
      <c r="R784" s="441">
        <f>IF(OR(L784="Passed",Z784=""),"",P784+Z784)</f>
        <v/>
      </c>
      <c r="S784" s="425">
        <f>IF(OR(R784="",L784="Passed"),"",IF(R784&lt;=TODAY(),"DUE",IF(R784&lt;=TODAY()+3,"Next 3 Days","Later")))</f>
        <v/>
      </c>
      <c r="T784" s="425" t="inlineStr"/>
      <c r="U784" s="426" t="inlineStr">
        <is>
          <t>https://www.linkedin.com/in/allie-molner-745295156/</t>
        </is>
      </c>
      <c r="V784" s="426" t="inlineStr"/>
      <c r="W784" s="428" t="inlineStr">
        <is>
          <t xml:space="preserve"> | 12/03/2025 | </t>
        </is>
      </c>
      <c r="X784" s="425" t="inlineStr">
        <is>
          <t>John - Investor Contacts!520</t>
        </is>
      </c>
      <c r="Y784" s="426" t="inlineStr">
        <is>
          <t>Send next follow-up with traction + CTA</t>
        </is>
      </c>
      <c r="Z784" s="425" t="n">
        <v>7</v>
      </c>
      <c r="AA784" s="425">
        <f>IF(AC784="Archived",0,ROUND((IF(N784="Tier 1",35,IF(N784="Tier 2",20,8))+IF(C784="Financial Investor",15,IF(C784="Intermediary / Banker",12,8))+IF(L784="Term Sheet / Proposal",25,IF(L784="Engaged",20,IF(L784="Meeting Requested",18,IF(L784="Meeting Held",14,IF(L784="Follow Up",10,5)))))+MIN(Q784,30)+IF(S784="DUE",15,IF(S784="Next 3 Days",8,0))),0))</f>
        <v/>
      </c>
      <c r="AB784" s="425">
        <f>IF(AND(AC784="Active",OR(N784="Tier 1",N784="Tier 2"),OR(S784="DUE",S784="Next 3 Days")),"YES","")</f>
        <v/>
      </c>
      <c r="AC784" s="425">
        <f>IF(L784="Passed","Archived","Active")</f>
        <v/>
      </c>
    </row>
    <row r="785">
      <c r="A785" s="425" t="inlineStr">
        <is>
          <t>EXOS-0784</t>
        </is>
      </c>
      <c r="B785" s="425" t="inlineStr">
        <is>
          <t>John - Investor Contacts</t>
        </is>
      </c>
      <c r="C785" s="425" t="inlineStr">
        <is>
          <t>Financial Investor</t>
        </is>
      </c>
      <c r="D785" s="425" t="inlineStr">
        <is>
          <t>Torch Capital</t>
        </is>
      </c>
      <c r="E785" s="425" t="inlineStr">
        <is>
          <t>Chris Harper</t>
        </is>
      </c>
      <c r="F785" s="425" t="inlineStr"/>
      <c r="G785" s="111" t="inlineStr">
        <is>
          <t>chris@torchcapital.vc</t>
        </is>
      </c>
      <c r="H785" s="425" t="inlineStr"/>
      <c r="I785" s="425" t="inlineStr"/>
      <c r="J785" s="111" t="inlineStr">
        <is>
          <t>https://www.linkedin.com/in/christophervharper/</t>
        </is>
      </c>
      <c r="K785" s="426" t="inlineStr">
        <is>
          <t>John Quinn</t>
        </is>
      </c>
      <c r="L785" s="426" t="inlineStr">
        <is>
          <t>Follow Up</t>
        </is>
      </c>
      <c r="M785" s="425" t="inlineStr">
        <is>
          <t>Space / Defense / Aerospace / Advanced Manufacturing</t>
        </is>
      </c>
      <c r="N785" s="426" t="inlineStr">
        <is>
          <t>Tier 2</t>
        </is>
      </c>
      <c r="O785" s="441" t="n">
        <v>45892</v>
      </c>
      <c r="P785" s="441" t="n">
        <v>45924</v>
      </c>
      <c r="Q785" s="425">
        <f>IF(P785="","",TODAY()-P785)</f>
        <v/>
      </c>
      <c r="R785" s="441">
        <f>IF(OR(L785="Passed",Z785=""),"",P785+Z785)</f>
        <v/>
      </c>
      <c r="S785" s="425">
        <f>IF(OR(R785="",L785="Passed"),"",IF(R785&lt;=TODAY(),"DUE",IF(R785&lt;=TODAY()+3,"Next 3 Days","Later")))</f>
        <v/>
      </c>
      <c r="T785" s="425" t="inlineStr"/>
      <c r="U785" s="426" t="inlineStr">
        <is>
          <t>https://www.linkedin.com/in/christophervharper/</t>
        </is>
      </c>
      <c r="V785" s="426" t="inlineStr"/>
      <c r="W785" s="428" t="inlineStr">
        <is>
          <t xml:space="preserve"> | 12/03/2025 | </t>
        </is>
      </c>
      <c r="X785" s="425" t="inlineStr">
        <is>
          <t>John - Investor Contacts!523</t>
        </is>
      </c>
      <c r="Y785" s="426" t="inlineStr">
        <is>
          <t>Send next follow-up with traction + CTA</t>
        </is>
      </c>
      <c r="Z785" s="425" t="n">
        <v>7</v>
      </c>
      <c r="AA785" s="425">
        <f>IF(AC785="Archived",0,ROUND((IF(N785="Tier 1",35,IF(N785="Tier 2",20,8))+IF(C785="Financial Investor",15,IF(C785="Intermediary / Banker",12,8))+IF(L785="Term Sheet / Proposal",25,IF(L785="Engaged",20,IF(L785="Meeting Requested",18,IF(L785="Meeting Held",14,IF(L785="Follow Up",10,5)))))+MIN(Q785,30)+IF(S785="DUE",15,IF(S785="Next 3 Days",8,0))),0))</f>
        <v/>
      </c>
      <c r="AB785" s="425">
        <f>IF(AND(AC785="Active",OR(N785="Tier 1",N785="Tier 2"),OR(S785="DUE",S785="Next 3 Days")),"YES","")</f>
        <v/>
      </c>
      <c r="AC785" s="425">
        <f>IF(L785="Passed","Archived","Active")</f>
        <v/>
      </c>
    </row>
    <row r="786">
      <c r="A786" s="425" t="inlineStr">
        <is>
          <t>EXOS-0785</t>
        </is>
      </c>
      <c r="B786" s="425" t="inlineStr">
        <is>
          <t>John - Investor Contacts</t>
        </is>
      </c>
      <c r="C786" s="425" t="inlineStr">
        <is>
          <t>Financial Investor</t>
        </is>
      </c>
      <c r="D786" s="425" t="inlineStr">
        <is>
          <t>Torch Capital</t>
        </is>
      </c>
      <c r="E786" s="425" t="inlineStr">
        <is>
          <t>Jake Moross</t>
        </is>
      </c>
      <c r="F786" s="425" t="inlineStr"/>
      <c r="G786" s="111" t="inlineStr">
        <is>
          <t>jake@torchcapital.vc</t>
        </is>
      </c>
      <c r="H786" s="425" t="inlineStr"/>
      <c r="I786" s="425" t="inlineStr"/>
      <c r="J786" s="111" t="inlineStr">
        <is>
          <t>https://www.linkedin.com/in/jake-moross/</t>
        </is>
      </c>
      <c r="K786" s="426" t="inlineStr">
        <is>
          <t>John Quinn</t>
        </is>
      </c>
      <c r="L786" s="426" t="inlineStr">
        <is>
          <t>Follow Up</t>
        </is>
      </c>
      <c r="M786" s="425" t="inlineStr">
        <is>
          <t>Space / Defense / Aerospace / Advanced Manufacturing</t>
        </is>
      </c>
      <c r="N786" s="426" t="inlineStr">
        <is>
          <t>Tier 2</t>
        </is>
      </c>
      <c r="O786" s="441" t="n">
        <v>45892</v>
      </c>
      <c r="P786" s="441" t="n">
        <v>45924</v>
      </c>
      <c r="Q786" s="425">
        <f>IF(P786="","",TODAY()-P786)</f>
        <v/>
      </c>
      <c r="R786" s="441">
        <f>IF(OR(L786="Passed",Z786=""),"",P786+Z786)</f>
        <v/>
      </c>
      <c r="S786" s="425">
        <f>IF(OR(R786="",L786="Passed"),"",IF(R786&lt;=TODAY(),"DUE",IF(R786&lt;=TODAY()+3,"Next 3 Days","Later")))</f>
        <v/>
      </c>
      <c r="T786" s="425" t="inlineStr"/>
      <c r="U786" s="426" t="inlineStr">
        <is>
          <t>https://www.linkedin.com/in/jake-moross/</t>
        </is>
      </c>
      <c r="V786" s="426" t="inlineStr"/>
      <c r="W786" s="428" t="inlineStr">
        <is>
          <t xml:space="preserve"> | 12/03/2025 | </t>
        </is>
      </c>
      <c r="X786" s="425" t="inlineStr">
        <is>
          <t>John - Investor Contacts!524</t>
        </is>
      </c>
      <c r="Y786" s="426" t="inlineStr">
        <is>
          <t>Send next follow-up with traction + CTA</t>
        </is>
      </c>
      <c r="Z786" s="425" t="n">
        <v>7</v>
      </c>
      <c r="AA786" s="425">
        <f>IF(AC786="Archived",0,ROUND((IF(N786="Tier 1",35,IF(N786="Tier 2",20,8))+IF(C786="Financial Investor",15,IF(C786="Intermediary / Banker",12,8))+IF(L786="Term Sheet / Proposal",25,IF(L786="Engaged",20,IF(L786="Meeting Requested",18,IF(L786="Meeting Held",14,IF(L786="Follow Up",10,5)))))+MIN(Q786,30)+IF(S786="DUE",15,IF(S786="Next 3 Days",8,0))),0))</f>
        <v/>
      </c>
      <c r="AB786" s="425">
        <f>IF(AND(AC786="Active",OR(N786="Tier 1",N786="Tier 2"),OR(S786="DUE",S786="Next 3 Days")),"YES","")</f>
        <v/>
      </c>
      <c r="AC786" s="425">
        <f>IF(L786="Passed","Archived","Active")</f>
        <v/>
      </c>
    </row>
    <row r="787">
      <c r="A787" s="425" t="inlineStr">
        <is>
          <t>EXOS-0786</t>
        </is>
      </c>
      <c r="B787" s="425" t="inlineStr">
        <is>
          <t>John - Investor Contacts</t>
        </is>
      </c>
      <c r="C787" s="425" t="inlineStr">
        <is>
          <t>Financial Investor</t>
        </is>
      </c>
      <c r="D787" s="425" t="inlineStr">
        <is>
          <t>Torch Capital</t>
        </is>
      </c>
      <c r="E787" s="425" t="inlineStr">
        <is>
          <t>Katie Reiner Peykar</t>
        </is>
      </c>
      <c r="F787" s="425" t="inlineStr"/>
      <c r="G787" s="111" t="inlineStr">
        <is>
          <t>katie@torchcapital.vc</t>
        </is>
      </c>
      <c r="H787" s="425" t="inlineStr"/>
      <c r="I787" s="425" t="inlineStr"/>
      <c r="J787" s="111" t="inlineStr">
        <is>
          <t>https://www.linkedin.com/in/katie-reiner-peykar-24542483/</t>
        </is>
      </c>
      <c r="K787" s="426" t="inlineStr">
        <is>
          <t>John Quinn</t>
        </is>
      </c>
      <c r="L787" s="426" t="inlineStr">
        <is>
          <t>Follow Up</t>
        </is>
      </c>
      <c r="M787" s="425" t="inlineStr">
        <is>
          <t>Space / Defense / Aerospace / Advanced Manufacturing</t>
        </is>
      </c>
      <c r="N787" s="426" t="inlineStr">
        <is>
          <t>Tier 2</t>
        </is>
      </c>
      <c r="O787" s="441" t="n">
        <v>45892</v>
      </c>
      <c r="P787" s="441" t="n">
        <v>45924</v>
      </c>
      <c r="Q787" s="425">
        <f>IF(P787="","",TODAY()-P787)</f>
        <v/>
      </c>
      <c r="R787" s="441">
        <f>IF(OR(L787="Passed",Z787=""),"",P787+Z787)</f>
        <v/>
      </c>
      <c r="S787" s="425">
        <f>IF(OR(R787="",L787="Passed"),"",IF(R787&lt;=TODAY(),"DUE",IF(R787&lt;=TODAY()+3,"Next 3 Days","Later")))</f>
        <v/>
      </c>
      <c r="T787" s="425" t="inlineStr"/>
      <c r="U787" s="426" t="inlineStr">
        <is>
          <t>https://www.linkedin.com/in/katie-reiner-peykar-24542483/</t>
        </is>
      </c>
      <c r="V787" s="426" t="inlineStr"/>
      <c r="W787" s="428" t="inlineStr">
        <is>
          <t xml:space="preserve"> | 12/03/2025 | </t>
        </is>
      </c>
      <c r="X787" s="425" t="inlineStr">
        <is>
          <t>John - Investor Contacts!521</t>
        </is>
      </c>
      <c r="Y787" s="426" t="inlineStr">
        <is>
          <t>Send next follow-up with traction + CTA</t>
        </is>
      </c>
      <c r="Z787" s="425" t="n">
        <v>7</v>
      </c>
      <c r="AA787" s="425">
        <f>IF(AC787="Archived",0,ROUND((IF(N787="Tier 1",35,IF(N787="Tier 2",20,8))+IF(C787="Financial Investor",15,IF(C787="Intermediary / Banker",12,8))+IF(L787="Term Sheet / Proposal",25,IF(L787="Engaged",20,IF(L787="Meeting Requested",18,IF(L787="Meeting Held",14,IF(L787="Follow Up",10,5)))))+MIN(Q787,30)+IF(S787="DUE",15,IF(S787="Next 3 Days",8,0))),0))</f>
        <v/>
      </c>
      <c r="AB787" s="425">
        <f>IF(AND(AC787="Active",OR(N787="Tier 1",N787="Tier 2"),OR(S787="DUE",S787="Next 3 Days")),"YES","")</f>
        <v/>
      </c>
      <c r="AC787" s="425">
        <f>IF(L787="Passed","Archived","Active")</f>
        <v/>
      </c>
    </row>
    <row r="788">
      <c r="A788" s="425" t="inlineStr">
        <is>
          <t>EXOS-0787</t>
        </is>
      </c>
      <c r="B788" s="425" t="inlineStr">
        <is>
          <t>John - Investor Contacts</t>
        </is>
      </c>
      <c r="C788" s="425" t="inlineStr">
        <is>
          <t>Financial Investor</t>
        </is>
      </c>
      <c r="D788" s="425" t="inlineStr">
        <is>
          <t>Torch Capital</t>
        </is>
      </c>
      <c r="E788" s="425" t="inlineStr">
        <is>
          <t>Sam Jones</t>
        </is>
      </c>
      <c r="F788" s="425" t="inlineStr"/>
      <c r="G788" s="111" t="inlineStr">
        <is>
          <t>sam@torchcapital.vc</t>
        </is>
      </c>
      <c r="H788" s="425" t="inlineStr"/>
      <c r="I788" s="425" t="inlineStr"/>
      <c r="J788" s="111" t="inlineStr">
        <is>
          <t>https://www.linkedin.com/in/sam-jones-6a2b633a/</t>
        </is>
      </c>
      <c r="K788" s="426" t="inlineStr">
        <is>
          <t>John Quinn</t>
        </is>
      </c>
      <c r="L788" s="426" t="inlineStr">
        <is>
          <t>Follow Up</t>
        </is>
      </c>
      <c r="M788" s="425" t="inlineStr">
        <is>
          <t>Space / Defense / Aerospace / Advanced Manufacturing</t>
        </is>
      </c>
      <c r="N788" s="426" t="inlineStr">
        <is>
          <t>Tier 2</t>
        </is>
      </c>
      <c r="O788" s="441" t="n">
        <v>45892</v>
      </c>
      <c r="P788" s="441" t="n">
        <v>45924</v>
      </c>
      <c r="Q788" s="425">
        <f>IF(P788="","",TODAY()-P788)</f>
        <v/>
      </c>
      <c r="R788" s="441">
        <f>IF(OR(L788="Passed",Z788=""),"",P788+Z788)</f>
        <v/>
      </c>
      <c r="S788" s="425">
        <f>IF(OR(R788="",L788="Passed"),"",IF(R788&lt;=TODAY(),"DUE",IF(R788&lt;=TODAY()+3,"Next 3 Days","Later")))</f>
        <v/>
      </c>
      <c r="T788" s="425" t="inlineStr"/>
      <c r="U788" s="426" t="inlineStr">
        <is>
          <t>https://www.linkedin.com/in/sam-jones-6a2b633a/</t>
        </is>
      </c>
      <c r="V788" s="426" t="inlineStr"/>
      <c r="W788" s="428" t="inlineStr">
        <is>
          <t xml:space="preserve"> | 12/03/2025 | </t>
        </is>
      </c>
      <c r="X788" s="425" t="inlineStr">
        <is>
          <t>John - Investor Contacts!522</t>
        </is>
      </c>
      <c r="Y788" s="426" t="inlineStr">
        <is>
          <t>Send next follow-up with traction + CTA</t>
        </is>
      </c>
      <c r="Z788" s="425" t="n">
        <v>7</v>
      </c>
      <c r="AA788" s="425">
        <f>IF(AC788="Archived",0,ROUND((IF(N788="Tier 1",35,IF(N788="Tier 2",20,8))+IF(C788="Financial Investor",15,IF(C788="Intermediary / Banker",12,8))+IF(L788="Term Sheet / Proposal",25,IF(L788="Engaged",20,IF(L788="Meeting Requested",18,IF(L788="Meeting Held",14,IF(L788="Follow Up",10,5)))))+MIN(Q788,30)+IF(S788="DUE",15,IF(S788="Next 3 Days",8,0))),0))</f>
        <v/>
      </c>
      <c r="AB788" s="425">
        <f>IF(AND(AC788="Active",OR(N788="Tier 1",N788="Tier 2"),OR(S788="DUE",S788="Next 3 Days")),"YES","")</f>
        <v/>
      </c>
      <c r="AC788" s="425">
        <f>IF(L788="Passed","Archived","Active")</f>
        <v/>
      </c>
    </row>
    <row r="789">
      <c r="A789" s="425" t="inlineStr">
        <is>
          <t>EXOS-0788</t>
        </is>
      </c>
      <c r="B789" s="425" t="inlineStr">
        <is>
          <t>John - Investor Contacts</t>
        </is>
      </c>
      <c r="C789" s="425" t="inlineStr">
        <is>
          <t>Financial Investor</t>
        </is>
      </c>
      <c r="D789" s="425" t="inlineStr">
        <is>
          <t>Touchdown Ventures / Cerity Partner Ventures</t>
        </is>
      </c>
      <c r="E789" s="425" t="inlineStr">
        <is>
          <t>Kurt Miscinski</t>
        </is>
      </c>
      <c r="F789" s="425" t="inlineStr"/>
      <c r="G789" s="111" t="inlineStr">
        <is>
          <t>kmiscinski@ceritypartners.com</t>
        </is>
      </c>
      <c r="H789" s="425" t="inlineStr"/>
      <c r="I789" s="425" t="inlineStr"/>
      <c r="J789" s="111" t="inlineStr">
        <is>
          <t>https://www.linkedin.com/in/kurtmiscinski/</t>
        </is>
      </c>
      <c r="K789" s="426" t="inlineStr">
        <is>
          <t>John Quinn</t>
        </is>
      </c>
      <c r="L789" s="426" t="inlineStr">
        <is>
          <t>Follow Up</t>
        </is>
      </c>
      <c r="M789" s="425" t="inlineStr">
        <is>
          <t>Space / Defense / Aerospace / Advanced Manufacturing</t>
        </is>
      </c>
      <c r="N789" s="426" t="inlineStr">
        <is>
          <t>Tier 2</t>
        </is>
      </c>
      <c r="O789" s="441" t="n">
        <v>45846</v>
      </c>
      <c r="P789" s="441" t="n">
        <v>45861</v>
      </c>
      <c r="Q789" s="425">
        <f>IF(P789="","",TODAY()-P789)</f>
        <v/>
      </c>
      <c r="R789" s="441">
        <f>IF(OR(L789="Passed",Z789=""),"",P789+Z789)</f>
        <v/>
      </c>
      <c r="S789" s="425">
        <f>IF(OR(R789="",L789="Passed"),"",IF(R789&lt;=TODAY(),"DUE",IF(R789&lt;=TODAY()+3,"Next 3 Days","Later")))</f>
        <v/>
      </c>
      <c r="T789" s="425" t="inlineStr"/>
      <c r="U789" s="426" t="inlineStr">
        <is>
          <t>https://www.linkedin.com/in/kurtmiscinski/</t>
        </is>
      </c>
      <c r="V789" s="426" t="inlineStr"/>
      <c r="W789" s="428" t="inlineStr">
        <is>
          <t xml:space="preserve"> | 12/26/2025 | </t>
        </is>
      </c>
      <c r="X789" s="425" t="inlineStr">
        <is>
          <t>John - Investor Contacts!366</t>
        </is>
      </c>
      <c r="Y789" s="426" t="inlineStr">
        <is>
          <t>Send next follow-up with traction + CTA</t>
        </is>
      </c>
      <c r="Z789" s="425" t="n">
        <v>7</v>
      </c>
      <c r="AA789" s="425">
        <f>IF(AC789="Archived",0,ROUND((IF(N789="Tier 1",35,IF(N789="Tier 2",20,8))+IF(C789="Financial Investor",15,IF(C789="Intermediary / Banker",12,8))+IF(L789="Term Sheet / Proposal",25,IF(L789="Engaged",20,IF(L789="Meeting Requested",18,IF(L789="Meeting Held",14,IF(L789="Follow Up",10,5)))))+MIN(Q789,30)+IF(S789="DUE",15,IF(S789="Next 3 Days",8,0))),0))</f>
        <v/>
      </c>
      <c r="AB789" s="425">
        <f>IF(AND(AC789="Active",OR(N789="Tier 1",N789="Tier 2"),OR(S789="DUE",S789="Next 3 Days")),"YES","")</f>
        <v/>
      </c>
      <c r="AC789" s="425">
        <f>IF(L789="Passed","Archived","Active")</f>
        <v/>
      </c>
    </row>
    <row r="790">
      <c r="A790" s="425" t="inlineStr">
        <is>
          <t>EXOS-0789</t>
        </is>
      </c>
      <c r="B790" s="425" t="inlineStr">
        <is>
          <t>John - Investor Contacts</t>
        </is>
      </c>
      <c r="C790" s="425" t="inlineStr">
        <is>
          <t>Financial Investor</t>
        </is>
      </c>
      <c r="D790" s="425" t="inlineStr">
        <is>
          <t>Touchdown Ventures / Cerity Partner Ventures</t>
        </is>
      </c>
      <c r="E790" s="425" t="inlineStr">
        <is>
          <t>Peter Martin</t>
        </is>
      </c>
      <c r="F790" s="425" t="inlineStr"/>
      <c r="G790" s="111" t="inlineStr">
        <is>
          <t>pmartin@ceritypartners.com</t>
        </is>
      </c>
      <c r="H790" s="425" t="inlineStr"/>
      <c r="I790" s="425" t="inlineStr"/>
      <c r="J790" s="111" t="inlineStr">
        <is>
          <t>https://www.linkedin.com/in/peter-martin-fw76008/</t>
        </is>
      </c>
      <c r="K790" s="426" t="inlineStr">
        <is>
          <t>John Quinn</t>
        </is>
      </c>
      <c r="L790" s="426" t="inlineStr">
        <is>
          <t>Follow Up</t>
        </is>
      </c>
      <c r="M790" s="425" t="inlineStr">
        <is>
          <t>Space / Defense / Aerospace / Advanced Manufacturing</t>
        </is>
      </c>
      <c r="N790" s="426" t="inlineStr">
        <is>
          <t>Tier 2</t>
        </is>
      </c>
      <c r="O790" s="441" t="n">
        <v>45846</v>
      </c>
      <c r="P790" s="441" t="n">
        <v>45861</v>
      </c>
      <c r="Q790" s="425">
        <f>IF(P790="","",TODAY()-P790)</f>
        <v/>
      </c>
      <c r="R790" s="441">
        <f>IF(OR(L790="Passed",Z790=""),"",P790+Z790)</f>
        <v/>
      </c>
      <c r="S790" s="425">
        <f>IF(OR(R790="",L790="Passed"),"",IF(R790&lt;=TODAY(),"DUE",IF(R790&lt;=TODAY()+3,"Next 3 Days","Later")))</f>
        <v/>
      </c>
      <c r="T790" s="425" t="inlineStr"/>
      <c r="U790" s="426" t="inlineStr">
        <is>
          <t>https://www.linkedin.com/in/peter-martin-fw76008/</t>
        </is>
      </c>
      <c r="V790" s="426" t="inlineStr"/>
      <c r="W790" s="428" t="inlineStr">
        <is>
          <t xml:space="preserve"> | 12/26/2025 | </t>
        </is>
      </c>
      <c r="X790" s="425" t="inlineStr">
        <is>
          <t>John - Investor Contacts!367</t>
        </is>
      </c>
      <c r="Y790" s="426" t="inlineStr">
        <is>
          <t>Send next follow-up with traction + CTA</t>
        </is>
      </c>
      <c r="Z790" s="425" t="n">
        <v>7</v>
      </c>
      <c r="AA790" s="425">
        <f>IF(AC790="Archived",0,ROUND((IF(N790="Tier 1",35,IF(N790="Tier 2",20,8))+IF(C790="Financial Investor",15,IF(C790="Intermediary / Banker",12,8))+IF(L790="Term Sheet / Proposal",25,IF(L790="Engaged",20,IF(L790="Meeting Requested",18,IF(L790="Meeting Held",14,IF(L790="Follow Up",10,5)))))+MIN(Q790,30)+IF(S790="DUE",15,IF(S790="Next 3 Days",8,0))),0))</f>
        <v/>
      </c>
      <c r="AB790" s="425">
        <f>IF(AND(AC790="Active",OR(N790="Tier 1",N790="Tier 2"),OR(S790="DUE",S790="Next 3 Days")),"YES","")</f>
        <v/>
      </c>
      <c r="AC790" s="425">
        <f>IF(L790="Passed","Archived","Active")</f>
        <v/>
      </c>
    </row>
    <row r="791">
      <c r="A791" s="425" t="inlineStr">
        <is>
          <t>EXOS-0790</t>
        </is>
      </c>
      <c r="B791" s="425" t="inlineStr">
        <is>
          <t>John - Investor Contacts</t>
        </is>
      </c>
      <c r="C791" s="425" t="inlineStr">
        <is>
          <t>Financial Investor</t>
        </is>
      </c>
      <c r="D791" s="425" t="inlineStr">
        <is>
          <t>Touchdown Ventures/Cerity Partners</t>
        </is>
      </c>
      <c r="E791" s="425" t="inlineStr">
        <is>
          <t>David Horowitz</t>
        </is>
      </c>
      <c r="F791" s="425" t="inlineStr"/>
      <c r="G791" s="111" t="inlineStr">
        <is>
          <t>dhorowitz@ceritypartners.com</t>
        </is>
      </c>
      <c r="H791" s="425" t="inlineStr"/>
      <c r="I791" s="425" t="inlineStr"/>
      <c r="J791" s="111" t="inlineStr">
        <is>
          <t>https://www.linkedin.com/in/davidbhorowitz/</t>
        </is>
      </c>
      <c r="K791" s="426" t="inlineStr">
        <is>
          <t>John Quinn</t>
        </is>
      </c>
      <c r="L791" s="426" t="inlineStr">
        <is>
          <t>Follow Up</t>
        </is>
      </c>
      <c r="M791" s="425" t="inlineStr">
        <is>
          <t>Space / Defense / Aerospace / Advanced Manufacturing</t>
        </is>
      </c>
      <c r="N791" s="426" t="inlineStr">
        <is>
          <t>Tier 2</t>
        </is>
      </c>
      <c r="O791" s="441" t="n">
        <v>45878</v>
      </c>
      <c r="P791" s="441" t="n">
        <v>45890</v>
      </c>
      <c r="Q791" s="425">
        <f>IF(P791="","",TODAY()-P791)</f>
        <v/>
      </c>
      <c r="R791" s="441">
        <f>IF(OR(L791="Passed",Z791=""),"",P791+Z791)</f>
        <v/>
      </c>
      <c r="S791" s="425">
        <f>IF(OR(R791="",L791="Passed"),"",IF(R791&lt;=TODAY(),"DUE",IF(R791&lt;=TODAY()+3,"Next 3 Days","Later")))</f>
        <v/>
      </c>
      <c r="T791" s="425" t="inlineStr"/>
      <c r="U791" s="426" t="inlineStr">
        <is>
          <t>https://www.linkedin.com/in/davidbhorowitz/</t>
        </is>
      </c>
      <c r="V791" s="426" t="inlineStr"/>
      <c r="W791" s="428" t="inlineStr">
        <is>
          <t xml:space="preserve"> | 12/30/2025 | </t>
        </is>
      </c>
      <c r="X791" s="425" t="inlineStr">
        <is>
          <t>John - Investor Contacts!470</t>
        </is>
      </c>
      <c r="Y791" s="426" t="inlineStr">
        <is>
          <t>Send next follow-up with traction + CTA</t>
        </is>
      </c>
      <c r="Z791" s="425" t="n">
        <v>7</v>
      </c>
      <c r="AA791" s="425">
        <f>IF(AC791="Archived",0,ROUND((IF(N791="Tier 1",35,IF(N791="Tier 2",20,8))+IF(C791="Financial Investor",15,IF(C791="Intermediary / Banker",12,8))+IF(L791="Term Sheet / Proposal",25,IF(L791="Engaged",20,IF(L791="Meeting Requested",18,IF(L791="Meeting Held",14,IF(L791="Follow Up",10,5)))))+MIN(Q791,30)+IF(S791="DUE",15,IF(S791="Next 3 Days",8,0))),0))</f>
        <v/>
      </c>
      <c r="AB791" s="425">
        <f>IF(AND(AC791="Active",OR(N791="Tier 1",N791="Tier 2"),OR(S791="DUE",S791="Next 3 Days")),"YES","")</f>
        <v/>
      </c>
      <c r="AC791" s="425">
        <f>IF(L791="Passed","Archived","Active")</f>
        <v/>
      </c>
    </row>
    <row r="792">
      <c r="A792" s="425" t="inlineStr">
        <is>
          <t>EXOS-0791</t>
        </is>
      </c>
      <c r="B792" s="425" t="inlineStr">
        <is>
          <t>John - Investor Contacts</t>
        </is>
      </c>
      <c r="C792" s="425" t="inlineStr">
        <is>
          <t>Financial Investor</t>
        </is>
      </c>
      <c r="D792" s="425" t="inlineStr">
        <is>
          <t>Touchdown Ventures/Cerity Partners</t>
        </is>
      </c>
      <c r="E792" s="425" t="inlineStr">
        <is>
          <t>Eric Budin</t>
        </is>
      </c>
      <c r="F792" s="425" t="inlineStr"/>
      <c r="G792" s="111" t="inlineStr">
        <is>
          <t>eric@touchdownvc.com</t>
        </is>
      </c>
      <c r="H792" s="425" t="inlineStr"/>
      <c r="I792" s="425" t="inlineStr"/>
      <c r="J792" s="111" t="inlineStr">
        <is>
          <t>https://www.linkedin.com/in/ericbudin/</t>
        </is>
      </c>
      <c r="K792" s="426" t="inlineStr">
        <is>
          <t>John Quinn</t>
        </is>
      </c>
      <c r="L792" s="426" t="inlineStr">
        <is>
          <t>Follow Up</t>
        </is>
      </c>
      <c r="M792" s="425" t="inlineStr">
        <is>
          <t>Space / Defense / Aerospace / Advanced Manufacturing</t>
        </is>
      </c>
      <c r="N792" s="426" t="inlineStr">
        <is>
          <t>Tier 2</t>
        </is>
      </c>
      <c r="O792" s="441" t="n">
        <v>45878</v>
      </c>
      <c r="P792" s="441" t="n">
        <v>45890</v>
      </c>
      <c r="Q792" s="425">
        <f>IF(P792="","",TODAY()-P792)</f>
        <v/>
      </c>
      <c r="R792" s="441">
        <f>IF(OR(L792="Passed",Z792=""),"",P792+Z792)</f>
        <v/>
      </c>
      <c r="S792" s="425">
        <f>IF(OR(R792="",L792="Passed"),"",IF(R792&lt;=TODAY(),"DUE",IF(R792&lt;=TODAY()+3,"Next 3 Days","Later")))</f>
        <v/>
      </c>
      <c r="T792" s="425" t="inlineStr"/>
      <c r="U792" s="426" t="inlineStr">
        <is>
          <t>https://www.linkedin.com/in/ericbudin/</t>
        </is>
      </c>
      <c r="V792" s="426" t="inlineStr"/>
      <c r="W792" s="428" t="inlineStr">
        <is>
          <t xml:space="preserve"> | 12/30/2025 | </t>
        </is>
      </c>
      <c r="X792" s="425" t="inlineStr">
        <is>
          <t>John - Investor Contacts!471</t>
        </is>
      </c>
      <c r="Y792" s="426" t="inlineStr">
        <is>
          <t>Send next follow-up with traction + CTA</t>
        </is>
      </c>
      <c r="Z792" s="425" t="n">
        <v>7</v>
      </c>
      <c r="AA792" s="425">
        <f>IF(AC792="Archived",0,ROUND((IF(N792="Tier 1",35,IF(N792="Tier 2",20,8))+IF(C792="Financial Investor",15,IF(C792="Intermediary / Banker",12,8))+IF(L792="Term Sheet / Proposal",25,IF(L792="Engaged",20,IF(L792="Meeting Requested",18,IF(L792="Meeting Held",14,IF(L792="Follow Up",10,5)))))+MIN(Q792,30)+IF(S792="DUE",15,IF(S792="Next 3 Days",8,0))),0))</f>
        <v/>
      </c>
      <c r="AB792" s="425">
        <f>IF(AND(AC792="Active",OR(N792="Tier 1",N792="Tier 2"),OR(S792="DUE",S792="Next 3 Days")),"YES","")</f>
        <v/>
      </c>
      <c r="AC792" s="425">
        <f>IF(L792="Passed","Archived","Active")</f>
        <v/>
      </c>
    </row>
    <row r="793">
      <c r="A793" s="425" t="inlineStr">
        <is>
          <t>EXOS-0792</t>
        </is>
      </c>
      <c r="B793" s="425" t="inlineStr">
        <is>
          <t>John - Investor Contacts</t>
        </is>
      </c>
      <c r="C793" s="425" t="inlineStr">
        <is>
          <t>Financial Investor</t>
        </is>
      </c>
      <c r="D793" s="425" t="inlineStr">
        <is>
          <t>Touchdown Ventures/Cerity Partners</t>
        </is>
      </c>
      <c r="E793" s="425" t="inlineStr">
        <is>
          <t>Greg Bergamesco</t>
        </is>
      </c>
      <c r="F793" s="425" t="inlineStr"/>
      <c r="G793" s="111" t="inlineStr">
        <is>
          <t>greg@touchdownvc.com</t>
        </is>
      </c>
      <c r="H793" s="425" t="inlineStr"/>
      <c r="I793" s="425" t="inlineStr"/>
      <c r="J793" s="111" t="inlineStr">
        <is>
          <t>https://www.linkedin.com/in/greg-bergamesco-2667162/</t>
        </is>
      </c>
      <c r="K793" s="426" t="inlineStr">
        <is>
          <t>John Quinn</t>
        </is>
      </c>
      <c r="L793" s="426" t="inlineStr">
        <is>
          <t>Follow Up</t>
        </is>
      </c>
      <c r="M793" s="425" t="inlineStr">
        <is>
          <t>Space / Defense / Aerospace / Advanced Manufacturing</t>
        </is>
      </c>
      <c r="N793" s="426" t="inlineStr">
        <is>
          <t>Tier 2</t>
        </is>
      </c>
      <c r="O793" s="441" t="n">
        <v>45878</v>
      </c>
      <c r="P793" s="441" t="n">
        <v>45890</v>
      </c>
      <c r="Q793" s="425">
        <f>IF(P793="","",TODAY()-P793)</f>
        <v/>
      </c>
      <c r="R793" s="441">
        <f>IF(OR(L793="Passed",Z793=""),"",P793+Z793)</f>
        <v/>
      </c>
      <c r="S793" s="425">
        <f>IF(OR(R793="",L793="Passed"),"",IF(R793&lt;=TODAY(),"DUE",IF(R793&lt;=TODAY()+3,"Next 3 Days","Later")))</f>
        <v/>
      </c>
      <c r="T793" s="425" t="inlineStr"/>
      <c r="U793" s="426" t="inlineStr">
        <is>
          <t>https://www.linkedin.com/in/greg-bergamesco-2667162/</t>
        </is>
      </c>
      <c r="V793" s="426" t="inlineStr"/>
      <c r="W793" s="428" t="inlineStr">
        <is>
          <t xml:space="preserve"> | 12/30/2025 | </t>
        </is>
      </c>
      <c r="X793" s="425" t="inlineStr">
        <is>
          <t>John - Investor Contacts!472</t>
        </is>
      </c>
      <c r="Y793" s="426" t="inlineStr">
        <is>
          <t>Send next follow-up with traction + CTA</t>
        </is>
      </c>
      <c r="Z793" s="425" t="n">
        <v>7</v>
      </c>
      <c r="AA793" s="425">
        <f>IF(AC793="Archived",0,ROUND((IF(N793="Tier 1",35,IF(N793="Tier 2",20,8))+IF(C793="Financial Investor",15,IF(C793="Intermediary / Banker",12,8))+IF(L793="Term Sheet / Proposal",25,IF(L793="Engaged",20,IF(L793="Meeting Requested",18,IF(L793="Meeting Held",14,IF(L793="Follow Up",10,5)))))+MIN(Q793,30)+IF(S793="DUE",15,IF(S793="Next 3 Days",8,0))),0))</f>
        <v/>
      </c>
      <c r="AB793" s="425">
        <f>IF(AND(AC793="Active",OR(N793="Tier 1",N793="Tier 2"),OR(S793="DUE",S793="Next 3 Days")),"YES","")</f>
        <v/>
      </c>
      <c r="AC793" s="425">
        <f>IF(L793="Passed","Archived","Active")</f>
        <v/>
      </c>
    </row>
    <row r="794">
      <c r="A794" s="425" t="inlineStr">
        <is>
          <t>EXOS-0793</t>
        </is>
      </c>
      <c r="B794" s="425" t="inlineStr">
        <is>
          <t>John - Investor Contacts</t>
        </is>
      </c>
      <c r="C794" s="425" t="inlineStr">
        <is>
          <t>Financial Investor</t>
        </is>
      </c>
      <c r="D794" s="425" t="inlineStr">
        <is>
          <t>Touchdown Ventures/Cerity Partners</t>
        </is>
      </c>
      <c r="E794" s="425" t="inlineStr">
        <is>
          <t>Jack Taylor</t>
        </is>
      </c>
      <c r="F794" s="425" t="inlineStr"/>
      <c r="G794" s="111" t="inlineStr">
        <is>
          <t>jtaylor@ceritypartners.com</t>
        </is>
      </c>
      <c r="H794" s="425" t="inlineStr"/>
      <c r="I794" s="425" t="inlineStr"/>
      <c r="J794" s="425" t="inlineStr"/>
      <c r="K794" s="426" t="inlineStr">
        <is>
          <t>John Quinn</t>
        </is>
      </c>
      <c r="L794" s="426" t="inlineStr">
        <is>
          <t>Follow Up</t>
        </is>
      </c>
      <c r="M794" s="425" t="inlineStr">
        <is>
          <t>Space / Defense / Aerospace / Advanced Manufacturing</t>
        </is>
      </c>
      <c r="N794" s="426" t="inlineStr">
        <is>
          <t>Tier 2</t>
        </is>
      </c>
      <c r="O794" s="441" t="n">
        <v>45878</v>
      </c>
      <c r="P794" s="441" t="n">
        <v>45890</v>
      </c>
      <c r="Q794" s="425">
        <f>IF(P794="","",TODAY()-P794)</f>
        <v/>
      </c>
      <c r="R794" s="441">
        <f>IF(OR(L794="Passed",Z794=""),"",P794+Z794)</f>
        <v/>
      </c>
      <c r="S794" s="425">
        <f>IF(OR(R794="",L794="Passed"),"",IF(R794&lt;=TODAY(),"DUE",IF(R794&lt;=TODAY()+3,"Next 3 Days","Later")))</f>
        <v/>
      </c>
      <c r="T794" s="425" t="inlineStr"/>
      <c r="U794" s="426" t="inlineStr"/>
      <c r="V794" s="426" t="inlineStr"/>
      <c r="W794" s="428" t="inlineStr">
        <is>
          <t xml:space="preserve"> | 12/30/2025 | </t>
        </is>
      </c>
      <c r="X794" s="425" t="inlineStr">
        <is>
          <t>John - Investor Contacts!469</t>
        </is>
      </c>
      <c r="Y794" s="426" t="inlineStr">
        <is>
          <t>Send next follow-up with traction + CTA</t>
        </is>
      </c>
      <c r="Z794" s="425" t="n">
        <v>7</v>
      </c>
      <c r="AA794" s="425">
        <f>IF(AC794="Archived",0,ROUND((IF(N794="Tier 1",35,IF(N794="Tier 2",20,8))+IF(C794="Financial Investor",15,IF(C794="Intermediary / Banker",12,8))+IF(L794="Term Sheet / Proposal",25,IF(L794="Engaged",20,IF(L794="Meeting Requested",18,IF(L794="Meeting Held",14,IF(L794="Follow Up",10,5)))))+MIN(Q794,30)+IF(S794="DUE",15,IF(S794="Next 3 Days",8,0))),0))</f>
        <v/>
      </c>
      <c r="AB794" s="425">
        <f>IF(AND(AC794="Active",OR(N794="Tier 1",N794="Tier 2"),OR(S794="DUE",S794="Next 3 Days")),"YES","")</f>
        <v/>
      </c>
      <c r="AC794" s="425">
        <f>IF(L794="Passed","Archived","Active")</f>
        <v/>
      </c>
    </row>
    <row r="795">
      <c r="A795" s="425" t="inlineStr">
        <is>
          <t>EXOS-0794</t>
        </is>
      </c>
      <c r="B795" s="425" t="inlineStr">
        <is>
          <t>John - Investor Contacts</t>
        </is>
      </c>
      <c r="C795" s="425" t="inlineStr">
        <is>
          <t>Financial Investor</t>
        </is>
      </c>
      <c r="D795" s="425" t="inlineStr">
        <is>
          <t>Touchdown Ventures/Cerity Partners</t>
        </is>
      </c>
      <c r="E795" s="425" t="inlineStr">
        <is>
          <t>Jon Cullom</t>
        </is>
      </c>
      <c r="F795" s="425" t="inlineStr"/>
      <c r="G795" s="111" t="inlineStr">
        <is>
          <t>jon.cullom@touchdownvc.com</t>
        </is>
      </c>
      <c r="H795" s="425" t="inlineStr"/>
      <c r="I795" s="425" t="inlineStr"/>
      <c r="J795" s="425" t="inlineStr"/>
      <c r="K795" s="426" t="inlineStr">
        <is>
          <t>John Quinn</t>
        </is>
      </c>
      <c r="L795" s="426" t="inlineStr">
        <is>
          <t>Follow Up</t>
        </is>
      </c>
      <c r="M795" s="425" t="inlineStr">
        <is>
          <t>Space / Defense / Aerospace / Advanced Manufacturing</t>
        </is>
      </c>
      <c r="N795" s="426" t="inlineStr">
        <is>
          <t>Tier 2</t>
        </is>
      </c>
      <c r="O795" s="441" t="n">
        <v>45878</v>
      </c>
      <c r="P795" s="441" t="n">
        <v>45890</v>
      </c>
      <c r="Q795" s="425">
        <f>IF(P795="","",TODAY()-P795)</f>
        <v/>
      </c>
      <c r="R795" s="441">
        <f>IF(OR(L795="Passed",Z795=""),"",P795+Z795)</f>
        <v/>
      </c>
      <c r="S795" s="425">
        <f>IF(OR(R795="",L795="Passed"),"",IF(R795&lt;=TODAY(),"DUE",IF(R795&lt;=TODAY()+3,"Next 3 Days","Later")))</f>
        <v/>
      </c>
      <c r="T795" s="425" t="inlineStr"/>
      <c r="U795" s="426" t="inlineStr">
        <is>
          <t>linkedin.com/in/jon-cullom</t>
        </is>
      </c>
      <c r="V795" s="426" t="inlineStr"/>
      <c r="W795" s="428" t="inlineStr">
        <is>
          <t xml:space="preserve"> | 12/30/2025 | </t>
        </is>
      </c>
      <c r="X795" s="425" t="inlineStr">
        <is>
          <t>John - Investor Contacts!473</t>
        </is>
      </c>
      <c r="Y795" s="426" t="inlineStr">
        <is>
          <t>Send next follow-up with traction + CTA</t>
        </is>
      </c>
      <c r="Z795" s="425" t="n">
        <v>7</v>
      </c>
      <c r="AA795" s="425">
        <f>IF(AC795="Archived",0,ROUND((IF(N795="Tier 1",35,IF(N795="Tier 2",20,8))+IF(C795="Financial Investor",15,IF(C795="Intermediary / Banker",12,8))+IF(L795="Term Sheet / Proposal",25,IF(L795="Engaged",20,IF(L795="Meeting Requested",18,IF(L795="Meeting Held",14,IF(L795="Follow Up",10,5)))))+MIN(Q795,30)+IF(S795="DUE",15,IF(S795="Next 3 Days",8,0))),0))</f>
        <v/>
      </c>
      <c r="AB795" s="425">
        <f>IF(AND(AC795="Active",OR(N795="Tier 1",N795="Tier 2"),OR(S795="DUE",S795="Next 3 Days")),"YES","")</f>
        <v/>
      </c>
      <c r="AC795" s="425">
        <f>IF(L795="Passed","Archived","Active")</f>
        <v/>
      </c>
    </row>
    <row r="796">
      <c r="A796" s="425" t="inlineStr">
        <is>
          <t>EXOS-0795</t>
        </is>
      </c>
      <c r="B796" s="425" t="inlineStr">
        <is>
          <t>John - Investor Contacts</t>
        </is>
      </c>
      <c r="C796" s="425" t="inlineStr">
        <is>
          <t>Financial Investor</t>
        </is>
      </c>
      <c r="D796" s="425" t="inlineStr">
        <is>
          <t>Touchdown Ventures/Cerity Partners</t>
        </is>
      </c>
      <c r="E796" s="425" t="inlineStr">
        <is>
          <t>Louie Luong</t>
        </is>
      </c>
      <c r="F796" s="425" t="inlineStr"/>
      <c r="G796" s="111" t="inlineStr">
        <is>
          <t>louie@touchdownvc.com</t>
        </is>
      </c>
      <c r="H796" s="425" t="inlineStr"/>
      <c r="I796" s="425" t="inlineStr"/>
      <c r="J796" s="111" t="inlineStr">
        <is>
          <t>https://www.linkedin.com/in/louisluong/</t>
        </is>
      </c>
      <c r="K796" s="426" t="inlineStr">
        <is>
          <t>John Quinn</t>
        </is>
      </c>
      <c r="L796" s="426" t="inlineStr">
        <is>
          <t>Follow Up</t>
        </is>
      </c>
      <c r="M796" s="425" t="inlineStr">
        <is>
          <t>Space / Defense / Aerospace / Advanced Manufacturing</t>
        </is>
      </c>
      <c r="N796" s="426" t="inlineStr">
        <is>
          <t>Tier 2</t>
        </is>
      </c>
      <c r="O796" s="441" t="n">
        <v>45878</v>
      </c>
      <c r="P796" s="441" t="n">
        <v>45890</v>
      </c>
      <c r="Q796" s="425">
        <f>IF(P796="","",TODAY()-P796)</f>
        <v/>
      </c>
      <c r="R796" s="441">
        <f>IF(OR(L796="Passed",Z796=""),"",P796+Z796)</f>
        <v/>
      </c>
      <c r="S796" s="425">
        <f>IF(OR(R796="",L796="Passed"),"",IF(R796&lt;=TODAY(),"DUE",IF(R796&lt;=TODAY()+3,"Next 3 Days","Later")))</f>
        <v/>
      </c>
      <c r="T796" s="425" t="inlineStr"/>
      <c r="U796" s="426" t="inlineStr">
        <is>
          <t>https://www.linkedin.com/in/louisluong/</t>
        </is>
      </c>
      <c r="V796" s="426" t="inlineStr"/>
      <c r="W796" s="428" t="inlineStr">
        <is>
          <t xml:space="preserve"> | 12/30/2025 | </t>
        </is>
      </c>
      <c r="X796" s="425" t="inlineStr">
        <is>
          <t>John - Investor Contacts!468</t>
        </is>
      </c>
      <c r="Y796" s="426" t="inlineStr">
        <is>
          <t>Send next follow-up with traction + CTA</t>
        </is>
      </c>
      <c r="Z796" s="425" t="n">
        <v>7</v>
      </c>
      <c r="AA796" s="425">
        <f>IF(AC796="Archived",0,ROUND((IF(N796="Tier 1",35,IF(N796="Tier 2",20,8))+IF(C796="Financial Investor",15,IF(C796="Intermediary / Banker",12,8))+IF(L796="Term Sheet / Proposal",25,IF(L796="Engaged",20,IF(L796="Meeting Requested",18,IF(L796="Meeting Held",14,IF(L796="Follow Up",10,5)))))+MIN(Q796,30)+IF(S796="DUE",15,IF(S796="Next 3 Days",8,0))),0))</f>
        <v/>
      </c>
      <c r="AB796" s="425">
        <f>IF(AND(AC796="Active",OR(N796="Tier 1",N796="Tier 2"),OR(S796="DUE",S796="Next 3 Days")),"YES","")</f>
        <v/>
      </c>
      <c r="AC796" s="425">
        <f>IF(L796="Passed","Archived","Active")</f>
        <v/>
      </c>
    </row>
    <row r="797">
      <c r="A797" s="425" t="inlineStr">
        <is>
          <t>EXOS-0796</t>
        </is>
      </c>
      <c r="B797" s="425" t="inlineStr">
        <is>
          <t>John - Investor Contacts</t>
        </is>
      </c>
      <c r="C797" s="425" t="inlineStr">
        <is>
          <t>Financial Investor</t>
        </is>
      </c>
      <c r="D797" s="425" t="inlineStr">
        <is>
          <t>Trac VC</t>
        </is>
      </c>
      <c r="E797" s="425" t="inlineStr">
        <is>
          <t>Fred Campbell</t>
        </is>
      </c>
      <c r="F797" s="425" t="inlineStr"/>
      <c r="G797" s="111" t="inlineStr">
        <is>
          <t>fred@tracvc.com</t>
        </is>
      </c>
      <c r="H797" s="425" t="inlineStr"/>
      <c r="I797" s="425" t="inlineStr"/>
      <c r="J797" s="111" t="inlineStr">
        <is>
          <t>https://www.linkedin.com/in/fred-campbell-3bb0731b/</t>
        </is>
      </c>
      <c r="K797" s="426" t="inlineStr">
        <is>
          <t>John Quinn</t>
        </is>
      </c>
      <c r="L797" s="426" t="inlineStr">
        <is>
          <t>Follow Up</t>
        </is>
      </c>
      <c r="M797" s="425" t="inlineStr">
        <is>
          <t>Space / Defense / Aerospace / Advanced Manufacturing</t>
        </is>
      </c>
      <c r="N797" s="426" t="inlineStr">
        <is>
          <t>Tier 2</t>
        </is>
      </c>
      <c r="O797" s="441" t="n">
        <v>45822</v>
      </c>
      <c r="P797" s="441" t="n">
        <v>45973</v>
      </c>
      <c r="Q797" s="425">
        <f>IF(P797="","",TODAY()-P797)</f>
        <v/>
      </c>
      <c r="R797" s="441">
        <f>IF(OR(L797="Passed",Z797=""),"",P797+Z797)</f>
        <v/>
      </c>
      <c r="S797" s="425">
        <f>IF(OR(R797="",L797="Passed"),"",IF(R797&lt;=TODAY(),"DUE",IF(R797&lt;=TODAY()+3,"Next 3 Days","Later")))</f>
        <v/>
      </c>
      <c r="T797" s="425" t="inlineStr"/>
      <c r="U797" s="426" t="inlineStr">
        <is>
          <t>https://www.linkedin.com/in/fred-campbell-3bb0731b/</t>
        </is>
      </c>
      <c r="V797" s="426" t="inlineStr"/>
      <c r="W797" s="428" t="inlineStr"/>
      <c r="X797" s="425" t="inlineStr">
        <is>
          <t>John - Investor Contacts!210 | John - Investor Contacts!674</t>
        </is>
      </c>
      <c r="Y797" s="426" t="inlineStr">
        <is>
          <t>Send next follow-up with traction + CTA</t>
        </is>
      </c>
      <c r="Z797" s="425" t="n">
        <v>7</v>
      </c>
      <c r="AA797" s="425">
        <f>IF(AC797="Archived",0,ROUND((IF(N797="Tier 1",35,IF(N797="Tier 2",20,8))+IF(C797="Financial Investor",15,IF(C797="Intermediary / Banker",12,8))+IF(L797="Term Sheet / Proposal",25,IF(L797="Engaged",20,IF(L797="Meeting Requested",18,IF(L797="Meeting Held",14,IF(L797="Follow Up",10,5)))))+MIN(Q797,30)+IF(S797="DUE",15,IF(S797="Next 3 Days",8,0))),0))</f>
        <v/>
      </c>
      <c r="AB797" s="425">
        <f>IF(AND(AC797="Active",OR(N797="Tier 1",N797="Tier 2"),OR(S797="DUE",S797="Next 3 Days")),"YES","")</f>
        <v/>
      </c>
      <c r="AC797" s="425">
        <f>IF(L797="Passed","Archived","Active")</f>
        <v/>
      </c>
    </row>
    <row r="798">
      <c r="A798" s="425" t="inlineStr">
        <is>
          <t>EXOS-0797</t>
        </is>
      </c>
      <c r="B798" s="425" t="inlineStr">
        <is>
          <t>John - Investor Contacts</t>
        </is>
      </c>
      <c r="C798" s="425" t="inlineStr">
        <is>
          <t>Financial Investor</t>
        </is>
      </c>
      <c r="D798" s="425" t="inlineStr">
        <is>
          <t>UH Ventures</t>
        </is>
      </c>
      <c r="E798" s="425" t="inlineStr">
        <is>
          <t>David Sylvan</t>
        </is>
      </c>
      <c r="F798" s="425" t="inlineStr"/>
      <c r="G798" s="111" t="inlineStr">
        <is>
          <t>david.sylvan@uhhospitals.org</t>
        </is>
      </c>
      <c r="H798" s="425" t="inlineStr"/>
      <c r="I798" s="425" t="inlineStr"/>
      <c r="J798" s="111" t="inlineStr">
        <is>
          <t>https://www.linkedin.com/in/davidsylvan/</t>
        </is>
      </c>
      <c r="K798" s="426" t="inlineStr">
        <is>
          <t>John Quinn</t>
        </is>
      </c>
      <c r="L798" s="426" t="inlineStr">
        <is>
          <t>Follow Up</t>
        </is>
      </c>
      <c r="M798" s="425" t="inlineStr">
        <is>
          <t>Space / Defense / Aerospace / Advanced Manufacturing</t>
        </is>
      </c>
      <c r="N798" s="426" t="inlineStr">
        <is>
          <t>Tier 2</t>
        </is>
      </c>
      <c r="O798" s="441" t="n">
        <v>45897</v>
      </c>
      <c r="P798" s="441" t="n">
        <v>45929</v>
      </c>
      <c r="Q798" s="425">
        <f>IF(P798="","",TODAY()-P798)</f>
        <v/>
      </c>
      <c r="R798" s="441">
        <f>IF(OR(L798="Passed",Z798=""),"",P798+Z798)</f>
        <v/>
      </c>
      <c r="S798" s="425">
        <f>IF(OR(R798="",L798="Passed"),"",IF(R798&lt;=TODAY(),"DUE",IF(R798&lt;=TODAY()+3,"Next 3 Days","Later")))</f>
        <v/>
      </c>
      <c r="T798" s="425" t="inlineStr"/>
      <c r="U798" s="426" t="inlineStr">
        <is>
          <t>https://www.linkedin.com/in/davidsylvan/</t>
        </is>
      </c>
      <c r="V798" s="426" t="inlineStr"/>
      <c r="W798" s="428" t="inlineStr">
        <is>
          <t xml:space="preserve"> | 12/05/2025 | </t>
        </is>
      </c>
      <c r="X798" s="425" t="inlineStr">
        <is>
          <t>John - Investor Contacts!564</t>
        </is>
      </c>
      <c r="Y798" s="426" t="inlineStr">
        <is>
          <t>Send next follow-up with traction + CTA</t>
        </is>
      </c>
      <c r="Z798" s="425" t="n">
        <v>7</v>
      </c>
      <c r="AA798" s="425">
        <f>IF(AC798="Archived",0,ROUND((IF(N798="Tier 1",35,IF(N798="Tier 2",20,8))+IF(C798="Financial Investor",15,IF(C798="Intermediary / Banker",12,8))+IF(L798="Term Sheet / Proposal",25,IF(L798="Engaged",20,IF(L798="Meeting Requested",18,IF(L798="Meeting Held",14,IF(L798="Follow Up",10,5)))))+MIN(Q798,30)+IF(S798="DUE",15,IF(S798="Next 3 Days",8,0))),0))</f>
        <v/>
      </c>
      <c r="AB798" s="425">
        <f>IF(AND(AC798="Active",OR(N798="Tier 1",N798="Tier 2"),OR(S798="DUE",S798="Next 3 Days")),"YES","")</f>
        <v/>
      </c>
      <c r="AC798" s="425">
        <f>IF(L798="Passed","Archived","Active")</f>
        <v/>
      </c>
    </row>
    <row r="799">
      <c r="A799" s="425" t="inlineStr">
        <is>
          <t>EXOS-0798</t>
        </is>
      </c>
      <c r="B799" s="425" t="inlineStr">
        <is>
          <t>John - Investor Contacts</t>
        </is>
      </c>
      <c r="C799" s="425" t="inlineStr">
        <is>
          <t>Financial Investor</t>
        </is>
      </c>
      <c r="D799" s="425" t="inlineStr">
        <is>
          <t>UH Ventures</t>
        </is>
      </c>
      <c r="E799" s="425" t="inlineStr">
        <is>
          <t>Matthew Zenker</t>
        </is>
      </c>
      <c r="F799" s="425" t="inlineStr"/>
      <c r="G799" s="111" t="inlineStr">
        <is>
          <t>matthew.zenker@uhhospitals.org</t>
        </is>
      </c>
      <c r="H799" s="425" t="inlineStr"/>
      <c r="I799" s="425" t="inlineStr"/>
      <c r="J799" s="425" t="inlineStr"/>
      <c r="K799" s="426" t="inlineStr">
        <is>
          <t>John Quinn</t>
        </is>
      </c>
      <c r="L799" s="426" t="inlineStr">
        <is>
          <t>Follow Up</t>
        </is>
      </c>
      <c r="M799" s="425" t="inlineStr">
        <is>
          <t>Space / Defense / Aerospace / Advanced Manufacturing</t>
        </is>
      </c>
      <c r="N799" s="426" t="inlineStr">
        <is>
          <t>Tier 2</t>
        </is>
      </c>
      <c r="O799" s="441" t="n">
        <v>45897</v>
      </c>
      <c r="P799" s="441" t="n">
        <v>45929</v>
      </c>
      <c r="Q799" s="425">
        <f>IF(P799="","",TODAY()-P799)</f>
        <v/>
      </c>
      <c r="R799" s="441">
        <f>IF(OR(L799="Passed",Z799=""),"",P799+Z799)</f>
        <v/>
      </c>
      <c r="S799" s="425">
        <f>IF(OR(R799="",L799="Passed"),"",IF(R799&lt;=TODAY(),"DUE",IF(R799&lt;=TODAY()+3,"Next 3 Days","Later")))</f>
        <v/>
      </c>
      <c r="T799" s="425" t="inlineStr"/>
      <c r="U799" s="426" t="inlineStr">
        <is>
          <t>linkedin.com/in/matthew-zenker-b4ba806</t>
        </is>
      </c>
      <c r="V799" s="426" t="inlineStr"/>
      <c r="W799" s="428" t="inlineStr">
        <is>
          <t xml:space="preserve"> | 12/05/2025 | </t>
        </is>
      </c>
      <c r="X799" s="425" t="inlineStr">
        <is>
          <t>John - Investor Contacts!565</t>
        </is>
      </c>
      <c r="Y799" s="426" t="inlineStr">
        <is>
          <t>Send next follow-up with traction + CTA</t>
        </is>
      </c>
      <c r="Z799" s="425" t="n">
        <v>7</v>
      </c>
      <c r="AA799" s="425">
        <f>IF(AC799="Archived",0,ROUND((IF(N799="Tier 1",35,IF(N799="Tier 2",20,8))+IF(C799="Financial Investor",15,IF(C799="Intermediary / Banker",12,8))+IF(L799="Term Sheet / Proposal",25,IF(L799="Engaged",20,IF(L799="Meeting Requested",18,IF(L799="Meeting Held",14,IF(L799="Follow Up",10,5)))))+MIN(Q799,30)+IF(S799="DUE",15,IF(S799="Next 3 Days",8,0))),0))</f>
        <v/>
      </c>
      <c r="AB799" s="425">
        <f>IF(AND(AC799="Active",OR(N799="Tier 1",N799="Tier 2"),OR(S799="DUE",S799="Next 3 Days")),"YES","")</f>
        <v/>
      </c>
      <c r="AC799" s="425">
        <f>IF(L799="Passed","Archived","Active")</f>
        <v/>
      </c>
    </row>
    <row r="800">
      <c r="A800" s="425" t="inlineStr">
        <is>
          <t>EXOS-0799</t>
        </is>
      </c>
      <c r="B800" s="425" t="inlineStr">
        <is>
          <t>John - Investor Contacts</t>
        </is>
      </c>
      <c r="C800" s="425" t="inlineStr">
        <is>
          <t>Financial Investor</t>
        </is>
      </c>
      <c r="D800" s="425" t="inlineStr">
        <is>
          <t>UH Ventures</t>
        </is>
      </c>
      <c r="E800" s="425" t="inlineStr">
        <is>
          <t>Neil Wyant</t>
        </is>
      </c>
      <c r="F800" s="425" t="inlineStr"/>
      <c r="G800" s="111" t="inlineStr">
        <is>
          <t>neil.wyant@uhhospitals.org</t>
        </is>
      </c>
      <c r="H800" s="425" t="inlineStr"/>
      <c r="I800" s="425" t="inlineStr"/>
      <c r="J800" s="111" t="inlineStr">
        <is>
          <t>https://www.linkedin.com/in/neil-wyant/</t>
        </is>
      </c>
      <c r="K800" s="426" t="inlineStr">
        <is>
          <t>John Quinn</t>
        </is>
      </c>
      <c r="L800" s="426" t="inlineStr">
        <is>
          <t>Follow Up</t>
        </is>
      </c>
      <c r="M800" s="425" t="inlineStr">
        <is>
          <t>Space / Defense / Aerospace / Advanced Manufacturing</t>
        </is>
      </c>
      <c r="N800" s="426" t="inlineStr">
        <is>
          <t>Tier 2</t>
        </is>
      </c>
      <c r="O800" s="441" t="n">
        <v>45897</v>
      </c>
      <c r="P800" s="441" t="n">
        <v>45929</v>
      </c>
      <c r="Q800" s="425">
        <f>IF(P800="","",TODAY()-P800)</f>
        <v/>
      </c>
      <c r="R800" s="441">
        <f>IF(OR(L800="Passed",Z800=""),"",P800+Z800)</f>
        <v/>
      </c>
      <c r="S800" s="425">
        <f>IF(OR(R800="",L800="Passed"),"",IF(R800&lt;=TODAY(),"DUE",IF(R800&lt;=TODAY()+3,"Next 3 Days","Later")))</f>
        <v/>
      </c>
      <c r="T800" s="425" t="inlineStr"/>
      <c r="U800" s="426" t="inlineStr">
        <is>
          <t>https://www.linkedin.com/in/neil-wyant/</t>
        </is>
      </c>
      <c r="V800" s="426" t="inlineStr"/>
      <c r="W800" s="428" t="inlineStr">
        <is>
          <t xml:space="preserve"> | 12/05/2025 | </t>
        </is>
      </c>
      <c r="X800" s="425" t="inlineStr">
        <is>
          <t>John - Investor Contacts!566</t>
        </is>
      </c>
      <c r="Y800" s="426" t="inlineStr">
        <is>
          <t>Send next follow-up with traction + CTA</t>
        </is>
      </c>
      <c r="Z800" s="425" t="n">
        <v>7</v>
      </c>
      <c r="AA800" s="425">
        <f>IF(AC800="Archived",0,ROUND((IF(N800="Tier 1",35,IF(N800="Tier 2",20,8))+IF(C800="Financial Investor",15,IF(C800="Intermediary / Banker",12,8))+IF(L800="Term Sheet / Proposal",25,IF(L800="Engaged",20,IF(L800="Meeting Requested",18,IF(L800="Meeting Held",14,IF(L800="Follow Up",10,5)))))+MIN(Q800,30)+IF(S800="DUE",15,IF(S800="Next 3 Days",8,0))),0))</f>
        <v/>
      </c>
      <c r="AB800" s="425">
        <f>IF(AND(AC800="Active",OR(N800="Tier 1",N800="Tier 2"),OR(S800="DUE",S800="Next 3 Days")),"YES","")</f>
        <v/>
      </c>
      <c r="AC800" s="425">
        <f>IF(L800="Passed","Archived","Active")</f>
        <v/>
      </c>
    </row>
    <row r="801">
      <c r="A801" s="425" t="inlineStr">
        <is>
          <t>EXOS-0800</t>
        </is>
      </c>
      <c r="B801" s="425" t="inlineStr">
        <is>
          <t>John - Investor Contacts</t>
        </is>
      </c>
      <c r="C801" s="425" t="inlineStr">
        <is>
          <t>Financial Investor</t>
        </is>
      </c>
      <c r="D801" s="425" t="inlineStr">
        <is>
          <t>Ultratech Capital</t>
        </is>
      </c>
      <c r="E801" s="425" t="inlineStr">
        <is>
          <t>Dale Davis</t>
        </is>
      </c>
      <c r="F801" s="425" t="inlineStr"/>
      <c r="G801" s="111" t="inlineStr">
        <is>
          <t>dale.davis@ultratech.capital</t>
        </is>
      </c>
      <c r="H801" s="425" t="inlineStr"/>
      <c r="I801" s="425" t="inlineStr"/>
      <c r="J801" s="111" t="inlineStr">
        <is>
          <t>https://www.linkedin.com/in/daledavis1982/</t>
        </is>
      </c>
      <c r="K801" s="426" t="inlineStr">
        <is>
          <t>John Quinn</t>
        </is>
      </c>
      <c r="L801" s="426" t="inlineStr">
        <is>
          <t>Follow Up</t>
        </is>
      </c>
      <c r="M801" s="425" t="inlineStr">
        <is>
          <t>Space / Defense / Aerospace / Advanced Manufacturing</t>
        </is>
      </c>
      <c r="N801" s="426" t="inlineStr">
        <is>
          <t>Tier 2</t>
        </is>
      </c>
      <c r="O801" s="441" t="n">
        <v>45953</v>
      </c>
      <c r="P801" s="441" t="n">
        <v>45985</v>
      </c>
      <c r="Q801" s="425">
        <f>IF(P801="","",TODAY()-P801)</f>
        <v/>
      </c>
      <c r="R801" s="441">
        <f>IF(OR(L801="Passed",Z801=""),"",P801+Z801)</f>
        <v/>
      </c>
      <c r="S801" s="425">
        <f>IF(OR(R801="",L801="Passed"),"",IF(R801&lt;=TODAY(),"DUE",IF(R801&lt;=TODAY()+3,"Next 3 Days","Later")))</f>
        <v/>
      </c>
      <c r="T801" s="425" t="inlineStr"/>
      <c r="U801" s="426" t="inlineStr">
        <is>
          <t>https://www.linkedin.com/in/daledavis1982/</t>
        </is>
      </c>
      <c r="V801" s="426" t="inlineStr"/>
      <c r="W801" s="428" t="inlineStr">
        <is>
          <t xml:space="preserve"> | 12/30/2025 | </t>
        </is>
      </c>
      <c r="X801" s="425" t="inlineStr">
        <is>
          <t>John - Investor Contacts!804</t>
        </is>
      </c>
      <c r="Y801" s="426" t="inlineStr">
        <is>
          <t>Send next follow-up with traction + CTA</t>
        </is>
      </c>
      <c r="Z801" s="425" t="n">
        <v>7</v>
      </c>
      <c r="AA801" s="425">
        <f>IF(AC801="Archived",0,ROUND((IF(N801="Tier 1",35,IF(N801="Tier 2",20,8))+IF(C801="Financial Investor",15,IF(C801="Intermediary / Banker",12,8))+IF(L801="Term Sheet / Proposal",25,IF(L801="Engaged",20,IF(L801="Meeting Requested",18,IF(L801="Meeting Held",14,IF(L801="Follow Up",10,5)))))+MIN(Q801,30)+IF(S801="DUE",15,IF(S801="Next 3 Days",8,0))),0))</f>
        <v/>
      </c>
      <c r="AB801" s="425">
        <f>IF(AND(AC801="Active",OR(N801="Tier 1",N801="Tier 2"),OR(S801="DUE",S801="Next 3 Days")),"YES","")</f>
        <v/>
      </c>
      <c r="AC801" s="425">
        <f>IF(L801="Passed","Archived","Active")</f>
        <v/>
      </c>
    </row>
    <row r="802">
      <c r="A802" s="425" t="inlineStr">
        <is>
          <t>EXOS-0801</t>
        </is>
      </c>
      <c r="B802" s="425" t="inlineStr">
        <is>
          <t>John - Investor Contacts</t>
        </is>
      </c>
      <c r="C802" s="425" t="inlineStr">
        <is>
          <t>Financial Investor</t>
        </is>
      </c>
      <c r="D802" s="425" t="inlineStr">
        <is>
          <t>Ultratech Capital</t>
        </is>
      </c>
      <c r="E802" s="425" t="inlineStr">
        <is>
          <t>Tim Denning</t>
        </is>
      </c>
      <c r="F802" s="425" t="inlineStr"/>
      <c r="G802" s="111" t="inlineStr">
        <is>
          <t>tim.denning@ultratech.capital</t>
        </is>
      </c>
      <c r="H802" s="425" t="inlineStr"/>
      <c r="I802" s="425" t="inlineStr"/>
      <c r="J802" s="111" t="inlineStr">
        <is>
          <t>https://www.linkedin.com/in/tim-denning-9bab4316/</t>
        </is>
      </c>
      <c r="K802" s="426" t="inlineStr">
        <is>
          <t>John Quinn</t>
        </is>
      </c>
      <c r="L802" s="426" t="inlineStr">
        <is>
          <t>Follow Up</t>
        </is>
      </c>
      <c r="M802" s="425" t="inlineStr">
        <is>
          <t>Space / Defense / Aerospace / Advanced Manufacturing</t>
        </is>
      </c>
      <c r="N802" s="426" t="inlineStr">
        <is>
          <t>Tier 2</t>
        </is>
      </c>
      <c r="O802" s="441" t="n">
        <v>45953</v>
      </c>
      <c r="P802" s="441" t="n">
        <v>45985</v>
      </c>
      <c r="Q802" s="425">
        <f>IF(P802="","",TODAY()-P802)</f>
        <v/>
      </c>
      <c r="R802" s="441">
        <f>IF(OR(L802="Passed",Z802=""),"",P802+Z802)</f>
        <v/>
      </c>
      <c r="S802" s="425">
        <f>IF(OR(R802="",L802="Passed"),"",IF(R802&lt;=TODAY(),"DUE",IF(R802&lt;=TODAY()+3,"Next 3 Days","Later")))</f>
        <v/>
      </c>
      <c r="T802" s="425" t="inlineStr"/>
      <c r="U802" s="426" t="inlineStr">
        <is>
          <t>https://www.linkedin.com/in/tim-denning-9bab4316/</t>
        </is>
      </c>
      <c r="V802" s="426" t="inlineStr"/>
      <c r="W802" s="428" t="inlineStr">
        <is>
          <t xml:space="preserve"> | 12/30/2025 | </t>
        </is>
      </c>
      <c r="X802" s="425" t="inlineStr">
        <is>
          <t>John - Investor Contacts!803</t>
        </is>
      </c>
      <c r="Y802" s="426" t="inlineStr">
        <is>
          <t>Send next follow-up with traction + CTA</t>
        </is>
      </c>
      <c r="Z802" s="425" t="n">
        <v>7</v>
      </c>
      <c r="AA802" s="425">
        <f>IF(AC802="Archived",0,ROUND((IF(N802="Tier 1",35,IF(N802="Tier 2",20,8))+IF(C802="Financial Investor",15,IF(C802="Intermediary / Banker",12,8))+IF(L802="Term Sheet / Proposal",25,IF(L802="Engaged",20,IF(L802="Meeting Requested",18,IF(L802="Meeting Held",14,IF(L802="Follow Up",10,5)))))+MIN(Q802,30)+IF(S802="DUE",15,IF(S802="Next 3 Days",8,0))),0))</f>
        <v/>
      </c>
      <c r="AB802" s="425">
        <f>IF(AND(AC802="Active",OR(N802="Tier 1",N802="Tier 2"),OR(S802="DUE",S802="Next 3 Days")),"YES","")</f>
        <v/>
      </c>
      <c r="AC802" s="425">
        <f>IF(L802="Passed","Archived","Active")</f>
        <v/>
      </c>
    </row>
    <row r="803">
      <c r="A803" s="425" t="inlineStr">
        <is>
          <t>EXOS-0802</t>
        </is>
      </c>
      <c r="B803" s="425" t="inlineStr">
        <is>
          <t>John - Investor Contacts</t>
        </is>
      </c>
      <c r="C803" s="425" t="inlineStr">
        <is>
          <t>Financial Investor</t>
        </is>
      </c>
      <c r="D803" s="425" t="inlineStr">
        <is>
          <t>Unorthodox Ventures</t>
        </is>
      </c>
      <c r="E803" s="425" t="inlineStr">
        <is>
          <t>Adam Kahn</t>
        </is>
      </c>
      <c r="F803" s="425" t="inlineStr"/>
      <c r="G803" s="111" t="inlineStr">
        <is>
          <t>adam@unorthodoxventures.com</t>
        </is>
      </c>
      <c r="H803" s="425" t="inlineStr"/>
      <c r="I803" s="425" t="inlineStr"/>
      <c r="J803" s="111" t="inlineStr">
        <is>
          <t>https://www.linkedin.com/in/adam-kahn-89038143/</t>
        </is>
      </c>
      <c r="K803" s="426" t="inlineStr">
        <is>
          <t>John Quinn</t>
        </is>
      </c>
      <c r="L803" s="426" t="inlineStr">
        <is>
          <t>Follow Up</t>
        </is>
      </c>
      <c r="M803" s="425" t="inlineStr">
        <is>
          <t>Space / Defense / Aerospace / Advanced Manufacturing</t>
        </is>
      </c>
      <c r="N803" s="426" t="inlineStr">
        <is>
          <t>Tier 2</t>
        </is>
      </c>
      <c r="O803" s="441" t="n">
        <v>45872</v>
      </c>
      <c r="P803" s="441" t="n">
        <v>45890</v>
      </c>
      <c r="Q803" s="425">
        <f>IF(P803="","",TODAY()-P803)</f>
        <v/>
      </c>
      <c r="R803" s="441">
        <f>IF(OR(L803="Passed",Z803=""),"",P803+Z803)</f>
        <v/>
      </c>
      <c r="S803" s="425">
        <f>IF(OR(R803="",L803="Passed"),"",IF(R803&lt;=TODAY(),"DUE",IF(R803&lt;=TODAY()+3,"Next 3 Days","Later")))</f>
        <v/>
      </c>
      <c r="T803" s="425" t="inlineStr"/>
      <c r="U803" s="426" t="inlineStr">
        <is>
          <t>https://www.linkedin.com/in/adam-kahn-89038143/</t>
        </is>
      </c>
      <c r="V803" s="426" t="inlineStr"/>
      <c r="W803" s="428" t="inlineStr">
        <is>
          <t xml:space="preserve"> | 12/29/2025 | </t>
        </is>
      </c>
      <c r="X803" s="425" t="inlineStr">
        <is>
          <t>John - Investor Contacts!448</t>
        </is>
      </c>
      <c r="Y803" s="426" t="inlineStr">
        <is>
          <t>Send next follow-up with traction + CTA</t>
        </is>
      </c>
      <c r="Z803" s="425" t="n">
        <v>7</v>
      </c>
      <c r="AA803" s="425">
        <f>IF(AC803="Archived",0,ROUND((IF(N803="Tier 1",35,IF(N803="Tier 2",20,8))+IF(C803="Financial Investor",15,IF(C803="Intermediary / Banker",12,8))+IF(L803="Term Sheet / Proposal",25,IF(L803="Engaged",20,IF(L803="Meeting Requested",18,IF(L803="Meeting Held",14,IF(L803="Follow Up",10,5)))))+MIN(Q803,30)+IF(S803="DUE",15,IF(S803="Next 3 Days",8,0))),0))</f>
        <v/>
      </c>
      <c r="AB803" s="425">
        <f>IF(AND(AC803="Active",OR(N803="Tier 1",N803="Tier 2"),OR(S803="DUE",S803="Next 3 Days")),"YES","")</f>
        <v/>
      </c>
      <c r="AC803" s="425">
        <f>IF(L803="Passed","Archived","Active")</f>
        <v/>
      </c>
    </row>
    <row r="804">
      <c r="A804" s="425" t="inlineStr">
        <is>
          <t>EXOS-0803</t>
        </is>
      </c>
      <c r="B804" s="425" t="inlineStr">
        <is>
          <t>John - Investor Contacts</t>
        </is>
      </c>
      <c r="C804" s="425" t="inlineStr">
        <is>
          <t>Financial Investor</t>
        </is>
      </c>
      <c r="D804" s="425" t="inlineStr">
        <is>
          <t>Unorthodox Ventures</t>
        </is>
      </c>
      <c r="E804" s="425" t="inlineStr">
        <is>
          <t>Carey Smith</t>
        </is>
      </c>
      <c r="F804" s="425" t="inlineStr"/>
      <c r="G804" s="111" t="inlineStr">
        <is>
          <t>carey@unorthodoxventures.com</t>
        </is>
      </c>
      <c r="H804" s="425" t="inlineStr"/>
      <c r="I804" s="425" t="inlineStr"/>
      <c r="J804" s="111" t="inlineStr">
        <is>
          <t>https://www.linkedin.com/in/jcareysmith/</t>
        </is>
      </c>
      <c r="K804" s="426" t="inlineStr">
        <is>
          <t>John Quinn</t>
        </is>
      </c>
      <c r="L804" s="426" t="inlineStr">
        <is>
          <t>Follow Up</t>
        </is>
      </c>
      <c r="M804" s="425" t="inlineStr">
        <is>
          <t>Space / Defense / Aerospace / Advanced Manufacturing</t>
        </is>
      </c>
      <c r="N804" s="426" t="inlineStr">
        <is>
          <t>Tier 2</t>
        </is>
      </c>
      <c r="O804" s="441" t="n">
        <v>45872</v>
      </c>
      <c r="P804" s="441" t="n">
        <v>45890</v>
      </c>
      <c r="Q804" s="425">
        <f>IF(P804="","",TODAY()-P804)</f>
        <v/>
      </c>
      <c r="R804" s="441">
        <f>IF(OR(L804="Passed",Z804=""),"",P804+Z804)</f>
        <v/>
      </c>
      <c r="S804" s="425">
        <f>IF(OR(R804="",L804="Passed"),"",IF(R804&lt;=TODAY(),"DUE",IF(R804&lt;=TODAY()+3,"Next 3 Days","Later")))</f>
        <v/>
      </c>
      <c r="T804" s="425" t="inlineStr"/>
      <c r="U804" s="426" t="inlineStr">
        <is>
          <t>https://www.linkedin.com/in/jcareysmith/</t>
        </is>
      </c>
      <c r="V804" s="426" t="inlineStr"/>
      <c r="W804" s="428" t="inlineStr">
        <is>
          <t xml:space="preserve"> | 12/29/2025 | </t>
        </is>
      </c>
      <c r="X804" s="425" t="inlineStr">
        <is>
          <t>John - Investor Contacts!450</t>
        </is>
      </c>
      <c r="Y804" s="426" t="inlineStr">
        <is>
          <t>Send next follow-up with traction + CTA</t>
        </is>
      </c>
      <c r="Z804" s="425" t="n">
        <v>7</v>
      </c>
      <c r="AA804" s="425">
        <f>IF(AC804="Archived",0,ROUND((IF(N804="Tier 1",35,IF(N804="Tier 2",20,8))+IF(C804="Financial Investor",15,IF(C804="Intermediary / Banker",12,8))+IF(L804="Term Sheet / Proposal",25,IF(L804="Engaged",20,IF(L804="Meeting Requested",18,IF(L804="Meeting Held",14,IF(L804="Follow Up",10,5)))))+MIN(Q804,30)+IF(S804="DUE",15,IF(S804="Next 3 Days",8,0))),0))</f>
        <v/>
      </c>
      <c r="AB804" s="425">
        <f>IF(AND(AC804="Active",OR(N804="Tier 1",N804="Tier 2"),OR(S804="DUE",S804="Next 3 Days")),"YES","")</f>
        <v/>
      </c>
      <c r="AC804" s="425">
        <f>IF(L804="Passed","Archived","Active")</f>
        <v/>
      </c>
    </row>
    <row r="805">
      <c r="A805" s="425" t="inlineStr">
        <is>
          <t>EXOS-0804</t>
        </is>
      </c>
      <c r="B805" s="425" t="inlineStr">
        <is>
          <t>John - Investor Contacts</t>
        </is>
      </c>
      <c r="C805" s="425" t="inlineStr">
        <is>
          <t>Financial Investor</t>
        </is>
      </c>
      <c r="D805" s="425" t="inlineStr">
        <is>
          <t>Unorthodox Ventures</t>
        </is>
      </c>
      <c r="E805" s="425" t="inlineStr">
        <is>
          <t>Dan Easton</t>
        </is>
      </c>
      <c r="F805" s="425" t="inlineStr"/>
      <c r="G805" s="111" t="inlineStr">
        <is>
          <t>dan@unorthodoxventures.com</t>
        </is>
      </c>
      <c r="H805" s="425" t="inlineStr"/>
      <c r="I805" s="425" t="inlineStr"/>
      <c r="J805" s="425" t="inlineStr"/>
      <c r="K805" s="426" t="inlineStr">
        <is>
          <t>John Quinn</t>
        </is>
      </c>
      <c r="L805" s="426" t="inlineStr">
        <is>
          <t>Follow Up</t>
        </is>
      </c>
      <c r="M805" s="425" t="inlineStr">
        <is>
          <t>Space / Defense / Aerospace / Advanced Manufacturing</t>
        </is>
      </c>
      <c r="N805" s="426" t="inlineStr">
        <is>
          <t>Tier 2</t>
        </is>
      </c>
      <c r="O805" s="441" t="n">
        <v>45912</v>
      </c>
      <c r="P805" s="441" t="n">
        <v>45973</v>
      </c>
      <c r="Q805" s="425">
        <f>IF(P805="","",TODAY()-P805)</f>
        <v/>
      </c>
      <c r="R805" s="441">
        <f>IF(OR(L805="Passed",Z805=""),"",P805+Z805)</f>
        <v/>
      </c>
      <c r="S805" s="425">
        <f>IF(OR(R805="",L805="Passed"),"",IF(R805&lt;=TODAY(),"DUE",IF(R805&lt;=TODAY()+3,"Next 3 Days","Later")))</f>
        <v/>
      </c>
      <c r="T805" s="425" t="inlineStr"/>
      <c r="U805" s="426" t="inlineStr">
        <is>
          <t>linkedin.com/in/danieleaston</t>
        </is>
      </c>
      <c r="V805" s="426" t="inlineStr"/>
      <c r="W805" s="428" t="inlineStr">
        <is>
          <t xml:space="preserve"> | 12/19/2025 | </t>
        </is>
      </c>
      <c r="X805" s="425" t="inlineStr">
        <is>
          <t>John - Investor Contacts!679</t>
        </is>
      </c>
      <c r="Y805" s="426" t="inlineStr">
        <is>
          <t>Send next follow-up with traction + CTA</t>
        </is>
      </c>
      <c r="Z805" s="425" t="n">
        <v>7</v>
      </c>
      <c r="AA805" s="425">
        <f>IF(AC805="Archived",0,ROUND((IF(N805="Tier 1",35,IF(N805="Tier 2",20,8))+IF(C805="Financial Investor",15,IF(C805="Intermediary / Banker",12,8))+IF(L805="Term Sheet / Proposal",25,IF(L805="Engaged",20,IF(L805="Meeting Requested",18,IF(L805="Meeting Held",14,IF(L805="Follow Up",10,5)))))+MIN(Q805,30)+IF(S805="DUE",15,IF(S805="Next 3 Days",8,0))),0))</f>
        <v/>
      </c>
      <c r="AB805" s="425">
        <f>IF(AND(AC805="Active",OR(N805="Tier 1",N805="Tier 2"),OR(S805="DUE",S805="Next 3 Days")),"YES","")</f>
        <v/>
      </c>
      <c r="AC805" s="425">
        <f>IF(L805="Passed","Archived","Active")</f>
        <v/>
      </c>
    </row>
    <row r="806">
      <c r="A806" s="425" t="inlineStr">
        <is>
          <t>EXOS-0805</t>
        </is>
      </c>
      <c r="B806" s="425" t="inlineStr">
        <is>
          <t>John - Investor Contacts</t>
        </is>
      </c>
      <c r="C806" s="425" t="inlineStr">
        <is>
          <t>Financial Investor</t>
        </is>
      </c>
      <c r="D806" s="425" t="inlineStr">
        <is>
          <t>Unorthodox Ventures</t>
        </is>
      </c>
      <c r="E806" s="425" t="inlineStr">
        <is>
          <t>Daniel Allen</t>
        </is>
      </c>
      <c r="F806" s="425" t="inlineStr"/>
      <c r="G806" s="111" t="inlineStr">
        <is>
          <t>daniel.allen@unorthodoxventures.com</t>
        </is>
      </c>
      <c r="H806" s="425" t="inlineStr"/>
      <c r="I806" s="425" t="inlineStr"/>
      <c r="J806" s="425" t="inlineStr"/>
      <c r="K806" s="426" t="inlineStr">
        <is>
          <t>John Quinn</t>
        </is>
      </c>
      <c r="L806" s="426" t="inlineStr">
        <is>
          <t>Follow Up</t>
        </is>
      </c>
      <c r="M806" s="425" t="inlineStr">
        <is>
          <t>Space / Defense / Aerospace / Advanced Manufacturing</t>
        </is>
      </c>
      <c r="N806" s="426" t="inlineStr">
        <is>
          <t>Tier 2</t>
        </is>
      </c>
      <c r="O806" s="441" t="n">
        <v>45872</v>
      </c>
      <c r="P806" s="441" t="n">
        <v>45890</v>
      </c>
      <c r="Q806" s="425">
        <f>IF(P806="","",TODAY()-P806)</f>
        <v/>
      </c>
      <c r="R806" s="441">
        <f>IF(OR(L806="Passed",Z806=""),"",P806+Z806)</f>
        <v/>
      </c>
      <c r="S806" s="425">
        <f>IF(OR(R806="",L806="Passed"),"",IF(R806&lt;=TODAY(),"DUE",IF(R806&lt;=TODAY()+3,"Next 3 Days","Later")))</f>
        <v/>
      </c>
      <c r="T806" s="425" t="inlineStr"/>
      <c r="U806" s="426" t="inlineStr"/>
      <c r="V806" s="426" t="inlineStr"/>
      <c r="W806" s="428" t="inlineStr">
        <is>
          <t xml:space="preserve"> | 12/29/2025 | </t>
        </is>
      </c>
      <c r="X806" s="425" t="inlineStr">
        <is>
          <t>John - Investor Contacts!449</t>
        </is>
      </c>
      <c r="Y806" s="426" t="inlineStr">
        <is>
          <t>Send next follow-up with traction + CTA</t>
        </is>
      </c>
      <c r="Z806" s="425" t="n">
        <v>7</v>
      </c>
      <c r="AA806" s="425">
        <f>IF(AC806="Archived",0,ROUND((IF(N806="Tier 1",35,IF(N806="Tier 2",20,8))+IF(C806="Financial Investor",15,IF(C806="Intermediary / Banker",12,8))+IF(L806="Term Sheet / Proposal",25,IF(L806="Engaged",20,IF(L806="Meeting Requested",18,IF(L806="Meeting Held",14,IF(L806="Follow Up",10,5)))))+MIN(Q806,30)+IF(S806="DUE",15,IF(S806="Next 3 Days",8,0))),0))</f>
        <v/>
      </c>
      <c r="AB806" s="425">
        <f>IF(AND(AC806="Active",OR(N806="Tier 1",N806="Tier 2"),OR(S806="DUE",S806="Next 3 Days")),"YES","")</f>
        <v/>
      </c>
      <c r="AC806" s="425">
        <f>IF(L806="Passed","Archived","Active")</f>
        <v/>
      </c>
    </row>
    <row r="807">
      <c r="A807" s="425" t="inlineStr">
        <is>
          <t>EXOS-0806</t>
        </is>
      </c>
      <c r="B807" s="425" t="inlineStr">
        <is>
          <t>John - Investor Contacts</t>
        </is>
      </c>
      <c r="C807" s="425" t="inlineStr">
        <is>
          <t>Financial Investor</t>
        </is>
      </c>
      <c r="D807" s="425" t="inlineStr">
        <is>
          <t>Unorthodox Ventures</t>
        </is>
      </c>
      <c r="E807" s="425" t="inlineStr">
        <is>
          <t>Lewis Kilongo</t>
        </is>
      </c>
      <c r="F807" s="425" t="inlineStr"/>
      <c r="G807" s="111" t="inlineStr">
        <is>
          <t>lewis@unorthodoxventures.com</t>
        </is>
      </c>
      <c r="H807" s="425" t="inlineStr"/>
      <c r="I807" s="425" t="inlineStr"/>
      <c r="J807" s="111" t="inlineStr">
        <is>
          <t>https://www.linkedin.com/in/lewis-kasindi-kilongo-167363184/</t>
        </is>
      </c>
      <c r="K807" s="426" t="inlineStr">
        <is>
          <t>John Quinn</t>
        </is>
      </c>
      <c r="L807" s="426" t="inlineStr">
        <is>
          <t>Follow Up</t>
        </is>
      </c>
      <c r="M807" s="425" t="inlineStr">
        <is>
          <t>Space / Defense / Aerospace / Advanced Manufacturing</t>
        </is>
      </c>
      <c r="N807" s="426" t="inlineStr">
        <is>
          <t>Tier 2</t>
        </is>
      </c>
      <c r="O807" s="441" t="n">
        <v>45872</v>
      </c>
      <c r="P807" s="441" t="n">
        <v>45890</v>
      </c>
      <c r="Q807" s="425">
        <f>IF(P807="","",TODAY()-P807)</f>
        <v/>
      </c>
      <c r="R807" s="441">
        <f>IF(OR(L807="Passed",Z807=""),"",P807+Z807)</f>
        <v/>
      </c>
      <c r="S807" s="425">
        <f>IF(OR(R807="",L807="Passed"),"",IF(R807&lt;=TODAY(),"DUE",IF(R807&lt;=TODAY()+3,"Next 3 Days","Later")))</f>
        <v/>
      </c>
      <c r="T807" s="425" t="inlineStr"/>
      <c r="U807" s="426" t="inlineStr">
        <is>
          <t>https://www.linkedin.com/in/lewis-kasindi-kilongo-167363184/</t>
        </is>
      </c>
      <c r="V807" s="426" t="inlineStr"/>
      <c r="W807" s="428" t="inlineStr">
        <is>
          <t xml:space="preserve"> | 12/29/2025 | </t>
        </is>
      </c>
      <c r="X807" s="425" t="inlineStr">
        <is>
          <t>John - Investor Contacts!447</t>
        </is>
      </c>
      <c r="Y807" s="426" t="inlineStr">
        <is>
          <t>Send next follow-up with traction + CTA</t>
        </is>
      </c>
      <c r="Z807" s="425" t="n">
        <v>7</v>
      </c>
      <c r="AA807" s="425">
        <f>IF(AC807="Archived",0,ROUND((IF(N807="Tier 1",35,IF(N807="Tier 2",20,8))+IF(C807="Financial Investor",15,IF(C807="Intermediary / Banker",12,8))+IF(L807="Term Sheet / Proposal",25,IF(L807="Engaged",20,IF(L807="Meeting Requested",18,IF(L807="Meeting Held",14,IF(L807="Follow Up",10,5)))))+MIN(Q807,30)+IF(S807="DUE",15,IF(S807="Next 3 Days",8,0))),0))</f>
        <v/>
      </c>
      <c r="AB807" s="425">
        <f>IF(AND(AC807="Active",OR(N807="Tier 1",N807="Tier 2"),OR(S807="DUE",S807="Next 3 Days")),"YES","")</f>
        <v/>
      </c>
      <c r="AC807" s="425">
        <f>IF(L807="Passed","Archived","Active")</f>
        <v/>
      </c>
    </row>
    <row r="808">
      <c r="A808" s="425" t="inlineStr">
        <is>
          <t>EXOS-0807</t>
        </is>
      </c>
      <c r="B808" s="425" t="inlineStr">
        <is>
          <t>John - Investor Contacts</t>
        </is>
      </c>
      <c r="C808" s="425" t="inlineStr">
        <is>
          <t>Financial Investor</t>
        </is>
      </c>
      <c r="D808" s="425" t="inlineStr">
        <is>
          <t>Unorthodox Ventures</t>
        </is>
      </c>
      <c r="E808" s="425" t="inlineStr">
        <is>
          <t>Steven Levy</t>
        </is>
      </c>
      <c r="F808" s="425" t="inlineStr"/>
      <c r="G808" s="111" t="inlineStr">
        <is>
          <t>steven@unorthodoxventures.com</t>
        </is>
      </c>
      <c r="H808" s="425" t="inlineStr"/>
      <c r="I808" s="425" t="inlineStr"/>
      <c r="J808" s="111" t="inlineStr">
        <is>
          <t>https://www.linkedin.com/in/steven-levy/</t>
        </is>
      </c>
      <c r="K808" s="426" t="inlineStr">
        <is>
          <t>John Quinn</t>
        </is>
      </c>
      <c r="L808" s="426" t="inlineStr">
        <is>
          <t>Follow Up</t>
        </is>
      </c>
      <c r="M808" s="425" t="inlineStr">
        <is>
          <t>Space / Defense / Aerospace / Advanced Manufacturing</t>
        </is>
      </c>
      <c r="N808" s="426" t="inlineStr">
        <is>
          <t>Tier 2</t>
        </is>
      </c>
      <c r="O808" s="441" t="n">
        <v>45872</v>
      </c>
      <c r="P808" s="441" t="n">
        <v>45890</v>
      </c>
      <c r="Q808" s="425">
        <f>IF(P808="","",TODAY()-P808)</f>
        <v/>
      </c>
      <c r="R808" s="441">
        <f>IF(OR(L808="Passed",Z808=""),"",P808+Z808)</f>
        <v/>
      </c>
      <c r="S808" s="425">
        <f>IF(OR(R808="",L808="Passed"),"",IF(R808&lt;=TODAY(),"DUE",IF(R808&lt;=TODAY()+3,"Next 3 Days","Later")))</f>
        <v/>
      </c>
      <c r="T808" s="425" t="inlineStr"/>
      <c r="U808" s="426" t="inlineStr">
        <is>
          <t>https://www.linkedin.com/in/steven-levy/</t>
        </is>
      </c>
      <c r="V808" s="426" t="inlineStr"/>
      <c r="W808" s="428" t="inlineStr">
        <is>
          <t xml:space="preserve"> | 12/29/2025 | </t>
        </is>
      </c>
      <c r="X808" s="425" t="inlineStr">
        <is>
          <t>John - Investor Contacts!451</t>
        </is>
      </c>
      <c r="Y808" s="426" t="inlineStr">
        <is>
          <t>Send next follow-up with traction + CTA</t>
        </is>
      </c>
      <c r="Z808" s="425" t="n">
        <v>7</v>
      </c>
      <c r="AA808" s="425">
        <f>IF(AC808="Archived",0,ROUND((IF(N808="Tier 1",35,IF(N808="Tier 2",20,8))+IF(C808="Financial Investor",15,IF(C808="Intermediary / Banker",12,8))+IF(L808="Term Sheet / Proposal",25,IF(L808="Engaged",20,IF(L808="Meeting Requested",18,IF(L808="Meeting Held",14,IF(L808="Follow Up",10,5)))))+MIN(Q808,30)+IF(S808="DUE",15,IF(S808="Next 3 Days",8,0))),0))</f>
        <v/>
      </c>
      <c r="AB808" s="425">
        <f>IF(AND(AC808="Active",OR(N808="Tier 1",N808="Tier 2"),OR(S808="DUE",S808="Next 3 Days")),"YES","")</f>
        <v/>
      </c>
      <c r="AC808" s="425">
        <f>IF(L808="Passed","Archived","Active")</f>
        <v/>
      </c>
    </row>
    <row r="809">
      <c r="A809" s="425" t="inlineStr">
        <is>
          <t>EXOS-0808</t>
        </is>
      </c>
      <c r="B809" s="425" t="inlineStr">
        <is>
          <t>John - Investor Contacts</t>
        </is>
      </c>
      <c r="C809" s="425" t="inlineStr">
        <is>
          <t>Financial Investor</t>
        </is>
      </c>
      <c r="D809" s="425" t="inlineStr">
        <is>
          <t>Unovis</t>
        </is>
      </c>
      <c r="E809" s="425" t="inlineStr">
        <is>
          <t>Dan Altschuler</t>
        </is>
      </c>
      <c r="F809" s="425" t="inlineStr"/>
      <c r="G809" s="111" t="inlineStr">
        <is>
          <t>da@unovis.vc</t>
        </is>
      </c>
      <c r="H809" s="425" t="inlineStr"/>
      <c r="I809" s="425" t="inlineStr"/>
      <c r="J809" s="111" t="inlineStr">
        <is>
          <t>http://linkedin.com/in/danaltschuler</t>
        </is>
      </c>
      <c r="K809" s="426" t="inlineStr">
        <is>
          <t>John Quinn</t>
        </is>
      </c>
      <c r="L809" s="426" t="inlineStr">
        <is>
          <t>Follow Up</t>
        </is>
      </c>
      <c r="M809" s="425" t="inlineStr">
        <is>
          <t>Space / Defense / Aerospace / Advanced Manufacturing</t>
        </is>
      </c>
      <c r="N809" s="426" t="inlineStr">
        <is>
          <t>Tier 2</t>
        </is>
      </c>
      <c r="O809" s="441" t="n">
        <v>45820</v>
      </c>
      <c r="P809" s="441" t="n">
        <v>45835</v>
      </c>
      <c r="Q809" s="425">
        <f>IF(P809="","",TODAY()-P809)</f>
        <v/>
      </c>
      <c r="R809" s="441">
        <f>IF(OR(L809="Passed",Z809=""),"",P809+Z809)</f>
        <v/>
      </c>
      <c r="S809" s="425">
        <f>IF(OR(R809="",L809="Passed"),"",IF(R809&lt;=TODAY(),"DUE",IF(R809&lt;=TODAY()+3,"Next 3 Days","Later")))</f>
        <v/>
      </c>
      <c r="T809" s="425" t="inlineStr"/>
      <c r="U809" s="426" t="inlineStr">
        <is>
          <t>http://linkedin.com/in/danaltschuler</t>
        </is>
      </c>
      <c r="V809" s="426" t="inlineStr"/>
      <c r="W809" s="428" t="inlineStr">
        <is>
          <t xml:space="preserve"> |  | </t>
        </is>
      </c>
      <c r="X809" s="425" t="inlineStr">
        <is>
          <t>John - Investor Contacts!170</t>
        </is>
      </c>
      <c r="Y809" s="426" t="inlineStr">
        <is>
          <t>Send next follow-up with traction + CTA</t>
        </is>
      </c>
      <c r="Z809" s="425" t="n">
        <v>7</v>
      </c>
      <c r="AA809" s="425">
        <f>IF(AC809="Archived",0,ROUND((IF(N809="Tier 1",35,IF(N809="Tier 2",20,8))+IF(C809="Financial Investor",15,IF(C809="Intermediary / Banker",12,8))+IF(L809="Term Sheet / Proposal",25,IF(L809="Engaged",20,IF(L809="Meeting Requested",18,IF(L809="Meeting Held",14,IF(L809="Follow Up",10,5)))))+MIN(Q809,30)+IF(S809="DUE",15,IF(S809="Next 3 Days",8,0))),0))</f>
        <v/>
      </c>
      <c r="AB809" s="425">
        <f>IF(AND(AC809="Active",OR(N809="Tier 1",N809="Tier 2"),OR(S809="DUE",S809="Next 3 Days")),"YES","")</f>
        <v/>
      </c>
      <c r="AC809" s="425">
        <f>IF(L809="Passed","Archived","Active")</f>
        <v/>
      </c>
    </row>
    <row r="810">
      <c r="A810" s="425" t="inlineStr">
        <is>
          <t>EXOS-0809</t>
        </is>
      </c>
      <c r="B810" s="425" t="inlineStr">
        <is>
          <t>John - Investor Contacts</t>
        </is>
      </c>
      <c r="C810" s="425" t="inlineStr">
        <is>
          <t>Financial Investor</t>
        </is>
      </c>
      <c r="D810" s="425" t="inlineStr">
        <is>
          <t>Unovis</t>
        </is>
      </c>
      <c r="E810" s="425" t="inlineStr">
        <is>
          <t>Kevin Boylan</t>
        </is>
      </c>
      <c r="F810" s="425" t="inlineStr"/>
      <c r="G810" s="111" t="inlineStr">
        <is>
          <t>kb@unovis.vc</t>
        </is>
      </c>
      <c r="H810" s="425" t="inlineStr"/>
      <c r="I810" s="425" t="inlineStr"/>
      <c r="J810" s="425" t="inlineStr"/>
      <c r="K810" s="426" t="inlineStr">
        <is>
          <t>John Quinn</t>
        </is>
      </c>
      <c r="L810" s="426" t="inlineStr">
        <is>
          <t>Follow Up</t>
        </is>
      </c>
      <c r="M810" s="425" t="inlineStr">
        <is>
          <t>Space / Defense / Aerospace / Advanced Manufacturing</t>
        </is>
      </c>
      <c r="N810" s="426" t="inlineStr">
        <is>
          <t>Tier 2</t>
        </is>
      </c>
      <c r="O810" s="441" t="n">
        <v>45821</v>
      </c>
      <c r="P810" s="441" t="n">
        <v>45835</v>
      </c>
      <c r="Q810" s="425">
        <f>IF(P810="","",TODAY()-P810)</f>
        <v/>
      </c>
      <c r="R810" s="441">
        <f>IF(OR(L810="Passed",Z810=""),"",P810+Z810)</f>
        <v/>
      </c>
      <c r="S810" s="425">
        <f>IF(OR(R810="",L810="Passed"),"",IF(R810&lt;=TODAY(),"DUE",IF(R810&lt;=TODAY()+3,"Next 3 Days","Later")))</f>
        <v/>
      </c>
      <c r="T810" s="425" t="inlineStr"/>
      <c r="U810" s="426" t="inlineStr">
        <is>
          <t>linkedin.com/in/kgbuam</t>
        </is>
      </c>
      <c r="V810" s="426" t="inlineStr"/>
      <c r="W810" s="428" t="inlineStr">
        <is>
          <t xml:space="preserve"> |  | invest in food tech</t>
        </is>
      </c>
      <c r="X810" s="425" t="inlineStr">
        <is>
          <t>John - Investor Contacts!172</t>
        </is>
      </c>
      <c r="Y810" s="426" t="inlineStr">
        <is>
          <t>Send next follow-up with traction + CTA</t>
        </is>
      </c>
      <c r="Z810" s="425" t="n">
        <v>7</v>
      </c>
      <c r="AA810" s="425">
        <f>IF(AC810="Archived",0,ROUND((IF(N810="Tier 1",35,IF(N810="Tier 2",20,8))+IF(C810="Financial Investor",15,IF(C810="Intermediary / Banker",12,8))+IF(L810="Term Sheet / Proposal",25,IF(L810="Engaged",20,IF(L810="Meeting Requested",18,IF(L810="Meeting Held",14,IF(L810="Follow Up",10,5)))))+MIN(Q810,30)+IF(S810="DUE",15,IF(S810="Next 3 Days",8,0))),0))</f>
        <v/>
      </c>
      <c r="AB810" s="425">
        <f>IF(AND(AC810="Active",OR(N810="Tier 1",N810="Tier 2"),OR(S810="DUE",S810="Next 3 Days")),"YES","")</f>
        <v/>
      </c>
      <c r="AC810" s="425">
        <f>IF(L810="Passed","Archived","Active")</f>
        <v/>
      </c>
    </row>
    <row r="811">
      <c r="A811" s="425" t="inlineStr">
        <is>
          <t>EXOS-0810</t>
        </is>
      </c>
      <c r="B811" s="425" t="inlineStr">
        <is>
          <t>John - Investor Contacts</t>
        </is>
      </c>
      <c r="C811" s="425" t="inlineStr">
        <is>
          <t>Financial Investor</t>
        </is>
      </c>
      <c r="D811" s="425" t="inlineStr">
        <is>
          <t>Untethered Ventures</t>
        </is>
      </c>
      <c r="E811" s="425" t="inlineStr">
        <is>
          <t>Kristina Serafim</t>
        </is>
      </c>
      <c r="F811" s="425" t="inlineStr"/>
      <c r="G811" s="111" t="inlineStr">
        <is>
          <t>kristina@untethered.ventures</t>
        </is>
      </c>
      <c r="H811" s="425" t="inlineStr"/>
      <c r="I811" s="425" t="inlineStr"/>
      <c r="J811" s="111" t="inlineStr">
        <is>
          <t>https://www.linkedin.com/in/kristinaserafim/</t>
        </is>
      </c>
      <c r="K811" s="426" t="inlineStr">
        <is>
          <t>John Quinn</t>
        </is>
      </c>
      <c r="L811" s="426" t="inlineStr">
        <is>
          <t>Follow Up</t>
        </is>
      </c>
      <c r="M811" s="425" t="inlineStr">
        <is>
          <t>Space / Defense / Aerospace / Advanced Manufacturing</t>
        </is>
      </c>
      <c r="N811" s="426" t="inlineStr">
        <is>
          <t>Tier 2</t>
        </is>
      </c>
      <c r="O811" s="441" t="n">
        <v>45994</v>
      </c>
      <c r="P811" s="441" t="n">
        <v>46036</v>
      </c>
      <c r="Q811" s="425">
        <f>IF(P811="","",TODAY()-P811)</f>
        <v/>
      </c>
      <c r="R811" s="441">
        <f>IF(OR(L811="Passed",Z811=""),"",P811+Z811)</f>
        <v/>
      </c>
      <c r="S811" s="425">
        <f>IF(OR(R811="",L811="Passed"),"",IF(R811&lt;=TODAY(),"DUE",IF(R811&lt;=TODAY()+3,"Next 3 Days","Later")))</f>
        <v/>
      </c>
      <c r="T811" s="425" t="inlineStr"/>
      <c r="U811" s="426" t="inlineStr">
        <is>
          <t>https://www.linkedin.com/in/kristinaserafim/</t>
        </is>
      </c>
      <c r="V811" s="426" t="inlineStr"/>
      <c r="W811" s="428" t="inlineStr">
        <is>
          <t xml:space="preserve"> |  | </t>
        </is>
      </c>
      <c r="X811" s="425" t="inlineStr">
        <is>
          <t>John - Investor Contacts!704</t>
        </is>
      </c>
      <c r="Y811" s="426" t="inlineStr">
        <is>
          <t>Send next follow-up with traction + CTA</t>
        </is>
      </c>
      <c r="Z811" s="425" t="n">
        <v>7</v>
      </c>
      <c r="AA811" s="425">
        <f>IF(AC811="Archived",0,ROUND((IF(N811="Tier 1",35,IF(N811="Tier 2",20,8))+IF(C811="Financial Investor",15,IF(C811="Intermediary / Banker",12,8))+IF(L811="Term Sheet / Proposal",25,IF(L811="Engaged",20,IF(L811="Meeting Requested",18,IF(L811="Meeting Held",14,IF(L811="Follow Up",10,5)))))+MIN(Q811,30)+IF(S811="DUE",15,IF(S811="Next 3 Days",8,0))),0))</f>
        <v/>
      </c>
      <c r="AB811" s="425">
        <f>IF(AND(AC811="Active",OR(N811="Tier 1",N811="Tier 2"),OR(S811="DUE",S811="Next 3 Days")),"YES","")</f>
        <v/>
      </c>
      <c r="AC811" s="425">
        <f>IF(L811="Passed","Archived","Active")</f>
        <v/>
      </c>
    </row>
    <row r="812">
      <c r="A812" s="425" t="inlineStr">
        <is>
          <t>EXOS-0811</t>
        </is>
      </c>
      <c r="B812" s="425" t="inlineStr">
        <is>
          <t>John - Investor Contacts</t>
        </is>
      </c>
      <c r="C812" s="425" t="inlineStr">
        <is>
          <t>Financial Investor</t>
        </is>
      </c>
      <c r="D812" s="425" t="inlineStr">
        <is>
          <t>VU Venture Partners</t>
        </is>
      </c>
      <c r="E812" s="425" t="inlineStr">
        <is>
          <t>Arpan Ajmera</t>
        </is>
      </c>
      <c r="F812" s="425" t="inlineStr"/>
      <c r="G812" s="111" t="inlineStr">
        <is>
          <t>arpan@vufund.vc</t>
        </is>
      </c>
      <c r="H812" s="425" t="inlineStr"/>
      <c r="I812" s="425" t="inlineStr"/>
      <c r="J812" s="111" t="inlineStr">
        <is>
          <t>https://www.linkedin.com/in/arpan-ajmera/</t>
        </is>
      </c>
      <c r="K812" s="426" t="inlineStr">
        <is>
          <t>John Quinn</t>
        </is>
      </c>
      <c r="L812" s="426" t="inlineStr">
        <is>
          <t>Follow Up</t>
        </is>
      </c>
      <c r="M812" s="425" t="inlineStr">
        <is>
          <t>Space / Defense / Aerospace / Advanced Manufacturing</t>
        </is>
      </c>
      <c r="N812" s="426" t="inlineStr">
        <is>
          <t>Tier 2</t>
        </is>
      </c>
      <c r="O812" s="441" t="n">
        <v>45912</v>
      </c>
      <c r="P812" s="441" t="n">
        <v>45973</v>
      </c>
      <c r="Q812" s="425">
        <f>IF(P812="","",TODAY()-P812)</f>
        <v/>
      </c>
      <c r="R812" s="441">
        <f>IF(OR(L812="Passed",Z812=""),"",P812+Z812)</f>
        <v/>
      </c>
      <c r="S812" s="425">
        <f>IF(OR(R812="",L812="Passed"),"",IF(R812&lt;=TODAY(),"DUE",IF(R812&lt;=TODAY()+3,"Next 3 Days","Later")))</f>
        <v/>
      </c>
      <c r="T812" s="425" t="inlineStr"/>
      <c r="U812" s="426" t="inlineStr">
        <is>
          <t>https://www.linkedin.com/in/arpan-ajmera/</t>
        </is>
      </c>
      <c r="V812" s="426" t="inlineStr"/>
      <c r="W812" s="428" t="inlineStr">
        <is>
          <t xml:space="preserve"> | 12/19/2025 | </t>
        </is>
      </c>
      <c r="X812" s="425" t="inlineStr">
        <is>
          <t>John - Investor Contacts!671</t>
        </is>
      </c>
      <c r="Y812" s="426" t="inlineStr">
        <is>
          <t>Send next follow-up with traction + CTA</t>
        </is>
      </c>
      <c r="Z812" s="425" t="n">
        <v>7</v>
      </c>
      <c r="AA812" s="425">
        <f>IF(AC812="Archived",0,ROUND((IF(N812="Tier 1",35,IF(N812="Tier 2",20,8))+IF(C812="Financial Investor",15,IF(C812="Intermediary / Banker",12,8))+IF(L812="Term Sheet / Proposal",25,IF(L812="Engaged",20,IF(L812="Meeting Requested",18,IF(L812="Meeting Held",14,IF(L812="Follow Up",10,5)))))+MIN(Q812,30)+IF(S812="DUE",15,IF(S812="Next 3 Days",8,0))),0))</f>
        <v/>
      </c>
      <c r="AB812" s="425">
        <f>IF(AND(AC812="Active",OR(N812="Tier 1",N812="Tier 2"),OR(S812="DUE",S812="Next 3 Days")),"YES","")</f>
        <v/>
      </c>
      <c r="AC812" s="425">
        <f>IF(L812="Passed","Archived","Active")</f>
        <v/>
      </c>
    </row>
    <row r="813">
      <c r="A813" s="425" t="inlineStr">
        <is>
          <t>EXOS-0812</t>
        </is>
      </c>
      <c r="B813" s="425" t="inlineStr">
        <is>
          <t>John - Investor Contacts</t>
        </is>
      </c>
      <c r="C813" s="425" t="inlineStr">
        <is>
          <t>Financial Investor</t>
        </is>
      </c>
      <c r="D813" s="425" t="inlineStr">
        <is>
          <t>Valor Equity Partners</t>
        </is>
      </c>
      <c r="E813" s="425" t="inlineStr">
        <is>
          <t>David Heskett</t>
        </is>
      </c>
      <c r="F813" s="425" t="inlineStr"/>
      <c r="G813" s="111" t="inlineStr">
        <is>
          <t>dheskett@valorep.com</t>
        </is>
      </c>
      <c r="H813" s="425" t="inlineStr"/>
      <c r="I813" s="425" t="inlineStr"/>
      <c r="J813" s="111" t="inlineStr">
        <is>
          <t>https://www.linkedin.com/in/david-heskett-b1b57a99/</t>
        </is>
      </c>
      <c r="K813" s="426" t="inlineStr">
        <is>
          <t>John Quinn</t>
        </is>
      </c>
      <c r="L813" s="426" t="inlineStr">
        <is>
          <t>Follow Up</t>
        </is>
      </c>
      <c r="M813" s="425" t="inlineStr">
        <is>
          <t>Space / Defense / Aerospace / Advanced Manufacturing</t>
        </is>
      </c>
      <c r="N813" s="426" t="inlineStr">
        <is>
          <t>Tier 2</t>
        </is>
      </c>
      <c r="O813" s="441" t="n">
        <v>45946</v>
      </c>
      <c r="P813" s="441" t="n">
        <v>45973</v>
      </c>
      <c r="Q813" s="425">
        <f>IF(P813="","",TODAY()-P813)</f>
        <v/>
      </c>
      <c r="R813" s="441">
        <f>IF(OR(L813="Passed",Z813=""),"",P813+Z813)</f>
        <v/>
      </c>
      <c r="S813" s="425">
        <f>IF(OR(R813="",L813="Passed"),"",IF(R813&lt;=TODAY(),"DUE",IF(R813&lt;=TODAY()+3,"Next 3 Days","Later")))</f>
        <v/>
      </c>
      <c r="T813" s="425" t="inlineStr"/>
      <c r="U813" s="426" t="inlineStr">
        <is>
          <t>https://www.linkedin.com/in/david-heskett-b1b57a99/</t>
        </is>
      </c>
      <c r="V813" s="426" t="inlineStr"/>
      <c r="W813" s="428" t="inlineStr">
        <is>
          <t xml:space="preserve"> | 12/30/2025 | </t>
        </is>
      </c>
      <c r="X813" s="425" t="inlineStr">
        <is>
          <t>John - Investor Contacts!762</t>
        </is>
      </c>
      <c r="Y813" s="426" t="inlineStr">
        <is>
          <t>Send next follow-up with traction + CTA</t>
        </is>
      </c>
      <c r="Z813" s="425" t="n">
        <v>7</v>
      </c>
      <c r="AA813" s="425">
        <f>IF(AC813="Archived",0,ROUND((IF(N813="Tier 1",35,IF(N813="Tier 2",20,8))+IF(C813="Financial Investor",15,IF(C813="Intermediary / Banker",12,8))+IF(L813="Term Sheet / Proposal",25,IF(L813="Engaged",20,IF(L813="Meeting Requested",18,IF(L813="Meeting Held",14,IF(L813="Follow Up",10,5)))))+MIN(Q813,30)+IF(S813="DUE",15,IF(S813="Next 3 Days",8,0))),0))</f>
        <v/>
      </c>
      <c r="AB813" s="425">
        <f>IF(AND(AC813="Active",OR(N813="Tier 1",N813="Tier 2"),OR(S813="DUE",S813="Next 3 Days")),"YES","")</f>
        <v/>
      </c>
      <c r="AC813" s="425">
        <f>IF(L813="Passed","Archived","Active")</f>
        <v/>
      </c>
    </row>
    <row r="814">
      <c r="A814" s="425" t="inlineStr">
        <is>
          <t>EXOS-0813</t>
        </is>
      </c>
      <c r="B814" s="425" t="inlineStr">
        <is>
          <t>John - Investor Contacts</t>
        </is>
      </c>
      <c r="C814" s="425" t="inlineStr">
        <is>
          <t>Financial Investor</t>
        </is>
      </c>
      <c r="D814" s="425" t="inlineStr">
        <is>
          <t>Valor Equity Partners</t>
        </is>
      </c>
      <c r="E814" s="425" t="inlineStr">
        <is>
          <t>Jon Shulkin</t>
        </is>
      </c>
      <c r="F814" s="425" t="inlineStr"/>
      <c r="G814" s="111" t="inlineStr">
        <is>
          <t>jshulkin@valorep.com</t>
        </is>
      </c>
      <c r="H814" s="425" t="inlineStr"/>
      <c r="I814" s="425" t="inlineStr"/>
      <c r="J814" s="111" t="inlineStr">
        <is>
          <t>https://www.linkedin.com/in/jon-shulkin-4617b01/</t>
        </is>
      </c>
      <c r="K814" s="426" t="inlineStr">
        <is>
          <t>John Quinn</t>
        </is>
      </c>
      <c r="L814" s="426" t="inlineStr">
        <is>
          <t>Follow Up</t>
        </is>
      </c>
      <c r="M814" s="425" t="inlineStr">
        <is>
          <t>Space / Defense / Aerospace / Advanced Manufacturing</t>
        </is>
      </c>
      <c r="N814" s="426" t="inlineStr">
        <is>
          <t>Tier 2</t>
        </is>
      </c>
      <c r="O814" s="441" t="n">
        <v>45946</v>
      </c>
      <c r="P814" s="441" t="n">
        <v>45973</v>
      </c>
      <c r="Q814" s="425">
        <f>IF(P814="","",TODAY()-P814)</f>
        <v/>
      </c>
      <c r="R814" s="441">
        <f>IF(OR(L814="Passed",Z814=""),"",P814+Z814)</f>
        <v/>
      </c>
      <c r="S814" s="425">
        <f>IF(OR(R814="",L814="Passed"),"",IF(R814&lt;=TODAY(),"DUE",IF(R814&lt;=TODAY()+3,"Next 3 Days","Later")))</f>
        <v/>
      </c>
      <c r="T814" s="425" t="inlineStr"/>
      <c r="U814" s="426" t="inlineStr">
        <is>
          <t>https://www.linkedin.com/in/jon-shulkin-4617b01/</t>
        </is>
      </c>
      <c r="V814" s="426" t="inlineStr"/>
      <c r="W814" s="428" t="inlineStr">
        <is>
          <t xml:space="preserve"> | 12/30/2025 | </t>
        </is>
      </c>
      <c r="X814" s="425" t="inlineStr">
        <is>
          <t>John - Investor Contacts!761</t>
        </is>
      </c>
      <c r="Y814" s="426" t="inlineStr">
        <is>
          <t>Send next follow-up with traction + CTA</t>
        </is>
      </c>
      <c r="Z814" s="425" t="n">
        <v>7</v>
      </c>
      <c r="AA814" s="425">
        <f>IF(AC814="Archived",0,ROUND((IF(N814="Tier 1",35,IF(N814="Tier 2",20,8))+IF(C814="Financial Investor",15,IF(C814="Intermediary / Banker",12,8))+IF(L814="Term Sheet / Proposal",25,IF(L814="Engaged",20,IF(L814="Meeting Requested",18,IF(L814="Meeting Held",14,IF(L814="Follow Up",10,5)))))+MIN(Q814,30)+IF(S814="DUE",15,IF(S814="Next 3 Days",8,0))),0))</f>
        <v/>
      </c>
      <c r="AB814" s="425">
        <f>IF(AND(AC814="Active",OR(N814="Tier 1",N814="Tier 2"),OR(S814="DUE",S814="Next 3 Days")),"YES","")</f>
        <v/>
      </c>
      <c r="AC814" s="425">
        <f>IF(L814="Passed","Archived","Active")</f>
        <v/>
      </c>
    </row>
    <row r="815">
      <c r="A815" s="425" t="inlineStr">
        <is>
          <t>EXOS-0814</t>
        </is>
      </c>
      <c r="B815" s="425" t="inlineStr">
        <is>
          <t>John - Investor Contacts</t>
        </is>
      </c>
      <c r="C815" s="425" t="inlineStr">
        <is>
          <t>Financial Investor</t>
        </is>
      </c>
      <c r="D815" s="425" t="inlineStr">
        <is>
          <t>Valor Equity Partners</t>
        </is>
      </c>
      <c r="E815" s="425" t="inlineStr">
        <is>
          <t>Philippe El Khazen</t>
        </is>
      </c>
      <c r="F815" s="425" t="inlineStr"/>
      <c r="G815" s="111" t="inlineStr">
        <is>
          <t>pelkhazen@valorep.com</t>
        </is>
      </c>
      <c r="H815" s="425" t="inlineStr"/>
      <c r="I815" s="425" t="inlineStr"/>
      <c r="J815" s="111" t="inlineStr">
        <is>
          <t>https://www.linkedin.com/in/philippe-el-khazen-cfa-31ba9042/</t>
        </is>
      </c>
      <c r="K815" s="426" t="inlineStr">
        <is>
          <t>John Quinn</t>
        </is>
      </c>
      <c r="L815" s="426" t="inlineStr">
        <is>
          <t>Follow Up</t>
        </is>
      </c>
      <c r="M815" s="425" t="inlineStr">
        <is>
          <t>Space / Defense / Aerospace / Advanced Manufacturing</t>
        </is>
      </c>
      <c r="N815" s="426" t="inlineStr">
        <is>
          <t>Tier 2</t>
        </is>
      </c>
      <c r="O815" s="441" t="n">
        <v>45946</v>
      </c>
      <c r="P815" s="441" t="n">
        <v>45973</v>
      </c>
      <c r="Q815" s="425">
        <f>IF(P815="","",TODAY()-P815)</f>
        <v/>
      </c>
      <c r="R815" s="441">
        <f>IF(OR(L815="Passed",Z815=""),"",P815+Z815)</f>
        <v/>
      </c>
      <c r="S815" s="425">
        <f>IF(OR(R815="",L815="Passed"),"",IF(R815&lt;=TODAY(),"DUE",IF(R815&lt;=TODAY()+3,"Next 3 Days","Later")))</f>
        <v/>
      </c>
      <c r="T815" s="425" t="inlineStr"/>
      <c r="U815" s="426" t="inlineStr">
        <is>
          <t>https://www.linkedin.com/in/philippe-el-khazen-cfa-31ba9042/</t>
        </is>
      </c>
      <c r="V815" s="426" t="inlineStr"/>
      <c r="W815" s="428" t="inlineStr">
        <is>
          <t xml:space="preserve"> | 12/30/2025 | </t>
        </is>
      </c>
      <c r="X815" s="425" t="inlineStr">
        <is>
          <t>John - Investor Contacts!763</t>
        </is>
      </c>
      <c r="Y815" s="426" t="inlineStr">
        <is>
          <t>Send next follow-up with traction + CTA</t>
        </is>
      </c>
      <c r="Z815" s="425" t="n">
        <v>7</v>
      </c>
      <c r="AA815" s="425">
        <f>IF(AC815="Archived",0,ROUND((IF(N815="Tier 1",35,IF(N815="Tier 2",20,8))+IF(C815="Financial Investor",15,IF(C815="Intermediary / Banker",12,8))+IF(L815="Term Sheet / Proposal",25,IF(L815="Engaged",20,IF(L815="Meeting Requested",18,IF(L815="Meeting Held",14,IF(L815="Follow Up",10,5)))))+MIN(Q815,30)+IF(S815="DUE",15,IF(S815="Next 3 Days",8,0))),0))</f>
        <v/>
      </c>
      <c r="AB815" s="425">
        <f>IF(AND(AC815="Active",OR(N815="Tier 1",N815="Tier 2"),OR(S815="DUE",S815="Next 3 Days")),"YES","")</f>
        <v/>
      </c>
      <c r="AC815" s="425">
        <f>IF(L815="Passed","Archived","Active")</f>
        <v/>
      </c>
    </row>
    <row r="816">
      <c r="A816" s="425" t="inlineStr">
        <is>
          <t>EXOS-0815</t>
        </is>
      </c>
      <c r="B816" s="425" t="inlineStr">
        <is>
          <t>John - Investor Contacts</t>
        </is>
      </c>
      <c r="C816" s="425" t="inlineStr">
        <is>
          <t>Financial Investor</t>
        </is>
      </c>
      <c r="D816" s="425" t="inlineStr">
        <is>
          <t>Venrock</t>
        </is>
      </c>
      <c r="E816" s="425" t="inlineStr">
        <is>
          <t>Bryan Roberts</t>
        </is>
      </c>
      <c r="F816" s="425" t="inlineStr"/>
      <c r="G816" s="111" t="inlineStr">
        <is>
          <t>broberts@venrock.com</t>
        </is>
      </c>
      <c r="H816" s="425" t="inlineStr"/>
      <c r="I816" s="425" t="inlineStr"/>
      <c r="J816" s="111" t="inlineStr">
        <is>
          <t>https://www.linkedin.com/in/bryanrobertsvc/</t>
        </is>
      </c>
      <c r="K816" s="426" t="inlineStr">
        <is>
          <t>John Quinn</t>
        </is>
      </c>
      <c r="L816" s="426" t="inlineStr">
        <is>
          <t>Follow Up</t>
        </is>
      </c>
      <c r="M816" s="425" t="inlineStr">
        <is>
          <t>Space / Defense / Aerospace / Advanced Manufacturing</t>
        </is>
      </c>
      <c r="N816" s="426" t="inlineStr">
        <is>
          <t>Tier 2</t>
        </is>
      </c>
      <c r="O816" s="441" t="n">
        <v>45792</v>
      </c>
      <c r="P816" s="441" t="n">
        <v>45841</v>
      </c>
      <c r="Q816" s="425">
        <f>IF(P816="","",TODAY()-P816)</f>
        <v/>
      </c>
      <c r="R816" s="441">
        <f>IF(OR(L816="Passed",Z816=""),"",P816+Z816)</f>
        <v/>
      </c>
      <c r="S816" s="425">
        <f>IF(OR(R816="",L816="Passed"),"",IF(R816&lt;=TODAY(),"DUE",IF(R816&lt;=TODAY()+3,"Next 3 Days","Later")))</f>
        <v/>
      </c>
      <c r="T816" s="425" t="inlineStr"/>
      <c r="U816" s="426" t="inlineStr">
        <is>
          <t>https://www.linkedin.com/in/bryanrobertsvc/</t>
        </is>
      </c>
      <c r="V816" s="426" t="inlineStr"/>
      <c r="W816" s="428" t="inlineStr">
        <is>
          <t xml:space="preserve"> |  | </t>
        </is>
      </c>
      <c r="X816" s="425" t="inlineStr">
        <is>
          <t>John - Investor Contacts!46</t>
        </is>
      </c>
      <c r="Y816" s="426" t="inlineStr">
        <is>
          <t>Send next follow-up with traction + CTA</t>
        </is>
      </c>
      <c r="Z816" s="425" t="n">
        <v>7</v>
      </c>
      <c r="AA816" s="425">
        <f>IF(AC816="Archived",0,ROUND((IF(N816="Tier 1",35,IF(N816="Tier 2",20,8))+IF(C816="Financial Investor",15,IF(C816="Intermediary / Banker",12,8))+IF(L816="Term Sheet / Proposal",25,IF(L816="Engaged",20,IF(L816="Meeting Requested",18,IF(L816="Meeting Held",14,IF(L816="Follow Up",10,5)))))+MIN(Q816,30)+IF(S816="DUE",15,IF(S816="Next 3 Days",8,0))),0))</f>
        <v/>
      </c>
      <c r="AB816" s="425">
        <f>IF(AND(AC816="Active",OR(N816="Tier 1",N816="Tier 2"),OR(S816="DUE",S816="Next 3 Days")),"YES","")</f>
        <v/>
      </c>
      <c r="AC816" s="425">
        <f>IF(L816="Passed","Archived","Active")</f>
        <v/>
      </c>
    </row>
    <row r="817">
      <c r="A817" s="425" t="inlineStr">
        <is>
          <t>EXOS-0816</t>
        </is>
      </c>
      <c r="B817" s="425" t="inlineStr">
        <is>
          <t>John - Investor Contacts</t>
        </is>
      </c>
      <c r="C817" s="425" t="inlineStr">
        <is>
          <t>Financial Investor</t>
        </is>
      </c>
      <c r="D817" s="425" t="inlineStr">
        <is>
          <t>Vesey Ventures</t>
        </is>
      </c>
      <c r="E817" s="425" t="inlineStr">
        <is>
          <t>Dana Eli‑Lorch</t>
        </is>
      </c>
      <c r="F817" s="425" t="inlineStr"/>
      <c r="G817" s="111" t="inlineStr">
        <is>
          <t>dana@vesey.vc</t>
        </is>
      </c>
      <c r="H817" s="425" t="inlineStr"/>
      <c r="I817" s="425" t="inlineStr"/>
      <c r="J817" s="425" t="inlineStr"/>
      <c r="K817" s="426" t="inlineStr">
        <is>
          <t>John Quinn</t>
        </is>
      </c>
      <c r="L817" s="426" t="inlineStr">
        <is>
          <t>Follow Up</t>
        </is>
      </c>
      <c r="M817" s="425" t="inlineStr">
        <is>
          <t>Space / Defense / Aerospace / Advanced Manufacturing</t>
        </is>
      </c>
      <c r="N817" s="426" t="inlineStr">
        <is>
          <t>Tier 2</t>
        </is>
      </c>
      <c r="O817" s="441" t="n">
        <v>45861</v>
      </c>
      <c r="P817" s="441" t="n">
        <v>45890</v>
      </c>
      <c r="Q817" s="425">
        <f>IF(P817="","",TODAY()-P817)</f>
        <v/>
      </c>
      <c r="R817" s="441">
        <f>IF(OR(L817="Passed",Z817=""),"",P817+Z817)</f>
        <v/>
      </c>
      <c r="S817" s="425">
        <f>IF(OR(R817="",L817="Passed"),"",IF(R817&lt;=TODAY(),"DUE",IF(R817&lt;=TODAY()+3,"Next 3 Days","Later")))</f>
        <v/>
      </c>
      <c r="T817" s="425" t="inlineStr"/>
      <c r="U817" s="426" t="inlineStr">
        <is>
          <t>linkedin.com/in/dana-eli-lorch-63139831</t>
        </is>
      </c>
      <c r="V817" s="426" t="inlineStr"/>
      <c r="W817" s="428" t="inlineStr">
        <is>
          <t xml:space="preserve"> | 12/29/2025 | </t>
        </is>
      </c>
      <c r="X817" s="425" t="inlineStr">
        <is>
          <t>John - Investor Contacts!431</t>
        </is>
      </c>
      <c r="Y817" s="426" t="inlineStr">
        <is>
          <t>Send next follow-up with traction + CTA</t>
        </is>
      </c>
      <c r="Z817" s="425" t="n">
        <v>7</v>
      </c>
      <c r="AA817" s="425">
        <f>IF(AC817="Archived",0,ROUND((IF(N817="Tier 1",35,IF(N817="Tier 2",20,8))+IF(C817="Financial Investor",15,IF(C817="Intermediary / Banker",12,8))+IF(L817="Term Sheet / Proposal",25,IF(L817="Engaged",20,IF(L817="Meeting Requested",18,IF(L817="Meeting Held",14,IF(L817="Follow Up",10,5)))))+MIN(Q817,30)+IF(S817="DUE",15,IF(S817="Next 3 Days",8,0))),0))</f>
        <v/>
      </c>
      <c r="AB817" s="425">
        <f>IF(AND(AC817="Active",OR(N817="Tier 1",N817="Tier 2"),OR(S817="DUE",S817="Next 3 Days")),"YES","")</f>
        <v/>
      </c>
      <c r="AC817" s="425">
        <f>IF(L817="Passed","Archived","Active")</f>
        <v/>
      </c>
    </row>
    <row r="818">
      <c r="A818" s="425" t="inlineStr">
        <is>
          <t>EXOS-0817</t>
        </is>
      </c>
      <c r="B818" s="425" t="inlineStr">
        <is>
          <t>John - Investor Contacts</t>
        </is>
      </c>
      <c r="C818" s="425" t="inlineStr">
        <is>
          <t>Financial Investor</t>
        </is>
      </c>
      <c r="D818" s="425" t="inlineStr">
        <is>
          <t>Vesey Ventures</t>
        </is>
      </c>
      <c r="E818" s="425" t="inlineStr">
        <is>
          <t>Julia Huang</t>
        </is>
      </c>
      <c r="F818" s="425" t="inlineStr"/>
      <c r="G818" s="111" t="inlineStr">
        <is>
          <t>julia@vesey.vc</t>
        </is>
      </c>
      <c r="H818" s="425" t="inlineStr"/>
      <c r="I818" s="425" t="inlineStr"/>
      <c r="J818" s="111" t="inlineStr">
        <is>
          <t>https://www.linkedin.com/in/julia-huang-3aa71a2/</t>
        </is>
      </c>
      <c r="K818" s="426" t="inlineStr">
        <is>
          <t>John Quinn</t>
        </is>
      </c>
      <c r="L818" s="426" t="inlineStr">
        <is>
          <t>Follow Up</t>
        </is>
      </c>
      <c r="M818" s="425" t="inlineStr">
        <is>
          <t>Space / Defense / Aerospace / Advanced Manufacturing</t>
        </is>
      </c>
      <c r="N818" s="426" t="inlineStr">
        <is>
          <t>Tier 2</t>
        </is>
      </c>
      <c r="O818" s="441" t="n">
        <v>45861</v>
      </c>
      <c r="P818" s="441" t="n">
        <v>45890</v>
      </c>
      <c r="Q818" s="425">
        <f>IF(P818="","",TODAY()-P818)</f>
        <v/>
      </c>
      <c r="R818" s="441">
        <f>IF(OR(L818="Passed",Z818=""),"",P818+Z818)</f>
        <v/>
      </c>
      <c r="S818" s="425">
        <f>IF(OR(R818="",L818="Passed"),"",IF(R818&lt;=TODAY(),"DUE",IF(R818&lt;=TODAY()+3,"Next 3 Days","Later")))</f>
        <v/>
      </c>
      <c r="T818" s="425" t="inlineStr"/>
      <c r="U818" s="426" t="inlineStr">
        <is>
          <t>https://www.linkedin.com/in/julia-huang-3aa71a2/</t>
        </is>
      </c>
      <c r="V818" s="426" t="inlineStr"/>
      <c r="W818" s="428" t="inlineStr">
        <is>
          <t xml:space="preserve"> | 12/29/2025 | </t>
        </is>
      </c>
      <c r="X818" s="425" t="inlineStr">
        <is>
          <t>John - Investor Contacts!430</t>
        </is>
      </c>
      <c r="Y818" s="426" t="inlineStr">
        <is>
          <t>Send next follow-up with traction + CTA</t>
        </is>
      </c>
      <c r="Z818" s="425" t="n">
        <v>7</v>
      </c>
      <c r="AA818" s="425">
        <f>IF(AC818="Archived",0,ROUND((IF(N818="Tier 1",35,IF(N818="Tier 2",20,8))+IF(C818="Financial Investor",15,IF(C818="Intermediary / Banker",12,8))+IF(L818="Term Sheet / Proposal",25,IF(L818="Engaged",20,IF(L818="Meeting Requested",18,IF(L818="Meeting Held",14,IF(L818="Follow Up",10,5)))))+MIN(Q818,30)+IF(S818="DUE",15,IF(S818="Next 3 Days",8,0))),0))</f>
        <v/>
      </c>
      <c r="AB818" s="425">
        <f>IF(AND(AC818="Active",OR(N818="Tier 1",N818="Tier 2"),OR(S818="DUE",S818="Next 3 Days")),"YES","")</f>
        <v/>
      </c>
      <c r="AC818" s="425">
        <f>IF(L818="Passed","Archived","Active")</f>
        <v/>
      </c>
    </row>
    <row r="819">
      <c r="A819" s="425" t="inlineStr">
        <is>
          <t>EXOS-0818</t>
        </is>
      </c>
      <c r="B819" s="425" t="inlineStr">
        <is>
          <t>John - Investor Contacts</t>
        </is>
      </c>
      <c r="C819" s="425" t="inlineStr">
        <is>
          <t>Financial Investor</t>
        </is>
      </c>
      <c r="D819" s="425" t="inlineStr">
        <is>
          <t>Vesey Ventures</t>
        </is>
      </c>
      <c r="E819" s="425" t="inlineStr">
        <is>
          <t>Lindsay Fitzgerald</t>
        </is>
      </c>
      <c r="F819" s="425" t="inlineStr"/>
      <c r="G819" s="111" t="inlineStr">
        <is>
          <t>lindsay@vesey.vc</t>
        </is>
      </c>
      <c r="H819" s="425" t="inlineStr"/>
      <c r="I819" s="425" t="inlineStr"/>
      <c r="J819" s="111" t="inlineStr">
        <is>
          <t>https://www.linkedin.com/in/lindsayfitzgerald/</t>
        </is>
      </c>
      <c r="K819" s="426" t="inlineStr">
        <is>
          <t>John Quinn</t>
        </is>
      </c>
      <c r="L819" s="426" t="inlineStr">
        <is>
          <t>Follow Up</t>
        </is>
      </c>
      <c r="M819" s="425" t="inlineStr">
        <is>
          <t>Space / Defense / Aerospace / Advanced Manufacturing</t>
        </is>
      </c>
      <c r="N819" s="426" t="inlineStr">
        <is>
          <t>Tier 2</t>
        </is>
      </c>
      <c r="O819" s="441" t="n">
        <v>45861</v>
      </c>
      <c r="P819" s="441" t="n">
        <v>45890</v>
      </c>
      <c r="Q819" s="425">
        <f>IF(P819="","",TODAY()-P819)</f>
        <v/>
      </c>
      <c r="R819" s="441">
        <f>IF(OR(L819="Passed",Z819=""),"",P819+Z819)</f>
        <v/>
      </c>
      <c r="S819" s="425">
        <f>IF(OR(R819="",L819="Passed"),"",IF(R819&lt;=TODAY(),"DUE",IF(R819&lt;=TODAY()+3,"Next 3 Days","Later")))</f>
        <v/>
      </c>
      <c r="T819" s="425" t="inlineStr"/>
      <c r="U819" s="426" t="inlineStr">
        <is>
          <t>https://www.linkedin.com/in/lindsayfitzgerald/</t>
        </is>
      </c>
      <c r="V819" s="426" t="inlineStr"/>
      <c r="W819" s="428" t="inlineStr">
        <is>
          <t xml:space="preserve"> | 12/29/2025 | </t>
        </is>
      </c>
      <c r="X819" s="425" t="inlineStr">
        <is>
          <t>John - Investor Contacts!432</t>
        </is>
      </c>
      <c r="Y819" s="426" t="inlineStr">
        <is>
          <t>Send next follow-up with traction + CTA</t>
        </is>
      </c>
      <c r="Z819" s="425" t="n">
        <v>7</v>
      </c>
      <c r="AA819" s="425">
        <f>IF(AC819="Archived",0,ROUND((IF(N819="Tier 1",35,IF(N819="Tier 2",20,8))+IF(C819="Financial Investor",15,IF(C819="Intermediary / Banker",12,8))+IF(L819="Term Sheet / Proposal",25,IF(L819="Engaged",20,IF(L819="Meeting Requested",18,IF(L819="Meeting Held",14,IF(L819="Follow Up",10,5)))))+MIN(Q819,30)+IF(S819="DUE",15,IF(S819="Next 3 Days",8,0))),0))</f>
        <v/>
      </c>
      <c r="AB819" s="425">
        <f>IF(AND(AC819="Active",OR(N819="Tier 1",N819="Tier 2"),OR(S819="DUE",S819="Next 3 Days")),"YES","")</f>
        <v/>
      </c>
      <c r="AC819" s="425">
        <f>IF(L819="Passed","Archived","Active")</f>
        <v/>
      </c>
    </row>
    <row r="820">
      <c r="A820" s="425" t="inlineStr">
        <is>
          <t>EXOS-0819</t>
        </is>
      </c>
      <c r="B820" s="425" t="inlineStr">
        <is>
          <t>John - Investor Contacts</t>
        </is>
      </c>
      <c r="C820" s="425" t="inlineStr">
        <is>
          <t>Financial Investor</t>
        </is>
      </c>
      <c r="D820" s="425" t="inlineStr">
        <is>
          <t>Veteran Ventures</t>
        </is>
      </c>
      <c r="E820" s="425" t="inlineStr">
        <is>
          <t>Steve Kiser</t>
        </is>
      </c>
      <c r="F820" s="425" t="inlineStr"/>
      <c r="G820" s="111" t="inlineStr">
        <is>
          <t>steve@veteranventures.us</t>
        </is>
      </c>
      <c r="H820" s="425" t="inlineStr"/>
      <c r="I820" s="425" t="inlineStr"/>
      <c r="J820" s="425" t="inlineStr"/>
      <c r="K820" s="426" t="inlineStr">
        <is>
          <t>John Quinn</t>
        </is>
      </c>
      <c r="L820" s="426" t="inlineStr">
        <is>
          <t>Follow Up</t>
        </is>
      </c>
      <c r="M820" s="425" t="inlineStr">
        <is>
          <t>Space / Defense / Aerospace / Advanced Manufacturing</t>
        </is>
      </c>
      <c r="N820" s="426" t="inlineStr">
        <is>
          <t>Tier 2</t>
        </is>
      </c>
      <c r="O820" s="441" t="n">
        <v>45782</v>
      </c>
      <c r="P820" s="441" t="n">
        <v>45845</v>
      </c>
      <c r="Q820" s="425">
        <f>IF(P820="","",TODAY()-P820)</f>
        <v/>
      </c>
      <c r="R820" s="441">
        <f>IF(OR(L820="Passed",Z820=""),"",P820+Z820)</f>
        <v/>
      </c>
      <c r="S820" s="425">
        <f>IF(OR(R820="",L820="Passed"),"",IF(R820&lt;=TODAY(),"DUE",IF(R820&lt;=TODAY()+3,"Next 3 Days","Later")))</f>
        <v/>
      </c>
      <c r="T820" s="425" t="inlineStr"/>
      <c r="U820" s="426" t="inlineStr"/>
      <c r="V820" s="426" t="inlineStr"/>
      <c r="W820" s="428" t="inlineStr">
        <is>
          <t>07/23/2025 |  | replied on 5/6</t>
        </is>
      </c>
      <c r="X820" s="425" t="inlineStr">
        <is>
          <t>John - Investor Contacts!349</t>
        </is>
      </c>
      <c r="Y820" s="426" t="inlineStr">
        <is>
          <t>Send next follow-up with traction + CTA</t>
        </is>
      </c>
      <c r="Z820" s="425" t="n">
        <v>7</v>
      </c>
      <c r="AA820" s="425">
        <f>IF(AC820="Archived",0,ROUND((IF(N820="Tier 1",35,IF(N820="Tier 2",20,8))+IF(C820="Financial Investor",15,IF(C820="Intermediary / Banker",12,8))+IF(L820="Term Sheet / Proposal",25,IF(L820="Engaged",20,IF(L820="Meeting Requested",18,IF(L820="Meeting Held",14,IF(L820="Follow Up",10,5)))))+MIN(Q820,30)+IF(S820="DUE",15,IF(S820="Next 3 Days",8,0))),0))</f>
        <v/>
      </c>
      <c r="AB820" s="425">
        <f>IF(AND(AC820="Active",OR(N820="Tier 1",N820="Tier 2"),OR(S820="DUE",S820="Next 3 Days")),"YES","")</f>
        <v/>
      </c>
      <c r="AC820" s="425">
        <f>IF(L820="Passed","Archived","Active")</f>
        <v/>
      </c>
    </row>
    <row r="821">
      <c r="A821" s="425" t="inlineStr">
        <is>
          <t>EXOS-0820</t>
        </is>
      </c>
      <c r="B821" s="425" t="inlineStr">
        <is>
          <t>John - Investor Contacts</t>
        </is>
      </c>
      <c r="C821" s="425" t="inlineStr">
        <is>
          <t>Financial Investor</t>
        </is>
      </c>
      <c r="D821" s="425" t="inlineStr">
        <is>
          <t>Vice President</t>
        </is>
      </c>
      <c r="E821" s="425" t="inlineStr">
        <is>
          <t>Rick Lau</t>
        </is>
      </c>
      <c r="F821" s="425" t="inlineStr"/>
      <c r="G821" s="111" t="inlineStr">
        <is>
          <t>rlau@omers.com</t>
        </is>
      </c>
      <c r="H821" s="425" t="inlineStr"/>
      <c r="I821" s="425" t="inlineStr"/>
      <c r="J821" s="425" t="inlineStr"/>
      <c r="K821" s="426" t="inlineStr">
        <is>
          <t>John Quinn</t>
        </is>
      </c>
      <c r="L821" s="426" t="inlineStr">
        <is>
          <t>Follow Up</t>
        </is>
      </c>
      <c r="M821" s="425" t="inlineStr">
        <is>
          <t>Space / Defense / Aerospace / Advanced Manufacturing</t>
        </is>
      </c>
      <c r="N821" s="426" t="inlineStr">
        <is>
          <t>Tier 2</t>
        </is>
      </c>
      <c r="O821" s="441" t="n">
        <v>45974</v>
      </c>
      <c r="P821" s="441" t="n">
        <v>46037</v>
      </c>
      <c r="Q821" s="425">
        <f>IF(P821="","",TODAY()-P821)</f>
        <v/>
      </c>
      <c r="R821" s="441">
        <f>IF(OR(L821="Passed",Z821=""),"",P821+Z821)</f>
        <v/>
      </c>
      <c r="S821" s="425">
        <f>IF(OR(R821="",L821="Passed"),"",IF(R821&lt;=TODAY(),"DUE",IF(R821&lt;=TODAY()+3,"Next 3 Days","Later")))</f>
        <v/>
      </c>
      <c r="T821" s="425" t="inlineStr"/>
      <c r="U821" s="426" t="inlineStr"/>
      <c r="V821" s="426" t="inlineStr"/>
      <c r="W821" s="428" t="inlineStr">
        <is>
          <t xml:space="preserve"> |  | </t>
        </is>
      </c>
      <c r="X821" s="425" t="inlineStr">
        <is>
          <t>John - Investor Contacts!734</t>
        </is>
      </c>
      <c r="Y821" s="426" t="inlineStr">
        <is>
          <t>Send next follow-up with traction + CTA</t>
        </is>
      </c>
      <c r="Z821" s="425" t="n">
        <v>7</v>
      </c>
      <c r="AA821" s="425">
        <f>IF(AC821="Archived",0,ROUND((IF(N821="Tier 1",35,IF(N821="Tier 2",20,8))+IF(C821="Financial Investor",15,IF(C821="Intermediary / Banker",12,8))+IF(L821="Term Sheet / Proposal",25,IF(L821="Engaged",20,IF(L821="Meeting Requested",18,IF(L821="Meeting Held",14,IF(L821="Follow Up",10,5)))))+MIN(Q821,30)+IF(S821="DUE",15,IF(S821="Next 3 Days",8,0))),0))</f>
        <v/>
      </c>
      <c r="AB821" s="425">
        <f>IF(AND(AC821="Active",OR(N821="Tier 1",N821="Tier 2"),OR(S821="DUE",S821="Next 3 Days")),"YES","")</f>
        <v/>
      </c>
      <c r="AC821" s="425">
        <f>IF(L821="Passed","Archived","Active")</f>
        <v/>
      </c>
    </row>
    <row r="822">
      <c r="A822" s="425" t="inlineStr">
        <is>
          <t>EXOS-0821</t>
        </is>
      </c>
      <c r="B822" s="425" t="inlineStr">
        <is>
          <t>LeadLoft</t>
        </is>
      </c>
      <c r="C822" s="425" t="inlineStr">
        <is>
          <t>Financial Investor</t>
        </is>
      </c>
      <c r="D822" s="425" t="inlineStr">
        <is>
          <t>Vickers Venture</t>
        </is>
      </c>
      <c r="E822" s="425" t="inlineStr">
        <is>
          <t>Jeffery Chi</t>
        </is>
      </c>
      <c r="F822" s="425" t="inlineStr"/>
      <c r="G822" s="111" t="inlineStr">
        <is>
          <t>jeff.chi@vickersventure.com</t>
        </is>
      </c>
      <c r="H822" s="425" t="inlineStr"/>
      <c r="I822" s="425" t="inlineStr"/>
      <c r="J822" s="425" t="inlineStr"/>
      <c r="K822" s="426" t="inlineStr">
        <is>
          <t>John Quinn</t>
        </is>
      </c>
      <c r="L822" s="426" t="inlineStr">
        <is>
          <t>Follow Up</t>
        </is>
      </c>
      <c r="M822" s="425" t="inlineStr">
        <is>
          <t>Space / Defense / Aerospace / Advanced Manufacturing</t>
        </is>
      </c>
      <c r="N822" s="426" t="inlineStr">
        <is>
          <t>Tier 2</t>
        </is>
      </c>
      <c r="O822" s="425" t="n"/>
      <c r="P822" s="425" t="n"/>
      <c r="Q822" s="425">
        <f>IF(P822="","",TODAY()-P822)</f>
        <v/>
      </c>
      <c r="R822" s="441">
        <f>IF(OR(L822="Passed",Z822=""),"",P822+Z822)</f>
        <v/>
      </c>
      <c r="S822" s="425">
        <f>IF(OR(R822="",L822="Passed"),"",IF(R822&lt;=TODAY(),"DUE",IF(R822&lt;=TODAY()+3,"Next 3 Days","Later")))</f>
        <v/>
      </c>
      <c r="T822" s="425" t="inlineStr"/>
      <c r="U822" s="426" t="inlineStr"/>
      <c r="V822" s="426" t="inlineStr"/>
      <c r="W822" s="428" t="inlineStr">
        <is>
          <t>potential - follow up next year</t>
        </is>
      </c>
      <c r="X822" s="425" t="inlineStr">
        <is>
          <t>LeadLoft!2</t>
        </is>
      </c>
      <c r="Y822" s="426" t="inlineStr">
        <is>
          <t>Send next follow-up with traction + CTA</t>
        </is>
      </c>
      <c r="Z822" s="425" t="n">
        <v>7</v>
      </c>
      <c r="AA822" s="425">
        <f>IF(AC822="Archived",0,ROUND((IF(N822="Tier 1",35,IF(N822="Tier 2",20,8))+IF(C822="Financial Investor",15,IF(C822="Intermediary / Banker",12,8))+IF(L822="Term Sheet / Proposal",25,IF(L822="Engaged",20,IF(L822="Meeting Requested",18,IF(L822="Meeting Held",14,IF(L822="Follow Up",10,5)))))+MIN(Q822,30)+IF(S822="DUE",15,IF(S822="Next 3 Days",8,0))),0))</f>
        <v/>
      </c>
      <c r="AB822" s="425">
        <f>IF(AND(AC822="Active",OR(N822="Tier 1",N822="Tier 2"),OR(S822="DUE",S822="Next 3 Days")),"YES","")</f>
        <v/>
      </c>
      <c r="AC822" s="425">
        <f>IF(L822="Passed","Archived","Active")</f>
        <v/>
      </c>
    </row>
    <row r="823">
      <c r="A823" s="425" t="inlineStr">
        <is>
          <t>EXOS-0822</t>
        </is>
      </c>
      <c r="B823" s="425" t="inlineStr">
        <is>
          <t>John - Investor Contacts</t>
        </is>
      </c>
      <c r="C823" s="425" t="inlineStr">
        <is>
          <t>Financial Investor</t>
        </is>
      </c>
      <c r="D823" s="425" t="inlineStr">
        <is>
          <t>Village Global</t>
        </is>
      </c>
      <c r="E823" s="425" t="inlineStr">
        <is>
          <t>Amrit Rao</t>
        </is>
      </c>
      <c r="F823" s="425" t="inlineStr"/>
      <c r="G823" s="111" t="inlineStr">
        <is>
          <t>amrit@villageglobal.vc</t>
        </is>
      </c>
      <c r="H823" s="425" t="inlineStr"/>
      <c r="I823" s="425" t="inlineStr"/>
      <c r="J823" s="111" t="inlineStr">
        <is>
          <t>https://www.linkedin.com/in/amrit-rao/</t>
        </is>
      </c>
      <c r="K823" s="426" t="inlineStr">
        <is>
          <t>John Quinn</t>
        </is>
      </c>
      <c r="L823" s="426" t="inlineStr">
        <is>
          <t>Follow Up</t>
        </is>
      </c>
      <c r="M823" s="425" t="inlineStr">
        <is>
          <t>Space / Defense / Aerospace / Advanced Manufacturing</t>
        </is>
      </c>
      <c r="N823" s="426" t="inlineStr">
        <is>
          <t>Tier 2</t>
        </is>
      </c>
      <c r="O823" s="441" t="n">
        <v>45849</v>
      </c>
      <c r="P823" s="441" t="n">
        <v>45878</v>
      </c>
      <c r="Q823" s="425">
        <f>IF(P823="","",TODAY()-P823)</f>
        <v/>
      </c>
      <c r="R823" s="441">
        <f>IF(OR(L823="Passed",Z823=""),"",P823+Z823)</f>
        <v/>
      </c>
      <c r="S823" s="425">
        <f>IF(OR(R823="",L823="Passed"),"",IF(R823&lt;=TODAY(),"DUE",IF(R823&lt;=TODAY()+3,"Next 3 Days","Later")))</f>
        <v/>
      </c>
      <c r="T823" s="425" t="inlineStr"/>
      <c r="U823" s="426" t="inlineStr">
        <is>
          <t>https://www.linkedin.com/in/amrit-rao/</t>
        </is>
      </c>
      <c r="V823" s="426" t="inlineStr"/>
      <c r="W823" s="428" t="inlineStr">
        <is>
          <t xml:space="preserve"> | 12/26/2025 | </t>
        </is>
      </c>
      <c r="X823" s="425" t="inlineStr">
        <is>
          <t>John - Investor Contacts!403</t>
        </is>
      </c>
      <c r="Y823" s="426" t="inlineStr">
        <is>
          <t>Send next follow-up with traction + CTA</t>
        </is>
      </c>
      <c r="Z823" s="425" t="n">
        <v>7</v>
      </c>
      <c r="AA823" s="425">
        <f>IF(AC823="Archived",0,ROUND((IF(N823="Tier 1",35,IF(N823="Tier 2",20,8))+IF(C823="Financial Investor",15,IF(C823="Intermediary / Banker",12,8))+IF(L823="Term Sheet / Proposal",25,IF(L823="Engaged",20,IF(L823="Meeting Requested",18,IF(L823="Meeting Held",14,IF(L823="Follow Up",10,5)))))+MIN(Q823,30)+IF(S823="DUE",15,IF(S823="Next 3 Days",8,0))),0))</f>
        <v/>
      </c>
      <c r="AB823" s="425">
        <f>IF(AND(AC823="Active",OR(N823="Tier 1",N823="Tier 2"),OR(S823="DUE",S823="Next 3 Days")),"YES","")</f>
        <v/>
      </c>
      <c r="AC823" s="425">
        <f>IF(L823="Passed","Archived","Active")</f>
        <v/>
      </c>
    </row>
    <row r="824">
      <c r="A824" s="425" t="inlineStr">
        <is>
          <t>EXOS-0823</t>
        </is>
      </c>
      <c r="B824" s="425" t="inlineStr">
        <is>
          <t>John - Investor Contacts</t>
        </is>
      </c>
      <c r="C824" s="425" t="inlineStr">
        <is>
          <t>Financial Investor</t>
        </is>
      </c>
      <c r="D824" s="425" t="inlineStr">
        <is>
          <t>Village Global</t>
        </is>
      </c>
      <c r="E824" s="425" t="inlineStr">
        <is>
          <t>Anne Dwane</t>
        </is>
      </c>
      <c r="F824" s="425" t="inlineStr"/>
      <c r="G824" s="111" t="inlineStr">
        <is>
          <t>anne@villageglobal.vc</t>
        </is>
      </c>
      <c r="H824" s="425" t="inlineStr"/>
      <c r="I824" s="425" t="inlineStr"/>
      <c r="J824" s="111" t="inlineStr">
        <is>
          <t>https://www.linkedin.com/in/dwane</t>
        </is>
      </c>
      <c r="K824" s="426" t="inlineStr">
        <is>
          <t>John Quinn</t>
        </is>
      </c>
      <c r="L824" s="426" t="inlineStr">
        <is>
          <t>Follow Up</t>
        </is>
      </c>
      <c r="M824" s="425" t="inlineStr">
        <is>
          <t>Space / Defense / Aerospace / Advanced Manufacturing</t>
        </is>
      </c>
      <c r="N824" s="426" t="inlineStr">
        <is>
          <t>Tier 2</t>
        </is>
      </c>
      <c r="O824" s="441" t="n">
        <v>45849</v>
      </c>
      <c r="P824" s="441" t="n">
        <v>45878</v>
      </c>
      <c r="Q824" s="425">
        <f>IF(P824="","",TODAY()-P824)</f>
        <v/>
      </c>
      <c r="R824" s="441">
        <f>IF(OR(L824="Passed",Z824=""),"",P824+Z824)</f>
        <v/>
      </c>
      <c r="S824" s="425">
        <f>IF(OR(R824="",L824="Passed"),"",IF(R824&lt;=TODAY(),"DUE",IF(R824&lt;=TODAY()+3,"Next 3 Days","Later")))</f>
        <v/>
      </c>
      <c r="T824" s="425" t="inlineStr"/>
      <c r="U824" s="426" t="inlineStr">
        <is>
          <t>https://www.linkedin.com/in/dwane</t>
        </is>
      </c>
      <c r="V824" s="426" t="inlineStr"/>
      <c r="W824" s="428" t="inlineStr">
        <is>
          <t xml:space="preserve"> | 12/26/2025 | </t>
        </is>
      </c>
      <c r="X824" s="425" t="inlineStr">
        <is>
          <t>John - Investor Contacts!399</t>
        </is>
      </c>
      <c r="Y824" s="426" t="inlineStr">
        <is>
          <t>Send next follow-up with traction + CTA</t>
        </is>
      </c>
      <c r="Z824" s="425" t="n">
        <v>7</v>
      </c>
      <c r="AA824" s="425">
        <f>IF(AC824="Archived",0,ROUND((IF(N824="Tier 1",35,IF(N824="Tier 2",20,8))+IF(C824="Financial Investor",15,IF(C824="Intermediary / Banker",12,8))+IF(L824="Term Sheet / Proposal",25,IF(L824="Engaged",20,IF(L824="Meeting Requested",18,IF(L824="Meeting Held",14,IF(L824="Follow Up",10,5)))))+MIN(Q824,30)+IF(S824="DUE",15,IF(S824="Next 3 Days",8,0))),0))</f>
        <v/>
      </c>
      <c r="AB824" s="425">
        <f>IF(AND(AC824="Active",OR(N824="Tier 1",N824="Tier 2"),OR(S824="DUE",S824="Next 3 Days")),"YES","")</f>
        <v/>
      </c>
      <c r="AC824" s="425">
        <f>IF(L824="Passed","Archived","Active")</f>
        <v/>
      </c>
    </row>
    <row r="825">
      <c r="A825" s="425" t="inlineStr">
        <is>
          <t>EXOS-0824</t>
        </is>
      </c>
      <c r="B825" s="425" t="inlineStr">
        <is>
          <t>John - Investor Contacts</t>
        </is>
      </c>
      <c r="C825" s="425" t="inlineStr">
        <is>
          <t>Financial Investor</t>
        </is>
      </c>
      <c r="D825" s="425" t="inlineStr">
        <is>
          <t>Village Global</t>
        </is>
      </c>
      <c r="E825" s="425" t="inlineStr">
        <is>
          <t>Ben Casnocha</t>
        </is>
      </c>
      <c r="F825" s="425" t="inlineStr"/>
      <c r="G825" s="111" t="inlineStr">
        <is>
          <t>ben@villageglobal.vc</t>
        </is>
      </c>
      <c r="H825" s="425" t="inlineStr"/>
      <c r="I825" s="425" t="inlineStr"/>
      <c r="J825" s="111" t="inlineStr">
        <is>
          <t>https://www.linkedin.com/in/bencasnocha/</t>
        </is>
      </c>
      <c r="K825" s="426" t="inlineStr">
        <is>
          <t>John Quinn</t>
        </is>
      </c>
      <c r="L825" s="426" t="inlineStr">
        <is>
          <t>Follow Up</t>
        </is>
      </c>
      <c r="M825" s="425" t="inlineStr">
        <is>
          <t>Space / Defense / Aerospace / Advanced Manufacturing</t>
        </is>
      </c>
      <c r="N825" s="426" t="inlineStr">
        <is>
          <t>Tier 2</t>
        </is>
      </c>
      <c r="O825" s="441" t="n">
        <v>45849</v>
      </c>
      <c r="P825" s="441" t="n">
        <v>45878</v>
      </c>
      <c r="Q825" s="425">
        <f>IF(P825="","",TODAY()-P825)</f>
        <v/>
      </c>
      <c r="R825" s="441">
        <f>IF(OR(L825="Passed",Z825=""),"",P825+Z825)</f>
        <v/>
      </c>
      <c r="S825" s="425">
        <f>IF(OR(R825="",L825="Passed"),"",IF(R825&lt;=TODAY(),"DUE",IF(R825&lt;=TODAY()+3,"Next 3 Days","Later")))</f>
        <v/>
      </c>
      <c r="T825" s="425" t="inlineStr"/>
      <c r="U825" s="426" t="inlineStr">
        <is>
          <t>https://www.linkedin.com/in/bencasnocha/</t>
        </is>
      </c>
      <c r="V825" s="426" t="inlineStr"/>
      <c r="W825" s="428" t="inlineStr">
        <is>
          <t xml:space="preserve"> | 12/26/2025 | </t>
        </is>
      </c>
      <c r="X825" s="425" t="inlineStr">
        <is>
          <t>John - Investor Contacts!400</t>
        </is>
      </c>
      <c r="Y825" s="426" t="inlineStr">
        <is>
          <t>Send next follow-up with traction + CTA</t>
        </is>
      </c>
      <c r="Z825" s="425" t="n">
        <v>7</v>
      </c>
      <c r="AA825" s="425">
        <f>IF(AC825="Archived",0,ROUND((IF(N825="Tier 1",35,IF(N825="Tier 2",20,8))+IF(C825="Financial Investor",15,IF(C825="Intermediary / Banker",12,8))+IF(L825="Term Sheet / Proposal",25,IF(L825="Engaged",20,IF(L825="Meeting Requested",18,IF(L825="Meeting Held",14,IF(L825="Follow Up",10,5)))))+MIN(Q825,30)+IF(S825="DUE",15,IF(S825="Next 3 Days",8,0))),0))</f>
        <v/>
      </c>
      <c r="AB825" s="425">
        <f>IF(AND(AC825="Active",OR(N825="Tier 1",N825="Tier 2"),OR(S825="DUE",S825="Next 3 Days")),"YES","")</f>
        <v/>
      </c>
      <c r="AC825" s="425">
        <f>IF(L825="Passed","Archived","Active")</f>
        <v/>
      </c>
    </row>
    <row r="826">
      <c r="A826" s="425" t="inlineStr">
        <is>
          <t>EXOS-0825</t>
        </is>
      </c>
      <c r="B826" s="425" t="inlineStr">
        <is>
          <t>John - Investor Contacts</t>
        </is>
      </c>
      <c r="C826" s="425" t="inlineStr">
        <is>
          <t>Financial Investor</t>
        </is>
      </c>
      <c r="D826" s="425" t="inlineStr">
        <is>
          <t>Village Global</t>
        </is>
      </c>
      <c r="E826" s="425" t="inlineStr">
        <is>
          <t>Lindsay Pettinghill</t>
        </is>
      </c>
      <c r="F826" s="425" t="inlineStr"/>
      <c r="G826" s="111" t="inlineStr">
        <is>
          <t>lindsay@villageglobal.vc</t>
        </is>
      </c>
      <c r="H826" s="425" t="inlineStr"/>
      <c r="I826" s="425" t="inlineStr"/>
      <c r="J826" s="111" t="inlineStr">
        <is>
          <t>https://www.linkedin.com/in/lpettingill/</t>
        </is>
      </c>
      <c r="K826" s="426" t="inlineStr">
        <is>
          <t>John Quinn</t>
        </is>
      </c>
      <c r="L826" s="426" t="inlineStr">
        <is>
          <t>Follow Up</t>
        </is>
      </c>
      <c r="M826" s="425" t="inlineStr">
        <is>
          <t>Space / Defense / Aerospace / Advanced Manufacturing</t>
        </is>
      </c>
      <c r="N826" s="426" t="inlineStr">
        <is>
          <t>Tier 2</t>
        </is>
      </c>
      <c r="O826" s="441" t="n">
        <v>45849</v>
      </c>
      <c r="P826" s="441" t="n">
        <v>45878</v>
      </c>
      <c r="Q826" s="425">
        <f>IF(P826="","",TODAY()-P826)</f>
        <v/>
      </c>
      <c r="R826" s="441">
        <f>IF(OR(L826="Passed",Z826=""),"",P826+Z826)</f>
        <v/>
      </c>
      <c r="S826" s="425">
        <f>IF(OR(R826="",L826="Passed"),"",IF(R826&lt;=TODAY(),"DUE",IF(R826&lt;=TODAY()+3,"Next 3 Days","Later")))</f>
        <v/>
      </c>
      <c r="T826" s="425" t="inlineStr"/>
      <c r="U826" s="426" t="inlineStr">
        <is>
          <t>https://www.linkedin.com/in/lpettingill/</t>
        </is>
      </c>
      <c r="V826" s="426" t="inlineStr"/>
      <c r="W826" s="428" t="inlineStr">
        <is>
          <t xml:space="preserve"> | 12/26/2025 | </t>
        </is>
      </c>
      <c r="X826" s="425" t="inlineStr">
        <is>
          <t>John - Investor Contacts!401</t>
        </is>
      </c>
      <c r="Y826" s="426" t="inlineStr">
        <is>
          <t>Send next follow-up with traction + CTA</t>
        </is>
      </c>
      <c r="Z826" s="425" t="n">
        <v>7</v>
      </c>
      <c r="AA826" s="425">
        <f>IF(AC826="Archived",0,ROUND((IF(N826="Tier 1",35,IF(N826="Tier 2",20,8))+IF(C826="Financial Investor",15,IF(C826="Intermediary / Banker",12,8))+IF(L826="Term Sheet / Proposal",25,IF(L826="Engaged",20,IF(L826="Meeting Requested",18,IF(L826="Meeting Held",14,IF(L826="Follow Up",10,5)))))+MIN(Q826,30)+IF(S826="DUE",15,IF(S826="Next 3 Days",8,0))),0))</f>
        <v/>
      </c>
      <c r="AB826" s="425">
        <f>IF(AND(AC826="Active",OR(N826="Tier 1",N826="Tier 2"),OR(S826="DUE",S826="Next 3 Days")),"YES","")</f>
        <v/>
      </c>
      <c r="AC826" s="425">
        <f>IF(L826="Passed","Archived","Active")</f>
        <v/>
      </c>
    </row>
    <row r="827">
      <c r="A827" s="425" t="inlineStr">
        <is>
          <t>EXOS-0826</t>
        </is>
      </c>
      <c r="B827" s="425" t="inlineStr">
        <is>
          <t>John - Investor Contacts</t>
        </is>
      </c>
      <c r="C827" s="425" t="inlineStr">
        <is>
          <t>Financial Investor</t>
        </is>
      </c>
      <c r="D827" s="425" t="inlineStr">
        <is>
          <t>Village Global</t>
        </is>
      </c>
      <c r="E827" s="425" t="inlineStr">
        <is>
          <t>Max Kilberg</t>
        </is>
      </c>
      <c r="F827" s="425" t="inlineStr"/>
      <c r="G827" s="111" t="inlineStr">
        <is>
          <t>max@villageglobal.vc</t>
        </is>
      </c>
      <c r="H827" s="425" t="inlineStr"/>
      <c r="I827" s="425" t="inlineStr"/>
      <c r="J827" s="111" t="inlineStr">
        <is>
          <t>https://www.linkedin.com/in/max-kilberg</t>
        </is>
      </c>
      <c r="K827" s="426" t="inlineStr">
        <is>
          <t>John Quinn</t>
        </is>
      </c>
      <c r="L827" s="426" t="inlineStr">
        <is>
          <t>Follow Up</t>
        </is>
      </c>
      <c r="M827" s="425" t="inlineStr">
        <is>
          <t>Space / Defense / Aerospace / Advanced Manufacturing</t>
        </is>
      </c>
      <c r="N827" s="426" t="inlineStr">
        <is>
          <t>Tier 2</t>
        </is>
      </c>
      <c r="O827" s="441" t="n">
        <v>45849</v>
      </c>
      <c r="P827" s="441" t="n">
        <v>45878</v>
      </c>
      <c r="Q827" s="425">
        <f>IF(P827="","",TODAY()-P827)</f>
        <v/>
      </c>
      <c r="R827" s="441">
        <f>IF(OR(L827="Passed",Z827=""),"",P827+Z827)</f>
        <v/>
      </c>
      <c r="S827" s="425">
        <f>IF(OR(R827="",L827="Passed"),"",IF(R827&lt;=TODAY(),"DUE",IF(R827&lt;=TODAY()+3,"Next 3 Days","Later")))</f>
        <v/>
      </c>
      <c r="T827" s="425" t="inlineStr"/>
      <c r="U827" s="426" t="inlineStr">
        <is>
          <t>https://www.linkedin.com/in/max-kilberg</t>
        </is>
      </c>
      <c r="V827" s="426" t="inlineStr"/>
      <c r="W827" s="428" t="inlineStr">
        <is>
          <t xml:space="preserve"> | 12/26/2025 | submit your deck here: hello@villageglobal.vc</t>
        </is>
      </c>
      <c r="X827" s="425" t="inlineStr">
        <is>
          <t>John - Investor Contacts!398</t>
        </is>
      </c>
      <c r="Y827" s="426" t="inlineStr">
        <is>
          <t>Send next follow-up with traction + CTA</t>
        </is>
      </c>
      <c r="Z827" s="425" t="n">
        <v>7</v>
      </c>
      <c r="AA827" s="425">
        <f>IF(AC827="Archived",0,ROUND((IF(N827="Tier 1",35,IF(N827="Tier 2",20,8))+IF(C827="Financial Investor",15,IF(C827="Intermediary / Banker",12,8))+IF(L827="Term Sheet / Proposal",25,IF(L827="Engaged",20,IF(L827="Meeting Requested",18,IF(L827="Meeting Held",14,IF(L827="Follow Up",10,5)))))+MIN(Q827,30)+IF(S827="DUE",15,IF(S827="Next 3 Days",8,0))),0))</f>
        <v/>
      </c>
      <c r="AB827" s="425">
        <f>IF(AND(AC827="Active",OR(N827="Tier 1",N827="Tier 2"),OR(S827="DUE",S827="Next 3 Days")),"YES","")</f>
        <v/>
      </c>
      <c r="AC827" s="425">
        <f>IF(L827="Passed","Archived","Active")</f>
        <v/>
      </c>
    </row>
    <row r="828">
      <c r="A828" s="425" t="inlineStr">
        <is>
          <t>EXOS-0827</t>
        </is>
      </c>
      <c r="B828" s="425" t="inlineStr">
        <is>
          <t>John - Investor Contacts</t>
        </is>
      </c>
      <c r="C828" s="425" t="inlineStr">
        <is>
          <t>Financial Investor</t>
        </is>
      </c>
      <c r="D828" s="425" t="inlineStr">
        <is>
          <t>Village Global</t>
        </is>
      </c>
      <c r="E828" s="425" t="inlineStr">
        <is>
          <t>Sam Kirschner</t>
        </is>
      </c>
      <c r="F828" s="425" t="inlineStr"/>
      <c r="G828" s="111" t="inlineStr">
        <is>
          <t>sam@villageglobal.vc</t>
        </is>
      </c>
      <c r="H828" s="425" t="inlineStr"/>
      <c r="I828" s="425" t="inlineStr"/>
      <c r="J828" s="111" t="inlineStr">
        <is>
          <t>https://www.linkedin.com/in/samlkirschner/</t>
        </is>
      </c>
      <c r="K828" s="426" t="inlineStr">
        <is>
          <t>John Quinn</t>
        </is>
      </c>
      <c r="L828" s="426" t="inlineStr">
        <is>
          <t>Follow Up</t>
        </is>
      </c>
      <c r="M828" s="425" t="inlineStr">
        <is>
          <t>Space / Defense / Aerospace / Advanced Manufacturing</t>
        </is>
      </c>
      <c r="N828" s="426" t="inlineStr">
        <is>
          <t>Tier 2</t>
        </is>
      </c>
      <c r="O828" s="441" t="n">
        <v>45849</v>
      </c>
      <c r="P828" s="441" t="n">
        <v>45878</v>
      </c>
      <c r="Q828" s="425">
        <f>IF(P828="","",TODAY()-P828)</f>
        <v/>
      </c>
      <c r="R828" s="441">
        <f>IF(OR(L828="Passed",Z828=""),"",P828+Z828)</f>
        <v/>
      </c>
      <c r="S828" s="425">
        <f>IF(OR(R828="",L828="Passed"),"",IF(R828&lt;=TODAY(),"DUE",IF(R828&lt;=TODAY()+3,"Next 3 Days","Later")))</f>
        <v/>
      </c>
      <c r="T828" s="425" t="inlineStr"/>
      <c r="U828" s="426" t="inlineStr">
        <is>
          <t>https://www.linkedin.com/in/samlkirschner/</t>
        </is>
      </c>
      <c r="V828" s="426" t="inlineStr"/>
      <c r="W828" s="428" t="inlineStr">
        <is>
          <t xml:space="preserve"> | 12/26/2025 | </t>
        </is>
      </c>
      <c r="X828" s="425" t="inlineStr">
        <is>
          <t>John - Investor Contacts!402</t>
        </is>
      </c>
      <c r="Y828" s="426" t="inlineStr">
        <is>
          <t>Send next follow-up with traction + CTA</t>
        </is>
      </c>
      <c r="Z828" s="425" t="n">
        <v>7</v>
      </c>
      <c r="AA828" s="425">
        <f>IF(AC828="Archived",0,ROUND((IF(N828="Tier 1",35,IF(N828="Tier 2",20,8))+IF(C828="Financial Investor",15,IF(C828="Intermediary / Banker",12,8))+IF(L828="Term Sheet / Proposal",25,IF(L828="Engaged",20,IF(L828="Meeting Requested",18,IF(L828="Meeting Held",14,IF(L828="Follow Up",10,5)))))+MIN(Q828,30)+IF(S828="DUE",15,IF(S828="Next 3 Days",8,0))),0))</f>
        <v/>
      </c>
      <c r="AB828" s="425">
        <f>IF(AND(AC828="Active",OR(N828="Tier 1",N828="Tier 2"),OR(S828="DUE",S828="Next 3 Days")),"YES","")</f>
        <v/>
      </c>
      <c r="AC828" s="425">
        <f>IF(L828="Passed","Archived","Active")</f>
        <v/>
      </c>
    </row>
    <row r="829">
      <c r="A829" s="425" t="inlineStr">
        <is>
          <t>EXOS-0828</t>
        </is>
      </c>
      <c r="B829" s="425" t="inlineStr">
        <is>
          <t>John - Investor Contacts</t>
        </is>
      </c>
      <c r="C829" s="425" t="inlineStr">
        <is>
          <t>Financial Investor</t>
        </is>
      </c>
      <c r="D829" s="425" t="inlineStr">
        <is>
          <t>WVV Capital</t>
        </is>
      </c>
      <c r="E829" s="425" t="inlineStr">
        <is>
          <t>Danielle D'Agostaro</t>
        </is>
      </c>
      <c r="F829" s="425" t="inlineStr"/>
      <c r="G829" s="111" t="inlineStr">
        <is>
          <t>danielle@wvvcapital.com</t>
        </is>
      </c>
      <c r="H829" s="425" t="inlineStr"/>
      <c r="I829" s="425" t="inlineStr"/>
      <c r="J829" s="425" t="inlineStr"/>
      <c r="K829" s="426" t="inlineStr">
        <is>
          <t>John Quinn</t>
        </is>
      </c>
      <c r="L829" s="426" t="inlineStr">
        <is>
          <t>Follow Up</t>
        </is>
      </c>
      <c r="M829" s="425" t="inlineStr">
        <is>
          <t>Space / Defense / Aerospace / Advanced Manufacturing</t>
        </is>
      </c>
      <c r="N829" s="426" t="inlineStr">
        <is>
          <t>Tier 2</t>
        </is>
      </c>
      <c r="O829" s="441" t="n">
        <v>45912</v>
      </c>
      <c r="P829" s="441" t="n">
        <v>45973</v>
      </c>
      <c r="Q829" s="425">
        <f>IF(P829="","",TODAY()-P829)</f>
        <v/>
      </c>
      <c r="R829" s="441">
        <f>IF(OR(L829="Passed",Z829=""),"",P829+Z829)</f>
        <v/>
      </c>
      <c r="S829" s="425">
        <f>IF(OR(R829="",L829="Passed"),"",IF(R829&lt;=TODAY(),"DUE",IF(R829&lt;=TODAY()+3,"Next 3 Days","Later")))</f>
        <v/>
      </c>
      <c r="T829" s="425" t="inlineStr"/>
      <c r="U829" s="426" t="inlineStr">
        <is>
          <t>linkedin.com/in/ddagostaro1</t>
        </is>
      </c>
      <c r="V829" s="426" t="inlineStr"/>
      <c r="W829" s="428" t="inlineStr">
        <is>
          <t xml:space="preserve"> | 12/19/2025 | </t>
        </is>
      </c>
      <c r="X829" s="425" t="inlineStr">
        <is>
          <t>John - Investor Contacts!677</t>
        </is>
      </c>
      <c r="Y829" s="426" t="inlineStr">
        <is>
          <t>Send next follow-up with traction + CTA</t>
        </is>
      </c>
      <c r="Z829" s="425" t="n">
        <v>7</v>
      </c>
      <c r="AA829" s="425">
        <f>IF(AC829="Archived",0,ROUND((IF(N829="Tier 1",35,IF(N829="Tier 2",20,8))+IF(C829="Financial Investor",15,IF(C829="Intermediary / Banker",12,8))+IF(L829="Term Sheet / Proposal",25,IF(L829="Engaged",20,IF(L829="Meeting Requested",18,IF(L829="Meeting Held",14,IF(L829="Follow Up",10,5)))))+MIN(Q829,30)+IF(S829="DUE",15,IF(S829="Next 3 Days",8,0))),0))</f>
        <v/>
      </c>
      <c r="AB829" s="425">
        <f>IF(AND(AC829="Active",OR(N829="Tier 1",N829="Tier 2"),OR(S829="DUE",S829="Next 3 Days")),"YES","")</f>
        <v/>
      </c>
      <c r="AC829" s="425">
        <f>IF(L829="Passed","Archived","Active")</f>
        <v/>
      </c>
    </row>
    <row r="830">
      <c r="A830" s="425" t="inlineStr">
        <is>
          <t>EXOS-0829</t>
        </is>
      </c>
      <c r="B830" s="425" t="inlineStr">
        <is>
          <t>John - Investor Contacts</t>
        </is>
      </c>
      <c r="C830" s="425" t="inlineStr">
        <is>
          <t>Financial Investor</t>
        </is>
      </c>
      <c r="D830" s="425" t="inlineStr">
        <is>
          <t>Washington Harbour</t>
        </is>
      </c>
      <c r="E830" s="425" t="inlineStr">
        <is>
          <t>Ashequl Hoque</t>
        </is>
      </c>
      <c r="F830" s="425" t="inlineStr"/>
      <c r="G830" s="111" t="inlineStr">
        <is>
          <t>ahoque@washingtonharbour.com</t>
        </is>
      </c>
      <c r="H830" s="425" t="inlineStr"/>
      <c r="I830" s="425" t="inlineStr"/>
      <c r="J830" s="111" t="inlineStr">
        <is>
          <t>https://www.linkedin.com/in/ashequlhoque/</t>
        </is>
      </c>
      <c r="K830" s="426" t="inlineStr">
        <is>
          <t>John Quinn</t>
        </is>
      </c>
      <c r="L830" s="426" t="inlineStr">
        <is>
          <t>Follow Up</t>
        </is>
      </c>
      <c r="M830" s="425" t="inlineStr">
        <is>
          <t>Space / Defense / Aerospace / Advanced Manufacturing</t>
        </is>
      </c>
      <c r="N830" s="426" t="inlineStr">
        <is>
          <t>Tier 2</t>
        </is>
      </c>
      <c r="O830" s="441" t="n">
        <v>45986</v>
      </c>
      <c r="P830" s="441" t="n">
        <v>46030</v>
      </c>
      <c r="Q830" s="425">
        <f>IF(P830="","",TODAY()-P830)</f>
        <v/>
      </c>
      <c r="R830" s="441">
        <f>IF(OR(L830="Passed",Z830=""),"",P830+Z830)</f>
        <v/>
      </c>
      <c r="S830" s="425">
        <f>IF(OR(R830="",L830="Passed"),"",IF(R830&lt;=TODAY(),"DUE",IF(R830&lt;=TODAY()+3,"Next 3 Days","Later")))</f>
        <v/>
      </c>
      <c r="T830" s="425" t="inlineStr"/>
      <c r="U830" s="426" t="inlineStr">
        <is>
          <t>https://www.linkedin.com/in/ashequlhoque/</t>
        </is>
      </c>
      <c r="V830" s="426" t="inlineStr"/>
      <c r="W830" s="428" t="inlineStr">
        <is>
          <t xml:space="preserve"> | 02/26/2026 | </t>
        </is>
      </c>
      <c r="X830" s="425" t="inlineStr">
        <is>
          <t>John - Investor Contacts!872</t>
        </is>
      </c>
      <c r="Y830" s="426" t="inlineStr">
        <is>
          <t>Send next follow-up with traction + CTA</t>
        </is>
      </c>
      <c r="Z830" s="425" t="n">
        <v>7</v>
      </c>
      <c r="AA830" s="425">
        <f>IF(AC830="Archived",0,ROUND((IF(N830="Tier 1",35,IF(N830="Tier 2",20,8))+IF(C830="Financial Investor",15,IF(C830="Intermediary / Banker",12,8))+IF(L830="Term Sheet / Proposal",25,IF(L830="Engaged",20,IF(L830="Meeting Requested",18,IF(L830="Meeting Held",14,IF(L830="Follow Up",10,5)))))+MIN(Q830,30)+IF(S830="DUE",15,IF(S830="Next 3 Days",8,0))),0))</f>
        <v/>
      </c>
      <c r="AB830" s="425">
        <f>IF(AND(AC830="Active",OR(N830="Tier 1",N830="Tier 2"),OR(S830="DUE",S830="Next 3 Days")),"YES","")</f>
        <v/>
      </c>
      <c r="AC830" s="425">
        <f>IF(L830="Passed","Archived","Active")</f>
        <v/>
      </c>
    </row>
    <row r="831">
      <c r="A831" s="425" t="inlineStr">
        <is>
          <t>EXOS-0830</t>
        </is>
      </c>
      <c r="B831" s="425" t="inlineStr">
        <is>
          <t>John - Investor Contacts</t>
        </is>
      </c>
      <c r="C831" s="425" t="inlineStr">
        <is>
          <t>Financial Investor</t>
        </is>
      </c>
      <c r="D831" s="425" t="inlineStr">
        <is>
          <t>Washington Harbour</t>
        </is>
      </c>
      <c r="E831" s="425" t="inlineStr">
        <is>
          <t>Brian Schulze</t>
        </is>
      </c>
      <c r="F831" s="425" t="inlineStr"/>
      <c r="G831" s="111" t="inlineStr">
        <is>
          <t>bschulze@washingtonharbour.com</t>
        </is>
      </c>
      <c r="H831" s="425" t="inlineStr"/>
      <c r="I831" s="425" t="inlineStr"/>
      <c r="J831" s="111" t="inlineStr">
        <is>
          <t>https://www.linkedin.com/in/brianschulze/</t>
        </is>
      </c>
      <c r="K831" s="426" t="inlineStr">
        <is>
          <t>John Quinn</t>
        </is>
      </c>
      <c r="L831" s="426" t="inlineStr">
        <is>
          <t>Follow Up</t>
        </is>
      </c>
      <c r="M831" s="425" t="inlineStr">
        <is>
          <t>Space / Defense / Aerospace / Advanced Manufacturing</t>
        </is>
      </c>
      <c r="N831" s="426" t="inlineStr">
        <is>
          <t>Tier 2</t>
        </is>
      </c>
      <c r="O831" s="441" t="n">
        <v>45986</v>
      </c>
      <c r="P831" s="441" t="n">
        <v>46030</v>
      </c>
      <c r="Q831" s="425">
        <f>IF(P831="","",TODAY()-P831)</f>
        <v/>
      </c>
      <c r="R831" s="441">
        <f>IF(OR(L831="Passed",Z831=""),"",P831+Z831)</f>
        <v/>
      </c>
      <c r="S831" s="425">
        <f>IF(OR(R831="",L831="Passed"),"",IF(R831&lt;=TODAY(),"DUE",IF(R831&lt;=TODAY()+3,"Next 3 Days","Later")))</f>
        <v/>
      </c>
      <c r="T831" s="425" t="inlineStr"/>
      <c r="U831" s="426" t="inlineStr">
        <is>
          <t>https://www.linkedin.com/in/brianschulze/</t>
        </is>
      </c>
      <c r="V831" s="426" t="inlineStr"/>
      <c r="W831" s="428" t="inlineStr">
        <is>
          <t xml:space="preserve"> | 02/26/2026 | </t>
        </is>
      </c>
      <c r="X831" s="425" t="inlineStr">
        <is>
          <t>John - Investor Contacts!873</t>
        </is>
      </c>
      <c r="Y831" s="426" t="inlineStr">
        <is>
          <t>Send next follow-up with traction + CTA</t>
        </is>
      </c>
      <c r="Z831" s="425" t="n">
        <v>7</v>
      </c>
      <c r="AA831" s="425">
        <f>IF(AC831="Archived",0,ROUND((IF(N831="Tier 1",35,IF(N831="Tier 2",20,8))+IF(C831="Financial Investor",15,IF(C831="Intermediary / Banker",12,8))+IF(L831="Term Sheet / Proposal",25,IF(L831="Engaged",20,IF(L831="Meeting Requested",18,IF(L831="Meeting Held",14,IF(L831="Follow Up",10,5)))))+MIN(Q831,30)+IF(S831="DUE",15,IF(S831="Next 3 Days",8,0))),0))</f>
        <v/>
      </c>
      <c r="AB831" s="425">
        <f>IF(AND(AC831="Active",OR(N831="Tier 1",N831="Tier 2"),OR(S831="DUE",S831="Next 3 Days")),"YES","")</f>
        <v/>
      </c>
      <c r="AC831" s="425">
        <f>IF(L831="Passed","Archived","Active")</f>
        <v/>
      </c>
    </row>
    <row r="832">
      <c r="A832" s="425" t="inlineStr">
        <is>
          <t>EXOS-0831</t>
        </is>
      </c>
      <c r="B832" s="425" t="inlineStr">
        <is>
          <t>John - Investor Contacts</t>
        </is>
      </c>
      <c r="C832" s="425" t="inlineStr">
        <is>
          <t>Financial Investor</t>
        </is>
      </c>
      <c r="D832" s="425" t="inlineStr">
        <is>
          <t>Washington Harbour</t>
        </is>
      </c>
      <c r="E832" s="425" t="inlineStr">
        <is>
          <t>Daim Malik</t>
        </is>
      </c>
      <c r="F832" s="425" t="inlineStr"/>
      <c r="G832" s="111" t="inlineStr">
        <is>
          <t>dmalik@washingtonharbour.com</t>
        </is>
      </c>
      <c r="H832" s="425" t="inlineStr"/>
      <c r="I832" s="425" t="inlineStr"/>
      <c r="J832" s="425" t="inlineStr"/>
      <c r="K832" s="426" t="inlineStr">
        <is>
          <t>John Quinn</t>
        </is>
      </c>
      <c r="L832" s="426" t="inlineStr">
        <is>
          <t>Follow Up</t>
        </is>
      </c>
      <c r="M832" s="425" t="inlineStr">
        <is>
          <t>Space / Defense / Aerospace / Advanced Manufacturing</t>
        </is>
      </c>
      <c r="N832" s="426" t="inlineStr">
        <is>
          <t>Tier 2</t>
        </is>
      </c>
      <c r="O832" s="441" t="n">
        <v>45986</v>
      </c>
      <c r="P832" s="441" t="n">
        <v>46030</v>
      </c>
      <c r="Q832" s="425">
        <f>IF(P832="","",TODAY()-P832)</f>
        <v/>
      </c>
      <c r="R832" s="441">
        <f>IF(OR(L832="Passed",Z832=""),"",P832+Z832)</f>
        <v/>
      </c>
      <c r="S832" s="425">
        <f>IF(OR(R832="",L832="Passed"),"",IF(R832&lt;=TODAY(),"DUE",IF(R832&lt;=TODAY()+3,"Next 3 Days","Later")))</f>
        <v/>
      </c>
      <c r="T832" s="425" t="inlineStr"/>
      <c r="U832" s="426" t="inlineStr">
        <is>
          <t>linkedin.com/in/daimmalik</t>
        </is>
      </c>
      <c r="V832" s="426" t="inlineStr"/>
      <c r="W832" s="428" t="inlineStr">
        <is>
          <t xml:space="preserve"> | 02/26/2026 | </t>
        </is>
      </c>
      <c r="X832" s="425" t="inlineStr">
        <is>
          <t>John - Investor Contacts!869</t>
        </is>
      </c>
      <c r="Y832" s="426" t="inlineStr">
        <is>
          <t>Send next follow-up with traction + CTA</t>
        </is>
      </c>
      <c r="Z832" s="425" t="n">
        <v>7</v>
      </c>
      <c r="AA832" s="425">
        <f>IF(AC832="Archived",0,ROUND((IF(N832="Tier 1",35,IF(N832="Tier 2",20,8))+IF(C832="Financial Investor",15,IF(C832="Intermediary / Banker",12,8))+IF(L832="Term Sheet / Proposal",25,IF(L832="Engaged",20,IF(L832="Meeting Requested",18,IF(L832="Meeting Held",14,IF(L832="Follow Up",10,5)))))+MIN(Q832,30)+IF(S832="DUE",15,IF(S832="Next 3 Days",8,0))),0))</f>
        <v/>
      </c>
      <c r="AB832" s="425">
        <f>IF(AND(AC832="Active",OR(N832="Tier 1",N832="Tier 2"),OR(S832="DUE",S832="Next 3 Days")),"YES","")</f>
        <v/>
      </c>
      <c r="AC832" s="425">
        <f>IF(L832="Passed","Archived","Active")</f>
        <v/>
      </c>
    </row>
    <row r="833">
      <c r="A833" s="425" t="inlineStr">
        <is>
          <t>EXOS-0832</t>
        </is>
      </c>
      <c r="B833" s="425" t="inlineStr">
        <is>
          <t>John - Investor Contacts</t>
        </is>
      </c>
      <c r="C833" s="425" t="inlineStr">
        <is>
          <t>Financial Investor</t>
        </is>
      </c>
      <c r="D833" s="425" t="inlineStr">
        <is>
          <t>Washington Harbour</t>
        </is>
      </c>
      <c r="E833" s="425" t="inlineStr">
        <is>
          <t>Min An</t>
        </is>
      </c>
      <c r="F833" s="425" t="inlineStr"/>
      <c r="G833" s="111" t="inlineStr">
        <is>
          <t>anm@washingtonharbour.com</t>
        </is>
      </c>
      <c r="H833" s="425" t="inlineStr"/>
      <c r="I833" s="425" t="inlineStr"/>
      <c r="J833" s="111" t="inlineStr">
        <is>
          <t>https://www.linkedin.com/in/min-an/</t>
        </is>
      </c>
      <c r="K833" s="426" t="inlineStr">
        <is>
          <t>John Quinn</t>
        </is>
      </c>
      <c r="L833" s="426" t="inlineStr">
        <is>
          <t>Follow Up</t>
        </is>
      </c>
      <c r="M833" s="425" t="inlineStr">
        <is>
          <t>Space / Defense / Aerospace / Advanced Manufacturing</t>
        </is>
      </c>
      <c r="N833" s="426" t="inlineStr">
        <is>
          <t>Tier 2</t>
        </is>
      </c>
      <c r="O833" s="441" t="n">
        <v>45986</v>
      </c>
      <c r="P833" s="441" t="n">
        <v>46030</v>
      </c>
      <c r="Q833" s="425">
        <f>IF(P833="","",TODAY()-P833)</f>
        <v/>
      </c>
      <c r="R833" s="441">
        <f>IF(OR(L833="Passed",Z833=""),"",P833+Z833)</f>
        <v/>
      </c>
      <c r="S833" s="425">
        <f>IF(OR(R833="",L833="Passed"),"",IF(R833&lt;=TODAY(),"DUE",IF(R833&lt;=TODAY()+3,"Next 3 Days","Later")))</f>
        <v/>
      </c>
      <c r="T833" s="425" t="inlineStr"/>
      <c r="U833" s="426" t="inlineStr">
        <is>
          <t>https://www.linkedin.com/in/min-an/</t>
        </is>
      </c>
      <c r="V833" s="426" t="inlineStr"/>
      <c r="W833" s="428" t="inlineStr">
        <is>
          <t xml:space="preserve"> | 02/26/2026 | </t>
        </is>
      </c>
      <c r="X833" s="425" t="inlineStr">
        <is>
          <t>John - Investor Contacts!871</t>
        </is>
      </c>
      <c r="Y833" s="426" t="inlineStr">
        <is>
          <t>Send next follow-up with traction + CTA</t>
        </is>
      </c>
      <c r="Z833" s="425" t="n">
        <v>7</v>
      </c>
      <c r="AA833" s="425">
        <f>IF(AC833="Archived",0,ROUND((IF(N833="Tier 1",35,IF(N833="Tier 2",20,8))+IF(C833="Financial Investor",15,IF(C833="Intermediary / Banker",12,8))+IF(L833="Term Sheet / Proposal",25,IF(L833="Engaged",20,IF(L833="Meeting Requested",18,IF(L833="Meeting Held",14,IF(L833="Follow Up",10,5)))))+MIN(Q833,30)+IF(S833="DUE",15,IF(S833="Next 3 Days",8,0))),0))</f>
        <v/>
      </c>
      <c r="AB833" s="425">
        <f>IF(AND(AC833="Active",OR(N833="Tier 1",N833="Tier 2"),OR(S833="DUE",S833="Next 3 Days")),"YES","")</f>
        <v/>
      </c>
      <c r="AC833" s="425">
        <f>IF(L833="Passed","Archived","Active")</f>
        <v/>
      </c>
    </row>
    <row r="834">
      <c r="A834" s="425" t="inlineStr">
        <is>
          <t>EXOS-0833</t>
        </is>
      </c>
      <c r="B834" s="425" t="inlineStr">
        <is>
          <t>John - Investor Contacts</t>
        </is>
      </c>
      <c r="C834" s="425" t="inlineStr">
        <is>
          <t>Financial Investor</t>
        </is>
      </c>
      <c r="D834" s="425" t="inlineStr">
        <is>
          <t>Washington Harbour</t>
        </is>
      </c>
      <c r="E834" s="425" t="inlineStr">
        <is>
          <t>Mina Faltas</t>
        </is>
      </c>
      <c r="F834" s="425" t="inlineStr"/>
      <c r="G834" s="111" t="inlineStr">
        <is>
          <t>mfaltas@washingtonharbour.com</t>
        </is>
      </c>
      <c r="H834" s="425" t="inlineStr"/>
      <c r="I834" s="425" t="inlineStr"/>
      <c r="J834" s="111" t="inlineStr">
        <is>
          <t>https://www.linkedin.com/in/mina-faltas-washington-harbour-partners/</t>
        </is>
      </c>
      <c r="K834" s="426" t="inlineStr">
        <is>
          <t>John Quinn</t>
        </is>
      </c>
      <c r="L834" s="426" t="inlineStr">
        <is>
          <t>Follow Up</t>
        </is>
      </c>
      <c r="M834" s="425" t="inlineStr">
        <is>
          <t>Space / Defense / Aerospace / Advanced Manufacturing</t>
        </is>
      </c>
      <c r="N834" s="426" t="inlineStr">
        <is>
          <t>Tier 2</t>
        </is>
      </c>
      <c r="O834" s="441" t="n">
        <v>45986</v>
      </c>
      <c r="P834" s="441" t="n">
        <v>46030</v>
      </c>
      <c r="Q834" s="425">
        <f>IF(P834="","",TODAY()-P834)</f>
        <v/>
      </c>
      <c r="R834" s="441">
        <f>IF(OR(L834="Passed",Z834=""),"",P834+Z834)</f>
        <v/>
      </c>
      <c r="S834" s="425">
        <f>IF(OR(R834="",L834="Passed"),"",IF(R834&lt;=TODAY(),"DUE",IF(R834&lt;=TODAY()+3,"Next 3 Days","Later")))</f>
        <v/>
      </c>
      <c r="T834" s="425" t="inlineStr"/>
      <c r="U834" s="426" t="inlineStr">
        <is>
          <t>https://www.linkedin.com/in/mina-faltas-washington-harbour-partners/</t>
        </is>
      </c>
      <c r="V834" s="426" t="inlineStr"/>
      <c r="W834" s="428" t="inlineStr">
        <is>
          <t xml:space="preserve"> | 02/26/2026 | </t>
        </is>
      </c>
      <c r="X834" s="425" t="inlineStr">
        <is>
          <t>John - Investor Contacts!868</t>
        </is>
      </c>
      <c r="Y834" s="426" t="inlineStr">
        <is>
          <t>Send next follow-up with traction + CTA</t>
        </is>
      </c>
      <c r="Z834" s="425" t="n">
        <v>7</v>
      </c>
      <c r="AA834" s="425">
        <f>IF(AC834="Archived",0,ROUND((IF(N834="Tier 1",35,IF(N834="Tier 2",20,8))+IF(C834="Financial Investor",15,IF(C834="Intermediary / Banker",12,8))+IF(L834="Term Sheet / Proposal",25,IF(L834="Engaged",20,IF(L834="Meeting Requested",18,IF(L834="Meeting Held",14,IF(L834="Follow Up",10,5)))))+MIN(Q834,30)+IF(S834="DUE",15,IF(S834="Next 3 Days",8,0))),0))</f>
        <v/>
      </c>
      <c r="AB834" s="425">
        <f>IF(AND(AC834="Active",OR(N834="Tier 1",N834="Tier 2"),OR(S834="DUE",S834="Next 3 Days")),"YES","")</f>
        <v/>
      </c>
      <c r="AC834" s="425">
        <f>IF(L834="Passed","Archived","Active")</f>
        <v/>
      </c>
    </row>
    <row r="835">
      <c r="A835" s="425" t="inlineStr">
        <is>
          <t>EXOS-0834</t>
        </is>
      </c>
      <c r="B835" s="425" t="inlineStr">
        <is>
          <t>John - Investor Contacts</t>
        </is>
      </c>
      <c r="C835" s="425" t="inlineStr">
        <is>
          <t>Financial Investor</t>
        </is>
      </c>
      <c r="D835" s="425" t="inlineStr">
        <is>
          <t>Washington Harbour</t>
        </is>
      </c>
      <c r="E835" s="425" t="inlineStr">
        <is>
          <t>Patrick Foley</t>
        </is>
      </c>
      <c r="F835" s="425" t="inlineStr"/>
      <c r="G835" s="111" t="inlineStr">
        <is>
          <t>pfoley@washingtonharbour.com</t>
        </is>
      </c>
      <c r="H835" s="425" t="inlineStr"/>
      <c r="I835" s="425" t="inlineStr"/>
      <c r="J835" s="425" t="inlineStr"/>
      <c r="K835" s="426" t="inlineStr">
        <is>
          <t>John Quinn</t>
        </is>
      </c>
      <c r="L835" s="426" t="inlineStr">
        <is>
          <t>Follow Up</t>
        </is>
      </c>
      <c r="M835" s="425" t="inlineStr">
        <is>
          <t>Space / Defense / Aerospace / Advanced Manufacturing</t>
        </is>
      </c>
      <c r="N835" s="426" t="inlineStr">
        <is>
          <t>Tier 2</t>
        </is>
      </c>
      <c r="O835" s="441" t="n">
        <v>45986</v>
      </c>
      <c r="P835" s="441" t="n">
        <v>46030</v>
      </c>
      <c r="Q835" s="425">
        <f>IF(P835="","",TODAY()-P835)</f>
        <v/>
      </c>
      <c r="R835" s="441">
        <f>IF(OR(L835="Passed",Z835=""),"",P835+Z835)</f>
        <v/>
      </c>
      <c r="S835" s="425">
        <f>IF(OR(R835="",L835="Passed"),"",IF(R835&lt;=TODAY(),"DUE",IF(R835&lt;=TODAY()+3,"Next 3 Days","Later")))</f>
        <v/>
      </c>
      <c r="T835" s="425" t="inlineStr"/>
      <c r="U835" s="426" t="inlineStr">
        <is>
          <t>linkedin.com/in/pffoley</t>
        </is>
      </c>
      <c r="V835" s="426" t="inlineStr"/>
      <c r="W835" s="428" t="inlineStr">
        <is>
          <t xml:space="preserve"> | 02/26/2026 | </t>
        </is>
      </c>
      <c r="X835" s="425" t="inlineStr">
        <is>
          <t>John - Investor Contacts!870</t>
        </is>
      </c>
      <c r="Y835" s="426" t="inlineStr">
        <is>
          <t>Send next follow-up with traction + CTA</t>
        </is>
      </c>
      <c r="Z835" s="425" t="n">
        <v>7</v>
      </c>
      <c r="AA835" s="425">
        <f>IF(AC835="Archived",0,ROUND((IF(N835="Tier 1",35,IF(N835="Tier 2",20,8))+IF(C835="Financial Investor",15,IF(C835="Intermediary / Banker",12,8))+IF(L835="Term Sheet / Proposal",25,IF(L835="Engaged",20,IF(L835="Meeting Requested",18,IF(L835="Meeting Held",14,IF(L835="Follow Up",10,5)))))+MIN(Q835,30)+IF(S835="DUE",15,IF(S835="Next 3 Days",8,0))),0))</f>
        <v/>
      </c>
      <c r="AB835" s="425">
        <f>IF(AND(AC835="Active",OR(N835="Tier 1",N835="Tier 2"),OR(S835="DUE",S835="Next 3 Days")),"YES","")</f>
        <v/>
      </c>
      <c r="AC835" s="425">
        <f>IF(L835="Passed","Archived","Active")</f>
        <v/>
      </c>
    </row>
    <row r="836">
      <c r="A836" s="425" t="inlineStr">
        <is>
          <t>EXOS-0835</t>
        </is>
      </c>
      <c r="B836" s="425" t="inlineStr">
        <is>
          <t>John - Investor Contacts</t>
        </is>
      </c>
      <c r="C836" s="425" t="inlineStr">
        <is>
          <t>Financial Investor</t>
        </is>
      </c>
      <c r="D836" s="425" t="inlineStr">
        <is>
          <t>Web 3 Capital</t>
        </is>
      </c>
      <c r="E836" s="425" t="inlineStr">
        <is>
          <t>Stephen Yang</t>
        </is>
      </c>
      <c r="F836" s="425" t="inlineStr"/>
      <c r="G836" s="111" t="inlineStr">
        <is>
          <t>stephen@web3.capital</t>
        </is>
      </c>
      <c r="H836" s="425" t="inlineStr"/>
      <c r="I836" s="425" t="inlineStr"/>
      <c r="J836" s="111" t="inlineStr">
        <is>
          <t>https://www.linkedin.com/in/web3stephen</t>
        </is>
      </c>
      <c r="K836" s="426" t="inlineStr">
        <is>
          <t>John Quinn</t>
        </is>
      </c>
      <c r="L836" s="426" t="inlineStr">
        <is>
          <t>Follow Up</t>
        </is>
      </c>
      <c r="M836" s="425" t="inlineStr">
        <is>
          <t>Space / Defense / Aerospace / Advanced Manufacturing</t>
        </is>
      </c>
      <c r="N836" s="426" t="inlineStr">
        <is>
          <t>Tier 2</t>
        </is>
      </c>
      <c r="O836" s="441" t="n">
        <v>45897</v>
      </c>
      <c r="P836" s="441" t="n">
        <v>45929</v>
      </c>
      <c r="Q836" s="425">
        <f>IF(P836="","",TODAY()-P836)</f>
        <v/>
      </c>
      <c r="R836" s="441">
        <f>IF(OR(L836="Passed",Z836=""),"",P836+Z836)</f>
        <v/>
      </c>
      <c r="S836" s="425">
        <f>IF(OR(R836="",L836="Passed"),"",IF(R836&lt;=TODAY(),"DUE",IF(R836&lt;=TODAY()+3,"Next 3 Days","Later")))</f>
        <v/>
      </c>
      <c r="T836" s="425" t="inlineStr"/>
      <c r="U836" s="426" t="inlineStr">
        <is>
          <t>https://www.linkedin.com/in/web3stephen</t>
        </is>
      </c>
      <c r="V836" s="426" t="inlineStr"/>
      <c r="W836" s="428" t="inlineStr">
        <is>
          <t xml:space="preserve"> | 12/05/2025 | </t>
        </is>
      </c>
      <c r="X836" s="425" t="inlineStr">
        <is>
          <t>John - Investor Contacts!567</t>
        </is>
      </c>
      <c r="Y836" s="426" t="inlineStr">
        <is>
          <t>Send next follow-up with traction + CTA</t>
        </is>
      </c>
      <c r="Z836" s="425" t="n">
        <v>7</v>
      </c>
      <c r="AA836" s="425">
        <f>IF(AC836="Archived",0,ROUND((IF(N836="Tier 1",35,IF(N836="Tier 2",20,8))+IF(C836="Financial Investor",15,IF(C836="Intermediary / Banker",12,8))+IF(L836="Term Sheet / Proposal",25,IF(L836="Engaged",20,IF(L836="Meeting Requested",18,IF(L836="Meeting Held",14,IF(L836="Follow Up",10,5)))))+MIN(Q836,30)+IF(S836="DUE",15,IF(S836="Next 3 Days",8,0))),0))</f>
        <v/>
      </c>
      <c r="AB836" s="425">
        <f>IF(AND(AC836="Active",OR(N836="Tier 1",N836="Tier 2"),OR(S836="DUE",S836="Next 3 Days")),"YES","")</f>
        <v/>
      </c>
      <c r="AC836" s="425">
        <f>IF(L836="Passed","Archived","Active")</f>
        <v/>
      </c>
    </row>
    <row r="837">
      <c r="A837" s="425" t="inlineStr">
        <is>
          <t>EXOS-0836</t>
        </is>
      </c>
      <c r="B837" s="425" t="inlineStr">
        <is>
          <t>John - Investor Contacts</t>
        </is>
      </c>
      <c r="C837" s="425" t="inlineStr">
        <is>
          <t>Financial Investor</t>
        </is>
      </c>
      <c r="D837" s="425" t="inlineStr">
        <is>
          <t>Westfield Capital</t>
        </is>
      </c>
      <c r="E837" s="425" t="inlineStr">
        <is>
          <t>Edward "Ted" Richardson</t>
        </is>
      </c>
      <c r="F837" s="425" t="inlineStr"/>
      <c r="G837" s="111" t="inlineStr">
        <is>
          <t>trichardson@wcmgmt.com</t>
        </is>
      </c>
      <c r="H837" s="425" t="inlineStr"/>
      <c r="I837" s="425" t="inlineStr"/>
      <c r="J837" s="111" t="inlineStr">
        <is>
          <t>https://www.linkedin.com/in/edward-ted-richardson-3b315522/</t>
        </is>
      </c>
      <c r="K837" s="426" t="inlineStr">
        <is>
          <t>John Quinn</t>
        </is>
      </c>
      <c r="L837" s="426" t="inlineStr">
        <is>
          <t>Follow Up</t>
        </is>
      </c>
      <c r="M837" s="425" t="inlineStr">
        <is>
          <t>Space / Defense / Aerospace / Advanced Manufacturing</t>
        </is>
      </c>
      <c r="N837" s="426" t="inlineStr">
        <is>
          <t>Tier 2</t>
        </is>
      </c>
      <c r="O837" s="441" t="n">
        <v>45989</v>
      </c>
      <c r="P837" s="441" t="n">
        <v>46036</v>
      </c>
      <c r="Q837" s="425">
        <f>IF(P837="","",TODAY()-P837)</f>
        <v/>
      </c>
      <c r="R837" s="441">
        <f>IF(OR(L837="Passed",Z837=""),"",P837+Z837)</f>
        <v/>
      </c>
      <c r="S837" s="425">
        <f>IF(OR(R837="",L837="Passed"),"",IF(R837&lt;=TODAY(),"DUE",IF(R837&lt;=TODAY()+3,"Next 3 Days","Later")))</f>
        <v/>
      </c>
      <c r="T837" s="425" t="inlineStr"/>
      <c r="U837" s="426" t="inlineStr">
        <is>
          <t>https://www.linkedin.com/in/edward-ted-richardson-3b315522/</t>
        </is>
      </c>
      <c r="V837" s="426" t="inlineStr"/>
      <c r="W837" s="428" t="inlineStr">
        <is>
          <t xml:space="preserve"> | 02/26/2026 | </t>
        </is>
      </c>
      <c r="X837" s="425" t="inlineStr">
        <is>
          <t>John - Investor Contacts!894</t>
        </is>
      </c>
      <c r="Y837" s="426" t="inlineStr">
        <is>
          <t>Send next follow-up with traction + CTA</t>
        </is>
      </c>
      <c r="Z837" s="425" t="n">
        <v>7</v>
      </c>
      <c r="AA837" s="425">
        <f>IF(AC837="Archived",0,ROUND((IF(N837="Tier 1",35,IF(N837="Tier 2",20,8))+IF(C837="Financial Investor",15,IF(C837="Intermediary / Banker",12,8))+IF(L837="Term Sheet / Proposal",25,IF(L837="Engaged",20,IF(L837="Meeting Requested",18,IF(L837="Meeting Held",14,IF(L837="Follow Up",10,5)))))+MIN(Q837,30)+IF(S837="DUE",15,IF(S837="Next 3 Days",8,0))),0))</f>
        <v/>
      </c>
      <c r="AB837" s="425">
        <f>IF(AND(AC837="Active",OR(N837="Tier 1",N837="Tier 2"),OR(S837="DUE",S837="Next 3 Days")),"YES","")</f>
        <v/>
      </c>
      <c r="AC837" s="425">
        <f>IF(L837="Passed","Archived","Active")</f>
        <v/>
      </c>
    </row>
    <row r="838">
      <c r="A838" s="425" t="inlineStr">
        <is>
          <t>EXOS-0837</t>
        </is>
      </c>
      <c r="B838" s="425" t="inlineStr">
        <is>
          <t>John - Investor Contacts</t>
        </is>
      </c>
      <c r="C838" s="425" t="inlineStr">
        <is>
          <t>Financial Investor</t>
        </is>
      </c>
      <c r="D838" s="425" t="inlineStr">
        <is>
          <t>Westfield Capital</t>
        </is>
      </c>
      <c r="E838" s="425" t="inlineStr">
        <is>
          <t>John Montgomery</t>
        </is>
      </c>
      <c r="F838" s="425" t="inlineStr"/>
      <c r="G838" s="111" t="inlineStr">
        <is>
          <t>jmontgomery@wcmgmt.com</t>
        </is>
      </c>
      <c r="H838" s="425" t="inlineStr"/>
      <c r="I838" s="425" t="inlineStr"/>
      <c r="J838" s="111" t="inlineStr">
        <is>
          <t>https://www.linkedin.com/in/john-montgomery-46b3867/</t>
        </is>
      </c>
      <c r="K838" s="426" t="inlineStr">
        <is>
          <t>John Quinn</t>
        </is>
      </c>
      <c r="L838" s="426" t="inlineStr">
        <is>
          <t>Follow Up</t>
        </is>
      </c>
      <c r="M838" s="425" t="inlineStr">
        <is>
          <t>Space / Defense / Aerospace / Advanced Manufacturing</t>
        </is>
      </c>
      <c r="N838" s="426" t="inlineStr">
        <is>
          <t>Tier 2</t>
        </is>
      </c>
      <c r="O838" s="441" t="n">
        <v>45989</v>
      </c>
      <c r="P838" s="441" t="n">
        <v>46036</v>
      </c>
      <c r="Q838" s="425">
        <f>IF(P838="","",TODAY()-P838)</f>
        <v/>
      </c>
      <c r="R838" s="441">
        <f>IF(OR(L838="Passed",Z838=""),"",P838+Z838)</f>
        <v/>
      </c>
      <c r="S838" s="425">
        <f>IF(OR(R838="",L838="Passed"),"",IF(R838&lt;=TODAY(),"DUE",IF(R838&lt;=TODAY()+3,"Next 3 Days","Later")))</f>
        <v/>
      </c>
      <c r="T838" s="425" t="inlineStr"/>
      <c r="U838" s="426" t="inlineStr">
        <is>
          <t>https://www.linkedin.com/in/john-montgomery-46b3867/</t>
        </is>
      </c>
      <c r="V838" s="426" t="inlineStr"/>
      <c r="W838" s="428" t="inlineStr">
        <is>
          <t xml:space="preserve"> | 02/26/2026 | </t>
        </is>
      </c>
      <c r="X838" s="425" t="inlineStr">
        <is>
          <t>John - Investor Contacts!890</t>
        </is>
      </c>
      <c r="Y838" s="426" t="inlineStr">
        <is>
          <t>Send next follow-up with traction + CTA</t>
        </is>
      </c>
      <c r="Z838" s="425" t="n">
        <v>7</v>
      </c>
      <c r="AA838" s="425">
        <f>IF(AC838="Archived",0,ROUND((IF(N838="Tier 1",35,IF(N838="Tier 2",20,8))+IF(C838="Financial Investor",15,IF(C838="Intermediary / Banker",12,8))+IF(L838="Term Sheet / Proposal",25,IF(L838="Engaged",20,IF(L838="Meeting Requested",18,IF(L838="Meeting Held",14,IF(L838="Follow Up",10,5)))))+MIN(Q838,30)+IF(S838="DUE",15,IF(S838="Next 3 Days",8,0))),0))</f>
        <v/>
      </c>
      <c r="AB838" s="425">
        <f>IF(AND(AC838="Active",OR(N838="Tier 1",N838="Tier 2"),OR(S838="DUE",S838="Next 3 Days")),"YES","")</f>
        <v/>
      </c>
      <c r="AC838" s="425">
        <f>IF(L838="Passed","Archived","Active")</f>
        <v/>
      </c>
    </row>
    <row r="839">
      <c r="A839" s="425" t="inlineStr">
        <is>
          <t>EXOS-0838</t>
        </is>
      </c>
      <c r="B839" s="425" t="inlineStr">
        <is>
          <t>John - Investor Contacts</t>
        </is>
      </c>
      <c r="C839" s="425" t="inlineStr">
        <is>
          <t>Financial Investor</t>
        </is>
      </c>
      <c r="D839" s="425" t="inlineStr">
        <is>
          <t>Westfield Capital</t>
        </is>
      </c>
      <c r="E839" s="425" t="inlineStr">
        <is>
          <t>Justin Moscardelli</t>
        </is>
      </c>
      <c r="F839" s="425" t="inlineStr"/>
      <c r="G839" s="111" t="inlineStr">
        <is>
          <t>jmoscardelli@wcmgmt.com</t>
        </is>
      </c>
      <c r="H839" s="425" t="inlineStr"/>
      <c r="I839" s="425" t="inlineStr"/>
      <c r="J839" s="111" t="inlineStr">
        <is>
          <t>https://www.linkedin.com/in/justin-moscardelli-221b338/</t>
        </is>
      </c>
      <c r="K839" s="426" t="inlineStr">
        <is>
          <t>John Quinn</t>
        </is>
      </c>
      <c r="L839" s="426" t="inlineStr">
        <is>
          <t>Follow Up</t>
        </is>
      </c>
      <c r="M839" s="425" t="inlineStr">
        <is>
          <t>Space / Defense / Aerospace / Advanced Manufacturing</t>
        </is>
      </c>
      <c r="N839" s="426" t="inlineStr">
        <is>
          <t>Tier 2</t>
        </is>
      </c>
      <c r="O839" s="441" t="n">
        <v>45989</v>
      </c>
      <c r="P839" s="441" t="n">
        <v>46036</v>
      </c>
      <c r="Q839" s="425">
        <f>IF(P839="","",TODAY()-P839)</f>
        <v/>
      </c>
      <c r="R839" s="441">
        <f>IF(OR(L839="Passed",Z839=""),"",P839+Z839)</f>
        <v/>
      </c>
      <c r="S839" s="425">
        <f>IF(OR(R839="",L839="Passed"),"",IF(R839&lt;=TODAY(),"DUE",IF(R839&lt;=TODAY()+3,"Next 3 Days","Later")))</f>
        <v/>
      </c>
      <c r="T839" s="425" t="inlineStr"/>
      <c r="U839" s="426" t="inlineStr">
        <is>
          <t>https://www.linkedin.com/in/justin-moscardelli-221b338/</t>
        </is>
      </c>
      <c r="V839" s="426" t="inlineStr"/>
      <c r="W839" s="428" t="inlineStr">
        <is>
          <t xml:space="preserve"> | 02/26/2026 | </t>
        </is>
      </c>
      <c r="X839" s="425" t="inlineStr">
        <is>
          <t>John - Investor Contacts!893</t>
        </is>
      </c>
      <c r="Y839" s="426" t="inlineStr">
        <is>
          <t>Send next follow-up with traction + CTA</t>
        </is>
      </c>
      <c r="Z839" s="425" t="n">
        <v>7</v>
      </c>
      <c r="AA839" s="425">
        <f>IF(AC839="Archived",0,ROUND((IF(N839="Tier 1",35,IF(N839="Tier 2",20,8))+IF(C839="Financial Investor",15,IF(C839="Intermediary / Banker",12,8))+IF(L839="Term Sheet / Proposal",25,IF(L839="Engaged",20,IF(L839="Meeting Requested",18,IF(L839="Meeting Held",14,IF(L839="Follow Up",10,5)))))+MIN(Q839,30)+IF(S839="DUE",15,IF(S839="Next 3 Days",8,0))),0))</f>
        <v/>
      </c>
      <c r="AB839" s="425">
        <f>IF(AND(AC839="Active",OR(N839="Tier 1",N839="Tier 2"),OR(S839="DUE",S839="Next 3 Days")),"YES","")</f>
        <v/>
      </c>
      <c r="AC839" s="425">
        <f>IF(L839="Passed","Archived","Active")</f>
        <v/>
      </c>
    </row>
    <row r="840">
      <c r="A840" s="425" t="inlineStr">
        <is>
          <t>EXOS-0839</t>
        </is>
      </c>
      <c r="B840" s="425" t="inlineStr">
        <is>
          <t>John - Investor Contacts</t>
        </is>
      </c>
      <c r="C840" s="425" t="inlineStr">
        <is>
          <t>Financial Investor</t>
        </is>
      </c>
      <c r="D840" s="425" t="inlineStr">
        <is>
          <t>Westfield Capital</t>
        </is>
      </c>
      <c r="E840" s="425" t="inlineStr">
        <is>
          <t>Richard Lee</t>
        </is>
      </c>
      <c r="F840" s="425" t="inlineStr"/>
      <c r="G840" s="111" t="inlineStr">
        <is>
          <t>rlee@wcmgmt.com</t>
        </is>
      </c>
      <c r="H840" s="425" t="inlineStr"/>
      <c r="I840" s="425" t="inlineStr"/>
      <c r="J840" s="111" t="inlineStr">
        <is>
          <t>https://www.linkedin.com/in/richard-lee-20526/</t>
        </is>
      </c>
      <c r="K840" s="426" t="inlineStr">
        <is>
          <t>John Quinn</t>
        </is>
      </c>
      <c r="L840" s="426" t="inlineStr">
        <is>
          <t>Follow Up</t>
        </is>
      </c>
      <c r="M840" s="425" t="inlineStr">
        <is>
          <t>Space / Defense / Aerospace / Advanced Manufacturing</t>
        </is>
      </c>
      <c r="N840" s="426" t="inlineStr">
        <is>
          <t>Tier 2</t>
        </is>
      </c>
      <c r="O840" s="441" t="n">
        <v>45989</v>
      </c>
      <c r="P840" s="441" t="n">
        <v>46036</v>
      </c>
      <c r="Q840" s="425">
        <f>IF(P840="","",TODAY()-P840)</f>
        <v/>
      </c>
      <c r="R840" s="441">
        <f>IF(OR(L840="Passed",Z840=""),"",P840+Z840)</f>
        <v/>
      </c>
      <c r="S840" s="425">
        <f>IF(OR(R840="",L840="Passed"),"",IF(R840&lt;=TODAY(),"DUE",IF(R840&lt;=TODAY()+3,"Next 3 Days","Later")))</f>
        <v/>
      </c>
      <c r="T840" s="425" t="inlineStr"/>
      <c r="U840" s="426" t="inlineStr">
        <is>
          <t>https://www.linkedin.com/in/richard-lee-20526/</t>
        </is>
      </c>
      <c r="V840" s="426" t="inlineStr"/>
      <c r="W840" s="428" t="inlineStr">
        <is>
          <t xml:space="preserve"> | 02/26/2026 | </t>
        </is>
      </c>
      <c r="X840" s="425" t="inlineStr">
        <is>
          <t>John - Investor Contacts!891</t>
        </is>
      </c>
      <c r="Y840" s="426" t="inlineStr">
        <is>
          <t>Send next follow-up with traction + CTA</t>
        </is>
      </c>
      <c r="Z840" s="425" t="n">
        <v>7</v>
      </c>
      <c r="AA840" s="425">
        <f>IF(AC840="Archived",0,ROUND((IF(N840="Tier 1",35,IF(N840="Tier 2",20,8))+IF(C840="Financial Investor",15,IF(C840="Intermediary / Banker",12,8))+IF(L840="Term Sheet / Proposal",25,IF(L840="Engaged",20,IF(L840="Meeting Requested",18,IF(L840="Meeting Held",14,IF(L840="Follow Up",10,5)))))+MIN(Q840,30)+IF(S840="DUE",15,IF(S840="Next 3 Days",8,0))),0))</f>
        <v/>
      </c>
      <c r="AB840" s="425">
        <f>IF(AND(AC840="Active",OR(N840="Tier 1",N840="Tier 2"),OR(S840="DUE",S840="Next 3 Days")),"YES","")</f>
        <v/>
      </c>
      <c r="AC840" s="425">
        <f>IF(L840="Passed","Archived","Active")</f>
        <v/>
      </c>
    </row>
    <row r="841">
      <c r="A841" s="425" t="inlineStr">
        <is>
          <t>EXOS-0840</t>
        </is>
      </c>
      <c r="B841" s="425" t="inlineStr">
        <is>
          <t>John - Investor Contacts</t>
        </is>
      </c>
      <c r="C841" s="425" t="inlineStr">
        <is>
          <t>Financial Investor</t>
        </is>
      </c>
      <c r="D841" s="425" t="inlineStr">
        <is>
          <t>Westfield Capital</t>
        </is>
      </c>
      <c r="E841" s="425" t="inlineStr">
        <is>
          <t>Scott Emerman</t>
        </is>
      </c>
      <c r="F841" s="425" t="inlineStr"/>
      <c r="G841" s="111" t="inlineStr">
        <is>
          <t>semerman@wcmgmt.com</t>
        </is>
      </c>
      <c r="H841" s="425" t="inlineStr"/>
      <c r="I841" s="425" t="inlineStr"/>
      <c r="J841" s="111" t="inlineStr">
        <is>
          <t>https://www.linkedin.com/in/scott-emerman-795909167/</t>
        </is>
      </c>
      <c r="K841" s="426" t="inlineStr">
        <is>
          <t>John Quinn</t>
        </is>
      </c>
      <c r="L841" s="426" t="inlineStr">
        <is>
          <t>Follow Up</t>
        </is>
      </c>
      <c r="M841" s="425" t="inlineStr">
        <is>
          <t>Space / Defense / Aerospace / Advanced Manufacturing</t>
        </is>
      </c>
      <c r="N841" s="426" t="inlineStr">
        <is>
          <t>Tier 2</t>
        </is>
      </c>
      <c r="O841" s="441" t="n">
        <v>45989</v>
      </c>
      <c r="P841" s="441" t="n">
        <v>46036</v>
      </c>
      <c r="Q841" s="425">
        <f>IF(P841="","",TODAY()-P841)</f>
        <v/>
      </c>
      <c r="R841" s="441">
        <f>IF(OR(L841="Passed",Z841=""),"",P841+Z841)</f>
        <v/>
      </c>
      <c r="S841" s="425">
        <f>IF(OR(R841="",L841="Passed"),"",IF(R841&lt;=TODAY(),"DUE",IF(R841&lt;=TODAY()+3,"Next 3 Days","Later")))</f>
        <v/>
      </c>
      <c r="T841" s="425" t="inlineStr"/>
      <c r="U841" s="426" t="inlineStr">
        <is>
          <t>https://www.linkedin.com/in/scott-emerman-795909167/</t>
        </is>
      </c>
      <c r="V841" s="426" t="inlineStr"/>
      <c r="W841" s="428" t="inlineStr">
        <is>
          <t xml:space="preserve"> | 02/26/2026 | </t>
        </is>
      </c>
      <c r="X841" s="425" t="inlineStr">
        <is>
          <t>John - Investor Contacts!892</t>
        </is>
      </c>
      <c r="Y841" s="426" t="inlineStr">
        <is>
          <t>Send next follow-up with traction + CTA</t>
        </is>
      </c>
      <c r="Z841" s="425" t="n">
        <v>7</v>
      </c>
      <c r="AA841" s="425">
        <f>IF(AC841="Archived",0,ROUND((IF(N841="Tier 1",35,IF(N841="Tier 2",20,8))+IF(C841="Financial Investor",15,IF(C841="Intermediary / Banker",12,8))+IF(L841="Term Sheet / Proposal",25,IF(L841="Engaged",20,IF(L841="Meeting Requested",18,IF(L841="Meeting Held",14,IF(L841="Follow Up",10,5)))))+MIN(Q841,30)+IF(S841="DUE",15,IF(S841="Next 3 Days",8,0))),0))</f>
        <v/>
      </c>
      <c r="AB841" s="425">
        <f>IF(AND(AC841="Active",OR(N841="Tier 1",N841="Tier 2"),OR(S841="DUE",S841="Next 3 Days")),"YES","")</f>
        <v/>
      </c>
      <c r="AC841" s="425">
        <f>IF(L841="Passed","Archived","Active")</f>
        <v/>
      </c>
    </row>
    <row r="842">
      <c r="A842" s="425" t="inlineStr">
        <is>
          <t>EXOS-0841</t>
        </is>
      </c>
      <c r="B842" s="425" t="inlineStr">
        <is>
          <t>John - Investor Contacts</t>
        </is>
      </c>
      <c r="C842" s="425" t="inlineStr">
        <is>
          <t>Financial Investor</t>
        </is>
      </c>
      <c r="D842" s="425" t="inlineStr">
        <is>
          <t>Woodline Partners</t>
        </is>
      </c>
      <c r="E842" s="425" t="inlineStr">
        <is>
          <t>Karl Kroeker</t>
        </is>
      </c>
      <c r="F842" s="425" t="inlineStr"/>
      <c r="G842" s="111" t="inlineStr">
        <is>
          <t>karl@woodlinepartners.com</t>
        </is>
      </c>
      <c r="H842" s="425" t="inlineStr"/>
      <c r="I842" s="425" t="inlineStr"/>
      <c r="J842" s="111" t="inlineStr">
        <is>
          <t>https://www.linkedin.com/in/karl-kroeker-b197b8181/</t>
        </is>
      </c>
      <c r="K842" s="426" t="inlineStr">
        <is>
          <t>John Quinn</t>
        </is>
      </c>
      <c r="L842" s="426" t="inlineStr">
        <is>
          <t>Follow Up</t>
        </is>
      </c>
      <c r="M842" s="425" t="inlineStr">
        <is>
          <t>Space / Defense / Aerospace / Advanced Manufacturing</t>
        </is>
      </c>
      <c r="N842" s="426" t="inlineStr">
        <is>
          <t>Tier 2</t>
        </is>
      </c>
      <c r="O842" s="441" t="n">
        <v>45989</v>
      </c>
      <c r="P842" s="441" t="n">
        <v>46031</v>
      </c>
      <c r="Q842" s="425">
        <f>IF(P842="","",TODAY()-P842)</f>
        <v/>
      </c>
      <c r="R842" s="441">
        <f>IF(OR(L842="Passed",Z842=""),"",P842+Z842)</f>
        <v/>
      </c>
      <c r="S842" s="425">
        <f>IF(OR(R842="",L842="Passed"),"",IF(R842&lt;=TODAY(),"DUE",IF(R842&lt;=TODAY()+3,"Next 3 Days","Later")))</f>
        <v/>
      </c>
      <c r="T842" s="425" t="inlineStr"/>
      <c r="U842" s="426" t="inlineStr">
        <is>
          <t>https://www.linkedin.com/in/karl-kroeker-b197b8181/</t>
        </is>
      </c>
      <c r="V842" s="426" t="inlineStr"/>
      <c r="W842" s="428" t="inlineStr">
        <is>
          <t xml:space="preserve"> | 02/26/2026 | </t>
        </is>
      </c>
      <c r="X842" s="425" t="inlineStr">
        <is>
          <t>John - Investor Contacts!878</t>
        </is>
      </c>
      <c r="Y842" s="426" t="inlineStr">
        <is>
          <t>Send next follow-up with traction + CTA</t>
        </is>
      </c>
      <c r="Z842" s="425" t="n">
        <v>7</v>
      </c>
      <c r="AA842" s="425">
        <f>IF(AC842="Archived",0,ROUND((IF(N842="Tier 1",35,IF(N842="Tier 2",20,8))+IF(C842="Financial Investor",15,IF(C842="Intermediary / Banker",12,8))+IF(L842="Term Sheet / Proposal",25,IF(L842="Engaged",20,IF(L842="Meeting Requested",18,IF(L842="Meeting Held",14,IF(L842="Follow Up",10,5)))))+MIN(Q842,30)+IF(S842="DUE",15,IF(S842="Next 3 Days",8,0))),0))</f>
        <v/>
      </c>
      <c r="AB842" s="425">
        <f>IF(AND(AC842="Active",OR(N842="Tier 1",N842="Tier 2"),OR(S842="DUE",S842="Next 3 Days")),"YES","")</f>
        <v/>
      </c>
      <c r="AC842" s="425">
        <f>IF(L842="Passed","Archived","Active")</f>
        <v/>
      </c>
    </row>
    <row r="843">
      <c r="A843" s="425" t="inlineStr">
        <is>
          <t>EXOS-0842</t>
        </is>
      </c>
      <c r="B843" s="425" t="inlineStr">
        <is>
          <t>John - Investor Contacts</t>
        </is>
      </c>
      <c r="C843" s="425" t="inlineStr">
        <is>
          <t>Financial Investor</t>
        </is>
      </c>
      <c r="D843" s="425" t="inlineStr">
        <is>
          <t>Woodline Partners</t>
        </is>
      </c>
      <c r="E843" s="425" t="inlineStr">
        <is>
          <t>Mike Rockefeller</t>
        </is>
      </c>
      <c r="F843" s="425" t="inlineStr"/>
      <c r="G843" s="111" t="inlineStr">
        <is>
          <t>mike@woodlinepartners.com</t>
        </is>
      </c>
      <c r="H843" s="425" t="inlineStr"/>
      <c r="I843" s="425" t="inlineStr"/>
      <c r="J843" s="111" t="inlineStr">
        <is>
          <t>https://www.linkedin.com/in/mike-rockefeller-9167b3181/</t>
        </is>
      </c>
      <c r="K843" s="426" t="inlineStr">
        <is>
          <t>John Quinn</t>
        </is>
      </c>
      <c r="L843" s="426" t="inlineStr">
        <is>
          <t>Follow Up</t>
        </is>
      </c>
      <c r="M843" s="425" t="inlineStr">
        <is>
          <t>Space / Defense / Aerospace / Advanced Manufacturing</t>
        </is>
      </c>
      <c r="N843" s="426" t="inlineStr">
        <is>
          <t>Tier 2</t>
        </is>
      </c>
      <c r="O843" s="441" t="n">
        <v>45989</v>
      </c>
      <c r="P843" s="441" t="n">
        <v>46031</v>
      </c>
      <c r="Q843" s="425">
        <f>IF(P843="","",TODAY()-P843)</f>
        <v/>
      </c>
      <c r="R843" s="441">
        <f>IF(OR(L843="Passed",Z843=""),"",P843+Z843)</f>
        <v/>
      </c>
      <c r="S843" s="425">
        <f>IF(OR(R843="",L843="Passed"),"",IF(R843&lt;=TODAY(),"DUE",IF(R843&lt;=TODAY()+3,"Next 3 Days","Later")))</f>
        <v/>
      </c>
      <c r="T843" s="425" t="inlineStr"/>
      <c r="U843" s="426" t="inlineStr">
        <is>
          <t>https://www.linkedin.com/in/mike-rockefeller-9167b3181/</t>
        </is>
      </c>
      <c r="V843" s="426" t="inlineStr"/>
      <c r="W843" s="428" t="inlineStr">
        <is>
          <t xml:space="preserve"> | 02/26/2026 | </t>
        </is>
      </c>
      <c r="X843" s="425" t="inlineStr">
        <is>
          <t>John - Investor Contacts!879</t>
        </is>
      </c>
      <c r="Y843" s="426" t="inlineStr">
        <is>
          <t>Send next follow-up with traction + CTA</t>
        </is>
      </c>
      <c r="Z843" s="425" t="n">
        <v>7</v>
      </c>
      <c r="AA843" s="425">
        <f>IF(AC843="Archived",0,ROUND((IF(N843="Tier 1",35,IF(N843="Tier 2",20,8))+IF(C843="Financial Investor",15,IF(C843="Intermediary / Banker",12,8))+IF(L843="Term Sheet / Proposal",25,IF(L843="Engaged",20,IF(L843="Meeting Requested",18,IF(L843="Meeting Held",14,IF(L843="Follow Up",10,5)))))+MIN(Q843,30)+IF(S843="DUE",15,IF(S843="Next 3 Days",8,0))),0))</f>
        <v/>
      </c>
      <c r="AB843" s="425">
        <f>IF(AND(AC843="Active",OR(N843="Tier 1",N843="Tier 2"),OR(S843="DUE",S843="Next 3 Days")),"YES","")</f>
        <v/>
      </c>
      <c r="AC843" s="425">
        <f>IF(L843="Passed","Archived","Active")</f>
        <v/>
      </c>
    </row>
    <row r="844">
      <c r="A844" s="425" t="inlineStr">
        <is>
          <t>EXOS-0843</t>
        </is>
      </c>
      <c r="B844" s="425" t="inlineStr">
        <is>
          <t>John - Investor Contacts</t>
        </is>
      </c>
      <c r="C844" s="425" t="inlineStr">
        <is>
          <t>Financial Investor</t>
        </is>
      </c>
      <c r="D844" s="425" t="inlineStr">
        <is>
          <t>XN</t>
        </is>
      </c>
      <c r="E844" s="425" t="inlineStr">
        <is>
          <t>David Bronstein</t>
        </is>
      </c>
      <c r="F844" s="425" t="inlineStr"/>
      <c r="G844" s="111" t="inlineStr">
        <is>
          <t>db@xnlp.com</t>
        </is>
      </c>
      <c r="H844" s="425" t="inlineStr"/>
      <c r="I844" s="425" t="inlineStr"/>
      <c r="J844" s="425" t="inlineStr"/>
      <c r="K844" s="426" t="inlineStr">
        <is>
          <t>John Quinn</t>
        </is>
      </c>
      <c r="L844" s="426" t="inlineStr">
        <is>
          <t>Follow Up</t>
        </is>
      </c>
      <c r="M844" s="425" t="inlineStr">
        <is>
          <t>Space / Defense / Aerospace / Advanced Manufacturing</t>
        </is>
      </c>
      <c r="N844" s="426" t="inlineStr">
        <is>
          <t>Tier 2</t>
        </is>
      </c>
      <c r="O844" s="441" t="n">
        <v>45989</v>
      </c>
      <c r="P844" s="441" t="n">
        <v>46031</v>
      </c>
      <c r="Q844" s="425">
        <f>IF(P844="","",TODAY()-P844)</f>
        <v/>
      </c>
      <c r="R844" s="441">
        <f>IF(OR(L844="Passed",Z844=""),"",P844+Z844)</f>
        <v/>
      </c>
      <c r="S844" s="425">
        <f>IF(OR(R844="",L844="Passed"),"",IF(R844&lt;=TODAY(),"DUE",IF(R844&lt;=TODAY()+3,"Next 3 Days","Later")))</f>
        <v/>
      </c>
      <c r="T844" s="425" t="inlineStr"/>
      <c r="U844" s="426" t="inlineStr">
        <is>
          <t>linkedin.com/in/david-bronstein-024849</t>
        </is>
      </c>
      <c r="V844" s="426" t="inlineStr"/>
      <c r="W844" s="428" t="inlineStr">
        <is>
          <t xml:space="preserve"> |  | </t>
        </is>
      </c>
      <c r="X844" s="425" t="inlineStr">
        <is>
          <t>John - Investor Contacts!883</t>
        </is>
      </c>
      <c r="Y844" s="426" t="inlineStr">
        <is>
          <t>Send next follow-up with traction + CTA</t>
        </is>
      </c>
      <c r="Z844" s="425" t="n">
        <v>7</v>
      </c>
      <c r="AA844" s="425">
        <f>IF(AC844="Archived",0,ROUND((IF(N844="Tier 1",35,IF(N844="Tier 2",20,8))+IF(C844="Financial Investor",15,IF(C844="Intermediary / Banker",12,8))+IF(L844="Term Sheet / Proposal",25,IF(L844="Engaged",20,IF(L844="Meeting Requested",18,IF(L844="Meeting Held",14,IF(L844="Follow Up",10,5)))))+MIN(Q844,30)+IF(S844="DUE",15,IF(S844="Next 3 Days",8,0))),0))</f>
        <v/>
      </c>
      <c r="AB844" s="425">
        <f>IF(AND(AC844="Active",OR(N844="Tier 1",N844="Tier 2"),OR(S844="DUE",S844="Next 3 Days")),"YES","")</f>
        <v/>
      </c>
      <c r="AC844" s="425">
        <f>IF(L844="Passed","Archived","Active")</f>
        <v/>
      </c>
    </row>
    <row r="845">
      <c r="A845" s="425" t="inlineStr">
        <is>
          <t>EXOS-0844</t>
        </is>
      </c>
      <c r="B845" s="425" t="inlineStr">
        <is>
          <t>John - Investor Contacts</t>
        </is>
      </c>
      <c r="C845" s="425" t="inlineStr">
        <is>
          <t>Financial Investor</t>
        </is>
      </c>
      <c r="D845" s="425" t="inlineStr">
        <is>
          <t>XN</t>
        </is>
      </c>
      <c r="E845" s="425" t="inlineStr">
        <is>
          <t>Gaurav Kapadia</t>
        </is>
      </c>
      <c r="F845" s="425" t="inlineStr"/>
      <c r="G845" s="111" t="inlineStr">
        <is>
          <t>gaurav.kapadia@gmail.com</t>
        </is>
      </c>
      <c r="H845" s="425" t="inlineStr"/>
      <c r="I845" s="425" t="inlineStr"/>
      <c r="J845" s="425" t="inlineStr"/>
      <c r="K845" s="426" t="inlineStr">
        <is>
          <t>John Quinn</t>
        </is>
      </c>
      <c r="L845" s="426" t="inlineStr">
        <is>
          <t>Follow Up</t>
        </is>
      </c>
      <c r="M845" s="425" t="inlineStr">
        <is>
          <t>Space / Defense / Aerospace / Advanced Manufacturing</t>
        </is>
      </c>
      <c r="N845" s="426" t="inlineStr">
        <is>
          <t>Tier 2</t>
        </is>
      </c>
      <c r="O845" s="441" t="n">
        <v>45989</v>
      </c>
      <c r="P845" s="441" t="n">
        <v>46031</v>
      </c>
      <c r="Q845" s="425">
        <f>IF(P845="","",TODAY()-P845)</f>
        <v/>
      </c>
      <c r="R845" s="441">
        <f>IF(OR(L845="Passed",Z845=""),"",P845+Z845)</f>
        <v/>
      </c>
      <c r="S845" s="425">
        <f>IF(OR(R845="",L845="Passed"),"",IF(R845&lt;=TODAY(),"DUE",IF(R845&lt;=TODAY()+3,"Next 3 Days","Later")))</f>
        <v/>
      </c>
      <c r="T845" s="425" t="inlineStr"/>
      <c r="U845" s="426" t="inlineStr">
        <is>
          <t>linkedin.com/in/gaurav-kapadia-25a9163</t>
        </is>
      </c>
      <c r="V845" s="426" t="inlineStr"/>
      <c r="W845" s="428" t="inlineStr">
        <is>
          <t xml:space="preserve"> | not a fit | </t>
        </is>
      </c>
      <c r="X845" s="425" t="inlineStr">
        <is>
          <t>John - Investor Contacts!882</t>
        </is>
      </c>
      <c r="Y845" s="426" t="inlineStr">
        <is>
          <t>Send next follow-up with traction + CTA</t>
        </is>
      </c>
      <c r="Z845" s="425" t="n">
        <v>7</v>
      </c>
      <c r="AA845" s="425">
        <f>IF(AC845="Archived",0,ROUND((IF(N845="Tier 1",35,IF(N845="Tier 2",20,8))+IF(C845="Financial Investor",15,IF(C845="Intermediary / Banker",12,8))+IF(L845="Term Sheet / Proposal",25,IF(L845="Engaged",20,IF(L845="Meeting Requested",18,IF(L845="Meeting Held",14,IF(L845="Follow Up",10,5)))))+MIN(Q845,30)+IF(S845="DUE",15,IF(S845="Next 3 Days",8,0))),0))</f>
        <v/>
      </c>
      <c r="AB845" s="425">
        <f>IF(AND(AC845="Active",OR(N845="Tier 1",N845="Tier 2"),OR(S845="DUE",S845="Next 3 Days")),"YES","")</f>
        <v/>
      </c>
      <c r="AC845" s="425">
        <f>IF(L845="Passed","Archived","Active")</f>
        <v/>
      </c>
    </row>
    <row r="846">
      <c r="A846" s="425" t="inlineStr">
        <is>
          <t>EXOS-0845</t>
        </is>
      </c>
      <c r="B846" s="425" t="inlineStr">
        <is>
          <t>John - Investor Contacts</t>
        </is>
      </c>
      <c r="C846" s="425" t="inlineStr">
        <is>
          <t>Financial Investor</t>
        </is>
      </c>
      <c r="D846" s="425" t="inlineStr">
        <is>
          <t>XN</t>
        </is>
      </c>
      <c r="E846" s="425" t="inlineStr">
        <is>
          <t>Kevin Chon</t>
        </is>
      </c>
      <c r="F846" s="425" t="inlineStr"/>
      <c r="G846" s="111" t="inlineStr">
        <is>
          <t>kc@xnlp.com</t>
        </is>
      </c>
      <c r="H846" s="425" t="inlineStr"/>
      <c r="I846" s="425" t="inlineStr"/>
      <c r="J846" s="425" t="inlineStr"/>
      <c r="K846" s="426" t="inlineStr">
        <is>
          <t>John Quinn</t>
        </is>
      </c>
      <c r="L846" s="426" t="inlineStr">
        <is>
          <t>Follow Up</t>
        </is>
      </c>
      <c r="M846" s="425" t="inlineStr">
        <is>
          <t>Space / Defense / Aerospace / Advanced Manufacturing</t>
        </is>
      </c>
      <c r="N846" s="426" t="inlineStr">
        <is>
          <t>Tier 2</t>
        </is>
      </c>
      <c r="O846" s="441" t="n">
        <v>45989</v>
      </c>
      <c r="P846" s="441" t="n">
        <v>46031</v>
      </c>
      <c r="Q846" s="425">
        <f>IF(P846="","",TODAY()-P846)</f>
        <v/>
      </c>
      <c r="R846" s="441">
        <f>IF(OR(L846="Passed",Z846=""),"",P846+Z846)</f>
        <v/>
      </c>
      <c r="S846" s="425">
        <f>IF(OR(R846="",L846="Passed"),"",IF(R846&lt;=TODAY(),"DUE",IF(R846&lt;=TODAY()+3,"Next 3 Days","Later")))</f>
        <v/>
      </c>
      <c r="T846" s="425" t="inlineStr"/>
      <c r="U846" s="426" t="inlineStr">
        <is>
          <t>linkedin.com/in/kevin-chon-b418a346</t>
        </is>
      </c>
      <c r="V846" s="426" t="inlineStr"/>
      <c r="W846" s="428" t="inlineStr">
        <is>
          <t xml:space="preserve"> |  | </t>
        </is>
      </c>
      <c r="X846" s="425" t="inlineStr">
        <is>
          <t>John - Investor Contacts!885</t>
        </is>
      </c>
      <c r="Y846" s="426" t="inlineStr">
        <is>
          <t>Send next follow-up with traction + CTA</t>
        </is>
      </c>
      <c r="Z846" s="425" t="n">
        <v>7</v>
      </c>
      <c r="AA846" s="425">
        <f>IF(AC846="Archived",0,ROUND((IF(N846="Tier 1",35,IF(N846="Tier 2",20,8))+IF(C846="Financial Investor",15,IF(C846="Intermediary / Banker",12,8))+IF(L846="Term Sheet / Proposal",25,IF(L846="Engaged",20,IF(L846="Meeting Requested",18,IF(L846="Meeting Held",14,IF(L846="Follow Up",10,5)))))+MIN(Q846,30)+IF(S846="DUE",15,IF(S846="Next 3 Days",8,0))),0))</f>
        <v/>
      </c>
      <c r="AB846" s="425">
        <f>IF(AND(AC846="Active",OR(N846="Tier 1",N846="Tier 2"),OR(S846="DUE",S846="Next 3 Days")),"YES","")</f>
        <v/>
      </c>
      <c r="AC846" s="425">
        <f>IF(L846="Passed","Archived","Active")</f>
        <v/>
      </c>
    </row>
    <row r="847">
      <c r="A847" s="425" t="inlineStr">
        <is>
          <t>EXOS-0846</t>
        </is>
      </c>
      <c r="B847" s="425" t="inlineStr">
        <is>
          <t>John - Investor Contacts</t>
        </is>
      </c>
      <c r="C847" s="425" t="inlineStr">
        <is>
          <t>Financial Investor</t>
        </is>
      </c>
      <c r="D847" s="425" t="inlineStr">
        <is>
          <t>XN</t>
        </is>
      </c>
      <c r="E847" s="425" t="inlineStr">
        <is>
          <t>Tim Brown</t>
        </is>
      </c>
      <c r="F847" s="425" t="inlineStr"/>
      <c r="G847" s="111" t="inlineStr">
        <is>
          <t>tb@xnlp.com</t>
        </is>
      </c>
      <c r="H847" s="425" t="inlineStr"/>
      <c r="I847" s="425" t="inlineStr"/>
      <c r="J847" s="111" t="inlineStr">
        <is>
          <t>https://www.linkedin.com/in/tim-brown-2aab1441/</t>
        </is>
      </c>
      <c r="K847" s="426" t="inlineStr">
        <is>
          <t>John Quinn</t>
        </is>
      </c>
      <c r="L847" s="426" t="inlineStr">
        <is>
          <t>Follow Up</t>
        </is>
      </c>
      <c r="M847" s="425" t="inlineStr">
        <is>
          <t>Space / Defense / Aerospace / Advanced Manufacturing</t>
        </is>
      </c>
      <c r="N847" s="426" t="inlineStr">
        <is>
          <t>Tier 2</t>
        </is>
      </c>
      <c r="O847" s="441" t="n">
        <v>45989</v>
      </c>
      <c r="P847" s="441" t="n">
        <v>46031</v>
      </c>
      <c r="Q847" s="425">
        <f>IF(P847="","",TODAY()-P847)</f>
        <v/>
      </c>
      <c r="R847" s="441">
        <f>IF(OR(L847="Passed",Z847=""),"",P847+Z847)</f>
        <v/>
      </c>
      <c r="S847" s="425">
        <f>IF(OR(R847="",L847="Passed"),"",IF(R847&lt;=TODAY(),"DUE",IF(R847&lt;=TODAY()+3,"Next 3 Days","Later")))</f>
        <v/>
      </c>
      <c r="T847" s="425" t="inlineStr"/>
      <c r="U847" s="426" t="inlineStr">
        <is>
          <t>https://www.linkedin.com/in/tim-brown-2aab1441/</t>
        </is>
      </c>
      <c r="V847" s="426" t="inlineStr"/>
      <c r="W847" s="428" t="inlineStr">
        <is>
          <t xml:space="preserve"> |  | </t>
        </is>
      </c>
      <c r="X847" s="425" t="inlineStr">
        <is>
          <t>John - Investor Contacts!884</t>
        </is>
      </c>
      <c r="Y847" s="426" t="inlineStr">
        <is>
          <t>Send next follow-up with traction + CTA</t>
        </is>
      </c>
      <c r="Z847" s="425" t="n">
        <v>7</v>
      </c>
      <c r="AA847" s="425">
        <f>IF(AC847="Archived",0,ROUND((IF(N847="Tier 1",35,IF(N847="Tier 2",20,8))+IF(C847="Financial Investor",15,IF(C847="Intermediary / Banker",12,8))+IF(L847="Term Sheet / Proposal",25,IF(L847="Engaged",20,IF(L847="Meeting Requested",18,IF(L847="Meeting Held",14,IF(L847="Follow Up",10,5)))))+MIN(Q847,30)+IF(S847="DUE",15,IF(S847="Next 3 Days",8,0))),0))</f>
        <v/>
      </c>
      <c r="AB847" s="425">
        <f>IF(AND(AC847="Active",OR(N847="Tier 1",N847="Tier 2"),OR(S847="DUE",S847="Next 3 Days")),"YES","")</f>
        <v/>
      </c>
      <c r="AC847" s="425">
        <f>IF(L847="Passed","Archived","Active")</f>
        <v/>
      </c>
    </row>
    <row r="848">
      <c r="A848" s="425" t="inlineStr">
        <is>
          <t>EXOS-0847</t>
        </is>
      </c>
      <c r="B848" s="425" t="inlineStr">
        <is>
          <t>John - Investor Contacts</t>
        </is>
      </c>
      <c r="C848" s="425" t="inlineStr">
        <is>
          <t>Financial Investor</t>
        </is>
      </c>
      <c r="D848" s="425" t="inlineStr">
        <is>
          <t>XRC Ventures</t>
        </is>
      </c>
      <c r="E848" s="425" t="inlineStr">
        <is>
          <t>Al Sambar</t>
        </is>
      </c>
      <c r="F848" s="425" t="inlineStr"/>
      <c r="G848" s="111" t="inlineStr">
        <is>
          <t>al@xrclabs.com</t>
        </is>
      </c>
      <c r="H848" s="425" t="inlineStr"/>
      <c r="I848" s="425" t="inlineStr"/>
      <c r="J848" s="425" t="inlineStr"/>
      <c r="K848" s="426" t="inlineStr">
        <is>
          <t>John Quinn</t>
        </is>
      </c>
      <c r="L848" s="426" t="inlineStr">
        <is>
          <t>Follow Up</t>
        </is>
      </c>
      <c r="M848" s="425" t="inlineStr">
        <is>
          <t>Space / Defense / Aerospace / Advanced Manufacturing</t>
        </is>
      </c>
      <c r="N848" s="426" t="inlineStr">
        <is>
          <t>Tier 2</t>
        </is>
      </c>
      <c r="O848" s="441" t="n">
        <v>45994</v>
      </c>
      <c r="P848" s="441" t="n">
        <v>46036</v>
      </c>
      <c r="Q848" s="425">
        <f>IF(P848="","",TODAY()-P848)</f>
        <v/>
      </c>
      <c r="R848" s="441">
        <f>IF(OR(L848="Passed",Z848=""),"",P848+Z848)</f>
        <v/>
      </c>
      <c r="S848" s="425">
        <f>IF(OR(R848="",L848="Passed"),"",IF(R848&lt;=TODAY(),"DUE",IF(R848&lt;=TODAY()+3,"Next 3 Days","Later")))</f>
        <v/>
      </c>
      <c r="T848" s="425" t="inlineStr"/>
      <c r="U848" s="426" t="inlineStr">
        <is>
          <t>linkedin.com/in/alsambar</t>
        </is>
      </c>
      <c r="V848" s="426" t="inlineStr"/>
      <c r="W848" s="428" t="inlineStr">
        <is>
          <t xml:space="preserve"> |  | </t>
        </is>
      </c>
      <c r="X848" s="425" t="inlineStr">
        <is>
          <t>John - Investor Contacts!702</t>
        </is>
      </c>
      <c r="Y848" s="426" t="inlineStr">
        <is>
          <t>Send next follow-up with traction + CTA</t>
        </is>
      </c>
      <c r="Z848" s="425" t="n">
        <v>7</v>
      </c>
      <c r="AA848" s="425">
        <f>IF(AC848="Archived",0,ROUND((IF(N848="Tier 1",35,IF(N848="Tier 2",20,8))+IF(C848="Financial Investor",15,IF(C848="Intermediary / Banker",12,8))+IF(L848="Term Sheet / Proposal",25,IF(L848="Engaged",20,IF(L848="Meeting Requested",18,IF(L848="Meeting Held",14,IF(L848="Follow Up",10,5)))))+MIN(Q848,30)+IF(S848="DUE",15,IF(S848="Next 3 Days",8,0))),0))</f>
        <v/>
      </c>
      <c r="AB848" s="425">
        <f>IF(AND(AC848="Active",OR(N848="Tier 1",N848="Tier 2"),OR(S848="DUE",S848="Next 3 Days")),"YES","")</f>
        <v/>
      </c>
      <c r="AC848" s="425">
        <f>IF(L848="Passed","Archived","Active")</f>
        <v/>
      </c>
    </row>
    <row r="849">
      <c r="A849" s="425" t="inlineStr">
        <is>
          <t>EXOS-0848</t>
        </is>
      </c>
      <c r="B849" s="425" t="inlineStr">
        <is>
          <t>John - Investor Contacts</t>
        </is>
      </c>
      <c r="C849" s="425" t="inlineStr">
        <is>
          <t>Financial Investor</t>
        </is>
      </c>
      <c r="D849" s="425" t="inlineStr">
        <is>
          <t>Xcellerant Ventures</t>
        </is>
      </c>
      <c r="E849" s="425" t="inlineStr">
        <is>
          <t>Chris Yoo</t>
        </is>
      </c>
      <c r="F849" s="425" t="inlineStr"/>
      <c r="G849" s="111" t="inlineStr">
        <is>
          <t>cyoo@xcellerantventures.com</t>
        </is>
      </c>
      <c r="H849" s="425" t="inlineStr"/>
      <c r="I849" s="425" t="inlineStr"/>
      <c r="J849" s="425" t="inlineStr"/>
      <c r="K849" s="426" t="inlineStr">
        <is>
          <t>John Quinn</t>
        </is>
      </c>
      <c r="L849" s="426" t="inlineStr">
        <is>
          <t>Follow Up</t>
        </is>
      </c>
      <c r="M849" s="425" t="inlineStr">
        <is>
          <t>Space / Defense / Aerospace / Advanced Manufacturing</t>
        </is>
      </c>
      <c r="N849" s="426" t="inlineStr">
        <is>
          <t>Tier 2</t>
        </is>
      </c>
      <c r="O849" s="441" t="n">
        <v>45994</v>
      </c>
      <c r="P849" s="441" t="n">
        <v>46036</v>
      </c>
      <c r="Q849" s="425">
        <f>IF(P849="","",TODAY()-P849)</f>
        <v/>
      </c>
      <c r="R849" s="441">
        <f>IF(OR(L849="Passed",Z849=""),"",P849+Z849)</f>
        <v/>
      </c>
      <c r="S849" s="425">
        <f>IF(OR(R849="",L849="Passed"),"",IF(R849&lt;=TODAY(),"DUE",IF(R849&lt;=TODAY()+3,"Next 3 Days","Later")))</f>
        <v/>
      </c>
      <c r="T849" s="425" t="inlineStr"/>
      <c r="U849" s="426" t="inlineStr">
        <is>
          <t>linkedin.com/in/chrisyoophd</t>
        </is>
      </c>
      <c r="V849" s="426" t="inlineStr"/>
      <c r="W849" s="428" t="inlineStr">
        <is>
          <t xml:space="preserve"> |  | </t>
        </is>
      </c>
      <c r="X849" s="425" t="inlineStr">
        <is>
          <t>John - Investor Contacts!713</t>
        </is>
      </c>
      <c r="Y849" s="426" t="inlineStr">
        <is>
          <t>Send next follow-up with traction + CTA</t>
        </is>
      </c>
      <c r="Z849" s="425" t="n">
        <v>7</v>
      </c>
      <c r="AA849" s="425">
        <f>IF(AC849="Archived",0,ROUND((IF(N849="Tier 1",35,IF(N849="Tier 2",20,8))+IF(C849="Financial Investor",15,IF(C849="Intermediary / Banker",12,8))+IF(L849="Term Sheet / Proposal",25,IF(L849="Engaged",20,IF(L849="Meeting Requested",18,IF(L849="Meeting Held",14,IF(L849="Follow Up",10,5)))))+MIN(Q849,30)+IF(S849="DUE",15,IF(S849="Next 3 Days",8,0))),0))</f>
        <v/>
      </c>
      <c r="AB849" s="425">
        <f>IF(AND(AC849="Active",OR(N849="Tier 1",N849="Tier 2"),OR(S849="DUE",S849="Next 3 Days")),"YES","")</f>
        <v/>
      </c>
      <c r="AC849" s="425">
        <f>IF(L849="Passed","Archived","Active")</f>
        <v/>
      </c>
    </row>
    <row r="850">
      <c r="A850" s="425" t="inlineStr">
        <is>
          <t>EXOS-0849</t>
        </is>
      </c>
      <c r="B850" s="425" t="inlineStr">
        <is>
          <t>John - Investor Contacts</t>
        </is>
      </c>
      <c r="C850" s="425" t="inlineStr">
        <is>
          <t>Financial Investor</t>
        </is>
      </c>
      <c r="D850" s="425" t="inlineStr">
        <is>
          <t>Xeraya Capital</t>
        </is>
      </c>
      <c r="E850" s="425" t="inlineStr">
        <is>
          <t>Aditya Puri</t>
        </is>
      </c>
      <c r="F850" s="425" t="inlineStr"/>
      <c r="G850" s="111" t="inlineStr">
        <is>
          <t>aditya.puri@xeraya.com</t>
        </is>
      </c>
      <c r="H850" s="425" t="inlineStr"/>
      <c r="I850" s="425" t="inlineStr"/>
      <c r="J850" s="111" t="inlineStr">
        <is>
          <t>https://www.linkedin.com/in/aditya-puri-investor/</t>
        </is>
      </c>
      <c r="K850" s="426" t="inlineStr">
        <is>
          <t>John Quinn</t>
        </is>
      </c>
      <c r="L850" s="426" t="inlineStr">
        <is>
          <t>Follow Up</t>
        </is>
      </c>
      <c r="M850" s="425" t="inlineStr">
        <is>
          <t>Space / Defense / Aerospace / Advanced Manufacturing</t>
        </is>
      </c>
      <c r="N850" s="426" t="inlineStr">
        <is>
          <t>Tier 2</t>
        </is>
      </c>
      <c r="O850" s="441" t="n">
        <v>45839</v>
      </c>
      <c r="P850" s="441" t="n">
        <v>45861</v>
      </c>
      <c r="Q850" s="425">
        <f>IF(P850="","",TODAY()-P850)</f>
        <v/>
      </c>
      <c r="R850" s="441">
        <f>IF(OR(L850="Passed",Z850=""),"",P850+Z850)</f>
        <v/>
      </c>
      <c r="S850" s="425">
        <f>IF(OR(R850="",L850="Passed"),"",IF(R850&lt;=TODAY(),"DUE",IF(R850&lt;=TODAY()+3,"Next 3 Days","Later")))</f>
        <v/>
      </c>
      <c r="T850" s="425" t="inlineStr"/>
      <c r="U850" s="426" t="inlineStr">
        <is>
          <t>https://www.linkedin.com/in/aditya-puri-investor/</t>
        </is>
      </c>
      <c r="V850" s="426" t="inlineStr"/>
      <c r="W850" s="428" t="inlineStr">
        <is>
          <t xml:space="preserve"> | 12/26/2025 | </t>
        </is>
      </c>
      <c r="X850" s="425" t="inlineStr">
        <is>
          <t>John - Investor Contacts!290</t>
        </is>
      </c>
      <c r="Y850" s="426" t="inlineStr">
        <is>
          <t>Send next follow-up with traction + CTA</t>
        </is>
      </c>
      <c r="Z850" s="425" t="n">
        <v>7</v>
      </c>
      <c r="AA850" s="425">
        <f>IF(AC850="Archived",0,ROUND((IF(N850="Tier 1",35,IF(N850="Tier 2",20,8))+IF(C850="Financial Investor",15,IF(C850="Intermediary / Banker",12,8))+IF(L850="Term Sheet / Proposal",25,IF(L850="Engaged",20,IF(L850="Meeting Requested",18,IF(L850="Meeting Held",14,IF(L850="Follow Up",10,5)))))+MIN(Q850,30)+IF(S850="DUE",15,IF(S850="Next 3 Days",8,0))),0))</f>
        <v/>
      </c>
      <c r="AB850" s="425">
        <f>IF(AND(AC850="Active",OR(N850="Tier 1",N850="Tier 2"),OR(S850="DUE",S850="Next 3 Days")),"YES","")</f>
        <v/>
      </c>
      <c r="AC850" s="425">
        <f>IF(L850="Passed","Archived","Active")</f>
        <v/>
      </c>
    </row>
    <row r="851">
      <c r="A851" s="425" t="inlineStr">
        <is>
          <t>EXOS-0850</t>
        </is>
      </c>
      <c r="B851" s="425" t="inlineStr">
        <is>
          <t>John - Investor Contacts</t>
        </is>
      </c>
      <c r="C851" s="425" t="inlineStr">
        <is>
          <t>Financial Investor</t>
        </is>
      </c>
      <c r="D851" s="425" t="inlineStr">
        <is>
          <t>Xeraya Capital</t>
        </is>
      </c>
      <c r="E851" s="425" t="inlineStr">
        <is>
          <t>Bruce Cohen</t>
        </is>
      </c>
      <c r="F851" s="425" t="inlineStr"/>
      <c r="G851" s="111" t="inlineStr">
        <is>
          <t>bruce.cohen@xeraya.com</t>
        </is>
      </c>
      <c r="H851" s="425" t="inlineStr"/>
      <c r="I851" s="425" t="inlineStr"/>
      <c r="J851" s="111" t="inlineStr">
        <is>
          <t>https://www.linkedin.com/in/bruceacohen/</t>
        </is>
      </c>
      <c r="K851" s="426" t="inlineStr">
        <is>
          <t>John Quinn</t>
        </is>
      </c>
      <c r="L851" s="426" t="inlineStr">
        <is>
          <t>Follow Up</t>
        </is>
      </c>
      <c r="M851" s="425" t="inlineStr">
        <is>
          <t>Space / Defense / Aerospace / Advanced Manufacturing</t>
        </is>
      </c>
      <c r="N851" s="426" t="inlineStr">
        <is>
          <t>Tier 2</t>
        </is>
      </c>
      <c r="O851" s="441" t="n">
        <v>45839</v>
      </c>
      <c r="P851" s="441" t="n">
        <v>45861</v>
      </c>
      <c r="Q851" s="425">
        <f>IF(P851="","",TODAY()-P851)</f>
        <v/>
      </c>
      <c r="R851" s="441">
        <f>IF(OR(L851="Passed",Z851=""),"",P851+Z851)</f>
        <v/>
      </c>
      <c r="S851" s="425">
        <f>IF(OR(R851="",L851="Passed"),"",IF(R851&lt;=TODAY(),"DUE",IF(R851&lt;=TODAY()+3,"Next 3 Days","Later")))</f>
        <v/>
      </c>
      <c r="T851" s="425" t="inlineStr"/>
      <c r="U851" s="426" t="inlineStr">
        <is>
          <t>https://www.linkedin.com/in/bruceacohen/</t>
        </is>
      </c>
      <c r="V851" s="426" t="inlineStr"/>
      <c r="W851" s="428" t="inlineStr">
        <is>
          <t xml:space="preserve"> | 12/26/2025 | </t>
        </is>
      </c>
      <c r="X851" s="425" t="inlineStr">
        <is>
          <t>John - Investor Contacts!288</t>
        </is>
      </c>
      <c r="Y851" s="426" t="inlineStr">
        <is>
          <t>Send next follow-up with traction + CTA</t>
        </is>
      </c>
      <c r="Z851" s="425" t="n">
        <v>7</v>
      </c>
      <c r="AA851" s="425">
        <f>IF(AC851="Archived",0,ROUND((IF(N851="Tier 1",35,IF(N851="Tier 2",20,8))+IF(C851="Financial Investor",15,IF(C851="Intermediary / Banker",12,8))+IF(L851="Term Sheet / Proposal",25,IF(L851="Engaged",20,IF(L851="Meeting Requested",18,IF(L851="Meeting Held",14,IF(L851="Follow Up",10,5)))))+MIN(Q851,30)+IF(S851="DUE",15,IF(S851="Next 3 Days",8,0))),0))</f>
        <v/>
      </c>
      <c r="AB851" s="425">
        <f>IF(AND(AC851="Active",OR(N851="Tier 1",N851="Tier 2"),OR(S851="DUE",S851="Next 3 Days")),"YES","")</f>
        <v/>
      </c>
      <c r="AC851" s="425">
        <f>IF(L851="Passed","Archived","Active")</f>
        <v/>
      </c>
    </row>
    <row r="852">
      <c r="A852" s="425" t="inlineStr">
        <is>
          <t>EXOS-0851</t>
        </is>
      </c>
      <c r="B852" s="425" t="inlineStr">
        <is>
          <t>John - Investor Contacts</t>
        </is>
      </c>
      <c r="C852" s="425" t="inlineStr">
        <is>
          <t>Financial Investor</t>
        </is>
      </c>
      <c r="D852" s="425" t="inlineStr">
        <is>
          <t>Xeraya Capital</t>
        </is>
      </c>
      <c r="E852" s="425" t="inlineStr">
        <is>
          <t>Fares Zahir</t>
        </is>
      </c>
      <c r="F852" s="425" t="inlineStr"/>
      <c r="G852" s="111" t="inlineStr">
        <is>
          <t>fares.zahir@xeraya.com</t>
        </is>
      </c>
      <c r="H852" s="425" t="inlineStr"/>
      <c r="I852" s="425" t="inlineStr"/>
      <c r="J852" s="111" t="inlineStr">
        <is>
          <t>https://www.linkedin.com/in/fares-zahir-57847810/</t>
        </is>
      </c>
      <c r="K852" s="426" t="inlineStr">
        <is>
          <t>John Quinn</t>
        </is>
      </c>
      <c r="L852" s="426" t="inlineStr">
        <is>
          <t>Follow Up</t>
        </is>
      </c>
      <c r="M852" s="425" t="inlineStr">
        <is>
          <t>Space / Defense / Aerospace / Advanced Manufacturing</t>
        </is>
      </c>
      <c r="N852" s="426" t="inlineStr">
        <is>
          <t>Tier 2</t>
        </is>
      </c>
      <c r="O852" s="441" t="n">
        <v>45839</v>
      </c>
      <c r="P852" s="441" t="n">
        <v>45861</v>
      </c>
      <c r="Q852" s="425">
        <f>IF(P852="","",TODAY()-P852)</f>
        <v/>
      </c>
      <c r="R852" s="441">
        <f>IF(OR(L852="Passed",Z852=""),"",P852+Z852)</f>
        <v/>
      </c>
      <c r="S852" s="425">
        <f>IF(OR(R852="",L852="Passed"),"",IF(R852&lt;=TODAY(),"DUE",IF(R852&lt;=TODAY()+3,"Next 3 Days","Later")))</f>
        <v/>
      </c>
      <c r="T852" s="425" t="inlineStr"/>
      <c r="U852" s="426" t="inlineStr">
        <is>
          <t>https://www.linkedin.com/in/fares-zahir-57847810/</t>
        </is>
      </c>
      <c r="V852" s="426" t="inlineStr"/>
      <c r="W852" s="428" t="inlineStr">
        <is>
          <t xml:space="preserve"> | 12/26/2025 | </t>
        </is>
      </c>
      <c r="X852" s="425" t="inlineStr">
        <is>
          <t>John - Investor Contacts!289</t>
        </is>
      </c>
      <c r="Y852" s="426" t="inlineStr">
        <is>
          <t>Send next follow-up with traction + CTA</t>
        </is>
      </c>
      <c r="Z852" s="425" t="n">
        <v>7</v>
      </c>
      <c r="AA852" s="425">
        <f>IF(AC852="Archived",0,ROUND((IF(N852="Tier 1",35,IF(N852="Tier 2",20,8))+IF(C852="Financial Investor",15,IF(C852="Intermediary / Banker",12,8))+IF(L852="Term Sheet / Proposal",25,IF(L852="Engaged",20,IF(L852="Meeting Requested",18,IF(L852="Meeting Held",14,IF(L852="Follow Up",10,5)))))+MIN(Q852,30)+IF(S852="DUE",15,IF(S852="Next 3 Days",8,0))),0))</f>
        <v/>
      </c>
      <c r="AB852" s="425">
        <f>IF(AND(AC852="Active",OR(N852="Tier 1",N852="Tier 2"),OR(S852="DUE",S852="Next 3 Days")),"YES","")</f>
        <v/>
      </c>
      <c r="AC852" s="425">
        <f>IF(L852="Passed","Archived","Active")</f>
        <v/>
      </c>
    </row>
    <row r="853">
      <c r="A853" s="425" t="inlineStr">
        <is>
          <t>EXOS-0852</t>
        </is>
      </c>
      <c r="B853" s="425" t="inlineStr">
        <is>
          <t>John - Investor Contacts</t>
        </is>
      </c>
      <c r="C853" s="425" t="inlineStr">
        <is>
          <t>Financial Investor</t>
        </is>
      </c>
      <c r="D853" s="425" t="inlineStr">
        <is>
          <t>Xeraya Capital</t>
        </is>
      </c>
      <c r="E853" s="425" t="inlineStr">
        <is>
          <t>General</t>
        </is>
      </c>
      <c r="F853" s="425" t="inlineStr"/>
      <c r="G853" s="111" t="inlineStr">
        <is>
          <t>xeraya@xeraya.com</t>
        </is>
      </c>
      <c r="H853" s="425" t="inlineStr"/>
      <c r="I853" s="425" t="inlineStr"/>
      <c r="J853" s="425" t="inlineStr"/>
      <c r="K853" s="426" t="inlineStr">
        <is>
          <t>John Quinn</t>
        </is>
      </c>
      <c r="L853" s="426" t="inlineStr">
        <is>
          <t>Follow Up</t>
        </is>
      </c>
      <c r="M853" s="425" t="inlineStr">
        <is>
          <t>Space / Defense / Aerospace / Advanced Manufacturing</t>
        </is>
      </c>
      <c r="N853" s="426" t="inlineStr">
        <is>
          <t>Tier 2</t>
        </is>
      </c>
      <c r="O853" s="441" t="n">
        <v>45838</v>
      </c>
      <c r="P853" s="441" t="n">
        <v>45861</v>
      </c>
      <c r="Q853" s="425">
        <f>IF(P853="","",TODAY()-P853)</f>
        <v/>
      </c>
      <c r="R853" s="441">
        <f>IF(OR(L853="Passed",Z853=""),"",P853+Z853)</f>
        <v/>
      </c>
      <c r="S853" s="425">
        <f>IF(OR(R853="",L853="Passed"),"",IF(R853&lt;=TODAY(),"DUE",IF(R853&lt;=TODAY()+3,"Next 3 Days","Later")))</f>
        <v/>
      </c>
      <c r="T853" s="425" t="inlineStr"/>
      <c r="U853" s="426" t="inlineStr"/>
      <c r="V853" s="426" t="inlineStr"/>
      <c r="W853" s="428" t="inlineStr">
        <is>
          <t xml:space="preserve"> | 12/26/2025 | </t>
        </is>
      </c>
      <c r="X853" s="425" t="inlineStr">
        <is>
          <t>John - Investor Contacts!287</t>
        </is>
      </c>
      <c r="Y853" s="426" t="inlineStr">
        <is>
          <t>Send next follow-up with traction + CTA</t>
        </is>
      </c>
      <c r="Z853" s="425" t="n">
        <v>7</v>
      </c>
      <c r="AA853" s="425">
        <f>IF(AC853="Archived",0,ROUND((IF(N853="Tier 1",35,IF(N853="Tier 2",20,8))+IF(C853="Financial Investor",15,IF(C853="Intermediary / Banker",12,8))+IF(L853="Term Sheet / Proposal",25,IF(L853="Engaged",20,IF(L853="Meeting Requested",18,IF(L853="Meeting Held",14,IF(L853="Follow Up",10,5)))))+MIN(Q853,30)+IF(S853="DUE",15,IF(S853="Next 3 Days",8,0))),0))</f>
        <v/>
      </c>
      <c r="AB853" s="425">
        <f>IF(AND(AC853="Active",OR(N853="Tier 1",N853="Tier 2"),OR(S853="DUE",S853="Next 3 Days")),"YES","")</f>
        <v/>
      </c>
      <c r="AC853" s="425">
        <f>IF(L853="Passed","Archived","Active")</f>
        <v/>
      </c>
    </row>
    <row r="854">
      <c r="A854" s="425" t="inlineStr">
        <is>
          <t>EXOS-0853</t>
        </is>
      </c>
      <c r="B854" s="425" t="inlineStr">
        <is>
          <t>John - Investor Contacts</t>
        </is>
      </c>
      <c r="C854" s="425" t="inlineStr">
        <is>
          <t>Financial Investor</t>
        </is>
      </c>
      <c r="D854" s="425" t="inlineStr">
        <is>
          <t>Xeraya Capital</t>
        </is>
      </c>
      <c r="E854" s="425" t="inlineStr">
        <is>
          <t>Jason Rushton</t>
        </is>
      </c>
      <c r="F854" s="425" t="inlineStr"/>
      <c r="G854" s="111" t="inlineStr">
        <is>
          <t>jason.rushton@xeraya.com</t>
        </is>
      </c>
      <c r="H854" s="425" t="inlineStr"/>
      <c r="I854" s="425" t="inlineStr"/>
      <c r="J854" s="425" t="inlineStr"/>
      <c r="K854" s="426" t="inlineStr">
        <is>
          <t>John Quinn</t>
        </is>
      </c>
      <c r="L854" s="426" t="inlineStr">
        <is>
          <t>Follow Up</t>
        </is>
      </c>
      <c r="M854" s="425" t="inlineStr">
        <is>
          <t>Space / Defense / Aerospace / Advanced Manufacturing</t>
        </is>
      </c>
      <c r="N854" s="426" t="inlineStr">
        <is>
          <t>Tier 2</t>
        </is>
      </c>
      <c r="O854" s="441" t="n">
        <v>45839</v>
      </c>
      <c r="P854" s="441" t="n">
        <v>45861</v>
      </c>
      <c r="Q854" s="425">
        <f>IF(P854="","",TODAY()-P854)</f>
        <v/>
      </c>
      <c r="R854" s="441">
        <f>IF(OR(L854="Passed",Z854=""),"",P854+Z854)</f>
        <v/>
      </c>
      <c r="S854" s="425">
        <f>IF(OR(R854="",L854="Passed"),"",IF(R854&lt;=TODAY(),"DUE",IF(R854&lt;=TODAY()+3,"Next 3 Days","Later")))</f>
        <v/>
      </c>
      <c r="T854" s="425" t="inlineStr"/>
      <c r="U854" s="426" t="inlineStr"/>
      <c r="V854" s="426" t="inlineStr"/>
      <c r="W854" s="428" t="inlineStr">
        <is>
          <t xml:space="preserve"> | 12/26/2025 | </t>
        </is>
      </c>
      <c r="X854" s="425" t="inlineStr">
        <is>
          <t>John - Investor Contacts!291</t>
        </is>
      </c>
      <c r="Y854" s="426" t="inlineStr">
        <is>
          <t>Send next follow-up with traction + CTA</t>
        </is>
      </c>
      <c r="Z854" s="425" t="n">
        <v>7</v>
      </c>
      <c r="AA854" s="425">
        <f>IF(AC854="Archived",0,ROUND((IF(N854="Tier 1",35,IF(N854="Tier 2",20,8))+IF(C854="Financial Investor",15,IF(C854="Intermediary / Banker",12,8))+IF(L854="Term Sheet / Proposal",25,IF(L854="Engaged",20,IF(L854="Meeting Requested",18,IF(L854="Meeting Held",14,IF(L854="Follow Up",10,5)))))+MIN(Q854,30)+IF(S854="DUE",15,IF(S854="Next 3 Days",8,0))),0))</f>
        <v/>
      </c>
      <c r="AB854" s="425">
        <f>IF(AND(AC854="Active",OR(N854="Tier 1",N854="Tier 2"),OR(S854="DUE",S854="Next 3 Days")),"YES","")</f>
        <v/>
      </c>
      <c r="AC854" s="425">
        <f>IF(L854="Passed","Archived","Active")</f>
        <v/>
      </c>
    </row>
    <row r="855">
      <c r="A855" s="425" t="inlineStr">
        <is>
          <t>EXOS-0854</t>
        </is>
      </c>
      <c r="B855" s="425" t="inlineStr">
        <is>
          <t>John - Investor Contacts</t>
        </is>
      </c>
      <c r="C855" s="425" t="inlineStr">
        <is>
          <t>Financial Investor</t>
        </is>
      </c>
      <c r="D855" s="425" t="inlineStr">
        <is>
          <t>Zacua Ventures</t>
        </is>
      </c>
      <c r="E855" s="425" t="inlineStr">
        <is>
          <t>Anas Bataw</t>
        </is>
      </c>
      <c r="F855" s="425" t="inlineStr"/>
      <c r="G855" s="111" t="inlineStr">
        <is>
          <t>anas@zacuaventures.com</t>
        </is>
      </c>
      <c r="H855" s="425" t="inlineStr"/>
      <c r="I855" s="425" t="inlineStr"/>
      <c r="J855" s="111" t="inlineStr">
        <is>
          <t>http://linkedin.com/in/dr-anas-bataw-3b885b57</t>
        </is>
      </c>
      <c r="K855" s="426" t="inlineStr">
        <is>
          <t>John Quinn</t>
        </is>
      </c>
      <c r="L855" s="426" t="inlineStr">
        <is>
          <t>Follow Up</t>
        </is>
      </c>
      <c r="M855" s="425" t="inlineStr">
        <is>
          <t>Space / Defense / Aerospace / Advanced Manufacturing</t>
        </is>
      </c>
      <c r="N855" s="426" t="inlineStr">
        <is>
          <t>Tier 2</t>
        </is>
      </c>
      <c r="O855" s="441" t="n">
        <v>45847</v>
      </c>
      <c r="P855" s="441" t="n">
        <v>45861</v>
      </c>
      <c r="Q855" s="425">
        <f>IF(P855="","",TODAY()-P855)</f>
        <v/>
      </c>
      <c r="R855" s="441">
        <f>IF(OR(L855="Passed",Z855=""),"",P855+Z855)</f>
        <v/>
      </c>
      <c r="S855" s="425">
        <f>IF(OR(R855="",L855="Passed"),"",IF(R855&lt;=TODAY(),"DUE",IF(R855&lt;=TODAY()+3,"Next 3 Days","Later")))</f>
        <v/>
      </c>
      <c r="T855" s="425" t="inlineStr"/>
      <c r="U855" s="426" t="inlineStr">
        <is>
          <t>http://linkedin.com/in/dr-anas-bataw-3b885b57</t>
        </is>
      </c>
      <c r="V855" s="426" t="inlineStr"/>
      <c r="W855" s="428" t="inlineStr">
        <is>
          <t xml:space="preserve"> | 12/26/2025 | </t>
        </is>
      </c>
      <c r="X855" s="425" t="inlineStr">
        <is>
          <t>John - Investor Contacts!377</t>
        </is>
      </c>
      <c r="Y855" s="426" t="inlineStr">
        <is>
          <t>Send next follow-up with traction + CTA</t>
        </is>
      </c>
      <c r="Z855" s="425" t="n">
        <v>7</v>
      </c>
      <c r="AA855" s="425">
        <f>IF(AC855="Archived",0,ROUND((IF(N855="Tier 1",35,IF(N855="Tier 2",20,8))+IF(C855="Financial Investor",15,IF(C855="Intermediary / Banker",12,8))+IF(L855="Term Sheet / Proposal",25,IF(L855="Engaged",20,IF(L855="Meeting Requested",18,IF(L855="Meeting Held",14,IF(L855="Follow Up",10,5)))))+MIN(Q855,30)+IF(S855="DUE",15,IF(S855="Next 3 Days",8,0))),0))</f>
        <v/>
      </c>
      <c r="AB855" s="425">
        <f>IF(AND(AC855="Active",OR(N855="Tier 1",N855="Tier 2"),OR(S855="DUE",S855="Next 3 Days")),"YES","")</f>
        <v/>
      </c>
      <c r="AC855" s="425">
        <f>IF(L855="Passed","Archived","Active")</f>
        <v/>
      </c>
    </row>
    <row r="856">
      <c r="A856" s="425" t="inlineStr">
        <is>
          <t>EXOS-0855</t>
        </is>
      </c>
      <c r="B856" s="425" t="inlineStr">
        <is>
          <t>John - Investor Contacts</t>
        </is>
      </c>
      <c r="C856" s="425" t="inlineStr">
        <is>
          <t>Financial Investor</t>
        </is>
      </c>
      <c r="D856" s="425" t="inlineStr">
        <is>
          <t>Zacua Ventures</t>
        </is>
      </c>
      <c r="E856" s="425" t="inlineStr">
        <is>
          <t>Caecilia Kemper</t>
        </is>
      </c>
      <c r="F856" s="425" t="inlineStr"/>
      <c r="G856" s="111" t="inlineStr">
        <is>
          <t>caecilia@zacuaventures.com</t>
        </is>
      </c>
      <c r="H856" s="425" t="inlineStr"/>
      <c r="I856" s="425" t="inlineStr"/>
      <c r="J856" s="425" t="inlineStr"/>
      <c r="K856" s="426" t="inlineStr">
        <is>
          <t>John Quinn</t>
        </is>
      </c>
      <c r="L856" s="426" t="inlineStr">
        <is>
          <t>Follow Up</t>
        </is>
      </c>
      <c r="M856" s="425" t="inlineStr">
        <is>
          <t>Space / Defense / Aerospace / Advanced Manufacturing</t>
        </is>
      </c>
      <c r="N856" s="426" t="inlineStr">
        <is>
          <t>Tier 2</t>
        </is>
      </c>
      <c r="O856" s="441" t="n">
        <v>45847</v>
      </c>
      <c r="P856" s="441" t="n">
        <v>45861</v>
      </c>
      <c r="Q856" s="425">
        <f>IF(P856="","",TODAY()-P856)</f>
        <v/>
      </c>
      <c r="R856" s="441">
        <f>IF(OR(L856="Passed",Z856=""),"",P856+Z856)</f>
        <v/>
      </c>
      <c r="S856" s="425">
        <f>IF(OR(R856="",L856="Passed"),"",IF(R856&lt;=TODAY(),"DUE",IF(R856&lt;=TODAY()+3,"Next 3 Days","Later")))</f>
        <v/>
      </c>
      <c r="T856" s="425" t="inlineStr"/>
      <c r="U856" s="426" t="inlineStr">
        <is>
          <t>linkedin.com/in/caecilia-kemper</t>
        </is>
      </c>
      <c r="V856" s="426" t="inlineStr"/>
      <c r="W856" s="428" t="inlineStr">
        <is>
          <t xml:space="preserve"> | 12/26/2025 | </t>
        </is>
      </c>
      <c r="X856" s="425" t="inlineStr">
        <is>
          <t>John - Investor Contacts!378</t>
        </is>
      </c>
      <c r="Y856" s="426" t="inlineStr">
        <is>
          <t>Send next follow-up with traction + CTA</t>
        </is>
      </c>
      <c r="Z856" s="425" t="n">
        <v>7</v>
      </c>
      <c r="AA856" s="425">
        <f>IF(AC856="Archived",0,ROUND((IF(N856="Tier 1",35,IF(N856="Tier 2",20,8))+IF(C856="Financial Investor",15,IF(C856="Intermediary / Banker",12,8))+IF(L856="Term Sheet / Proposal",25,IF(L856="Engaged",20,IF(L856="Meeting Requested",18,IF(L856="Meeting Held",14,IF(L856="Follow Up",10,5)))))+MIN(Q856,30)+IF(S856="DUE",15,IF(S856="Next 3 Days",8,0))),0))</f>
        <v/>
      </c>
      <c r="AB856" s="425">
        <f>IF(AND(AC856="Active",OR(N856="Tier 1",N856="Tier 2"),OR(S856="DUE",S856="Next 3 Days")),"YES","")</f>
        <v/>
      </c>
      <c r="AC856" s="425">
        <f>IF(L856="Passed","Archived","Active")</f>
        <v/>
      </c>
    </row>
    <row r="857">
      <c r="A857" s="425" t="inlineStr">
        <is>
          <t>EXOS-0856</t>
        </is>
      </c>
      <c r="B857" s="425" t="inlineStr">
        <is>
          <t>John - Investor Contacts</t>
        </is>
      </c>
      <c r="C857" s="425" t="inlineStr">
        <is>
          <t>Financial Investor</t>
        </is>
      </c>
      <c r="D857" s="425" t="inlineStr">
        <is>
          <t>Zacua Ventures</t>
        </is>
      </c>
      <c r="E857" s="425" t="inlineStr">
        <is>
          <t>Juan Nieto</t>
        </is>
      </c>
      <c r="F857" s="425" t="inlineStr"/>
      <c r="G857" s="111" t="inlineStr">
        <is>
          <t>juan@zacuaventures.com</t>
        </is>
      </c>
      <c r="H857" s="425" t="inlineStr"/>
      <c r="I857" s="425" t="inlineStr"/>
      <c r="J857" s="425" t="inlineStr"/>
      <c r="K857" s="426" t="inlineStr">
        <is>
          <t>John Quinn</t>
        </is>
      </c>
      <c r="L857" s="426" t="inlineStr">
        <is>
          <t>Follow Up</t>
        </is>
      </c>
      <c r="M857" s="425" t="inlineStr">
        <is>
          <t>Space / Defense / Aerospace / Advanced Manufacturing</t>
        </is>
      </c>
      <c r="N857" s="426" t="inlineStr">
        <is>
          <t>Tier 2</t>
        </is>
      </c>
      <c r="O857" s="441" t="n">
        <v>45847</v>
      </c>
      <c r="P857" s="441" t="n">
        <v>45861</v>
      </c>
      <c r="Q857" s="425">
        <f>IF(P857="","",TODAY()-P857)</f>
        <v/>
      </c>
      <c r="R857" s="441">
        <f>IF(OR(L857="Passed",Z857=""),"",P857+Z857)</f>
        <v/>
      </c>
      <c r="S857" s="425">
        <f>IF(OR(R857="",L857="Passed"),"",IF(R857&lt;=TODAY(),"DUE",IF(R857&lt;=TODAY()+3,"Next 3 Days","Later")))</f>
        <v/>
      </c>
      <c r="T857" s="425" t="inlineStr"/>
      <c r="U857" s="426" t="inlineStr">
        <is>
          <t>linkedin.com/in/juannietovillamandos</t>
        </is>
      </c>
      <c r="V857" s="426" t="inlineStr"/>
      <c r="W857" s="428" t="inlineStr">
        <is>
          <t xml:space="preserve"> | 12/26/2025 | </t>
        </is>
      </c>
      <c r="X857" s="425" t="inlineStr">
        <is>
          <t>John - Investor Contacts!375</t>
        </is>
      </c>
      <c r="Y857" s="426" t="inlineStr">
        <is>
          <t>Send next follow-up with traction + CTA</t>
        </is>
      </c>
      <c r="Z857" s="425" t="n">
        <v>7</v>
      </c>
      <c r="AA857" s="425">
        <f>IF(AC857="Archived",0,ROUND((IF(N857="Tier 1",35,IF(N857="Tier 2",20,8))+IF(C857="Financial Investor",15,IF(C857="Intermediary / Banker",12,8))+IF(L857="Term Sheet / Proposal",25,IF(L857="Engaged",20,IF(L857="Meeting Requested",18,IF(L857="Meeting Held",14,IF(L857="Follow Up",10,5)))))+MIN(Q857,30)+IF(S857="DUE",15,IF(S857="Next 3 Days",8,0))),0))</f>
        <v/>
      </c>
      <c r="AB857" s="425">
        <f>IF(AND(AC857="Active",OR(N857="Tier 1",N857="Tier 2"),OR(S857="DUE",S857="Next 3 Days")),"YES","")</f>
        <v/>
      </c>
      <c r="AC857" s="425">
        <f>IF(L857="Passed","Archived","Active")</f>
        <v/>
      </c>
    </row>
    <row r="858">
      <c r="A858" s="425" t="inlineStr">
        <is>
          <t>EXOS-0857</t>
        </is>
      </c>
      <c r="B858" s="425" t="inlineStr">
        <is>
          <t>John - Investor Contacts</t>
        </is>
      </c>
      <c r="C858" s="425" t="inlineStr">
        <is>
          <t>Financial Investor</t>
        </is>
      </c>
      <c r="D858" s="425" t="inlineStr">
        <is>
          <t>Zacua Ventures</t>
        </is>
      </c>
      <c r="E858" s="425" t="inlineStr">
        <is>
          <t>Mauricio Tessi Weiss</t>
        </is>
      </c>
      <c r="F858" s="425" t="inlineStr"/>
      <c r="G858" s="111" t="inlineStr">
        <is>
          <t>mauricio@zacuaventures.com</t>
        </is>
      </c>
      <c r="H858" s="425" t="inlineStr"/>
      <c r="I858" s="425" t="inlineStr"/>
      <c r="J858" s="111" t="inlineStr">
        <is>
          <t>https://www.linkedin.com/in/mauricioweiss</t>
        </is>
      </c>
      <c r="K858" s="426" t="inlineStr">
        <is>
          <t>John Quinn</t>
        </is>
      </c>
      <c r="L858" s="426" t="inlineStr">
        <is>
          <t>Follow Up</t>
        </is>
      </c>
      <c r="M858" s="425" t="inlineStr">
        <is>
          <t>Space / Defense / Aerospace / Advanced Manufacturing</t>
        </is>
      </c>
      <c r="N858" s="426" t="inlineStr">
        <is>
          <t>Tier 2</t>
        </is>
      </c>
      <c r="O858" s="441" t="n">
        <v>45847</v>
      </c>
      <c r="P858" s="441" t="n">
        <v>45861</v>
      </c>
      <c r="Q858" s="425">
        <f>IF(P858="","",TODAY()-P858)</f>
        <v/>
      </c>
      <c r="R858" s="441">
        <f>IF(OR(L858="Passed",Z858=""),"",P858+Z858)</f>
        <v/>
      </c>
      <c r="S858" s="425">
        <f>IF(OR(R858="",L858="Passed"),"",IF(R858&lt;=TODAY(),"DUE",IF(R858&lt;=TODAY()+3,"Next 3 Days","Later")))</f>
        <v/>
      </c>
      <c r="T858" s="425" t="inlineStr"/>
      <c r="U858" s="426" t="inlineStr">
        <is>
          <t>https://www.linkedin.com/in/mauricioweiss</t>
        </is>
      </c>
      <c r="V858" s="426" t="inlineStr"/>
      <c r="W858" s="428" t="inlineStr">
        <is>
          <t xml:space="preserve"> | 12/26/2025 | </t>
        </is>
      </c>
      <c r="X858" s="425" t="inlineStr">
        <is>
          <t>John - Investor Contacts!376</t>
        </is>
      </c>
      <c r="Y858" s="426" t="inlineStr">
        <is>
          <t>Send next follow-up with traction + CTA</t>
        </is>
      </c>
      <c r="Z858" s="425" t="n">
        <v>7</v>
      </c>
      <c r="AA858" s="425">
        <f>IF(AC858="Archived",0,ROUND((IF(N858="Tier 1",35,IF(N858="Tier 2",20,8))+IF(C858="Financial Investor",15,IF(C858="Intermediary / Banker",12,8))+IF(L858="Term Sheet / Proposal",25,IF(L858="Engaged",20,IF(L858="Meeting Requested",18,IF(L858="Meeting Held",14,IF(L858="Follow Up",10,5)))))+MIN(Q858,30)+IF(S858="DUE",15,IF(S858="Next 3 Days",8,0))),0))</f>
        <v/>
      </c>
      <c r="AB858" s="425">
        <f>IF(AND(AC858="Active",OR(N858="Tier 1",N858="Tier 2"),OR(S858="DUE",S858="Next 3 Days")),"YES","")</f>
        <v/>
      </c>
      <c r="AC858" s="425">
        <f>IF(L858="Passed","Archived","Active")</f>
        <v/>
      </c>
    </row>
    <row r="859">
      <c r="A859" s="425" t="inlineStr">
        <is>
          <t>EXOS-0858</t>
        </is>
      </c>
      <c r="B859" s="425" t="inlineStr">
        <is>
          <t>John - Investor Contacts</t>
        </is>
      </c>
      <c r="C859" s="425" t="inlineStr">
        <is>
          <t>Financial Investor</t>
        </is>
      </c>
      <c r="D859" s="425" t="inlineStr">
        <is>
          <t>Zacua Ventures</t>
        </is>
      </c>
      <c r="E859" s="425" t="inlineStr">
        <is>
          <t>Vivin Hegde</t>
        </is>
      </c>
      <c r="F859" s="425" t="inlineStr"/>
      <c r="G859" s="111" t="inlineStr">
        <is>
          <t>vivin@zacuaventures.com</t>
        </is>
      </c>
      <c r="H859" s="425" t="inlineStr"/>
      <c r="I859" s="425" t="inlineStr"/>
      <c r="J859" s="111" t="inlineStr">
        <is>
          <t>https://www.linkedin.com/in/vivin-hegde/</t>
        </is>
      </c>
      <c r="K859" s="426" t="inlineStr">
        <is>
          <t>John Quinn</t>
        </is>
      </c>
      <c r="L859" s="426" t="inlineStr">
        <is>
          <t>Follow Up</t>
        </is>
      </c>
      <c r="M859" s="425" t="inlineStr">
        <is>
          <t>Space / Defense / Aerospace / Advanced Manufacturing</t>
        </is>
      </c>
      <c r="N859" s="426" t="inlineStr">
        <is>
          <t>Tier 2</t>
        </is>
      </c>
      <c r="O859" s="441" t="n">
        <v>45847</v>
      </c>
      <c r="P859" s="441" t="n">
        <v>45861</v>
      </c>
      <c r="Q859" s="425">
        <f>IF(P859="","",TODAY()-P859)</f>
        <v/>
      </c>
      <c r="R859" s="441">
        <f>IF(OR(L859="Passed",Z859=""),"",P859+Z859)</f>
        <v/>
      </c>
      <c r="S859" s="425">
        <f>IF(OR(R859="",L859="Passed"),"",IF(R859&lt;=TODAY(),"DUE",IF(R859&lt;=TODAY()+3,"Next 3 Days","Later")))</f>
        <v/>
      </c>
      <c r="T859" s="425" t="inlineStr"/>
      <c r="U859" s="426" t="inlineStr">
        <is>
          <t>https://www.linkedin.com/in/vivin-hegde/</t>
        </is>
      </c>
      <c r="V859" s="426" t="inlineStr"/>
      <c r="W859" s="428" t="inlineStr">
        <is>
          <t xml:space="preserve">submit a deck: https://zacuaventures.com/contact/ | 12/26/2025 | </t>
        </is>
      </c>
      <c r="X859" s="425" t="inlineStr">
        <is>
          <t>John - Investor Contacts!374</t>
        </is>
      </c>
      <c r="Y859" s="426" t="inlineStr">
        <is>
          <t>Send next follow-up with traction + CTA</t>
        </is>
      </c>
      <c r="Z859" s="425" t="n">
        <v>7</v>
      </c>
      <c r="AA859" s="425">
        <f>IF(AC859="Archived",0,ROUND((IF(N859="Tier 1",35,IF(N859="Tier 2",20,8))+IF(C859="Financial Investor",15,IF(C859="Intermediary / Banker",12,8))+IF(L859="Term Sheet / Proposal",25,IF(L859="Engaged",20,IF(L859="Meeting Requested",18,IF(L859="Meeting Held",14,IF(L859="Follow Up",10,5)))))+MIN(Q859,30)+IF(S859="DUE",15,IF(S859="Next 3 Days",8,0))),0))</f>
        <v/>
      </c>
      <c r="AB859" s="425">
        <f>IF(AND(AC859="Active",OR(N859="Tier 1",N859="Tier 2"),OR(S859="DUE",S859="Next 3 Days")),"YES","")</f>
        <v/>
      </c>
      <c r="AC859" s="425">
        <f>IF(L859="Passed","Archived","Active")</f>
        <v/>
      </c>
    </row>
    <row r="860">
      <c r="A860" s="425" t="inlineStr">
        <is>
          <t>EXOS-0859</t>
        </is>
      </c>
      <c r="B860" s="425" t="inlineStr">
        <is>
          <t>John - Investor Contacts</t>
        </is>
      </c>
      <c r="C860" s="425" t="inlineStr">
        <is>
          <t>Financial Investor</t>
        </is>
      </c>
      <c r="D860" s="425" t="inlineStr">
        <is>
          <t>Zebra Ventures</t>
        </is>
      </c>
      <c r="E860" s="425" t="inlineStr">
        <is>
          <t>Tony Palcheck</t>
        </is>
      </c>
      <c r="F860" s="425" t="inlineStr"/>
      <c r="G860" s="111" t="inlineStr">
        <is>
          <t>tony.palcheck@zebra.com</t>
        </is>
      </c>
      <c r="H860" s="425" t="inlineStr"/>
      <c r="I860" s="425" t="inlineStr"/>
      <c r="J860" s="111" t="inlineStr">
        <is>
          <t>https://www.linkedin.com/in/tony-palcheck-b1356/</t>
        </is>
      </c>
      <c r="K860" s="426" t="inlineStr">
        <is>
          <t>John Quinn</t>
        </is>
      </c>
      <c r="L860" s="426" t="inlineStr">
        <is>
          <t>Follow Up</t>
        </is>
      </c>
      <c r="M860" s="425" t="inlineStr">
        <is>
          <t>Space / Defense / Aerospace / Advanced Manufacturing</t>
        </is>
      </c>
      <c r="N860" s="426" t="inlineStr">
        <is>
          <t>Tier 2</t>
        </is>
      </c>
      <c r="O860" s="441" t="n">
        <v>45891</v>
      </c>
      <c r="P860" s="441" t="n">
        <v>45923</v>
      </c>
      <c r="Q860" s="425">
        <f>IF(P860="","",TODAY()-P860)</f>
        <v/>
      </c>
      <c r="R860" s="441">
        <f>IF(OR(L860="Passed",Z860=""),"",P860+Z860)</f>
        <v/>
      </c>
      <c r="S860" s="425">
        <f>IF(OR(R860="",L860="Passed"),"",IF(R860&lt;=TODAY(),"DUE",IF(R860&lt;=TODAY()+3,"Next 3 Days","Later")))</f>
        <v/>
      </c>
      <c r="T860" s="425" t="inlineStr"/>
      <c r="U860" s="426" t="inlineStr">
        <is>
          <t>https://www.linkedin.com/in/tony-palcheck-b1356/</t>
        </is>
      </c>
      <c r="V860" s="426" t="inlineStr"/>
      <c r="W860" s="428" t="inlineStr">
        <is>
          <t xml:space="preserve"> | 12/03/2025 | </t>
        </is>
      </c>
      <c r="X860" s="425" t="inlineStr">
        <is>
          <t>John - Investor Contacts!502</t>
        </is>
      </c>
      <c r="Y860" s="426" t="inlineStr">
        <is>
          <t>Send next follow-up with traction + CTA</t>
        </is>
      </c>
      <c r="Z860" s="425" t="n">
        <v>7</v>
      </c>
      <c r="AA860" s="425">
        <f>IF(AC860="Archived",0,ROUND((IF(N860="Tier 1",35,IF(N860="Tier 2",20,8))+IF(C860="Financial Investor",15,IF(C860="Intermediary / Banker",12,8))+IF(L860="Term Sheet / Proposal",25,IF(L860="Engaged",20,IF(L860="Meeting Requested",18,IF(L860="Meeting Held",14,IF(L860="Follow Up",10,5)))))+MIN(Q860,30)+IF(S860="DUE",15,IF(S860="Next 3 Days",8,0))),0))</f>
        <v/>
      </c>
      <c r="AB860" s="425">
        <f>IF(AND(AC860="Active",OR(N860="Tier 1",N860="Tier 2"),OR(S860="DUE",S860="Next 3 Days")),"YES","")</f>
        <v/>
      </c>
      <c r="AC860" s="425">
        <f>IF(L860="Passed","Archived","Active")</f>
        <v/>
      </c>
    </row>
    <row r="861">
      <c r="A861" s="425" t="inlineStr">
        <is>
          <t>EXOS-0860</t>
        </is>
      </c>
      <c r="B861" s="425" t="inlineStr">
        <is>
          <t>John - Investor Contacts</t>
        </is>
      </c>
      <c r="C861" s="425" t="inlineStr">
        <is>
          <t>Financial Investor</t>
        </is>
      </c>
      <c r="D861" s="425" t="inlineStr">
        <is>
          <t>ff VC</t>
        </is>
      </c>
      <c r="E861" s="425" t="inlineStr">
        <is>
          <t>Alex Katz</t>
        </is>
      </c>
      <c r="F861" s="425" t="inlineStr"/>
      <c r="G861" s="111" t="inlineStr">
        <is>
          <t>alex@ffvc.com</t>
        </is>
      </c>
      <c r="H861" s="425" t="inlineStr"/>
      <c r="I861" s="425" t="inlineStr"/>
      <c r="J861" s="111" t="inlineStr">
        <is>
          <t>https://www.linkedin.com/in/alex-katz-42551412/</t>
        </is>
      </c>
      <c r="K861" s="426" t="inlineStr">
        <is>
          <t>John Quinn</t>
        </is>
      </c>
      <c r="L861" s="426" t="inlineStr">
        <is>
          <t>Follow Up</t>
        </is>
      </c>
      <c r="M861" s="425" t="inlineStr">
        <is>
          <t>Space / Defense / Aerospace / Advanced Manufacturing</t>
        </is>
      </c>
      <c r="N861" s="426" t="inlineStr">
        <is>
          <t>Tier 2</t>
        </is>
      </c>
      <c r="O861" s="441" t="n">
        <v>45891</v>
      </c>
      <c r="P861" s="441" t="n">
        <v>45923</v>
      </c>
      <c r="Q861" s="425">
        <f>IF(P861="","",TODAY()-P861)</f>
        <v/>
      </c>
      <c r="R861" s="441">
        <f>IF(OR(L861="Passed",Z861=""),"",P861+Z861)</f>
        <v/>
      </c>
      <c r="S861" s="425">
        <f>IF(OR(R861="",L861="Passed"),"",IF(R861&lt;=TODAY(),"DUE",IF(R861&lt;=TODAY()+3,"Next 3 Days","Later")))</f>
        <v/>
      </c>
      <c r="T861" s="425" t="inlineStr"/>
      <c r="U861" s="426" t="inlineStr">
        <is>
          <t>https://www.linkedin.com/in/alex-katz-42551412/</t>
        </is>
      </c>
      <c r="V861" s="426" t="inlineStr"/>
      <c r="W861" s="428" t="inlineStr">
        <is>
          <t xml:space="preserve"> | 12/03/2025 | </t>
        </is>
      </c>
      <c r="X861" s="425" t="inlineStr">
        <is>
          <t>John - Investor Contacts!512</t>
        </is>
      </c>
      <c r="Y861" s="426" t="inlineStr">
        <is>
          <t>Send next follow-up with traction + CTA</t>
        </is>
      </c>
      <c r="Z861" s="425" t="n">
        <v>7</v>
      </c>
      <c r="AA861" s="425">
        <f>IF(AC861="Archived",0,ROUND((IF(N861="Tier 1",35,IF(N861="Tier 2",20,8))+IF(C861="Financial Investor",15,IF(C861="Intermediary / Banker",12,8))+IF(L861="Term Sheet / Proposal",25,IF(L861="Engaged",20,IF(L861="Meeting Requested",18,IF(L861="Meeting Held",14,IF(L861="Follow Up",10,5)))))+MIN(Q861,30)+IF(S861="DUE",15,IF(S861="Next 3 Days",8,0))),0))</f>
        <v/>
      </c>
      <c r="AB861" s="425">
        <f>IF(AND(AC861="Active",OR(N861="Tier 1",N861="Tier 2"),OR(S861="DUE",S861="Next 3 Days")),"YES","")</f>
        <v/>
      </c>
      <c r="AC861" s="425">
        <f>IF(L861="Passed","Archived","Active")</f>
        <v/>
      </c>
    </row>
    <row r="862">
      <c r="A862" s="425" t="inlineStr">
        <is>
          <t>EXOS-0861</t>
        </is>
      </c>
      <c r="B862" s="425" t="inlineStr">
        <is>
          <t>John - Investor Contacts</t>
        </is>
      </c>
      <c r="C862" s="425" t="inlineStr">
        <is>
          <t>Financial Investor</t>
        </is>
      </c>
      <c r="D862" s="425" t="inlineStr">
        <is>
          <t>ff VC</t>
        </is>
      </c>
      <c r="E862" s="425" t="inlineStr">
        <is>
          <t>Avery Ersztein</t>
        </is>
      </c>
      <c r="F862" s="425" t="inlineStr"/>
      <c r="G862" s="111" t="inlineStr">
        <is>
          <t>avery@ffvc.com</t>
        </is>
      </c>
      <c r="H862" s="425" t="inlineStr"/>
      <c r="I862" s="425" t="inlineStr"/>
      <c r="J862" s="425" t="inlineStr"/>
      <c r="K862" s="426" t="inlineStr">
        <is>
          <t>John Quinn</t>
        </is>
      </c>
      <c r="L862" s="426" t="inlineStr">
        <is>
          <t>Follow Up</t>
        </is>
      </c>
      <c r="M862" s="425" t="inlineStr">
        <is>
          <t>Space / Defense / Aerospace / Advanced Manufacturing</t>
        </is>
      </c>
      <c r="N862" s="426" t="inlineStr">
        <is>
          <t>Tier 2</t>
        </is>
      </c>
      <c r="O862" s="441" t="n">
        <v>45891</v>
      </c>
      <c r="P862" s="441" t="n">
        <v>45923</v>
      </c>
      <c r="Q862" s="425">
        <f>IF(P862="","",TODAY()-P862)</f>
        <v/>
      </c>
      <c r="R862" s="441">
        <f>IF(OR(L862="Passed",Z862=""),"",P862+Z862)</f>
        <v/>
      </c>
      <c r="S862" s="425">
        <f>IF(OR(R862="",L862="Passed"),"",IF(R862&lt;=TODAY(),"DUE",IF(R862&lt;=TODAY()+3,"Next 3 Days","Later")))</f>
        <v/>
      </c>
      <c r="T862" s="425" t="inlineStr"/>
      <c r="U862" s="426" t="inlineStr"/>
      <c r="V862" s="426" t="inlineStr"/>
      <c r="W862" s="428" t="inlineStr">
        <is>
          <t xml:space="preserve"> | 12/03/2025 | </t>
        </is>
      </c>
      <c r="X862" s="425" t="inlineStr">
        <is>
          <t>John - Investor Contacts!513</t>
        </is>
      </c>
      <c r="Y862" s="426" t="inlineStr">
        <is>
          <t>Send next follow-up with traction + CTA</t>
        </is>
      </c>
      <c r="Z862" s="425" t="n">
        <v>7</v>
      </c>
      <c r="AA862" s="425">
        <f>IF(AC862="Archived",0,ROUND((IF(N862="Tier 1",35,IF(N862="Tier 2",20,8))+IF(C862="Financial Investor",15,IF(C862="Intermediary / Banker",12,8))+IF(L862="Term Sheet / Proposal",25,IF(L862="Engaged",20,IF(L862="Meeting Requested",18,IF(L862="Meeting Held",14,IF(L862="Follow Up",10,5)))))+MIN(Q862,30)+IF(S862="DUE",15,IF(S862="Next 3 Days",8,0))),0))</f>
        <v/>
      </c>
      <c r="AB862" s="425">
        <f>IF(AND(AC862="Active",OR(N862="Tier 1",N862="Tier 2"),OR(S862="DUE",S862="Next 3 Days")),"YES","")</f>
        <v/>
      </c>
      <c r="AC862" s="425">
        <f>IF(L862="Passed","Archived","Active")</f>
        <v/>
      </c>
    </row>
    <row r="863">
      <c r="A863" s="425" t="inlineStr">
        <is>
          <t>EXOS-0862</t>
        </is>
      </c>
      <c r="B863" s="425" t="inlineStr">
        <is>
          <t>John - Investor Contacts</t>
        </is>
      </c>
      <c r="C863" s="425" t="inlineStr">
        <is>
          <t>Financial Investor</t>
        </is>
      </c>
      <c r="D863" s="425" t="inlineStr">
        <is>
          <t>ff VC</t>
        </is>
      </c>
      <c r="E863" s="425" t="inlineStr">
        <is>
          <t>Oliver Mitchell</t>
        </is>
      </c>
      <c r="F863" s="425" t="inlineStr"/>
      <c r="G863" s="111" t="inlineStr">
        <is>
          <t>oliver.mitchell@ffvc.com</t>
        </is>
      </c>
      <c r="H863" s="425" t="inlineStr"/>
      <c r="I863" s="425" t="inlineStr"/>
      <c r="J863" s="111" t="inlineStr">
        <is>
          <t>https://www.linkedin.com/in/oliverbmitchell/</t>
        </is>
      </c>
      <c r="K863" s="426" t="inlineStr">
        <is>
          <t>John Quinn</t>
        </is>
      </c>
      <c r="L863" s="426" t="inlineStr">
        <is>
          <t>Follow Up</t>
        </is>
      </c>
      <c r="M863" s="425" t="inlineStr">
        <is>
          <t>Space / Defense / Aerospace / Advanced Manufacturing</t>
        </is>
      </c>
      <c r="N863" s="426" t="inlineStr">
        <is>
          <t>Tier 2</t>
        </is>
      </c>
      <c r="O863" s="441" t="n">
        <v>45891</v>
      </c>
      <c r="P863" s="441" t="n">
        <v>45923</v>
      </c>
      <c r="Q863" s="425">
        <f>IF(P863="","",TODAY()-P863)</f>
        <v/>
      </c>
      <c r="R863" s="441">
        <f>IF(OR(L863="Passed",Z863=""),"",P863+Z863)</f>
        <v/>
      </c>
      <c r="S863" s="425">
        <f>IF(OR(R863="",L863="Passed"),"",IF(R863&lt;=TODAY(),"DUE",IF(R863&lt;=TODAY()+3,"Next 3 Days","Later")))</f>
        <v/>
      </c>
      <c r="T863" s="425" t="inlineStr"/>
      <c r="U863" s="426" t="inlineStr">
        <is>
          <t>https://www.linkedin.com/in/oliverbmitchell/</t>
        </is>
      </c>
      <c r="V863" s="426" t="inlineStr"/>
      <c r="W863" s="428" t="inlineStr">
        <is>
          <t xml:space="preserve"> | 12/03/2025 | </t>
        </is>
      </c>
      <c r="X863" s="425" t="inlineStr">
        <is>
          <t>John - Investor Contacts!511</t>
        </is>
      </c>
      <c r="Y863" s="426" t="inlineStr">
        <is>
          <t>Send next follow-up with traction + CTA</t>
        </is>
      </c>
      <c r="Z863" s="425" t="n">
        <v>7</v>
      </c>
      <c r="AA863" s="425">
        <f>IF(AC863="Archived",0,ROUND((IF(N863="Tier 1",35,IF(N863="Tier 2",20,8))+IF(C863="Financial Investor",15,IF(C863="Intermediary / Banker",12,8))+IF(L863="Term Sheet / Proposal",25,IF(L863="Engaged",20,IF(L863="Meeting Requested",18,IF(L863="Meeting Held",14,IF(L863="Follow Up",10,5)))))+MIN(Q863,30)+IF(S863="DUE",15,IF(S863="Next 3 Days",8,0))),0))</f>
        <v/>
      </c>
      <c r="AB863" s="425">
        <f>IF(AND(AC863="Active",OR(N863="Tier 1",N863="Tier 2"),OR(S863="DUE",S863="Next 3 Days")),"YES","")</f>
        <v/>
      </c>
      <c r="AC863" s="425">
        <f>IF(L863="Passed","Archived","Active")</f>
        <v/>
      </c>
    </row>
    <row r="864">
      <c r="A864" s="425" t="inlineStr">
        <is>
          <t>EXOS-0863</t>
        </is>
      </c>
      <c r="B864" s="425" t="inlineStr">
        <is>
          <t>John - Investor Contacts</t>
        </is>
      </c>
      <c r="C864" s="425" t="inlineStr">
        <is>
          <t>Financial Investor</t>
        </is>
      </c>
      <c r="D864" s="425" t="inlineStr">
        <is>
          <t>kleiner perkins</t>
        </is>
      </c>
      <c r="E864" s="425" t="inlineStr">
        <is>
          <t>Annie Case</t>
        </is>
      </c>
      <c r="F864" s="425" t="inlineStr"/>
      <c r="G864" s="111" t="inlineStr">
        <is>
          <t>annie@kleinerperkins.com</t>
        </is>
      </c>
      <c r="H864" s="425" t="inlineStr"/>
      <c r="I864" s="425" t="inlineStr"/>
      <c r="J864" s="111" t="inlineStr">
        <is>
          <t>https://www.linkedin.com/in/annie-case-044bb753/</t>
        </is>
      </c>
      <c r="K864" s="426" t="inlineStr">
        <is>
          <t>John Quinn</t>
        </is>
      </c>
      <c r="L864" s="426" t="inlineStr">
        <is>
          <t>Follow Up</t>
        </is>
      </c>
      <c r="M864" s="425" t="inlineStr">
        <is>
          <t>Space / Defense / Aerospace / Advanced Manufacturing</t>
        </is>
      </c>
      <c r="N864" s="426" t="inlineStr">
        <is>
          <t>Tier 2</t>
        </is>
      </c>
      <c r="O864" s="441" t="n">
        <v>45909</v>
      </c>
      <c r="P864" s="441" t="n">
        <v>45972</v>
      </c>
      <c r="Q864" s="425">
        <f>IF(P864="","",TODAY()-P864)</f>
        <v/>
      </c>
      <c r="R864" s="441">
        <f>IF(OR(L864="Passed",Z864=""),"",P864+Z864)</f>
        <v/>
      </c>
      <c r="S864" s="425">
        <f>IF(OR(R864="",L864="Passed"),"",IF(R864&lt;=TODAY(),"DUE",IF(R864&lt;=TODAY()+3,"Next 3 Days","Later")))</f>
        <v/>
      </c>
      <c r="T864" s="425" t="inlineStr"/>
      <c r="U864" s="426" t="inlineStr">
        <is>
          <t>https://www.linkedin.com/in/annie-case-044bb753/</t>
        </is>
      </c>
      <c r="V864" s="426" t="inlineStr"/>
      <c r="W864" s="428" t="inlineStr">
        <is>
          <t xml:space="preserve"> | 12/05/2025 | </t>
        </is>
      </c>
      <c r="X864" s="425" t="inlineStr">
        <is>
          <t>John - Investor Contacts!639</t>
        </is>
      </c>
      <c r="Y864" s="426" t="inlineStr">
        <is>
          <t>Send next follow-up with traction + CTA</t>
        </is>
      </c>
      <c r="Z864" s="425" t="n">
        <v>7</v>
      </c>
      <c r="AA864" s="425">
        <f>IF(AC864="Archived",0,ROUND((IF(N864="Tier 1",35,IF(N864="Tier 2",20,8))+IF(C864="Financial Investor",15,IF(C864="Intermediary / Banker",12,8))+IF(L864="Term Sheet / Proposal",25,IF(L864="Engaged",20,IF(L864="Meeting Requested",18,IF(L864="Meeting Held",14,IF(L864="Follow Up",10,5)))))+MIN(Q864,30)+IF(S864="DUE",15,IF(S864="Next 3 Days",8,0))),0))</f>
        <v/>
      </c>
      <c r="AB864" s="425">
        <f>IF(AND(AC864="Active",OR(N864="Tier 1",N864="Tier 2"),OR(S864="DUE",S864="Next 3 Days")),"YES","")</f>
        <v/>
      </c>
      <c r="AC864" s="425">
        <f>IF(L864="Passed","Archived","Active")</f>
        <v/>
      </c>
    </row>
    <row r="865">
      <c r="A865" s="425" t="inlineStr">
        <is>
          <t>EXOS-0864</t>
        </is>
      </c>
      <c r="B865" s="425" t="inlineStr">
        <is>
          <t>John - Investor Contacts</t>
        </is>
      </c>
      <c r="C865" s="425" t="inlineStr">
        <is>
          <t>Financial Investor</t>
        </is>
      </c>
      <c r="D865" s="425" t="inlineStr">
        <is>
          <t>kleiner perkins</t>
        </is>
      </c>
      <c r="E865" s="425" t="inlineStr">
        <is>
          <t>Ilya Fushman</t>
        </is>
      </c>
      <c r="F865" s="425" t="inlineStr"/>
      <c r="G865" s="111" t="inlineStr">
        <is>
          <t>ilya@kleinerperkins.com</t>
        </is>
      </c>
      <c r="H865" s="425" t="inlineStr"/>
      <c r="I865" s="425" t="inlineStr"/>
      <c r="J865" s="111" t="inlineStr">
        <is>
          <t>https://www.linkedin.com/in/ilyafushman/</t>
        </is>
      </c>
      <c r="K865" s="426" t="inlineStr">
        <is>
          <t>John Quinn</t>
        </is>
      </c>
      <c r="L865" s="426" t="inlineStr">
        <is>
          <t>Follow Up</t>
        </is>
      </c>
      <c r="M865" s="425" t="inlineStr">
        <is>
          <t>Space / Defense / Aerospace / Advanced Manufacturing</t>
        </is>
      </c>
      <c r="N865" s="426" t="inlineStr">
        <is>
          <t>Tier 2</t>
        </is>
      </c>
      <c r="O865" s="441" t="n">
        <v>45790</v>
      </c>
      <c r="P865" s="441" t="n">
        <v>45841</v>
      </c>
      <c r="Q865" s="425">
        <f>IF(P865="","",TODAY()-P865)</f>
        <v/>
      </c>
      <c r="R865" s="441">
        <f>IF(OR(L865="Passed",Z865=""),"",P865+Z865)</f>
        <v/>
      </c>
      <c r="S865" s="425">
        <f>IF(OR(R865="",L865="Passed"),"",IF(R865&lt;=TODAY(),"DUE",IF(R865&lt;=TODAY()+3,"Next 3 Days","Later")))</f>
        <v/>
      </c>
      <c r="T865" s="425" t="inlineStr"/>
      <c r="U865" s="426" t="inlineStr">
        <is>
          <t>https://www.linkedin.com/in/ilyafushman/</t>
        </is>
      </c>
      <c r="V865" s="426" t="inlineStr"/>
      <c r="W865" s="428" t="inlineStr">
        <is>
          <t xml:space="preserve"> |  | </t>
        </is>
      </c>
      <c r="X865" s="425" t="inlineStr">
        <is>
          <t>John - Investor Contacts!11</t>
        </is>
      </c>
      <c r="Y865" s="426" t="inlineStr">
        <is>
          <t>Send next follow-up with traction + CTA</t>
        </is>
      </c>
      <c r="Z865" s="425" t="n">
        <v>7</v>
      </c>
      <c r="AA865" s="425">
        <f>IF(AC865="Archived",0,ROUND((IF(N865="Tier 1",35,IF(N865="Tier 2",20,8))+IF(C865="Financial Investor",15,IF(C865="Intermediary / Banker",12,8))+IF(L865="Term Sheet / Proposal",25,IF(L865="Engaged",20,IF(L865="Meeting Requested",18,IF(L865="Meeting Held",14,IF(L865="Follow Up",10,5)))))+MIN(Q865,30)+IF(S865="DUE",15,IF(S865="Next 3 Days",8,0))),0))</f>
        <v/>
      </c>
      <c r="AB865" s="425">
        <f>IF(AND(AC865="Active",OR(N865="Tier 1",N865="Tier 2"),OR(S865="DUE",S865="Next 3 Days")),"YES","")</f>
        <v/>
      </c>
      <c r="AC865" s="425">
        <f>IF(L865="Passed","Archived","Active")</f>
        <v/>
      </c>
    </row>
    <row r="866">
      <c r="A866" s="425" t="inlineStr">
        <is>
          <t>EXOS-0865</t>
        </is>
      </c>
      <c r="B866" s="425" t="inlineStr">
        <is>
          <t>John - Investor Contacts</t>
        </is>
      </c>
      <c r="C866" s="425" t="inlineStr">
        <is>
          <t>Financial Investor</t>
        </is>
      </c>
      <c r="D866" s="425" t="inlineStr">
        <is>
          <t>kleiner perkins</t>
        </is>
      </c>
      <c r="E866" s="425" t="inlineStr">
        <is>
          <t>Josh Coyne</t>
        </is>
      </c>
      <c r="F866" s="425" t="inlineStr"/>
      <c r="G866" s="111" t="inlineStr">
        <is>
          <t>jcoyne@kleinerperkins.com</t>
        </is>
      </c>
      <c r="H866" s="425" t="inlineStr"/>
      <c r="I866" s="425" t="inlineStr"/>
      <c r="J866" s="111" t="inlineStr">
        <is>
          <t>https://www.linkedin.com/in/joshuacoyne/</t>
        </is>
      </c>
      <c r="K866" s="426" t="inlineStr">
        <is>
          <t>John Quinn</t>
        </is>
      </c>
      <c r="L866" s="426" t="inlineStr">
        <is>
          <t>Follow Up</t>
        </is>
      </c>
      <c r="M866" s="425" t="inlineStr">
        <is>
          <t>Space / Defense / Aerospace / Advanced Manufacturing</t>
        </is>
      </c>
      <c r="N866" s="426" t="inlineStr">
        <is>
          <t>Tier 2</t>
        </is>
      </c>
      <c r="O866" s="441" t="n">
        <v>45909</v>
      </c>
      <c r="P866" s="441" t="n">
        <v>45972</v>
      </c>
      <c r="Q866" s="425">
        <f>IF(P866="","",TODAY()-P866)</f>
        <v/>
      </c>
      <c r="R866" s="441">
        <f>IF(OR(L866="Passed",Z866=""),"",P866+Z866)</f>
        <v/>
      </c>
      <c r="S866" s="425">
        <f>IF(OR(R866="",L866="Passed"),"",IF(R866&lt;=TODAY(),"DUE",IF(R866&lt;=TODAY()+3,"Next 3 Days","Later")))</f>
        <v/>
      </c>
      <c r="T866" s="425" t="inlineStr"/>
      <c r="U866" s="426" t="inlineStr">
        <is>
          <t>https://www.linkedin.com/in/joshuacoyne/</t>
        </is>
      </c>
      <c r="V866" s="426" t="inlineStr"/>
      <c r="W866" s="428" t="inlineStr">
        <is>
          <t xml:space="preserve"> | 12/05/2025 | </t>
        </is>
      </c>
      <c r="X866" s="425" t="inlineStr">
        <is>
          <t>John - Investor Contacts!641</t>
        </is>
      </c>
      <c r="Y866" s="426" t="inlineStr">
        <is>
          <t>Send next follow-up with traction + CTA</t>
        </is>
      </c>
      <c r="Z866" s="425" t="n">
        <v>7</v>
      </c>
      <c r="AA866" s="425">
        <f>IF(AC866="Archived",0,ROUND((IF(N866="Tier 1",35,IF(N866="Tier 2",20,8))+IF(C866="Financial Investor",15,IF(C866="Intermediary / Banker",12,8))+IF(L866="Term Sheet / Proposal",25,IF(L866="Engaged",20,IF(L866="Meeting Requested",18,IF(L866="Meeting Held",14,IF(L866="Follow Up",10,5)))))+MIN(Q866,30)+IF(S866="DUE",15,IF(S866="Next 3 Days",8,0))),0))</f>
        <v/>
      </c>
      <c r="AB866" s="425">
        <f>IF(AND(AC866="Active",OR(N866="Tier 1",N866="Tier 2"),OR(S866="DUE",S866="Next 3 Days")),"YES","")</f>
        <v/>
      </c>
      <c r="AC866" s="425">
        <f>IF(L866="Passed","Archived","Active")</f>
        <v/>
      </c>
    </row>
    <row r="867">
      <c r="A867" s="425" t="inlineStr">
        <is>
          <t>EXOS-0866</t>
        </is>
      </c>
      <c r="B867" s="425" t="inlineStr">
        <is>
          <t>John - Investor Contacts</t>
        </is>
      </c>
      <c r="C867" s="425" t="inlineStr">
        <is>
          <t>Financial Investor</t>
        </is>
      </c>
      <c r="D867" s="425" t="inlineStr">
        <is>
          <t>kleiner perkins</t>
        </is>
      </c>
      <c r="E867" s="425" t="inlineStr">
        <is>
          <t>Leigh-Marie Braswell</t>
        </is>
      </c>
      <c r="F867" s="425" t="inlineStr"/>
      <c r="G867" s="111" t="inlineStr">
        <is>
          <t>leighmarie@kleinerperkins.com</t>
        </is>
      </c>
      <c r="H867" s="425" t="inlineStr"/>
      <c r="I867" s="425" t="inlineStr"/>
      <c r="J867" s="425" t="inlineStr"/>
      <c r="K867" s="426" t="inlineStr">
        <is>
          <t>John Quinn</t>
        </is>
      </c>
      <c r="L867" s="426" t="inlineStr">
        <is>
          <t>Follow Up</t>
        </is>
      </c>
      <c r="M867" s="425" t="inlineStr">
        <is>
          <t>Space / Defense / Aerospace / Advanced Manufacturing</t>
        </is>
      </c>
      <c r="N867" s="426" t="inlineStr">
        <is>
          <t>Tier 2</t>
        </is>
      </c>
      <c r="O867" s="441" t="n">
        <v>45909</v>
      </c>
      <c r="P867" s="441" t="n">
        <v>45972</v>
      </c>
      <c r="Q867" s="425">
        <f>IF(P867="","",TODAY()-P867)</f>
        <v/>
      </c>
      <c r="R867" s="441">
        <f>IF(OR(L867="Passed",Z867=""),"",P867+Z867)</f>
        <v/>
      </c>
      <c r="S867" s="425">
        <f>IF(OR(R867="",L867="Passed"),"",IF(R867&lt;=TODAY(),"DUE",IF(R867&lt;=TODAY()+3,"Next 3 Days","Later")))</f>
        <v/>
      </c>
      <c r="T867" s="425" t="inlineStr"/>
      <c r="U867" s="426" t="inlineStr">
        <is>
          <t>linkedin.com/in/leigh-marie-braswell</t>
        </is>
      </c>
      <c r="V867" s="426" t="inlineStr"/>
      <c r="W867" s="428" t="inlineStr">
        <is>
          <t xml:space="preserve"> | 12/05/2025 | </t>
        </is>
      </c>
      <c r="X867" s="425" t="inlineStr">
        <is>
          <t>John - Investor Contacts!640</t>
        </is>
      </c>
      <c r="Y867" s="426" t="inlineStr">
        <is>
          <t>Send next follow-up with traction + CTA</t>
        </is>
      </c>
      <c r="Z867" s="425" t="n">
        <v>7</v>
      </c>
      <c r="AA867" s="425">
        <f>IF(AC867="Archived",0,ROUND((IF(N867="Tier 1",35,IF(N867="Tier 2",20,8))+IF(C867="Financial Investor",15,IF(C867="Intermediary / Banker",12,8))+IF(L867="Term Sheet / Proposal",25,IF(L867="Engaged",20,IF(L867="Meeting Requested",18,IF(L867="Meeting Held",14,IF(L867="Follow Up",10,5)))))+MIN(Q867,30)+IF(S867="DUE",15,IF(S867="Next 3 Days",8,0))),0))</f>
        <v/>
      </c>
      <c r="AB867" s="425">
        <f>IF(AND(AC867="Active",OR(N867="Tier 1",N867="Tier 2"),OR(S867="DUE",S867="Next 3 Days")),"YES","")</f>
        <v/>
      </c>
      <c r="AC867" s="425">
        <f>IF(L867="Passed","Archived","Active")</f>
        <v/>
      </c>
    </row>
    <row r="868">
      <c r="A868" s="425" t="inlineStr">
        <is>
          <t>EXOS-0867</t>
        </is>
      </c>
      <c r="B868" s="425" t="inlineStr">
        <is>
          <t>John - Investor Contacts</t>
        </is>
      </c>
      <c r="C868" s="425" t="inlineStr">
        <is>
          <t>Financial Investor</t>
        </is>
      </c>
      <c r="D868" s="425" t="inlineStr">
        <is>
          <t>kleiner perkins</t>
        </is>
      </c>
      <c r="E868" s="425" t="inlineStr">
        <is>
          <t>Mamoon Hamid</t>
        </is>
      </c>
      <c r="F868" s="425" t="inlineStr"/>
      <c r="G868" s="111" t="inlineStr">
        <is>
          <t>mamoon@kleinerperkins.com</t>
        </is>
      </c>
      <c r="H868" s="425" t="inlineStr"/>
      <c r="I868" s="425" t="inlineStr"/>
      <c r="J868" s="111" t="inlineStr">
        <is>
          <t>https://www.linkedin.com/in/mamoonha/</t>
        </is>
      </c>
      <c r="K868" s="426" t="inlineStr">
        <is>
          <t>John Quinn</t>
        </is>
      </c>
      <c r="L868" s="426" t="inlineStr">
        <is>
          <t>Follow Up</t>
        </is>
      </c>
      <c r="M868" s="425" t="inlineStr">
        <is>
          <t>Space / Defense / Aerospace / Advanced Manufacturing</t>
        </is>
      </c>
      <c r="N868" s="426" t="inlineStr">
        <is>
          <t>Tier 2</t>
        </is>
      </c>
      <c r="O868" s="441" t="n">
        <v>45790</v>
      </c>
      <c r="P868" s="441" t="n">
        <v>45841</v>
      </c>
      <c r="Q868" s="425">
        <f>IF(P868="","",TODAY()-P868)</f>
        <v/>
      </c>
      <c r="R868" s="441">
        <f>IF(OR(L868="Passed",Z868=""),"",P868+Z868)</f>
        <v/>
      </c>
      <c r="S868" s="425">
        <f>IF(OR(R868="",L868="Passed"),"",IF(R868&lt;=TODAY(),"DUE",IF(R868&lt;=TODAY()+3,"Next 3 Days","Later")))</f>
        <v/>
      </c>
      <c r="T868" s="425" t="inlineStr"/>
      <c r="U868" s="426" t="inlineStr">
        <is>
          <t>https://www.linkedin.com/in/mamoonha/</t>
        </is>
      </c>
      <c r="V868" s="426" t="inlineStr"/>
      <c r="W868" s="428" t="inlineStr">
        <is>
          <t xml:space="preserve"> |  | </t>
        </is>
      </c>
      <c r="X868" s="425" t="inlineStr">
        <is>
          <t>John - Investor Contacts!12</t>
        </is>
      </c>
      <c r="Y868" s="426" t="inlineStr">
        <is>
          <t>Send next follow-up with traction + CTA</t>
        </is>
      </c>
      <c r="Z868" s="425" t="n">
        <v>7</v>
      </c>
      <c r="AA868" s="425">
        <f>IF(AC868="Archived",0,ROUND((IF(N868="Tier 1",35,IF(N868="Tier 2",20,8))+IF(C868="Financial Investor",15,IF(C868="Intermediary / Banker",12,8))+IF(L868="Term Sheet / Proposal",25,IF(L868="Engaged",20,IF(L868="Meeting Requested",18,IF(L868="Meeting Held",14,IF(L868="Follow Up",10,5)))))+MIN(Q868,30)+IF(S868="DUE",15,IF(S868="Next 3 Days",8,0))),0))</f>
        <v/>
      </c>
      <c r="AB868" s="425">
        <f>IF(AND(AC868="Active",OR(N868="Tier 1",N868="Tier 2"),OR(S868="DUE",S868="Next 3 Days")),"YES","")</f>
        <v/>
      </c>
      <c r="AC868" s="425">
        <f>IF(L868="Passed","Archived","Active")</f>
        <v/>
      </c>
    </row>
    <row r="869">
      <c r="A869" s="425" t="inlineStr">
        <is>
          <t>EXOS-0868</t>
        </is>
      </c>
      <c r="B869" s="425" t="inlineStr">
        <is>
          <t>John - Investor Contacts</t>
        </is>
      </c>
      <c r="C869" s="425" t="inlineStr">
        <is>
          <t>Financial Investor</t>
        </is>
      </c>
      <c r="D869" s="425" t="inlineStr">
        <is>
          <t>kleiner perkins</t>
        </is>
      </c>
      <c r="E869" s="425" t="inlineStr">
        <is>
          <t>Nadia Cochinwala</t>
        </is>
      </c>
      <c r="F869" s="425" t="inlineStr"/>
      <c r="G869" s="111" t="inlineStr">
        <is>
          <t>nadia@kleinerperkins.com</t>
        </is>
      </c>
      <c r="H869" s="425" t="inlineStr"/>
      <c r="I869" s="425" t="inlineStr"/>
      <c r="J869" s="425" t="inlineStr"/>
      <c r="K869" s="426" t="inlineStr">
        <is>
          <t>John Quinn</t>
        </is>
      </c>
      <c r="L869" s="426" t="inlineStr">
        <is>
          <t>Follow Up</t>
        </is>
      </c>
      <c r="M869" s="425" t="inlineStr">
        <is>
          <t>Space / Defense / Aerospace / Advanced Manufacturing</t>
        </is>
      </c>
      <c r="N869" s="426" t="inlineStr">
        <is>
          <t>Tier 2</t>
        </is>
      </c>
      <c r="O869" s="441" t="n">
        <v>45909</v>
      </c>
      <c r="P869" s="441" t="n">
        <v>45972</v>
      </c>
      <c r="Q869" s="425">
        <f>IF(P869="","",TODAY()-P869)</f>
        <v/>
      </c>
      <c r="R869" s="441">
        <f>IF(OR(L869="Passed",Z869=""),"",P869+Z869)</f>
        <v/>
      </c>
      <c r="S869" s="425">
        <f>IF(OR(R869="",L869="Passed"),"",IF(R869&lt;=TODAY(),"DUE",IF(R869&lt;=TODAY()+3,"Next 3 Days","Later")))</f>
        <v/>
      </c>
      <c r="T869" s="425" t="inlineStr"/>
      <c r="U869" s="426" t="inlineStr">
        <is>
          <t>linkedin.com/in/nadiacochinwala</t>
        </is>
      </c>
      <c r="V869" s="426" t="inlineStr"/>
      <c r="W869" s="428" t="inlineStr">
        <is>
          <t xml:space="preserve"> | 12/05/2025 | </t>
        </is>
      </c>
      <c r="X869" s="425" t="inlineStr">
        <is>
          <t>John - Investor Contacts!642</t>
        </is>
      </c>
      <c r="Y869" s="426" t="inlineStr">
        <is>
          <t>Send next follow-up with traction + CTA</t>
        </is>
      </c>
      <c r="Z869" s="425" t="n">
        <v>7</v>
      </c>
      <c r="AA869" s="425">
        <f>IF(AC869="Archived",0,ROUND((IF(N869="Tier 1",35,IF(N869="Tier 2",20,8))+IF(C869="Financial Investor",15,IF(C869="Intermediary / Banker",12,8))+IF(L869="Term Sheet / Proposal",25,IF(L869="Engaged",20,IF(L869="Meeting Requested",18,IF(L869="Meeting Held",14,IF(L869="Follow Up",10,5)))))+MIN(Q869,30)+IF(S869="DUE",15,IF(S869="Next 3 Days",8,0))),0))</f>
        <v/>
      </c>
      <c r="AB869" s="425">
        <f>IF(AND(AC869="Active",OR(N869="Tier 1",N869="Tier 2"),OR(S869="DUE",S869="Next 3 Days")),"YES","")</f>
        <v/>
      </c>
      <c r="AC869" s="425">
        <f>IF(L869="Passed","Archived","Active")</f>
        <v/>
      </c>
    </row>
    <row r="870">
      <c r="A870" s="425" t="inlineStr">
        <is>
          <t>EXOS-0869</t>
        </is>
      </c>
      <c r="B870" s="425" t="inlineStr">
        <is>
          <t>John - Investor Contacts</t>
        </is>
      </c>
      <c r="C870" s="425" t="inlineStr">
        <is>
          <t>Financial Investor</t>
        </is>
      </c>
      <c r="D870" s="425" t="inlineStr">
        <is>
          <t>kleiner perkins</t>
        </is>
      </c>
      <c r="E870" s="425" t="inlineStr">
        <is>
          <t>Wen Hsieh</t>
        </is>
      </c>
      <c r="F870" s="425" t="inlineStr"/>
      <c r="G870" s="111" t="inlineStr">
        <is>
          <t>wen@kleinerperkins.com</t>
        </is>
      </c>
      <c r="H870" s="425" t="inlineStr"/>
      <c r="I870" s="425" t="inlineStr"/>
      <c r="J870" s="425" t="inlineStr"/>
      <c r="K870" s="426" t="inlineStr">
        <is>
          <t>John Quinn</t>
        </is>
      </c>
      <c r="L870" s="426" t="inlineStr">
        <is>
          <t>Follow Up</t>
        </is>
      </c>
      <c r="M870" s="425" t="inlineStr">
        <is>
          <t>Space / Defense / Aerospace / Advanced Manufacturing</t>
        </is>
      </c>
      <c r="N870" s="426" t="inlineStr">
        <is>
          <t>Tier 2</t>
        </is>
      </c>
      <c r="O870" s="441" t="n">
        <v>45790</v>
      </c>
      <c r="P870" s="441" t="n">
        <v>45841</v>
      </c>
      <c r="Q870" s="425">
        <f>IF(P870="","",TODAY()-P870)</f>
        <v/>
      </c>
      <c r="R870" s="441">
        <f>IF(OR(L870="Passed",Z870=""),"",P870+Z870)</f>
        <v/>
      </c>
      <c r="S870" s="425">
        <f>IF(OR(R870="",L870="Passed"),"",IF(R870&lt;=TODAY(),"DUE",IF(R870&lt;=TODAY()+3,"Next 3 Days","Later")))</f>
        <v/>
      </c>
      <c r="T870" s="425" t="inlineStr"/>
      <c r="U870" s="426" t="inlineStr"/>
      <c r="V870" s="426" t="inlineStr"/>
      <c r="W870" s="428" t="inlineStr">
        <is>
          <t xml:space="preserve"> |  | </t>
        </is>
      </c>
      <c r="X870" s="425" t="inlineStr">
        <is>
          <t>John - Investor Contacts!10</t>
        </is>
      </c>
      <c r="Y870" s="426" t="inlineStr">
        <is>
          <t>Send next follow-up with traction + CTA</t>
        </is>
      </c>
      <c r="Z870" s="425" t="n">
        <v>7</v>
      </c>
      <c r="AA870" s="425">
        <f>IF(AC870="Archived",0,ROUND((IF(N870="Tier 1",35,IF(N870="Tier 2",20,8))+IF(C870="Financial Investor",15,IF(C870="Intermediary / Banker",12,8))+IF(L870="Term Sheet / Proposal",25,IF(L870="Engaged",20,IF(L870="Meeting Requested",18,IF(L870="Meeting Held",14,IF(L870="Follow Up",10,5)))))+MIN(Q870,30)+IF(S870="DUE",15,IF(S870="Next 3 Days",8,0))),0))</f>
        <v/>
      </c>
      <c r="AB870" s="425">
        <f>IF(AND(AC870="Active",OR(N870="Tier 1",N870="Tier 2"),OR(S870="DUE",S870="Next 3 Days")),"YES","")</f>
        <v/>
      </c>
      <c r="AC870" s="425">
        <f>IF(L870="Passed","Archived","Active")</f>
        <v/>
      </c>
    </row>
    <row r="871">
      <c r="A871" s="425" t="inlineStr">
        <is>
          <t>EXOS-0870</t>
        </is>
      </c>
      <c r="B871" s="425" t="inlineStr">
        <is>
          <t>John - Investor Contacts</t>
        </is>
      </c>
      <c r="C871" s="425" t="inlineStr">
        <is>
          <t>Intermediary / Banker</t>
        </is>
      </c>
      <c r="D871" s="425" t="inlineStr">
        <is>
          <t>referred by andy@abucholtz.com</t>
        </is>
      </c>
      <c r="E871" s="425" t="inlineStr">
        <is>
          <t>Richard Phillips</t>
        </is>
      </c>
      <c r="F871" s="425" t="inlineStr"/>
      <c r="G871" s="111" t="inlineStr">
        <is>
          <t>phillips@crossroadscapitaldc.com</t>
        </is>
      </c>
      <c r="H871" s="425" t="inlineStr"/>
      <c r="I871" s="425" t="inlineStr"/>
      <c r="J871" s="425" t="inlineStr"/>
      <c r="K871" s="426" t="inlineStr">
        <is>
          <t>John Quinn</t>
        </is>
      </c>
      <c r="L871" s="426" t="inlineStr">
        <is>
          <t>Follow Up</t>
        </is>
      </c>
      <c r="M871" s="425" t="inlineStr">
        <is>
          <t>Capital raise support / placement</t>
        </is>
      </c>
      <c r="N871" s="426" t="inlineStr">
        <is>
          <t>Tier 2</t>
        </is>
      </c>
      <c r="O871" s="441" t="n">
        <v>45903</v>
      </c>
      <c r="P871" s="441" t="n">
        <v>45903</v>
      </c>
      <c r="Q871" s="425">
        <f>IF(P871="","",TODAY()-P871)</f>
        <v/>
      </c>
      <c r="R871" s="441">
        <f>IF(OR(L871="Passed",Z871=""),"",P871+Z871)</f>
        <v/>
      </c>
      <c r="S871" s="425">
        <f>IF(OR(R871="",L871="Passed"),"",IF(R871&lt;=TODAY(),"DUE",IF(R871&lt;=TODAY()+3,"Next 3 Days","Later")))</f>
        <v/>
      </c>
      <c r="T871" s="425" t="inlineStr"/>
      <c r="U871" s="426" t="inlineStr"/>
      <c r="V871" s="426" t="inlineStr"/>
      <c r="W871" s="428" t="inlineStr">
        <is>
          <t>Suggested www.ctd.materials.com as a better fit and said he would schedule follow up meeting using your link | 9/17 – Richard sent draft ELA; John replied same day with detailed summary of requested revisions (removal of exclusivity, no retainer, Appendix D addition, clarified success fees). No reply since. | 10/1 follow up sent</t>
        </is>
      </c>
      <c r="X871" s="425" t="inlineStr">
        <is>
          <t>John - Investor Contacts!898</t>
        </is>
      </c>
      <c r="Y871" s="426" t="inlineStr">
        <is>
          <t>Send next follow-up with traction + CTA</t>
        </is>
      </c>
      <c r="Z871" s="425" t="n">
        <v>7</v>
      </c>
      <c r="AA871" s="425">
        <f>IF(AC871="Archived",0,ROUND((IF(N871="Tier 1",35,IF(N871="Tier 2",20,8))+IF(C871="Financial Investor",15,IF(C871="Intermediary / Banker",12,8))+IF(L871="Term Sheet / Proposal",25,IF(L871="Engaged",20,IF(L871="Meeting Requested",18,IF(L871="Meeting Held",14,IF(L871="Follow Up",10,5)))))+MIN(Q871,30)+IF(S871="DUE",15,IF(S871="Next 3 Days",8,0))),0))</f>
        <v/>
      </c>
      <c r="AB871" s="425">
        <f>IF(AND(AC871="Active",OR(N871="Tier 1",N871="Tier 2"),OR(S871="DUE",S871="Next 3 Days")),"YES","")</f>
        <v/>
      </c>
      <c r="AC871" s="425">
        <f>IF(L871="Passed","Archived","Active")</f>
        <v/>
      </c>
    </row>
    <row r="872">
      <c r="A872" s="425" t="inlineStr">
        <is>
          <t>EXOS-0871</t>
        </is>
      </c>
      <c r="B872" s="425" t="inlineStr">
        <is>
          <t>Toshi Contacts</t>
        </is>
      </c>
      <c r="C872" s="425" t="inlineStr">
        <is>
          <t>Strategic / Corporate</t>
        </is>
      </c>
      <c r="D872" s="425" t="inlineStr"/>
      <c r="E872" s="425" t="inlineStr"/>
      <c r="F872" s="425" t="inlineStr"/>
      <c r="G872" s="111" t="inlineStr">
        <is>
          <t>helotaibi@misa.gov.sa</t>
        </is>
      </c>
      <c r="H872" s="425" t="inlineStr"/>
      <c r="I872" s="425" t="inlineStr"/>
      <c r="J872" s="425" t="inlineStr"/>
      <c r="K872" s="426" t="inlineStr">
        <is>
          <t>John Quinn</t>
        </is>
      </c>
      <c r="L872" s="426" t="inlineStr">
        <is>
          <t>Contacted</t>
        </is>
      </c>
      <c r="M872" s="425" t="inlineStr">
        <is>
          <t>Strategic space / aerospace alignment</t>
        </is>
      </c>
      <c r="N872" s="426" t="inlineStr">
        <is>
          <t>Tier 2</t>
        </is>
      </c>
      <c r="O872" s="441" t="n">
        <v>45851</v>
      </c>
      <c r="P872" s="441" t="n">
        <v>45851</v>
      </c>
      <c r="Q872" s="425">
        <f>IF(P872="","",TODAY()-P872)</f>
        <v/>
      </c>
      <c r="R872" s="441">
        <f>IF(OR(L872="Passed",Z872=""),"",P872+Z872)</f>
        <v/>
      </c>
      <c r="S872" s="425">
        <f>IF(OR(R872="",L872="Passed"),"",IF(R872&lt;=TODAY(),"DUE",IF(R872&lt;=TODAY()+3,"Next 3 Days","Later")))</f>
        <v/>
      </c>
      <c r="T872" s="425" t="inlineStr"/>
      <c r="U872" s="426" t="inlineStr"/>
      <c r="V872" s="426" t="inlineStr"/>
      <c r="W872" s="428" t="inlineStr">
        <is>
          <t xml:space="preserve"> | </t>
        </is>
      </c>
      <c r="X872" s="425" t="inlineStr">
        <is>
          <t>Toshi Contacts!2</t>
        </is>
      </c>
      <c r="Y872" s="426" t="inlineStr">
        <is>
          <t>Send 1st follow-up and ask for 20-minute call</t>
        </is>
      </c>
      <c r="Z872" s="425" t="n">
        <v>3</v>
      </c>
      <c r="AA872" s="425">
        <f>IF(AC872="Archived",0,ROUND((IF(N872="Tier 1",35,IF(N872="Tier 2",20,8))+IF(C872="Financial Investor",15,IF(C872="Intermediary / Banker",12,8))+IF(L872="Term Sheet / Proposal",25,IF(L872="Engaged",20,IF(L872="Meeting Requested",18,IF(L872="Meeting Held",14,IF(L872="Follow Up",10,5)))))+MIN(Q872,30)+IF(S872="DUE",15,IF(S872="Next 3 Days",8,0))),0))</f>
        <v/>
      </c>
      <c r="AB872" s="425">
        <f>IF(AND(AC872="Active",OR(N872="Tier 1",N872="Tier 2"),OR(S872="DUE",S872="Next 3 Days")),"YES","")</f>
        <v/>
      </c>
      <c r="AC872" s="425">
        <f>IF(L872="Passed","Archived","Active")</f>
        <v/>
      </c>
    </row>
    <row r="873">
      <c r="A873" s="425" t="inlineStr">
        <is>
          <t>EXOS-0872</t>
        </is>
      </c>
      <c r="B873" s="425" t="inlineStr">
        <is>
          <t>John - Investor Contacts</t>
        </is>
      </c>
      <c r="C873" s="425" t="inlineStr">
        <is>
          <t>Financial Investor</t>
        </is>
      </c>
      <c r="D873" s="425" t="inlineStr"/>
      <c r="E873" s="425" t="inlineStr">
        <is>
          <t>Anousheh Ansari</t>
        </is>
      </c>
      <c r="F873" s="425" t="inlineStr"/>
      <c r="G873" s="111" t="inlineStr">
        <is>
          <t>anousheh.ansari@xprize.org</t>
        </is>
      </c>
      <c r="H873" s="425" t="inlineStr"/>
      <c r="I873" s="425" t="inlineStr"/>
      <c r="J873" s="425" t="inlineStr"/>
      <c r="K873" s="426" t="inlineStr">
        <is>
          <t>John Quinn</t>
        </is>
      </c>
      <c r="L873" s="426" t="inlineStr">
        <is>
          <t>Contacted</t>
        </is>
      </c>
      <c r="M873" s="425" t="inlineStr">
        <is>
          <t>Space / Defense / Aerospace / Advanced Manufacturing</t>
        </is>
      </c>
      <c r="N873" s="426" t="inlineStr">
        <is>
          <t>Tier 2</t>
        </is>
      </c>
      <c r="O873" s="441" t="n">
        <v>46045</v>
      </c>
      <c r="P873" s="441" t="n">
        <v>46045</v>
      </c>
      <c r="Q873" s="425">
        <f>IF(P873="","",TODAY()-P873)</f>
        <v/>
      </c>
      <c r="R873" s="441">
        <f>IF(OR(L873="Passed",Z873=""),"",P873+Z873)</f>
        <v/>
      </c>
      <c r="S873" s="425">
        <f>IF(OR(R873="",L873="Passed"),"",IF(R873&lt;=TODAY(),"DUE",IF(R873&lt;=TODAY()+3,"Next 3 Days","Later")))</f>
        <v/>
      </c>
      <c r="T873" s="425" t="inlineStr"/>
      <c r="U873" s="426" t="inlineStr"/>
      <c r="V873" s="426" t="inlineStr"/>
      <c r="W873" s="428" t="inlineStr">
        <is>
          <t xml:space="preserve"> |  | </t>
        </is>
      </c>
      <c r="X873" s="425" t="inlineStr">
        <is>
          <t>John - Investor Contacts!937</t>
        </is>
      </c>
      <c r="Y873" s="426" t="inlineStr">
        <is>
          <t>Send 1st follow-up and ask for 20-minute call</t>
        </is>
      </c>
      <c r="Z873" s="425" t="n">
        <v>3</v>
      </c>
      <c r="AA873" s="425">
        <f>IF(AC873="Archived",0,ROUND((IF(N873="Tier 1",35,IF(N873="Tier 2",20,8))+IF(C873="Financial Investor",15,IF(C873="Intermediary / Banker",12,8))+IF(L873="Term Sheet / Proposal",25,IF(L873="Engaged",20,IF(L873="Meeting Requested",18,IF(L873="Meeting Held",14,IF(L873="Follow Up",10,5)))))+MIN(Q873,30)+IF(S873="DUE",15,IF(S873="Next 3 Days",8,0))),0))</f>
        <v/>
      </c>
      <c r="AB873" s="425">
        <f>IF(AND(AC873="Active",OR(N873="Tier 1",N873="Tier 2"),OR(S873="DUE",S873="Next 3 Days")),"YES","")</f>
        <v/>
      </c>
      <c r="AC873" s="425">
        <f>IF(L873="Passed","Archived","Active")</f>
        <v/>
      </c>
    </row>
    <row r="874">
      <c r="A874" s="425" t="inlineStr">
        <is>
          <t>EXOS-0873</t>
        </is>
      </c>
      <c r="B874" s="425" t="inlineStr">
        <is>
          <t>Tank Contacts</t>
        </is>
      </c>
      <c r="C874" s="425" t="inlineStr">
        <is>
          <t>Strategic / Corporate</t>
        </is>
      </c>
      <c r="D874" s="425" t="inlineStr"/>
      <c r="E874" s="425" t="inlineStr">
        <is>
          <t>Eric Romo</t>
        </is>
      </c>
      <c r="F874" s="425" t="inlineStr"/>
      <c r="G874" s="111" t="inlineStr">
        <is>
          <t>eric.romo@impulsespace.com</t>
        </is>
      </c>
      <c r="H874" s="425" t="inlineStr"/>
      <c r="I874" s="425" t="inlineStr"/>
      <c r="J874" s="111" t="inlineStr">
        <is>
          <t>https://www.linkedin.com/in/eric-romo/</t>
        </is>
      </c>
      <c r="K874" s="426" t="inlineStr">
        <is>
          <t>John Quinn</t>
        </is>
      </c>
      <c r="L874" s="426" t="inlineStr">
        <is>
          <t>Contacted</t>
        </is>
      </c>
      <c r="M874" s="425" t="inlineStr">
        <is>
          <t>Strategic space / aerospace alignment</t>
        </is>
      </c>
      <c r="N874" s="426" t="inlineStr">
        <is>
          <t>Tier 2</t>
        </is>
      </c>
      <c r="O874" s="441" t="n">
        <v>45908</v>
      </c>
      <c r="P874" s="441" t="n">
        <v>45908</v>
      </c>
      <c r="Q874" s="425">
        <f>IF(P874="","",TODAY()-P874)</f>
        <v/>
      </c>
      <c r="R874" s="441">
        <f>IF(OR(L874="Passed",Z874=""),"",P874+Z874)</f>
        <v/>
      </c>
      <c r="S874" s="425">
        <f>IF(OR(R874="",L874="Passed"),"",IF(R874&lt;=TODAY(),"DUE",IF(R874&lt;=TODAY()+3,"Next 3 Days","Later")))</f>
        <v/>
      </c>
      <c r="T874" s="425" t="inlineStr"/>
      <c r="U874" s="426" t="inlineStr"/>
      <c r="V874" s="426" t="inlineStr"/>
      <c r="W874" s="428" t="inlineStr"/>
      <c r="X874" s="425" t="inlineStr">
        <is>
          <t>Tank Contacts!15</t>
        </is>
      </c>
      <c r="Y874" s="426" t="inlineStr">
        <is>
          <t>Send 1st follow-up and ask for 20-minute call</t>
        </is>
      </c>
      <c r="Z874" s="425" t="n">
        <v>3</v>
      </c>
      <c r="AA874" s="425">
        <f>IF(AC874="Archived",0,ROUND((IF(N874="Tier 1",35,IF(N874="Tier 2",20,8))+IF(C874="Financial Investor",15,IF(C874="Intermediary / Banker",12,8))+IF(L874="Term Sheet / Proposal",25,IF(L874="Engaged",20,IF(L874="Meeting Requested",18,IF(L874="Meeting Held",14,IF(L874="Follow Up",10,5)))))+MIN(Q874,30)+IF(S874="DUE",15,IF(S874="Next 3 Days",8,0))),0))</f>
        <v/>
      </c>
      <c r="AB874" s="425">
        <f>IF(AND(AC874="Active",OR(N874="Tier 1",N874="Tier 2"),OR(S874="DUE",S874="Next 3 Days")),"YES","")</f>
        <v/>
      </c>
      <c r="AC874" s="425">
        <f>IF(L874="Passed","Archived","Active")</f>
        <v/>
      </c>
    </row>
    <row r="875">
      <c r="A875" s="425" t="inlineStr">
        <is>
          <t>EXOS-0874</t>
        </is>
      </c>
      <c r="B875" s="425" t="inlineStr">
        <is>
          <t>Tank Contacts</t>
        </is>
      </c>
      <c r="C875" s="425" t="inlineStr">
        <is>
          <t>Strategic / Corporate</t>
        </is>
      </c>
      <c r="D875" s="425" t="inlineStr"/>
      <c r="E875" s="425" t="inlineStr">
        <is>
          <t>Jacob Kurtz</t>
        </is>
      </c>
      <c r="F875" s="425" t="inlineStr"/>
      <c r="G875" s="111" t="inlineStr">
        <is>
          <t>jacob@impulsespace.com</t>
        </is>
      </c>
      <c r="H875" s="425" t="inlineStr"/>
      <c r="I875" s="425" t="inlineStr"/>
      <c r="J875" s="111" t="inlineStr">
        <is>
          <t>https://www.linkedin.com/in/kurtzjacob/</t>
        </is>
      </c>
      <c r="K875" s="426" t="inlineStr">
        <is>
          <t>John Quinn</t>
        </is>
      </c>
      <c r="L875" s="426" t="inlineStr">
        <is>
          <t>Contacted</t>
        </is>
      </c>
      <c r="M875" s="425" t="inlineStr">
        <is>
          <t>Strategic space / aerospace alignment</t>
        </is>
      </c>
      <c r="N875" s="426" t="inlineStr">
        <is>
          <t>Tier 2</t>
        </is>
      </c>
      <c r="O875" s="441" t="n">
        <v>45908</v>
      </c>
      <c r="P875" s="441" t="n">
        <v>45908</v>
      </c>
      <c r="Q875" s="425">
        <f>IF(P875="","",TODAY()-P875)</f>
        <v/>
      </c>
      <c r="R875" s="441">
        <f>IF(OR(L875="Passed",Z875=""),"",P875+Z875)</f>
        <v/>
      </c>
      <c r="S875" s="425">
        <f>IF(OR(R875="",L875="Passed"),"",IF(R875&lt;=TODAY(),"DUE",IF(R875&lt;=TODAY()+3,"Next 3 Days","Later")))</f>
        <v/>
      </c>
      <c r="T875" s="425" t="inlineStr"/>
      <c r="U875" s="426" t="inlineStr"/>
      <c r="V875" s="426" t="inlineStr"/>
      <c r="W875" s="428" t="inlineStr"/>
      <c r="X875" s="425" t="inlineStr">
        <is>
          <t>Tank Contacts!18</t>
        </is>
      </c>
      <c r="Y875" s="426" t="inlineStr">
        <is>
          <t>Send 1st follow-up and ask for 20-minute call</t>
        </is>
      </c>
      <c r="Z875" s="425" t="n">
        <v>3</v>
      </c>
      <c r="AA875" s="425">
        <f>IF(AC875="Archived",0,ROUND((IF(N875="Tier 1",35,IF(N875="Tier 2",20,8))+IF(C875="Financial Investor",15,IF(C875="Intermediary / Banker",12,8))+IF(L875="Term Sheet / Proposal",25,IF(L875="Engaged",20,IF(L875="Meeting Requested",18,IF(L875="Meeting Held",14,IF(L875="Follow Up",10,5)))))+MIN(Q875,30)+IF(S875="DUE",15,IF(S875="Next 3 Days",8,0))),0))</f>
        <v/>
      </c>
      <c r="AB875" s="425">
        <f>IF(AND(AC875="Active",OR(N875="Tier 1",N875="Tier 2"),OR(S875="DUE",S875="Next 3 Days")),"YES","")</f>
        <v/>
      </c>
      <c r="AC875" s="425">
        <f>IF(L875="Passed","Archived","Active")</f>
        <v/>
      </c>
    </row>
    <row r="876">
      <c r="A876" s="425" t="inlineStr">
        <is>
          <t>EXOS-0875</t>
        </is>
      </c>
      <c r="B876" s="425" t="inlineStr">
        <is>
          <t>John - Investor Contacts</t>
        </is>
      </c>
      <c r="C876" s="425" t="inlineStr">
        <is>
          <t>Financial Investor</t>
        </is>
      </c>
      <c r="D876" s="425" t="inlineStr"/>
      <c r="E876" s="425" t="inlineStr">
        <is>
          <t>Keith</t>
        </is>
      </c>
      <c r="F876" s="425" t="inlineStr"/>
      <c r="G876" s="111" t="inlineStr">
        <is>
          <t>keith@innoventcapital.com</t>
        </is>
      </c>
      <c r="H876" s="425" t="inlineStr"/>
      <c r="I876" s="425" t="inlineStr"/>
      <c r="J876" s="425" t="inlineStr"/>
      <c r="K876" s="426" t="inlineStr">
        <is>
          <t>John Quinn</t>
        </is>
      </c>
      <c r="L876" s="426" t="inlineStr">
        <is>
          <t>Contacted</t>
        </is>
      </c>
      <c r="M876" s="425" t="inlineStr">
        <is>
          <t>Space / Defense / Aerospace / Advanced Manufacturing</t>
        </is>
      </c>
      <c r="N876" s="426" t="inlineStr">
        <is>
          <t>Tier 2</t>
        </is>
      </c>
      <c r="O876" s="441" t="n">
        <v>45810</v>
      </c>
      <c r="P876" s="441" t="n">
        <v>45810</v>
      </c>
      <c r="Q876" s="425">
        <f>IF(P876="","",TODAY()-P876)</f>
        <v/>
      </c>
      <c r="R876" s="441">
        <f>IF(OR(L876="Passed",Z876=""),"",P876+Z876)</f>
        <v/>
      </c>
      <c r="S876" s="425">
        <f>IF(OR(R876="",L876="Passed"),"",IF(R876&lt;=TODAY(),"DUE",IF(R876&lt;=TODAY()+3,"Next 3 Days","Later")))</f>
        <v/>
      </c>
      <c r="T876" s="425" t="inlineStr"/>
      <c r="U876" s="426" t="inlineStr"/>
      <c r="V876" s="426" t="inlineStr"/>
      <c r="W876" s="428" t="inlineStr">
        <is>
          <t xml:space="preserve"> | follewed up request for status 7-11 | </t>
        </is>
      </c>
      <c r="X876" s="425" t="inlineStr">
        <is>
          <t>John - Investor Contacts!108</t>
        </is>
      </c>
      <c r="Y876" s="426" t="inlineStr">
        <is>
          <t>Send 1st follow-up and ask for 20-minute call</t>
        </is>
      </c>
      <c r="Z876" s="425" t="n">
        <v>3</v>
      </c>
      <c r="AA876" s="425">
        <f>IF(AC876="Archived",0,ROUND((IF(N876="Tier 1",35,IF(N876="Tier 2",20,8))+IF(C876="Financial Investor",15,IF(C876="Intermediary / Banker",12,8))+IF(L876="Term Sheet / Proposal",25,IF(L876="Engaged",20,IF(L876="Meeting Requested",18,IF(L876="Meeting Held",14,IF(L876="Follow Up",10,5)))))+MIN(Q876,30)+IF(S876="DUE",15,IF(S876="Next 3 Days",8,0))),0))</f>
        <v/>
      </c>
      <c r="AB876" s="425">
        <f>IF(AND(AC876="Active",OR(N876="Tier 1",N876="Tier 2"),OR(S876="DUE",S876="Next 3 Days")),"YES","")</f>
        <v/>
      </c>
      <c r="AC876" s="425">
        <f>IF(L876="Passed","Archived","Active")</f>
        <v/>
      </c>
    </row>
    <row r="877">
      <c r="A877" s="425" t="inlineStr">
        <is>
          <t>EXOS-0876</t>
        </is>
      </c>
      <c r="B877" s="425" t="inlineStr">
        <is>
          <t>John - Investor Contacts</t>
        </is>
      </c>
      <c r="C877" s="425" t="inlineStr">
        <is>
          <t>Financial Investor</t>
        </is>
      </c>
      <c r="D877" s="425" t="inlineStr"/>
      <c r="E877" s="425" t="inlineStr">
        <is>
          <t>Kipton</t>
        </is>
      </c>
      <c r="F877" s="425" t="inlineStr"/>
      <c r="G877" s="111" t="inlineStr">
        <is>
          <t>kipton@greatpineinvestments.com</t>
        </is>
      </c>
      <c r="H877" s="425" t="inlineStr"/>
      <c r="I877" s="425" t="inlineStr"/>
      <c r="J877" s="425" t="inlineStr"/>
      <c r="K877" s="426" t="inlineStr">
        <is>
          <t>John Quinn</t>
        </is>
      </c>
      <c r="L877" s="426" t="inlineStr">
        <is>
          <t>Contacted</t>
        </is>
      </c>
      <c r="M877" s="425" t="inlineStr">
        <is>
          <t>Space / Defense / Aerospace / Advanced Manufacturing</t>
        </is>
      </c>
      <c r="N877" s="426" t="inlineStr">
        <is>
          <t>Tier 2</t>
        </is>
      </c>
      <c r="O877" s="441" t="n">
        <v>45810</v>
      </c>
      <c r="P877" s="441" t="n">
        <v>45810</v>
      </c>
      <c r="Q877" s="425">
        <f>IF(P877="","",TODAY()-P877)</f>
        <v/>
      </c>
      <c r="R877" s="441">
        <f>IF(OR(L877="Passed",Z877=""),"",P877+Z877)</f>
        <v/>
      </c>
      <c r="S877" s="425">
        <f>IF(OR(R877="",L877="Passed"),"",IF(R877&lt;=TODAY(),"DUE",IF(R877&lt;=TODAY()+3,"Next 3 Days","Later")))</f>
        <v/>
      </c>
      <c r="T877" s="425" t="inlineStr"/>
      <c r="U877" s="426" t="inlineStr"/>
      <c r="V877" s="426" t="inlineStr"/>
      <c r="W877" s="428" t="inlineStr">
        <is>
          <t xml:space="preserve"> |  | </t>
        </is>
      </c>
      <c r="X877" s="425" t="inlineStr">
        <is>
          <t>John - Investor Contacts!109</t>
        </is>
      </c>
      <c r="Y877" s="426" t="inlineStr">
        <is>
          <t>Send 1st follow-up and ask for 20-minute call</t>
        </is>
      </c>
      <c r="Z877" s="425" t="n">
        <v>3</v>
      </c>
      <c r="AA877" s="425">
        <f>IF(AC877="Archived",0,ROUND((IF(N877="Tier 1",35,IF(N877="Tier 2",20,8))+IF(C877="Financial Investor",15,IF(C877="Intermediary / Banker",12,8))+IF(L877="Term Sheet / Proposal",25,IF(L877="Engaged",20,IF(L877="Meeting Requested",18,IF(L877="Meeting Held",14,IF(L877="Follow Up",10,5)))))+MIN(Q877,30)+IF(S877="DUE",15,IF(S877="Next 3 Days",8,0))),0))</f>
        <v/>
      </c>
      <c r="AB877" s="425">
        <f>IF(AND(AC877="Active",OR(N877="Tier 1",N877="Tier 2"),OR(S877="DUE",S877="Next 3 Days")),"YES","")</f>
        <v/>
      </c>
      <c r="AC877" s="425">
        <f>IF(L877="Passed","Archived","Active")</f>
        <v/>
      </c>
    </row>
    <row r="878">
      <c r="A878" s="425" t="inlineStr">
        <is>
          <t>EXOS-0877</t>
        </is>
      </c>
      <c r="B878" s="425" t="inlineStr">
        <is>
          <t>Tank Contacts</t>
        </is>
      </c>
      <c r="C878" s="425" t="inlineStr">
        <is>
          <t>Strategic / Corporate</t>
        </is>
      </c>
      <c r="D878" s="425" t="inlineStr"/>
      <c r="E878" s="425" t="inlineStr">
        <is>
          <t>Seth Kovnat</t>
        </is>
      </c>
      <c r="F878" s="425" t="inlineStr"/>
      <c r="G878" s="111" t="inlineStr">
        <is>
          <t>seth@impulsespace.com</t>
        </is>
      </c>
      <c r="H878" s="425" t="inlineStr"/>
      <c r="I878" s="425" t="inlineStr"/>
      <c r="J878" s="111" t="inlineStr">
        <is>
          <t>http://linkedin.com/in/sethkovnat/</t>
        </is>
      </c>
      <c r="K878" s="426" t="inlineStr">
        <is>
          <t>John Quinn</t>
        </is>
      </c>
      <c r="L878" s="426" t="inlineStr">
        <is>
          <t>Contacted</t>
        </is>
      </c>
      <c r="M878" s="425" t="inlineStr">
        <is>
          <t>Strategic space / aerospace alignment</t>
        </is>
      </c>
      <c r="N878" s="426" t="inlineStr">
        <is>
          <t>Tier 2</t>
        </is>
      </c>
      <c r="O878" s="441" t="n">
        <v>45908</v>
      </c>
      <c r="P878" s="441" t="n">
        <v>45908</v>
      </c>
      <c r="Q878" s="425">
        <f>IF(P878="","",TODAY()-P878)</f>
        <v/>
      </c>
      <c r="R878" s="441">
        <f>IF(OR(L878="Passed",Z878=""),"",P878+Z878)</f>
        <v/>
      </c>
      <c r="S878" s="425">
        <f>IF(OR(R878="",L878="Passed"),"",IF(R878&lt;=TODAY(),"DUE",IF(R878&lt;=TODAY()+3,"Next 3 Days","Later")))</f>
        <v/>
      </c>
      <c r="T878" s="425" t="inlineStr"/>
      <c r="U878" s="426" t="inlineStr"/>
      <c r="V878" s="426" t="inlineStr"/>
      <c r="W878" s="428" t="inlineStr"/>
      <c r="X878" s="425" t="inlineStr">
        <is>
          <t>Tank Contacts!16</t>
        </is>
      </c>
      <c r="Y878" s="426" t="inlineStr">
        <is>
          <t>Send 1st follow-up and ask for 20-minute call</t>
        </is>
      </c>
      <c r="Z878" s="425" t="n">
        <v>3</v>
      </c>
      <c r="AA878" s="425">
        <f>IF(AC878="Archived",0,ROUND((IF(N878="Tier 1",35,IF(N878="Tier 2",20,8))+IF(C878="Financial Investor",15,IF(C878="Intermediary / Banker",12,8))+IF(L878="Term Sheet / Proposal",25,IF(L878="Engaged",20,IF(L878="Meeting Requested",18,IF(L878="Meeting Held",14,IF(L878="Follow Up",10,5)))))+MIN(Q878,30)+IF(S878="DUE",15,IF(S878="Next 3 Days",8,0))),0))</f>
        <v/>
      </c>
      <c r="AB878" s="425">
        <f>IF(AND(AC878="Active",OR(N878="Tier 1",N878="Tier 2"),OR(S878="DUE",S878="Next 3 Days")),"YES","")</f>
        <v/>
      </c>
      <c r="AC878" s="425">
        <f>IF(L878="Passed","Archived","Active")</f>
        <v/>
      </c>
    </row>
    <row r="879">
      <c r="A879" s="425" t="inlineStr">
        <is>
          <t>EXOS-0878</t>
        </is>
      </c>
      <c r="B879" s="425" t="inlineStr">
        <is>
          <t>Tank Contacts</t>
        </is>
      </c>
      <c r="C879" s="425" t="inlineStr">
        <is>
          <t>Strategic / Corporate</t>
        </is>
      </c>
      <c r="D879" s="425" t="inlineStr"/>
      <c r="E879" s="425" t="inlineStr">
        <is>
          <t>Spencer Jacobs</t>
        </is>
      </c>
      <c r="F879" s="425" t="inlineStr"/>
      <c r="G879" s="111" t="inlineStr">
        <is>
          <t>spencer@impulsespace.com</t>
        </is>
      </c>
      <c r="H879" s="425" t="inlineStr"/>
      <c r="I879" s="425" t="inlineStr"/>
      <c r="J879" s="111" t="inlineStr">
        <is>
          <t>https://www.linkedin.com/in/spencer-d-jacobs/</t>
        </is>
      </c>
      <c r="K879" s="426" t="inlineStr">
        <is>
          <t>John Quinn</t>
        </is>
      </c>
      <c r="L879" s="426" t="inlineStr">
        <is>
          <t>Contacted</t>
        </is>
      </c>
      <c r="M879" s="425" t="inlineStr">
        <is>
          <t>Strategic space / aerospace alignment</t>
        </is>
      </c>
      <c r="N879" s="426" t="inlineStr">
        <is>
          <t>Tier 2</t>
        </is>
      </c>
      <c r="O879" s="441" t="n">
        <v>45908</v>
      </c>
      <c r="P879" s="441" t="n">
        <v>45908</v>
      </c>
      <c r="Q879" s="425">
        <f>IF(P879="","",TODAY()-P879)</f>
        <v/>
      </c>
      <c r="R879" s="441">
        <f>IF(OR(L879="Passed",Z879=""),"",P879+Z879)</f>
        <v/>
      </c>
      <c r="S879" s="425">
        <f>IF(OR(R879="",L879="Passed"),"",IF(R879&lt;=TODAY(),"DUE",IF(R879&lt;=TODAY()+3,"Next 3 Days","Later")))</f>
        <v/>
      </c>
      <c r="T879" s="425" t="inlineStr"/>
      <c r="U879" s="426" t="inlineStr"/>
      <c r="V879" s="426" t="inlineStr"/>
      <c r="W879" s="428" t="inlineStr"/>
      <c r="X879" s="425" t="inlineStr">
        <is>
          <t>Tank Contacts!17</t>
        </is>
      </c>
      <c r="Y879" s="426" t="inlineStr">
        <is>
          <t>Send 1st follow-up and ask for 20-minute call</t>
        </is>
      </c>
      <c r="Z879" s="425" t="n">
        <v>3</v>
      </c>
      <c r="AA879" s="425">
        <f>IF(AC879="Archived",0,ROUND((IF(N879="Tier 1",35,IF(N879="Tier 2",20,8))+IF(C879="Financial Investor",15,IF(C879="Intermediary / Banker",12,8))+IF(L879="Term Sheet / Proposal",25,IF(L879="Engaged",20,IF(L879="Meeting Requested",18,IF(L879="Meeting Held",14,IF(L879="Follow Up",10,5)))))+MIN(Q879,30)+IF(S879="DUE",15,IF(S879="Next 3 Days",8,0))),0))</f>
        <v/>
      </c>
      <c r="AB879" s="425">
        <f>IF(AND(AC879="Active",OR(N879="Tier 1",N879="Tier 2"),OR(S879="DUE",S879="Next 3 Days")),"YES","")</f>
        <v/>
      </c>
      <c r="AC879" s="425">
        <f>IF(L879="Passed","Archived","Active")</f>
        <v/>
      </c>
    </row>
    <row r="880">
      <c r="A880" s="425" t="inlineStr">
        <is>
          <t>EXOS-0879</t>
        </is>
      </c>
      <c r="B880" s="425" t="inlineStr">
        <is>
          <t>John - Investor Contacts</t>
        </is>
      </c>
      <c r="C880" s="425" t="inlineStr">
        <is>
          <t>Financial Investor</t>
        </is>
      </c>
      <c r="D880" s="425" t="inlineStr"/>
      <c r="E880" s="425" t="inlineStr">
        <is>
          <t>Starfighters -Exos</t>
        </is>
      </c>
      <c r="F880" s="425" t="inlineStr"/>
      <c r="G880" s="111" t="inlineStr">
        <is>
          <t>oscargarcia@interflightglobal.com</t>
        </is>
      </c>
      <c r="H880" s="425" t="inlineStr">
        <is>
          <t>ron@ronbloom.com</t>
        </is>
      </c>
      <c r="I880" s="425" t="inlineStr"/>
      <c r="J880" s="425" t="inlineStr"/>
      <c r="K880" s="426" t="inlineStr">
        <is>
          <t>John Quinn</t>
        </is>
      </c>
      <c r="L880" s="426" t="inlineStr">
        <is>
          <t>Contacted</t>
        </is>
      </c>
      <c r="M880" s="425" t="inlineStr">
        <is>
          <t>Space / Defense / Aerospace / Advanced Manufacturing</t>
        </is>
      </c>
      <c r="N880" s="426" t="inlineStr">
        <is>
          <t>Tier 2</t>
        </is>
      </c>
      <c r="O880" s="441" t="n">
        <v>45891</v>
      </c>
      <c r="P880" s="441" t="n">
        <v>45891</v>
      </c>
      <c r="Q880" s="425">
        <f>IF(P880="","",TODAY()-P880)</f>
        <v/>
      </c>
      <c r="R880" s="441">
        <f>IF(OR(L880="Passed",Z880=""),"",P880+Z880)</f>
        <v/>
      </c>
      <c r="S880" s="425">
        <f>IF(OR(R880="",L880="Passed"),"",IF(R880&lt;=TODAY(),"DUE",IF(R880&lt;=TODAY()+3,"Next 3 Days","Later")))</f>
        <v/>
      </c>
      <c r="T880" s="425" t="inlineStr"/>
      <c r="U880" s="426" t="inlineStr"/>
      <c r="V880" s="426" t="inlineStr"/>
      <c r="W880" s="428" t="inlineStr">
        <is>
          <t xml:space="preserve"> |  | </t>
        </is>
      </c>
      <c r="X880" s="425" t="inlineStr">
        <is>
          <t>John - Investor Contacts!504</t>
        </is>
      </c>
      <c r="Y880" s="426" t="inlineStr">
        <is>
          <t>Send 1st follow-up and ask for 20-minute call</t>
        </is>
      </c>
      <c r="Z880" s="425" t="n">
        <v>3</v>
      </c>
      <c r="AA880" s="425">
        <f>IF(AC880="Archived",0,ROUND((IF(N880="Tier 1",35,IF(N880="Tier 2",20,8))+IF(C880="Financial Investor",15,IF(C880="Intermediary / Banker",12,8))+IF(L880="Term Sheet / Proposal",25,IF(L880="Engaged",20,IF(L880="Meeting Requested",18,IF(L880="Meeting Held",14,IF(L880="Follow Up",10,5)))))+MIN(Q880,30)+IF(S880="DUE",15,IF(S880="Next 3 Days",8,0))),0))</f>
        <v/>
      </c>
      <c r="AB880" s="425">
        <f>IF(AND(AC880="Active",OR(N880="Tier 1",N880="Tier 2"),OR(S880="DUE",S880="Next 3 Days")),"YES","")</f>
        <v/>
      </c>
      <c r="AC880" s="425">
        <f>IF(L880="Passed","Archived","Active")</f>
        <v/>
      </c>
    </row>
    <row r="881">
      <c r="A881" s="425" t="inlineStr">
        <is>
          <t>EXOS-0880</t>
        </is>
      </c>
      <c r="B881" s="425" t="inlineStr">
        <is>
          <t>John - Investor Contacts</t>
        </is>
      </c>
      <c r="C881" s="425" t="inlineStr">
        <is>
          <t>Financial Investor</t>
        </is>
      </c>
      <c r="D881" s="425" t="inlineStr">
        <is>
          <t>8090 Industries</t>
        </is>
      </c>
      <c r="E881" s="425" t="inlineStr">
        <is>
          <t>Filip Vurdelja</t>
        </is>
      </c>
      <c r="F881" s="425" t="inlineStr"/>
      <c r="G881" s="111" t="inlineStr">
        <is>
          <t>filip@8090industries.com</t>
        </is>
      </c>
      <c r="H881" s="425" t="inlineStr"/>
      <c r="I881" s="425" t="inlineStr"/>
      <c r="J881" s="425" t="inlineStr"/>
      <c r="K881" s="426" t="inlineStr">
        <is>
          <t>John Quinn</t>
        </is>
      </c>
      <c r="L881" s="426" t="inlineStr">
        <is>
          <t>Contacted</t>
        </is>
      </c>
      <c r="M881" s="425" t="inlineStr">
        <is>
          <t>Space / Defense / Aerospace / Advanced Manufacturing</t>
        </is>
      </c>
      <c r="N881" s="426" t="inlineStr">
        <is>
          <t>Tier 2</t>
        </is>
      </c>
      <c r="O881" s="441" t="n">
        <v>46035</v>
      </c>
      <c r="P881" s="441" t="n">
        <v>46035</v>
      </c>
      <c r="Q881" s="425">
        <f>IF(P881="","",TODAY()-P881)</f>
        <v/>
      </c>
      <c r="R881" s="441">
        <f>IF(OR(L881="Passed",Z881=""),"",P881+Z881)</f>
        <v/>
      </c>
      <c r="S881" s="425">
        <f>IF(OR(R881="",L881="Passed"),"",IF(R881&lt;=TODAY(),"DUE",IF(R881&lt;=TODAY()+3,"Next 3 Days","Later")))</f>
        <v/>
      </c>
      <c r="T881" s="425" t="inlineStr"/>
      <c r="U881" s="426" t="inlineStr">
        <is>
          <t>linkedin.com/in/filipvurdelja</t>
        </is>
      </c>
      <c r="V881" s="426" t="inlineStr"/>
      <c r="W881" s="428" t="inlineStr">
        <is>
          <t xml:space="preserve"> |  | </t>
        </is>
      </c>
      <c r="X881" s="425" t="inlineStr">
        <is>
          <t>John - Investor Contacts!917</t>
        </is>
      </c>
      <c r="Y881" s="426" t="inlineStr">
        <is>
          <t>Send 1st follow-up and ask for 20-minute call</t>
        </is>
      </c>
      <c r="Z881" s="425" t="n">
        <v>3</v>
      </c>
      <c r="AA881" s="425">
        <f>IF(AC881="Archived",0,ROUND((IF(N881="Tier 1",35,IF(N881="Tier 2",20,8))+IF(C881="Financial Investor",15,IF(C881="Intermediary / Banker",12,8))+IF(L881="Term Sheet / Proposal",25,IF(L881="Engaged",20,IF(L881="Meeting Requested",18,IF(L881="Meeting Held",14,IF(L881="Follow Up",10,5)))))+MIN(Q881,30)+IF(S881="DUE",15,IF(S881="Next 3 Days",8,0))),0))</f>
        <v/>
      </c>
      <c r="AB881" s="425">
        <f>IF(AND(AC881="Active",OR(N881="Tier 1",N881="Tier 2"),OR(S881="DUE",S881="Next 3 Days")),"YES","")</f>
        <v/>
      </c>
      <c r="AC881" s="425">
        <f>IF(L881="Passed","Archived","Active")</f>
        <v/>
      </c>
    </row>
    <row r="882">
      <c r="A882" s="425" t="inlineStr">
        <is>
          <t>EXOS-0881</t>
        </is>
      </c>
      <c r="B882" s="425" t="inlineStr">
        <is>
          <t>John - Investor Contacts</t>
        </is>
      </c>
      <c r="C882" s="425" t="inlineStr">
        <is>
          <t>Financial Investor</t>
        </is>
      </c>
      <c r="D882" s="425" t="inlineStr">
        <is>
          <t>8090 Industries</t>
        </is>
      </c>
      <c r="E882" s="425" t="inlineStr">
        <is>
          <t>Garuth Acharya</t>
        </is>
      </c>
      <c r="F882" s="425" t="inlineStr"/>
      <c r="G882" s="111" t="inlineStr">
        <is>
          <t>garuth@8090industries.com</t>
        </is>
      </c>
      <c r="H882" s="425" t="inlineStr"/>
      <c r="I882" s="425" t="inlineStr"/>
      <c r="J882" s="425" t="inlineStr"/>
      <c r="K882" s="426" t="inlineStr">
        <is>
          <t>John Quinn</t>
        </is>
      </c>
      <c r="L882" s="426" t="inlineStr">
        <is>
          <t>Contacted</t>
        </is>
      </c>
      <c r="M882" s="425" t="inlineStr">
        <is>
          <t>Space / Defense / Aerospace / Advanced Manufacturing</t>
        </is>
      </c>
      <c r="N882" s="426" t="inlineStr">
        <is>
          <t>Tier 2</t>
        </is>
      </c>
      <c r="O882" s="441" t="n">
        <v>46035</v>
      </c>
      <c r="P882" s="441" t="n">
        <v>46035</v>
      </c>
      <c r="Q882" s="425">
        <f>IF(P882="","",TODAY()-P882)</f>
        <v/>
      </c>
      <c r="R882" s="441">
        <f>IF(OR(L882="Passed",Z882=""),"",P882+Z882)</f>
        <v/>
      </c>
      <c r="S882" s="425">
        <f>IF(OR(R882="",L882="Passed"),"",IF(R882&lt;=TODAY(),"DUE",IF(R882&lt;=TODAY()+3,"Next 3 Days","Later")))</f>
        <v/>
      </c>
      <c r="T882" s="425" t="inlineStr"/>
      <c r="U882" s="426" t="inlineStr">
        <is>
          <t>linkedin.com/in/garuthacharya</t>
        </is>
      </c>
      <c r="V882" s="426" t="inlineStr"/>
      <c r="W882" s="428" t="inlineStr">
        <is>
          <t xml:space="preserve"> |  | </t>
        </is>
      </c>
      <c r="X882" s="425" t="inlineStr">
        <is>
          <t>John - Investor Contacts!920</t>
        </is>
      </c>
      <c r="Y882" s="426" t="inlineStr">
        <is>
          <t>Send 1st follow-up and ask for 20-minute call</t>
        </is>
      </c>
      <c r="Z882" s="425" t="n">
        <v>3</v>
      </c>
      <c r="AA882" s="425">
        <f>IF(AC882="Archived",0,ROUND((IF(N882="Tier 1",35,IF(N882="Tier 2",20,8))+IF(C882="Financial Investor",15,IF(C882="Intermediary / Banker",12,8))+IF(L882="Term Sheet / Proposal",25,IF(L882="Engaged",20,IF(L882="Meeting Requested",18,IF(L882="Meeting Held",14,IF(L882="Follow Up",10,5)))))+MIN(Q882,30)+IF(S882="DUE",15,IF(S882="Next 3 Days",8,0))),0))</f>
        <v/>
      </c>
      <c r="AB882" s="425">
        <f>IF(AND(AC882="Active",OR(N882="Tier 1",N882="Tier 2"),OR(S882="DUE",S882="Next 3 Days")),"YES","")</f>
        <v/>
      </c>
      <c r="AC882" s="425">
        <f>IF(L882="Passed","Archived","Active")</f>
        <v/>
      </c>
    </row>
    <row r="883">
      <c r="A883" s="425" t="inlineStr">
        <is>
          <t>EXOS-0882</t>
        </is>
      </c>
      <c r="B883" s="425" t="inlineStr">
        <is>
          <t>John - Investor Contacts</t>
        </is>
      </c>
      <c r="C883" s="425" t="inlineStr">
        <is>
          <t>Financial Investor</t>
        </is>
      </c>
      <c r="D883" s="425" t="inlineStr">
        <is>
          <t>8090 Industries</t>
        </is>
      </c>
      <c r="E883" s="425" t="inlineStr">
        <is>
          <t>Kerem Ozmen</t>
        </is>
      </c>
      <c r="F883" s="425" t="inlineStr"/>
      <c r="G883" s="111" t="inlineStr">
        <is>
          <t>kerem@8090industries.com</t>
        </is>
      </c>
      <c r="H883" s="425" t="inlineStr"/>
      <c r="I883" s="425" t="inlineStr"/>
      <c r="J883" s="425" t="inlineStr"/>
      <c r="K883" s="426" t="inlineStr">
        <is>
          <t>John Quinn</t>
        </is>
      </c>
      <c r="L883" s="426" t="inlineStr">
        <is>
          <t>Contacted</t>
        </is>
      </c>
      <c r="M883" s="425" t="inlineStr">
        <is>
          <t>Space / Defense / Aerospace / Advanced Manufacturing</t>
        </is>
      </c>
      <c r="N883" s="426" t="inlineStr">
        <is>
          <t>Tier 2</t>
        </is>
      </c>
      <c r="O883" s="441" t="n">
        <v>46035</v>
      </c>
      <c r="P883" s="441" t="n">
        <v>46035</v>
      </c>
      <c r="Q883" s="425">
        <f>IF(P883="","",TODAY()-P883)</f>
        <v/>
      </c>
      <c r="R883" s="441">
        <f>IF(OR(L883="Passed",Z883=""),"",P883+Z883)</f>
        <v/>
      </c>
      <c r="S883" s="425">
        <f>IF(OR(R883="",L883="Passed"),"",IF(R883&lt;=TODAY(),"DUE",IF(R883&lt;=TODAY()+3,"Next 3 Days","Later")))</f>
        <v/>
      </c>
      <c r="T883" s="425" t="inlineStr"/>
      <c r="U883" s="426" t="inlineStr">
        <is>
          <t>linkedin.com/in/kerem-ozmen-6231aa11b</t>
        </is>
      </c>
      <c r="V883" s="426" t="inlineStr"/>
      <c r="W883" s="428" t="inlineStr">
        <is>
          <t xml:space="preserve"> |  | </t>
        </is>
      </c>
      <c r="X883" s="425" t="inlineStr">
        <is>
          <t>John - Investor Contacts!918</t>
        </is>
      </c>
      <c r="Y883" s="426" t="inlineStr">
        <is>
          <t>Send 1st follow-up and ask for 20-minute call</t>
        </is>
      </c>
      <c r="Z883" s="425" t="n">
        <v>3</v>
      </c>
      <c r="AA883" s="425">
        <f>IF(AC883="Archived",0,ROUND((IF(N883="Tier 1",35,IF(N883="Tier 2",20,8))+IF(C883="Financial Investor",15,IF(C883="Intermediary / Banker",12,8))+IF(L883="Term Sheet / Proposal",25,IF(L883="Engaged",20,IF(L883="Meeting Requested",18,IF(L883="Meeting Held",14,IF(L883="Follow Up",10,5)))))+MIN(Q883,30)+IF(S883="DUE",15,IF(S883="Next 3 Days",8,0))),0))</f>
        <v/>
      </c>
      <c r="AB883" s="425">
        <f>IF(AND(AC883="Active",OR(N883="Tier 1",N883="Tier 2"),OR(S883="DUE",S883="Next 3 Days")),"YES","")</f>
        <v/>
      </c>
      <c r="AC883" s="425">
        <f>IF(L883="Passed","Archived","Active")</f>
        <v/>
      </c>
    </row>
    <row r="884">
      <c r="A884" s="425" t="inlineStr">
        <is>
          <t>EXOS-0883</t>
        </is>
      </c>
      <c r="B884" s="425" t="inlineStr">
        <is>
          <t>John - Investor Contacts</t>
        </is>
      </c>
      <c r="C884" s="425" t="inlineStr">
        <is>
          <t>Financial Investor</t>
        </is>
      </c>
      <c r="D884" s="425" t="inlineStr">
        <is>
          <t>8090 Industries</t>
        </is>
      </c>
      <c r="E884" s="425" t="inlineStr">
        <is>
          <t>Price Mulford</t>
        </is>
      </c>
      <c r="F884" s="425" t="inlineStr"/>
      <c r="G884" s="111" t="inlineStr">
        <is>
          <t>price@8090industries.com</t>
        </is>
      </c>
      <c r="H884" s="425" t="inlineStr"/>
      <c r="I884" s="425" t="inlineStr"/>
      <c r="J884" s="425" t="inlineStr"/>
      <c r="K884" s="426" t="inlineStr">
        <is>
          <t>John Quinn</t>
        </is>
      </c>
      <c r="L884" s="426" t="inlineStr">
        <is>
          <t>Contacted</t>
        </is>
      </c>
      <c r="M884" s="425" t="inlineStr">
        <is>
          <t>Space / Defense / Aerospace / Advanced Manufacturing</t>
        </is>
      </c>
      <c r="N884" s="426" t="inlineStr">
        <is>
          <t>Tier 2</t>
        </is>
      </c>
      <c r="O884" s="441" t="n">
        <v>46035</v>
      </c>
      <c r="P884" s="441" t="n">
        <v>46035</v>
      </c>
      <c r="Q884" s="425">
        <f>IF(P884="","",TODAY()-P884)</f>
        <v/>
      </c>
      <c r="R884" s="441">
        <f>IF(OR(L884="Passed",Z884=""),"",P884+Z884)</f>
        <v/>
      </c>
      <c r="S884" s="425">
        <f>IF(OR(R884="",L884="Passed"),"",IF(R884&lt;=TODAY(),"DUE",IF(R884&lt;=TODAY()+3,"Next 3 Days","Later")))</f>
        <v/>
      </c>
      <c r="T884" s="425" t="inlineStr"/>
      <c r="U884" s="426" t="inlineStr">
        <is>
          <t>linkedin.com/in/price-mulford</t>
        </is>
      </c>
      <c r="V884" s="426" t="inlineStr"/>
      <c r="W884" s="428" t="inlineStr">
        <is>
          <t xml:space="preserve"> |  | </t>
        </is>
      </c>
      <c r="X884" s="425" t="inlineStr">
        <is>
          <t>John - Investor Contacts!921</t>
        </is>
      </c>
      <c r="Y884" s="426" t="inlineStr">
        <is>
          <t>Send 1st follow-up and ask for 20-minute call</t>
        </is>
      </c>
      <c r="Z884" s="425" t="n">
        <v>3</v>
      </c>
      <c r="AA884" s="425">
        <f>IF(AC884="Archived",0,ROUND((IF(N884="Tier 1",35,IF(N884="Tier 2",20,8))+IF(C884="Financial Investor",15,IF(C884="Intermediary / Banker",12,8))+IF(L884="Term Sheet / Proposal",25,IF(L884="Engaged",20,IF(L884="Meeting Requested",18,IF(L884="Meeting Held",14,IF(L884="Follow Up",10,5)))))+MIN(Q884,30)+IF(S884="DUE",15,IF(S884="Next 3 Days",8,0))),0))</f>
        <v/>
      </c>
      <c r="AB884" s="425">
        <f>IF(AND(AC884="Active",OR(N884="Tier 1",N884="Tier 2"),OR(S884="DUE",S884="Next 3 Days")),"YES","")</f>
        <v/>
      </c>
      <c r="AC884" s="425">
        <f>IF(L884="Passed","Archived","Active")</f>
        <v/>
      </c>
    </row>
    <row r="885">
      <c r="A885" s="425" t="inlineStr">
        <is>
          <t>EXOS-0884</t>
        </is>
      </c>
      <c r="B885" s="425" t="inlineStr">
        <is>
          <t>John - Investor Contacts</t>
        </is>
      </c>
      <c r="C885" s="425" t="inlineStr">
        <is>
          <t>Financial Investor</t>
        </is>
      </c>
      <c r="D885" s="425" t="inlineStr">
        <is>
          <t>8090 Industries</t>
        </is>
      </c>
      <c r="E885" s="425" t="inlineStr">
        <is>
          <t>Rayyan Islam</t>
        </is>
      </c>
      <c r="F885" s="425" t="inlineStr"/>
      <c r="G885" s="111" t="inlineStr">
        <is>
          <t>rayyan@8090industries.com</t>
        </is>
      </c>
      <c r="H885" s="425" t="inlineStr"/>
      <c r="I885" s="425" t="inlineStr"/>
      <c r="J885" s="111" t="inlineStr">
        <is>
          <t>https://www.linkedin.com/in/rayyanislam/</t>
        </is>
      </c>
      <c r="K885" s="426" t="inlineStr">
        <is>
          <t>John Quinn</t>
        </is>
      </c>
      <c r="L885" s="426" t="inlineStr">
        <is>
          <t>Contacted</t>
        </is>
      </c>
      <c r="M885" s="425" t="inlineStr">
        <is>
          <t>Space / Defense / Aerospace / Advanced Manufacturing</t>
        </is>
      </c>
      <c r="N885" s="426" t="inlineStr">
        <is>
          <t>Tier 2</t>
        </is>
      </c>
      <c r="O885" s="441" t="n">
        <v>46035</v>
      </c>
      <c r="P885" s="441" t="n">
        <v>46035</v>
      </c>
      <c r="Q885" s="425">
        <f>IF(P885="","",TODAY()-P885)</f>
        <v/>
      </c>
      <c r="R885" s="441">
        <f>IF(OR(L885="Passed",Z885=""),"",P885+Z885)</f>
        <v/>
      </c>
      <c r="S885" s="425">
        <f>IF(OR(R885="",L885="Passed"),"",IF(R885&lt;=TODAY(),"DUE",IF(R885&lt;=TODAY()+3,"Next 3 Days","Later")))</f>
        <v/>
      </c>
      <c r="T885" s="425" t="inlineStr"/>
      <c r="U885" s="426" t="inlineStr">
        <is>
          <t>https://www.linkedin.com/in/rayyanislam/</t>
        </is>
      </c>
      <c r="V885" s="426" t="inlineStr"/>
      <c r="W885" s="428" t="inlineStr">
        <is>
          <t xml:space="preserve"> |  | </t>
        </is>
      </c>
      <c r="X885" s="425" t="inlineStr">
        <is>
          <t>John - Investor Contacts!916</t>
        </is>
      </c>
      <c r="Y885" s="426" t="inlineStr">
        <is>
          <t>Send 1st follow-up and ask for 20-minute call</t>
        </is>
      </c>
      <c r="Z885" s="425" t="n">
        <v>3</v>
      </c>
      <c r="AA885" s="425">
        <f>IF(AC885="Archived",0,ROUND((IF(N885="Tier 1",35,IF(N885="Tier 2",20,8))+IF(C885="Financial Investor",15,IF(C885="Intermediary / Banker",12,8))+IF(L885="Term Sheet / Proposal",25,IF(L885="Engaged",20,IF(L885="Meeting Requested",18,IF(L885="Meeting Held",14,IF(L885="Follow Up",10,5)))))+MIN(Q885,30)+IF(S885="DUE",15,IF(S885="Next 3 Days",8,0))),0))</f>
        <v/>
      </c>
      <c r="AB885" s="425">
        <f>IF(AND(AC885="Active",OR(N885="Tier 1",N885="Tier 2"),OR(S885="DUE",S885="Next 3 Days")),"YES","")</f>
        <v/>
      </c>
      <c r="AC885" s="425">
        <f>IF(L885="Passed","Archived","Active")</f>
        <v/>
      </c>
    </row>
    <row r="886">
      <c r="A886" s="425" t="inlineStr">
        <is>
          <t>EXOS-0885</t>
        </is>
      </c>
      <c r="B886" s="425" t="inlineStr">
        <is>
          <t>John - Investor Contacts</t>
        </is>
      </c>
      <c r="C886" s="425" t="inlineStr">
        <is>
          <t>Financial Investor</t>
        </is>
      </c>
      <c r="D886" s="425" t="inlineStr">
        <is>
          <t>8090 Industries</t>
        </is>
      </c>
      <c r="E886" s="425" t="inlineStr">
        <is>
          <t>Wes Mendenhall</t>
        </is>
      </c>
      <c r="F886" s="425" t="inlineStr"/>
      <c r="G886" s="111" t="inlineStr">
        <is>
          <t>wes@8090industries.com</t>
        </is>
      </c>
      <c r="H886" s="425" t="inlineStr"/>
      <c r="I886" s="425" t="inlineStr"/>
      <c r="J886" s="425" t="inlineStr"/>
      <c r="K886" s="426" t="inlineStr">
        <is>
          <t>John Quinn</t>
        </is>
      </c>
      <c r="L886" s="426" t="inlineStr">
        <is>
          <t>Contacted</t>
        </is>
      </c>
      <c r="M886" s="425" t="inlineStr">
        <is>
          <t>Space / Defense / Aerospace / Advanced Manufacturing</t>
        </is>
      </c>
      <c r="N886" s="426" t="inlineStr">
        <is>
          <t>Tier 2</t>
        </is>
      </c>
      <c r="O886" s="441" t="n">
        <v>46035</v>
      </c>
      <c r="P886" s="441" t="n">
        <v>46035</v>
      </c>
      <c r="Q886" s="425">
        <f>IF(P886="","",TODAY()-P886)</f>
        <v/>
      </c>
      <c r="R886" s="441">
        <f>IF(OR(L886="Passed",Z886=""),"",P886+Z886)</f>
        <v/>
      </c>
      <c r="S886" s="425">
        <f>IF(OR(R886="",L886="Passed"),"",IF(R886&lt;=TODAY(),"DUE",IF(R886&lt;=TODAY()+3,"Next 3 Days","Later")))</f>
        <v/>
      </c>
      <c r="T886" s="425" t="inlineStr"/>
      <c r="U886" s="426" t="inlineStr">
        <is>
          <t>linkedin.com/in/wesmendenhall</t>
        </is>
      </c>
      <c r="V886" s="426" t="inlineStr"/>
      <c r="W886" s="428" t="inlineStr">
        <is>
          <t xml:space="preserve"> |  | </t>
        </is>
      </c>
      <c r="X886" s="425" t="inlineStr">
        <is>
          <t>John - Investor Contacts!919</t>
        </is>
      </c>
      <c r="Y886" s="426" t="inlineStr">
        <is>
          <t>Send 1st follow-up and ask for 20-minute call</t>
        </is>
      </c>
      <c r="Z886" s="425" t="n">
        <v>3</v>
      </c>
      <c r="AA886" s="425">
        <f>IF(AC886="Archived",0,ROUND((IF(N886="Tier 1",35,IF(N886="Tier 2",20,8))+IF(C886="Financial Investor",15,IF(C886="Intermediary / Banker",12,8))+IF(L886="Term Sheet / Proposal",25,IF(L886="Engaged",20,IF(L886="Meeting Requested",18,IF(L886="Meeting Held",14,IF(L886="Follow Up",10,5)))))+MIN(Q886,30)+IF(S886="DUE",15,IF(S886="Next 3 Days",8,0))),0))</f>
        <v/>
      </c>
      <c r="AB886" s="425">
        <f>IF(AND(AC886="Active",OR(N886="Tier 1",N886="Tier 2"),OR(S886="DUE",S886="Next 3 Days")),"YES","")</f>
        <v/>
      </c>
      <c r="AC886" s="425">
        <f>IF(L886="Passed","Archived","Active")</f>
        <v/>
      </c>
    </row>
    <row r="887">
      <c r="A887" s="425" t="inlineStr">
        <is>
          <t>EXOS-0886</t>
        </is>
      </c>
      <c r="B887" s="425" t="inlineStr">
        <is>
          <t>John - Investor Contacts</t>
        </is>
      </c>
      <c r="C887" s="425" t="inlineStr">
        <is>
          <t>Financial Investor</t>
        </is>
      </c>
      <c r="D887" s="425" t="inlineStr">
        <is>
          <t>Alamo Angel Network</t>
        </is>
      </c>
      <c r="E887" s="425" t="inlineStr">
        <is>
          <t>David Fonseca</t>
        </is>
      </c>
      <c r="F887" s="425" t="inlineStr"/>
      <c r="G887" s="111" t="inlineStr">
        <is>
          <t>david@alamoangels.com</t>
        </is>
      </c>
      <c r="H887" s="425" t="inlineStr"/>
      <c r="I887" s="425" t="inlineStr"/>
      <c r="J887" s="111" t="inlineStr">
        <is>
          <t>https://www.linkedin.com/in/dfonseca1/</t>
        </is>
      </c>
      <c r="K887" s="426" t="inlineStr">
        <is>
          <t>John Quinn</t>
        </is>
      </c>
      <c r="L887" s="426" t="inlineStr">
        <is>
          <t>Contacted</t>
        </is>
      </c>
      <c r="M887" s="425" t="inlineStr">
        <is>
          <t>Space / Defense / Aerospace / Advanced Manufacturing</t>
        </is>
      </c>
      <c r="N887" s="426" t="inlineStr">
        <is>
          <t>Tier 2</t>
        </is>
      </c>
      <c r="O887" s="441" t="n">
        <v>45813</v>
      </c>
      <c r="P887" s="441" t="n">
        <v>45813</v>
      </c>
      <c r="Q887" s="425">
        <f>IF(P887="","",TODAY()-P887)</f>
        <v/>
      </c>
      <c r="R887" s="441">
        <f>IF(OR(L887="Passed",Z887=""),"",P887+Z887)</f>
        <v/>
      </c>
      <c r="S887" s="425">
        <f>IF(OR(R887="",L887="Passed"),"",IF(R887&lt;=TODAY(),"DUE",IF(R887&lt;=TODAY()+3,"Next 3 Days","Later")))</f>
        <v/>
      </c>
      <c r="T887" s="425" t="inlineStr"/>
      <c r="U887" s="426" t="inlineStr">
        <is>
          <t>https://www.linkedin.com/in/dfonseca1/</t>
        </is>
      </c>
      <c r="V887" s="426" t="inlineStr"/>
      <c r="W887" s="428" t="inlineStr">
        <is>
          <t xml:space="preserve"> | Alamo Angels Application: https://app.dealum.com/#/company/application/new/50504/2dp8w6dj7sw31i3aybp7bw7cwj3un777 | </t>
        </is>
      </c>
      <c r="X887" s="425" t="inlineStr">
        <is>
          <t>John - Investor Contacts!117</t>
        </is>
      </c>
      <c r="Y887" s="426" t="inlineStr">
        <is>
          <t>Send 1st follow-up and ask for 20-minute call</t>
        </is>
      </c>
      <c r="Z887" s="425" t="n">
        <v>3</v>
      </c>
      <c r="AA887" s="425">
        <f>IF(AC887="Archived",0,ROUND((IF(N887="Tier 1",35,IF(N887="Tier 2",20,8))+IF(C887="Financial Investor",15,IF(C887="Intermediary / Banker",12,8))+IF(L887="Term Sheet / Proposal",25,IF(L887="Engaged",20,IF(L887="Meeting Requested",18,IF(L887="Meeting Held",14,IF(L887="Follow Up",10,5)))))+MIN(Q887,30)+IF(S887="DUE",15,IF(S887="Next 3 Days",8,0))),0))</f>
        <v/>
      </c>
      <c r="AB887" s="425">
        <f>IF(AND(AC887="Active",OR(N887="Tier 1",N887="Tier 2"),OR(S887="DUE",S887="Next 3 Days")),"YES","")</f>
        <v/>
      </c>
      <c r="AC887" s="425">
        <f>IF(L887="Passed","Archived","Active")</f>
        <v/>
      </c>
    </row>
    <row r="888">
      <c r="A888" s="425" t="inlineStr">
        <is>
          <t>EXOS-0887</t>
        </is>
      </c>
      <c r="B888" s="425" t="inlineStr">
        <is>
          <t>John - Investor Contacts</t>
        </is>
      </c>
      <c r="C888" s="425" t="inlineStr">
        <is>
          <t>Financial Investor</t>
        </is>
      </c>
      <c r="D888" s="425" t="inlineStr">
        <is>
          <t>Alamo Angel Network</t>
        </is>
      </c>
      <c r="E888" s="425" t="inlineStr">
        <is>
          <t>Juan “Sebastian” Garzon</t>
        </is>
      </c>
      <c r="F888" s="425" t="inlineStr"/>
      <c r="G888" s="111" t="inlineStr">
        <is>
          <t>juan@alamoangels.com</t>
        </is>
      </c>
      <c r="H888" s="425" t="inlineStr"/>
      <c r="I888" s="425" t="inlineStr"/>
      <c r="J888" s="111" t="inlineStr">
        <is>
          <t>https://www.linkedin.com/in/juansebastiangarzon/</t>
        </is>
      </c>
      <c r="K888" s="426" t="inlineStr">
        <is>
          <t>John Quinn</t>
        </is>
      </c>
      <c r="L888" s="426" t="inlineStr">
        <is>
          <t>Contacted</t>
        </is>
      </c>
      <c r="M888" s="425" t="inlineStr">
        <is>
          <t>Space / Defense / Aerospace / Advanced Manufacturing</t>
        </is>
      </c>
      <c r="N888" s="426" t="inlineStr">
        <is>
          <t>Tier 2</t>
        </is>
      </c>
      <c r="O888" s="441" t="n">
        <v>45813</v>
      </c>
      <c r="P888" s="441" t="n">
        <v>45813</v>
      </c>
      <c r="Q888" s="425">
        <f>IF(P888="","",TODAY()-P888)</f>
        <v/>
      </c>
      <c r="R888" s="441">
        <f>IF(OR(L888="Passed",Z888=""),"",P888+Z888)</f>
        <v/>
      </c>
      <c r="S888" s="425">
        <f>IF(OR(R888="",L888="Passed"),"",IF(R888&lt;=TODAY(),"DUE",IF(R888&lt;=TODAY()+3,"Next 3 Days","Later")))</f>
        <v/>
      </c>
      <c r="T888" s="425" t="inlineStr"/>
      <c r="U888" s="426" t="inlineStr">
        <is>
          <t>https://www.linkedin.com/in/juansebastiangarzon/</t>
        </is>
      </c>
      <c r="V888" s="426" t="inlineStr"/>
      <c r="W888" s="428" t="inlineStr">
        <is>
          <t xml:space="preserve"> |  | </t>
        </is>
      </c>
      <c r="X888" s="425" t="inlineStr">
        <is>
          <t>John - Investor Contacts!118</t>
        </is>
      </c>
      <c r="Y888" s="426" t="inlineStr">
        <is>
          <t>Send 1st follow-up and ask for 20-minute call</t>
        </is>
      </c>
      <c r="Z888" s="425" t="n">
        <v>3</v>
      </c>
      <c r="AA888" s="425">
        <f>IF(AC888="Archived",0,ROUND((IF(N888="Tier 1",35,IF(N888="Tier 2",20,8))+IF(C888="Financial Investor",15,IF(C888="Intermediary / Banker",12,8))+IF(L888="Term Sheet / Proposal",25,IF(L888="Engaged",20,IF(L888="Meeting Requested",18,IF(L888="Meeting Held",14,IF(L888="Follow Up",10,5)))))+MIN(Q888,30)+IF(S888="DUE",15,IF(S888="Next 3 Days",8,0))),0))</f>
        <v/>
      </c>
      <c r="AB888" s="425">
        <f>IF(AND(AC888="Active",OR(N888="Tier 1",N888="Tier 2"),OR(S888="DUE",S888="Next 3 Days")),"YES","")</f>
        <v/>
      </c>
      <c r="AC888" s="425">
        <f>IF(L888="Passed","Archived","Active")</f>
        <v/>
      </c>
    </row>
    <row r="889">
      <c r="A889" s="425" t="inlineStr">
        <is>
          <t>EXOS-0888</t>
        </is>
      </c>
      <c r="B889" s="425" t="inlineStr">
        <is>
          <t>John - Investor Contacts</t>
        </is>
      </c>
      <c r="C889" s="425" t="inlineStr">
        <is>
          <t>Financial Investor</t>
        </is>
      </c>
      <c r="D889" s="425" t="inlineStr">
        <is>
          <t>Alamo Angel Network</t>
        </is>
      </c>
      <c r="E889" s="425" t="inlineStr">
        <is>
          <t>Mariano González Vasconcelos</t>
        </is>
      </c>
      <c r="F889" s="425" t="inlineStr"/>
      <c r="G889" s="111" t="inlineStr">
        <is>
          <t>mariano@alamoangels.com</t>
        </is>
      </c>
      <c r="H889" s="425" t="inlineStr"/>
      <c r="I889" s="425" t="inlineStr"/>
      <c r="J889" s="111" t="inlineStr">
        <is>
          <t>https://www.linkedin.com/in/marianogonvas/</t>
        </is>
      </c>
      <c r="K889" s="426" t="inlineStr">
        <is>
          <t>John Quinn</t>
        </is>
      </c>
      <c r="L889" s="426" t="inlineStr">
        <is>
          <t>Contacted</t>
        </is>
      </c>
      <c r="M889" s="425" t="inlineStr">
        <is>
          <t>Space / Defense / Aerospace / Advanced Manufacturing</t>
        </is>
      </c>
      <c r="N889" s="426" t="inlineStr">
        <is>
          <t>Tier 2</t>
        </is>
      </c>
      <c r="O889" s="441" t="n">
        <v>45813</v>
      </c>
      <c r="P889" s="441" t="n">
        <v>45813</v>
      </c>
      <c r="Q889" s="425">
        <f>IF(P889="","",TODAY()-P889)</f>
        <v/>
      </c>
      <c r="R889" s="441">
        <f>IF(OR(L889="Passed",Z889=""),"",P889+Z889)</f>
        <v/>
      </c>
      <c r="S889" s="425">
        <f>IF(OR(R889="",L889="Passed"),"",IF(R889&lt;=TODAY(),"DUE",IF(R889&lt;=TODAY()+3,"Next 3 Days","Later")))</f>
        <v/>
      </c>
      <c r="T889" s="425" t="inlineStr"/>
      <c r="U889" s="426" t="inlineStr">
        <is>
          <t>https://www.linkedin.com/in/marianogonvas/</t>
        </is>
      </c>
      <c r="V889" s="426" t="inlineStr"/>
      <c r="W889" s="428" t="inlineStr">
        <is>
          <t xml:space="preserve"> |  | </t>
        </is>
      </c>
      <c r="X889" s="425" t="inlineStr">
        <is>
          <t>John - Investor Contacts!119</t>
        </is>
      </c>
      <c r="Y889" s="426" t="inlineStr">
        <is>
          <t>Send 1st follow-up and ask for 20-minute call</t>
        </is>
      </c>
      <c r="Z889" s="425" t="n">
        <v>3</v>
      </c>
      <c r="AA889" s="425">
        <f>IF(AC889="Archived",0,ROUND((IF(N889="Tier 1",35,IF(N889="Tier 2",20,8))+IF(C889="Financial Investor",15,IF(C889="Intermediary / Banker",12,8))+IF(L889="Term Sheet / Proposal",25,IF(L889="Engaged",20,IF(L889="Meeting Requested",18,IF(L889="Meeting Held",14,IF(L889="Follow Up",10,5)))))+MIN(Q889,30)+IF(S889="DUE",15,IF(S889="Next 3 Days",8,0))),0))</f>
        <v/>
      </c>
      <c r="AB889" s="425">
        <f>IF(AND(AC889="Active",OR(N889="Tier 1",N889="Tier 2"),OR(S889="DUE",S889="Next 3 Days")),"YES","")</f>
        <v/>
      </c>
      <c r="AC889" s="425">
        <f>IF(L889="Passed","Archived","Active")</f>
        <v/>
      </c>
    </row>
    <row r="890">
      <c r="A890" s="425" t="inlineStr">
        <is>
          <t>EXOS-0889</t>
        </is>
      </c>
      <c r="B890" s="425" t="inlineStr">
        <is>
          <t>Toshi Contacts</t>
        </is>
      </c>
      <c r="C890" s="425" t="inlineStr">
        <is>
          <t>Financial Investor</t>
        </is>
      </c>
      <c r="D890" s="425" t="inlineStr">
        <is>
          <t>Alpine Space VC</t>
        </is>
      </c>
      <c r="E890" s="425" t="inlineStr"/>
      <c r="F890" s="425" t="inlineStr"/>
      <c r="G890" s="111" t="inlineStr">
        <is>
          <t>catriona@alpinespace.vc</t>
        </is>
      </c>
      <c r="H890" s="425" t="inlineStr"/>
      <c r="I890" s="425" t="inlineStr"/>
      <c r="J890" s="425" t="inlineStr"/>
      <c r="K890" s="426" t="inlineStr">
        <is>
          <t>John Quinn</t>
        </is>
      </c>
      <c r="L890" s="426" t="inlineStr">
        <is>
          <t>Contacted</t>
        </is>
      </c>
      <c r="M890" s="425" t="inlineStr">
        <is>
          <t>Space / Defense / Aerospace / Advanced Manufacturing</t>
        </is>
      </c>
      <c r="N890" s="426" t="inlineStr">
        <is>
          <t>Tier 2</t>
        </is>
      </c>
      <c r="O890" s="441" t="n">
        <v>45851</v>
      </c>
      <c r="P890" s="441" t="n">
        <v>45851</v>
      </c>
      <c r="Q890" s="425">
        <f>IF(P890="","",TODAY()-P890)</f>
        <v/>
      </c>
      <c r="R890" s="441">
        <f>IF(OR(L890="Passed",Z890=""),"",P890+Z890)</f>
        <v/>
      </c>
      <c r="S890" s="425">
        <f>IF(OR(R890="",L890="Passed"),"",IF(R890&lt;=TODAY(),"DUE",IF(R890&lt;=TODAY()+3,"Next 3 Days","Later")))</f>
        <v/>
      </c>
      <c r="T890" s="425" t="inlineStr"/>
      <c r="U890" s="426" t="inlineStr"/>
      <c r="V890" s="426" t="inlineStr"/>
      <c r="W890" s="428" t="inlineStr">
        <is>
          <t xml:space="preserve"> | </t>
        </is>
      </c>
      <c r="X890" s="425" t="inlineStr">
        <is>
          <t>Toshi Contacts!3</t>
        </is>
      </c>
      <c r="Y890" s="426" t="inlineStr">
        <is>
          <t>Send 1st follow-up and ask for 20-minute call</t>
        </is>
      </c>
      <c r="Z890" s="425" t="n">
        <v>3</v>
      </c>
      <c r="AA890" s="425">
        <f>IF(AC890="Archived",0,ROUND((IF(N890="Tier 1",35,IF(N890="Tier 2",20,8))+IF(C890="Financial Investor",15,IF(C890="Intermediary / Banker",12,8))+IF(L890="Term Sheet / Proposal",25,IF(L890="Engaged",20,IF(L890="Meeting Requested",18,IF(L890="Meeting Held",14,IF(L890="Follow Up",10,5)))))+MIN(Q890,30)+IF(S890="DUE",15,IF(S890="Next 3 Days",8,0))),0))</f>
        <v/>
      </c>
      <c r="AB890" s="425">
        <f>IF(AND(AC890="Active",OR(N890="Tier 1",N890="Tier 2"),OR(S890="DUE",S890="Next 3 Days")),"YES","")</f>
        <v/>
      </c>
      <c r="AC890" s="425">
        <f>IF(L890="Passed","Archived","Active")</f>
        <v/>
      </c>
    </row>
    <row r="891">
      <c r="A891" s="425" t="inlineStr">
        <is>
          <t>EXOS-0890</t>
        </is>
      </c>
      <c r="B891" s="425" t="inlineStr">
        <is>
          <t>John - Investor Contacts</t>
        </is>
      </c>
      <c r="C891" s="425" t="inlineStr">
        <is>
          <t>Financial Investor</t>
        </is>
      </c>
      <c r="D891" s="425" t="inlineStr">
        <is>
          <t>Alumni Ventures</t>
        </is>
      </c>
      <c r="E891" s="425" t="inlineStr">
        <is>
          <t>Carl Choi</t>
        </is>
      </c>
      <c r="F891" s="425" t="inlineStr"/>
      <c r="G891" s="111" t="inlineStr">
        <is>
          <t>carl@av.vc</t>
        </is>
      </c>
      <c r="H891" s="425" t="inlineStr"/>
      <c r="I891" s="425" t="inlineStr"/>
      <c r="J891" s="425" t="inlineStr"/>
      <c r="K891" s="426" t="inlineStr">
        <is>
          <t>John Quinn</t>
        </is>
      </c>
      <c r="L891" s="426" t="inlineStr">
        <is>
          <t>Contacted</t>
        </is>
      </c>
      <c r="M891" s="425" t="inlineStr">
        <is>
          <t>Space / Defense / Aerospace / Advanced Manufacturing</t>
        </is>
      </c>
      <c r="N891" s="426" t="inlineStr">
        <is>
          <t>Tier 2</t>
        </is>
      </c>
      <c r="O891" s="441" t="n">
        <v>45821</v>
      </c>
      <c r="P891" s="441" t="n">
        <v>45821</v>
      </c>
      <c r="Q891" s="425">
        <f>IF(P891="","",TODAY()-P891)</f>
        <v/>
      </c>
      <c r="R891" s="441">
        <f>IF(OR(L891="Passed",Z891=""),"",P891+Z891)</f>
        <v/>
      </c>
      <c r="S891" s="425">
        <f>IF(OR(R891="",L891="Passed"),"",IF(R891&lt;=TODAY(),"DUE",IF(R891&lt;=TODAY()+3,"Next 3 Days","Later")))</f>
        <v/>
      </c>
      <c r="T891" s="425" t="inlineStr"/>
      <c r="U891" s="426" t="inlineStr"/>
      <c r="V891" s="426" t="inlineStr"/>
      <c r="W891" s="428" t="inlineStr">
        <is>
          <t xml:space="preserve"> |  | </t>
        </is>
      </c>
      <c r="X891" s="425" t="inlineStr">
        <is>
          <t>John - Investor Contacts!179</t>
        </is>
      </c>
      <c r="Y891" s="426" t="inlineStr">
        <is>
          <t>Send 1st follow-up and ask for 20-minute call</t>
        </is>
      </c>
      <c r="Z891" s="425" t="n">
        <v>3</v>
      </c>
      <c r="AA891" s="425">
        <f>IF(AC891="Archived",0,ROUND((IF(N891="Tier 1",35,IF(N891="Tier 2",20,8))+IF(C891="Financial Investor",15,IF(C891="Intermediary / Banker",12,8))+IF(L891="Term Sheet / Proposal",25,IF(L891="Engaged",20,IF(L891="Meeting Requested",18,IF(L891="Meeting Held",14,IF(L891="Follow Up",10,5)))))+MIN(Q891,30)+IF(S891="DUE",15,IF(S891="Next 3 Days",8,0))),0))</f>
        <v/>
      </c>
      <c r="AB891" s="425">
        <f>IF(AND(AC891="Active",OR(N891="Tier 1",N891="Tier 2"),OR(S891="DUE",S891="Next 3 Days")),"YES","")</f>
        <v/>
      </c>
      <c r="AC891" s="425">
        <f>IF(L891="Passed","Archived","Active")</f>
        <v/>
      </c>
    </row>
    <row r="892">
      <c r="A892" s="425" t="inlineStr">
        <is>
          <t>EXOS-0891</t>
        </is>
      </c>
      <c r="B892" s="425" t="inlineStr">
        <is>
          <t>John - Investor Contacts</t>
        </is>
      </c>
      <c r="C892" s="425" t="inlineStr">
        <is>
          <t>Financial Investor</t>
        </is>
      </c>
      <c r="D892" s="425" t="inlineStr">
        <is>
          <t>Alumni Ventures</t>
        </is>
      </c>
      <c r="E892" s="425" t="inlineStr">
        <is>
          <t>Mark Edwards</t>
        </is>
      </c>
      <c r="F892" s="425" t="inlineStr"/>
      <c r="G892" s="111" t="inlineStr">
        <is>
          <t>mark@av.vc</t>
        </is>
      </c>
      <c r="H892" s="425" t="inlineStr"/>
      <c r="I892" s="425" t="inlineStr"/>
      <c r="J892" s="425" t="inlineStr"/>
      <c r="K892" s="426" t="inlineStr">
        <is>
          <t>John Quinn</t>
        </is>
      </c>
      <c r="L892" s="426" t="inlineStr">
        <is>
          <t>Contacted</t>
        </is>
      </c>
      <c r="M892" s="425" t="inlineStr">
        <is>
          <t>Space / Defense / Aerospace / Advanced Manufacturing</t>
        </is>
      </c>
      <c r="N892" s="426" t="inlineStr">
        <is>
          <t>Tier 2</t>
        </is>
      </c>
      <c r="O892" s="441" t="n">
        <v>45821</v>
      </c>
      <c r="P892" s="441" t="n">
        <v>45821</v>
      </c>
      <c r="Q892" s="425">
        <f>IF(P892="","",TODAY()-P892)</f>
        <v/>
      </c>
      <c r="R892" s="441">
        <f>IF(OR(L892="Passed",Z892=""),"",P892+Z892)</f>
        <v/>
      </c>
      <c r="S892" s="425">
        <f>IF(OR(R892="",L892="Passed"),"",IF(R892&lt;=TODAY(),"DUE",IF(R892&lt;=TODAY()+3,"Next 3 Days","Later")))</f>
        <v/>
      </c>
      <c r="T892" s="425" t="inlineStr"/>
      <c r="U892" s="426" t="inlineStr"/>
      <c r="V892" s="426" t="inlineStr"/>
      <c r="W892" s="428" t="inlineStr">
        <is>
          <t xml:space="preserve"> |  | </t>
        </is>
      </c>
      <c r="X892" s="425" t="inlineStr">
        <is>
          <t>John - Investor Contacts!182</t>
        </is>
      </c>
      <c r="Y892" s="426" t="inlineStr">
        <is>
          <t>Send 1st follow-up and ask for 20-minute call</t>
        </is>
      </c>
      <c r="Z892" s="425" t="n">
        <v>3</v>
      </c>
      <c r="AA892" s="425">
        <f>IF(AC892="Archived",0,ROUND((IF(N892="Tier 1",35,IF(N892="Tier 2",20,8))+IF(C892="Financial Investor",15,IF(C892="Intermediary / Banker",12,8))+IF(L892="Term Sheet / Proposal",25,IF(L892="Engaged",20,IF(L892="Meeting Requested",18,IF(L892="Meeting Held",14,IF(L892="Follow Up",10,5)))))+MIN(Q892,30)+IF(S892="DUE",15,IF(S892="Next 3 Days",8,0))),0))</f>
        <v/>
      </c>
      <c r="AB892" s="425">
        <f>IF(AND(AC892="Active",OR(N892="Tier 1",N892="Tier 2"),OR(S892="DUE",S892="Next 3 Days")),"YES","")</f>
        <v/>
      </c>
      <c r="AC892" s="425">
        <f>IF(L892="Passed","Archived","Active")</f>
        <v/>
      </c>
    </row>
    <row r="893">
      <c r="A893" s="425" t="inlineStr">
        <is>
          <t>EXOS-0892</t>
        </is>
      </c>
      <c r="B893" s="425" t="inlineStr">
        <is>
          <t>John - Investor Contacts</t>
        </is>
      </c>
      <c r="C893" s="425" t="inlineStr">
        <is>
          <t>Financial Investor</t>
        </is>
      </c>
      <c r="D893" s="425" t="inlineStr">
        <is>
          <t>Alumni Ventures</t>
        </is>
      </c>
      <c r="E893" s="425" t="inlineStr">
        <is>
          <t>Matt Caspari</t>
        </is>
      </c>
      <c r="F893" s="425" t="inlineStr"/>
      <c r="G893" s="111" t="inlineStr">
        <is>
          <t>matt@av.vc</t>
        </is>
      </c>
      <c r="H893" s="425" t="inlineStr"/>
      <c r="I893" s="425" t="inlineStr"/>
      <c r="J893" s="425" t="inlineStr"/>
      <c r="K893" s="426" t="inlineStr">
        <is>
          <t>John Quinn</t>
        </is>
      </c>
      <c r="L893" s="426" t="inlineStr">
        <is>
          <t>Contacted</t>
        </is>
      </c>
      <c r="M893" s="425" t="inlineStr">
        <is>
          <t>Space / Defense / Aerospace / Advanced Manufacturing</t>
        </is>
      </c>
      <c r="N893" s="426" t="inlineStr">
        <is>
          <t>Tier 2</t>
        </is>
      </c>
      <c r="O893" s="441" t="n">
        <v>45821</v>
      </c>
      <c r="P893" s="441" t="n">
        <v>45821</v>
      </c>
      <c r="Q893" s="425">
        <f>IF(P893="","",TODAY()-P893)</f>
        <v/>
      </c>
      <c r="R893" s="441">
        <f>IF(OR(L893="Passed",Z893=""),"",P893+Z893)</f>
        <v/>
      </c>
      <c r="S893" s="425">
        <f>IF(OR(R893="",L893="Passed"),"",IF(R893&lt;=TODAY(),"DUE",IF(R893&lt;=TODAY()+3,"Next 3 Days","Later")))</f>
        <v/>
      </c>
      <c r="T893" s="425" t="inlineStr"/>
      <c r="U893" s="426" t="inlineStr"/>
      <c r="V893" s="426" t="inlineStr"/>
      <c r="W893" s="428" t="inlineStr">
        <is>
          <t xml:space="preserve"> |  | </t>
        </is>
      </c>
      <c r="X893" s="425" t="inlineStr">
        <is>
          <t>John - Investor Contacts!178</t>
        </is>
      </c>
      <c r="Y893" s="426" t="inlineStr">
        <is>
          <t>Send 1st follow-up and ask for 20-minute call</t>
        </is>
      </c>
      <c r="Z893" s="425" t="n">
        <v>3</v>
      </c>
      <c r="AA893" s="425">
        <f>IF(AC893="Archived",0,ROUND((IF(N893="Tier 1",35,IF(N893="Tier 2",20,8))+IF(C893="Financial Investor",15,IF(C893="Intermediary / Banker",12,8))+IF(L893="Term Sheet / Proposal",25,IF(L893="Engaged",20,IF(L893="Meeting Requested",18,IF(L893="Meeting Held",14,IF(L893="Follow Up",10,5)))))+MIN(Q893,30)+IF(S893="DUE",15,IF(S893="Next 3 Days",8,0))),0))</f>
        <v/>
      </c>
      <c r="AB893" s="425">
        <f>IF(AND(AC893="Active",OR(N893="Tier 1",N893="Tier 2"),OR(S893="DUE",S893="Next 3 Days")),"YES","")</f>
        <v/>
      </c>
      <c r="AC893" s="425">
        <f>IF(L893="Passed","Archived","Active")</f>
        <v/>
      </c>
    </row>
    <row r="894">
      <c r="A894" s="425" t="inlineStr">
        <is>
          <t>EXOS-0893</t>
        </is>
      </c>
      <c r="B894" s="425" t="inlineStr">
        <is>
          <t>John - Investor Contacts</t>
        </is>
      </c>
      <c r="C894" s="425" t="inlineStr">
        <is>
          <t>Financial Investor</t>
        </is>
      </c>
      <c r="D894" s="425" t="inlineStr">
        <is>
          <t>Alumni Ventures</t>
        </is>
      </c>
      <c r="E894" s="425" t="inlineStr">
        <is>
          <t>Mike Collins</t>
        </is>
      </c>
      <c r="F894" s="425" t="inlineStr"/>
      <c r="G894" s="111" t="inlineStr">
        <is>
          <t>mike@av.vc</t>
        </is>
      </c>
      <c r="H894" s="425" t="inlineStr"/>
      <c r="I894" s="425" t="inlineStr"/>
      <c r="J894" s="425" t="inlineStr"/>
      <c r="K894" s="426" t="inlineStr">
        <is>
          <t>John Quinn</t>
        </is>
      </c>
      <c r="L894" s="426" t="inlineStr">
        <is>
          <t>Contacted</t>
        </is>
      </c>
      <c r="M894" s="425" t="inlineStr">
        <is>
          <t>Space / Defense / Aerospace / Advanced Manufacturing</t>
        </is>
      </c>
      <c r="N894" s="426" t="inlineStr">
        <is>
          <t>Tier 2</t>
        </is>
      </c>
      <c r="O894" s="441" t="n">
        <v>45821</v>
      </c>
      <c r="P894" s="441" t="n">
        <v>45821</v>
      </c>
      <c r="Q894" s="425">
        <f>IF(P894="","",TODAY()-P894)</f>
        <v/>
      </c>
      <c r="R894" s="441">
        <f>IF(OR(L894="Passed",Z894=""),"",P894+Z894)</f>
        <v/>
      </c>
      <c r="S894" s="425">
        <f>IF(OR(R894="",L894="Passed"),"",IF(R894&lt;=TODAY(),"DUE",IF(R894&lt;=TODAY()+3,"Next 3 Days","Later")))</f>
        <v/>
      </c>
      <c r="T894" s="425" t="inlineStr"/>
      <c r="U894" s="426" t="inlineStr"/>
      <c r="V894" s="426" t="inlineStr"/>
      <c r="W894" s="428" t="inlineStr">
        <is>
          <t xml:space="preserve"> |  | </t>
        </is>
      </c>
      <c r="X894" s="425" t="inlineStr">
        <is>
          <t>John - Investor Contacts!181</t>
        </is>
      </c>
      <c r="Y894" s="426" t="inlineStr">
        <is>
          <t>Send 1st follow-up and ask for 20-minute call</t>
        </is>
      </c>
      <c r="Z894" s="425" t="n">
        <v>3</v>
      </c>
      <c r="AA894" s="425">
        <f>IF(AC894="Archived",0,ROUND((IF(N894="Tier 1",35,IF(N894="Tier 2",20,8))+IF(C894="Financial Investor",15,IF(C894="Intermediary / Banker",12,8))+IF(L894="Term Sheet / Proposal",25,IF(L894="Engaged",20,IF(L894="Meeting Requested",18,IF(L894="Meeting Held",14,IF(L894="Follow Up",10,5)))))+MIN(Q894,30)+IF(S894="DUE",15,IF(S894="Next 3 Days",8,0))),0))</f>
        <v/>
      </c>
      <c r="AB894" s="425">
        <f>IF(AND(AC894="Active",OR(N894="Tier 1",N894="Tier 2"),OR(S894="DUE",S894="Next 3 Days")),"YES","")</f>
        <v/>
      </c>
      <c r="AC894" s="425">
        <f>IF(L894="Passed","Archived","Active")</f>
        <v/>
      </c>
    </row>
    <row r="895">
      <c r="A895" s="425" t="inlineStr">
        <is>
          <t>EXOS-0894</t>
        </is>
      </c>
      <c r="B895" s="425" t="inlineStr">
        <is>
          <t>John - Investor Contacts</t>
        </is>
      </c>
      <c r="C895" s="425" t="inlineStr">
        <is>
          <t>Financial Investor</t>
        </is>
      </c>
      <c r="D895" s="425" t="inlineStr">
        <is>
          <t>Alumni Ventures</t>
        </is>
      </c>
      <c r="E895" s="425" t="inlineStr">
        <is>
          <t>Mike Perry</t>
        </is>
      </c>
      <c r="F895" s="425" t="inlineStr"/>
      <c r="G895" s="111" t="inlineStr">
        <is>
          <t>michael.perry@av.vc</t>
        </is>
      </c>
      <c r="H895" s="425" t="inlineStr"/>
      <c r="I895" s="425" t="inlineStr"/>
      <c r="J895" s="111" t="inlineStr">
        <is>
          <t>https://www.linkedin.com/in/michaelmatthewsperry/</t>
        </is>
      </c>
      <c r="K895" s="426" t="inlineStr">
        <is>
          <t>John Quinn</t>
        </is>
      </c>
      <c r="L895" s="426" t="inlineStr">
        <is>
          <t>Contacted</t>
        </is>
      </c>
      <c r="M895" s="425" t="inlineStr">
        <is>
          <t>Space / Defense / Aerospace / Advanced Manufacturing</t>
        </is>
      </c>
      <c r="N895" s="426" t="inlineStr">
        <is>
          <t>Tier 2</t>
        </is>
      </c>
      <c r="O895" s="441" t="n">
        <v>45821</v>
      </c>
      <c r="P895" s="441" t="n">
        <v>45821</v>
      </c>
      <c r="Q895" s="425">
        <f>IF(P895="","",TODAY()-P895)</f>
        <v/>
      </c>
      <c r="R895" s="441">
        <f>IF(OR(L895="Passed",Z895=""),"",P895+Z895)</f>
        <v/>
      </c>
      <c r="S895" s="425">
        <f>IF(OR(R895="",L895="Passed"),"",IF(R895&lt;=TODAY(),"DUE",IF(R895&lt;=TODAY()+3,"Next 3 Days","Later")))</f>
        <v/>
      </c>
      <c r="T895" s="425" t="inlineStr"/>
      <c r="U895" s="426" t="inlineStr">
        <is>
          <t>https://www.linkedin.com/in/michaelmatthewsperry/</t>
        </is>
      </c>
      <c r="V895" s="426" t="inlineStr"/>
      <c r="W895" s="428" t="inlineStr">
        <is>
          <t xml:space="preserve"> |  | </t>
        </is>
      </c>
      <c r="X895" s="425" t="inlineStr">
        <is>
          <t>John - Investor Contacts!185</t>
        </is>
      </c>
      <c r="Y895" s="426" t="inlineStr">
        <is>
          <t>Send 1st follow-up and ask for 20-minute call</t>
        </is>
      </c>
      <c r="Z895" s="425" t="n">
        <v>3</v>
      </c>
      <c r="AA895" s="425">
        <f>IF(AC895="Archived",0,ROUND((IF(N895="Tier 1",35,IF(N895="Tier 2",20,8))+IF(C895="Financial Investor",15,IF(C895="Intermediary / Banker",12,8))+IF(L895="Term Sheet / Proposal",25,IF(L895="Engaged",20,IF(L895="Meeting Requested",18,IF(L895="Meeting Held",14,IF(L895="Follow Up",10,5)))))+MIN(Q895,30)+IF(S895="DUE",15,IF(S895="Next 3 Days",8,0))),0))</f>
        <v/>
      </c>
      <c r="AB895" s="425">
        <f>IF(AND(AC895="Active",OR(N895="Tier 1",N895="Tier 2"),OR(S895="DUE",S895="Next 3 Days")),"YES","")</f>
        <v/>
      </c>
      <c r="AC895" s="425">
        <f>IF(L895="Passed","Archived","Active")</f>
        <v/>
      </c>
    </row>
    <row r="896">
      <c r="A896" s="425" t="inlineStr">
        <is>
          <t>EXOS-0895</t>
        </is>
      </c>
      <c r="B896" s="425" t="inlineStr">
        <is>
          <t>John - Investor Contacts</t>
        </is>
      </c>
      <c r="C896" s="425" t="inlineStr">
        <is>
          <t>Financial Investor</t>
        </is>
      </c>
      <c r="D896" s="425" t="inlineStr">
        <is>
          <t>Alumni Ventures</t>
        </is>
      </c>
      <c r="E896" s="425" t="inlineStr">
        <is>
          <t>Rupika Brito</t>
        </is>
      </c>
      <c r="F896" s="425" t="inlineStr"/>
      <c r="G896" s="111" t="inlineStr">
        <is>
          <t>rupika@av.vc</t>
        </is>
      </c>
      <c r="H896" s="425" t="inlineStr"/>
      <c r="I896" s="425" t="inlineStr"/>
      <c r="J896" s="425" t="inlineStr"/>
      <c r="K896" s="426" t="inlineStr">
        <is>
          <t>John Quinn</t>
        </is>
      </c>
      <c r="L896" s="426" t="inlineStr">
        <is>
          <t>Contacted</t>
        </is>
      </c>
      <c r="M896" s="425" t="inlineStr">
        <is>
          <t>Space / Defense / Aerospace / Advanced Manufacturing</t>
        </is>
      </c>
      <c r="N896" s="426" t="inlineStr">
        <is>
          <t>Tier 2</t>
        </is>
      </c>
      <c r="O896" s="441" t="n">
        <v>45821</v>
      </c>
      <c r="P896" s="441" t="n">
        <v>45821</v>
      </c>
      <c r="Q896" s="425">
        <f>IF(P896="","",TODAY()-P896)</f>
        <v/>
      </c>
      <c r="R896" s="441">
        <f>IF(OR(L896="Passed",Z896=""),"",P896+Z896)</f>
        <v/>
      </c>
      <c r="S896" s="425">
        <f>IF(OR(R896="",L896="Passed"),"",IF(R896&lt;=TODAY(),"DUE",IF(R896&lt;=TODAY()+3,"Next 3 Days","Later")))</f>
        <v/>
      </c>
      <c r="T896" s="425" t="inlineStr"/>
      <c r="U896" s="426" t="inlineStr"/>
      <c r="V896" s="426" t="inlineStr"/>
      <c r="W896" s="428" t="inlineStr">
        <is>
          <t xml:space="preserve"> |  | </t>
        </is>
      </c>
      <c r="X896" s="425" t="inlineStr">
        <is>
          <t>John - Investor Contacts!180</t>
        </is>
      </c>
      <c r="Y896" s="426" t="inlineStr">
        <is>
          <t>Send 1st follow-up and ask for 20-minute call</t>
        </is>
      </c>
      <c r="Z896" s="425" t="n">
        <v>3</v>
      </c>
      <c r="AA896" s="425">
        <f>IF(AC896="Archived",0,ROUND((IF(N896="Tier 1",35,IF(N896="Tier 2",20,8))+IF(C896="Financial Investor",15,IF(C896="Intermediary / Banker",12,8))+IF(L896="Term Sheet / Proposal",25,IF(L896="Engaged",20,IF(L896="Meeting Requested",18,IF(L896="Meeting Held",14,IF(L896="Follow Up",10,5)))))+MIN(Q896,30)+IF(S896="DUE",15,IF(S896="Next 3 Days",8,0))),0))</f>
        <v/>
      </c>
      <c r="AB896" s="425">
        <f>IF(AND(AC896="Active",OR(N896="Tier 1",N896="Tier 2"),OR(S896="DUE",S896="Next 3 Days")),"YES","")</f>
        <v/>
      </c>
      <c r="AC896" s="425">
        <f>IF(L896="Passed","Archived","Active")</f>
        <v/>
      </c>
    </row>
    <row r="897">
      <c r="A897" s="425" t="inlineStr">
        <is>
          <t>EXOS-0896</t>
        </is>
      </c>
      <c r="B897" s="425" t="inlineStr">
        <is>
          <t>John - Investor Contacts</t>
        </is>
      </c>
      <c r="C897" s="425" t="inlineStr">
        <is>
          <t>Financial Investor</t>
        </is>
      </c>
      <c r="D897" s="425" t="inlineStr">
        <is>
          <t>Alumni Ventures</t>
        </is>
      </c>
      <c r="E897" s="425" t="inlineStr">
        <is>
          <t>info</t>
        </is>
      </c>
      <c r="F897" s="425" t="inlineStr"/>
      <c r="G897" s="111" t="inlineStr">
        <is>
          <t>info@av.vc</t>
        </is>
      </c>
      <c r="H897" s="425" t="inlineStr"/>
      <c r="I897" s="425" t="inlineStr"/>
      <c r="J897" s="425" t="inlineStr"/>
      <c r="K897" s="426" t="inlineStr">
        <is>
          <t>John Quinn</t>
        </is>
      </c>
      <c r="L897" s="426" t="inlineStr">
        <is>
          <t>Contacted</t>
        </is>
      </c>
      <c r="M897" s="425" t="inlineStr">
        <is>
          <t>Space / Defense / Aerospace / Advanced Manufacturing</t>
        </is>
      </c>
      <c r="N897" s="426" t="inlineStr">
        <is>
          <t>Tier 2</t>
        </is>
      </c>
      <c r="O897" s="441" t="n">
        <v>45821</v>
      </c>
      <c r="P897" s="441" t="n">
        <v>45821</v>
      </c>
      <c r="Q897" s="425">
        <f>IF(P897="","",TODAY()-P897)</f>
        <v/>
      </c>
      <c r="R897" s="441">
        <f>IF(OR(L897="Passed",Z897=""),"",P897+Z897)</f>
        <v/>
      </c>
      <c r="S897" s="425">
        <f>IF(OR(R897="",L897="Passed"),"",IF(R897&lt;=TODAY(),"DUE",IF(R897&lt;=TODAY()+3,"Next 3 Days","Later")))</f>
        <v/>
      </c>
      <c r="T897" s="425" t="inlineStr"/>
      <c r="U897" s="426" t="inlineStr"/>
      <c r="V897" s="426" t="inlineStr"/>
      <c r="W897" s="428" t="inlineStr">
        <is>
          <t xml:space="preserve"> |  | </t>
        </is>
      </c>
      <c r="X897" s="425" t="inlineStr">
        <is>
          <t>John - Investor Contacts!177</t>
        </is>
      </c>
      <c r="Y897" s="426" t="inlineStr">
        <is>
          <t>Send 1st follow-up and ask for 20-minute call</t>
        </is>
      </c>
      <c r="Z897" s="425" t="n">
        <v>3</v>
      </c>
      <c r="AA897" s="425">
        <f>IF(AC897="Archived",0,ROUND((IF(N897="Tier 1",35,IF(N897="Tier 2",20,8))+IF(C897="Financial Investor",15,IF(C897="Intermediary / Banker",12,8))+IF(L897="Term Sheet / Proposal",25,IF(L897="Engaged",20,IF(L897="Meeting Requested",18,IF(L897="Meeting Held",14,IF(L897="Follow Up",10,5)))))+MIN(Q897,30)+IF(S897="DUE",15,IF(S897="Next 3 Days",8,0))),0))</f>
        <v/>
      </c>
      <c r="AB897" s="425">
        <f>IF(AND(AC897="Active",OR(N897="Tier 1",N897="Tier 2"),OR(S897="DUE",S897="Next 3 Days")),"YES","")</f>
        <v/>
      </c>
      <c r="AC897" s="425">
        <f>IF(L897="Passed","Archived","Active")</f>
        <v/>
      </c>
    </row>
    <row r="898">
      <c r="A898" s="425" t="inlineStr">
        <is>
          <t>EXOS-0897</t>
        </is>
      </c>
      <c r="B898" s="425" t="inlineStr">
        <is>
          <t>John - Investor Contacts</t>
        </is>
      </c>
      <c r="C898" s="425" t="inlineStr">
        <is>
          <t>Financial Investor</t>
        </is>
      </c>
      <c r="D898" s="425" t="inlineStr">
        <is>
          <t>Approach Ventures</t>
        </is>
      </c>
      <c r="E898" s="425" t="inlineStr">
        <is>
          <t>Bryce Dabbs</t>
        </is>
      </c>
      <c r="F898" s="425" t="inlineStr"/>
      <c r="G898" s="111" t="inlineStr">
        <is>
          <t>bryce@approachventure.com</t>
        </is>
      </c>
      <c r="H898" s="425" t="inlineStr"/>
      <c r="I898" s="425" t="inlineStr"/>
      <c r="J898" s="425" t="inlineStr"/>
      <c r="K898" s="426" t="inlineStr">
        <is>
          <t>John Quinn</t>
        </is>
      </c>
      <c r="L898" s="426" t="inlineStr">
        <is>
          <t>Contacted</t>
        </is>
      </c>
      <c r="M898" s="425" t="inlineStr">
        <is>
          <t>Space / Defense / Aerospace / Advanced Manufacturing</t>
        </is>
      </c>
      <c r="N898" s="426" t="inlineStr">
        <is>
          <t>Tier 2</t>
        </is>
      </c>
      <c r="O898" s="441" t="n">
        <v>46062</v>
      </c>
      <c r="P898" s="441" t="n">
        <v>46062</v>
      </c>
      <c r="Q898" s="425">
        <f>IF(P898="","",TODAY()-P898)</f>
        <v/>
      </c>
      <c r="R898" s="441">
        <f>IF(OR(L898="Passed",Z898=""),"",P898+Z898)</f>
        <v/>
      </c>
      <c r="S898" s="425">
        <f>IF(OR(R898="",L898="Passed"),"",IF(R898&lt;=TODAY(),"DUE",IF(R898&lt;=TODAY()+3,"Next 3 Days","Later")))</f>
        <v/>
      </c>
      <c r="T898" s="425" t="inlineStr"/>
      <c r="U898" s="426" t="inlineStr"/>
      <c r="V898" s="426" t="inlineStr"/>
      <c r="W898" s="428" t="inlineStr">
        <is>
          <t xml:space="preserve"> |  | </t>
        </is>
      </c>
      <c r="X898" s="425" t="inlineStr">
        <is>
          <t>John - Investor Contacts!942</t>
        </is>
      </c>
      <c r="Y898" s="426" t="inlineStr">
        <is>
          <t>Send 1st follow-up and ask for 20-minute call</t>
        </is>
      </c>
      <c r="Z898" s="425" t="n">
        <v>3</v>
      </c>
      <c r="AA898" s="425">
        <f>IF(AC898="Archived",0,ROUND((IF(N898="Tier 1",35,IF(N898="Tier 2",20,8))+IF(C898="Financial Investor",15,IF(C898="Intermediary / Banker",12,8))+IF(L898="Term Sheet / Proposal",25,IF(L898="Engaged",20,IF(L898="Meeting Requested",18,IF(L898="Meeting Held",14,IF(L898="Follow Up",10,5)))))+MIN(Q898,30)+IF(S898="DUE",15,IF(S898="Next 3 Days",8,0))),0))</f>
        <v/>
      </c>
      <c r="AB898" s="425">
        <f>IF(AND(AC898="Active",OR(N898="Tier 1",N898="Tier 2"),OR(S898="DUE",S898="Next 3 Days")),"YES","")</f>
        <v/>
      </c>
      <c r="AC898" s="425">
        <f>IF(L898="Passed","Archived","Active")</f>
        <v/>
      </c>
    </row>
    <row r="899">
      <c r="A899" s="425" t="inlineStr">
        <is>
          <t>EXOS-0898</t>
        </is>
      </c>
      <c r="B899" s="425" t="inlineStr">
        <is>
          <t>John - Investor Contacts</t>
        </is>
      </c>
      <c r="C899" s="425" t="inlineStr">
        <is>
          <t>Financial Investor</t>
        </is>
      </c>
      <c r="D899" s="425" t="inlineStr">
        <is>
          <t>Approach Ventures</t>
        </is>
      </c>
      <c r="E899" s="425" t="inlineStr">
        <is>
          <t>Colin Johnson</t>
        </is>
      </c>
      <c r="F899" s="425" t="inlineStr"/>
      <c r="G899" s="111" t="inlineStr">
        <is>
          <t>colin@approachventure.com</t>
        </is>
      </c>
      <c r="H899" s="425" t="inlineStr"/>
      <c r="I899" s="425" t="inlineStr"/>
      <c r="J899" s="111" t="inlineStr">
        <is>
          <t>https://www.linkedin.com/in/colin-johnson-57387ab9/</t>
        </is>
      </c>
      <c r="K899" s="426" t="inlineStr">
        <is>
          <t>John Quinn</t>
        </is>
      </c>
      <c r="L899" s="426" t="inlineStr">
        <is>
          <t>Contacted</t>
        </is>
      </c>
      <c r="M899" s="425" t="inlineStr">
        <is>
          <t>Space / Defense / Aerospace / Advanced Manufacturing</t>
        </is>
      </c>
      <c r="N899" s="426" t="inlineStr">
        <is>
          <t>Tier 2</t>
        </is>
      </c>
      <c r="O899" s="441" t="n">
        <v>46062</v>
      </c>
      <c r="P899" s="441" t="n">
        <v>46062</v>
      </c>
      <c r="Q899" s="425">
        <f>IF(P899="","",TODAY()-P899)</f>
        <v/>
      </c>
      <c r="R899" s="441">
        <f>IF(OR(L899="Passed",Z899=""),"",P899+Z899)</f>
        <v/>
      </c>
      <c r="S899" s="425">
        <f>IF(OR(R899="",L899="Passed"),"",IF(R899&lt;=TODAY(),"DUE",IF(R899&lt;=TODAY()+3,"Next 3 Days","Later")))</f>
        <v/>
      </c>
      <c r="T899" s="425" t="inlineStr"/>
      <c r="U899" s="426" t="inlineStr">
        <is>
          <t>https://www.linkedin.com/in/colin-johnson-57387ab9/</t>
        </is>
      </c>
      <c r="V899" s="426" t="inlineStr"/>
      <c r="W899" s="428" t="inlineStr">
        <is>
          <t xml:space="preserve"> |  | </t>
        </is>
      </c>
      <c r="X899" s="425" t="inlineStr">
        <is>
          <t>John - Investor Contacts!943</t>
        </is>
      </c>
      <c r="Y899" s="426" t="inlineStr">
        <is>
          <t>Send 1st follow-up and ask for 20-minute call</t>
        </is>
      </c>
      <c r="Z899" s="425" t="n">
        <v>3</v>
      </c>
      <c r="AA899" s="425">
        <f>IF(AC899="Archived",0,ROUND((IF(N899="Tier 1",35,IF(N899="Tier 2",20,8))+IF(C899="Financial Investor",15,IF(C899="Intermediary / Banker",12,8))+IF(L899="Term Sheet / Proposal",25,IF(L899="Engaged",20,IF(L899="Meeting Requested",18,IF(L899="Meeting Held",14,IF(L899="Follow Up",10,5)))))+MIN(Q899,30)+IF(S899="DUE",15,IF(S899="Next 3 Days",8,0))),0))</f>
        <v/>
      </c>
      <c r="AB899" s="425">
        <f>IF(AND(AC899="Active",OR(N899="Tier 1",N899="Tier 2"),OR(S899="DUE",S899="Next 3 Days")),"YES","")</f>
        <v/>
      </c>
      <c r="AC899" s="425">
        <f>IF(L899="Passed","Archived","Active")</f>
        <v/>
      </c>
    </row>
    <row r="900">
      <c r="A900" s="425" t="inlineStr">
        <is>
          <t>EXOS-0899</t>
        </is>
      </c>
      <c r="B900" s="425" t="inlineStr">
        <is>
          <t>Tank Contacts</t>
        </is>
      </c>
      <c r="C900" s="425" t="inlineStr">
        <is>
          <t>Strategic / Corporate</t>
        </is>
      </c>
      <c r="D900" s="425" t="inlineStr">
        <is>
          <t>Axiom</t>
        </is>
      </c>
      <c r="E900" s="425" t="inlineStr">
        <is>
          <t>Ben Lee</t>
        </is>
      </c>
      <c r="F900" s="425" t="inlineStr"/>
      <c r="G900" s="111" t="inlineStr">
        <is>
          <t>ben@axiomspace.com</t>
        </is>
      </c>
      <c r="H900" s="425" t="inlineStr"/>
      <c r="I900" s="425" t="inlineStr"/>
      <c r="J900" s="111" t="inlineStr">
        <is>
          <t>https://www.linkedin.com/in/ben-junghwan-lee-0403bb43/</t>
        </is>
      </c>
      <c r="K900" s="426" t="inlineStr">
        <is>
          <t>John Quinn</t>
        </is>
      </c>
      <c r="L900" s="426" t="inlineStr">
        <is>
          <t>Contacted</t>
        </is>
      </c>
      <c r="M900" s="425" t="inlineStr">
        <is>
          <t>Strategic space / aerospace alignment</t>
        </is>
      </c>
      <c r="N900" s="426" t="inlineStr">
        <is>
          <t>Tier 2</t>
        </is>
      </c>
      <c r="O900" s="441" t="n">
        <v>45743</v>
      </c>
      <c r="P900" s="441" t="n">
        <v>45743</v>
      </c>
      <c r="Q900" s="425">
        <f>IF(P900="","",TODAY()-P900)</f>
        <v/>
      </c>
      <c r="R900" s="441">
        <f>IF(OR(L900="Passed",Z900=""),"",P900+Z900)</f>
        <v/>
      </c>
      <c r="S900" s="425">
        <f>IF(OR(R900="",L900="Passed"),"",IF(R900&lt;=TODAY(),"DUE",IF(R900&lt;=TODAY()+3,"Next 3 Days","Later")))</f>
        <v/>
      </c>
      <c r="T900" s="425" t="inlineStr"/>
      <c r="U900" s="426" t="inlineStr"/>
      <c r="V900" s="426" t="inlineStr"/>
      <c r="W900" s="428" t="inlineStr"/>
      <c r="X900" s="425" t="inlineStr">
        <is>
          <t>Tank Contacts!7</t>
        </is>
      </c>
      <c r="Y900" s="426" t="inlineStr">
        <is>
          <t>Send 1st follow-up and ask for 20-minute call</t>
        </is>
      </c>
      <c r="Z900" s="425" t="n">
        <v>3</v>
      </c>
      <c r="AA900" s="425">
        <f>IF(AC900="Archived",0,ROUND((IF(N900="Tier 1",35,IF(N900="Tier 2",20,8))+IF(C900="Financial Investor",15,IF(C900="Intermediary / Banker",12,8))+IF(L900="Term Sheet / Proposal",25,IF(L900="Engaged",20,IF(L900="Meeting Requested",18,IF(L900="Meeting Held",14,IF(L900="Follow Up",10,5)))))+MIN(Q900,30)+IF(S900="DUE",15,IF(S900="Next 3 Days",8,0))),0))</f>
        <v/>
      </c>
      <c r="AB900" s="425">
        <f>IF(AND(AC900="Active",OR(N900="Tier 1",N900="Tier 2"),OR(S900="DUE",S900="Next 3 Days")),"YES","")</f>
        <v/>
      </c>
      <c r="AC900" s="425">
        <f>IF(L900="Passed","Archived","Active")</f>
        <v/>
      </c>
    </row>
    <row r="901">
      <c r="A901" s="425" t="inlineStr">
        <is>
          <t>EXOS-0900</t>
        </is>
      </c>
      <c r="B901" s="425" t="inlineStr">
        <is>
          <t>Tank Contacts</t>
        </is>
      </c>
      <c r="C901" s="425" t="inlineStr">
        <is>
          <t>Strategic / Corporate</t>
        </is>
      </c>
      <c r="D901" s="425" t="inlineStr">
        <is>
          <t>Axiom</t>
        </is>
      </c>
      <c r="E901" s="425" t="inlineStr">
        <is>
          <t>David Romero</t>
        </is>
      </c>
      <c r="F901" s="425" t="inlineStr"/>
      <c r="G901" s="111" t="inlineStr">
        <is>
          <t>david.romero@axiomspace.com</t>
        </is>
      </c>
      <c r="H901" s="425" t="inlineStr"/>
      <c r="I901" s="425" t="inlineStr"/>
      <c r="J901" s="111" t="inlineStr">
        <is>
          <t>https://www.linkedin.com/in/david-romero-479a2128/</t>
        </is>
      </c>
      <c r="K901" s="426" t="inlineStr">
        <is>
          <t>John Quinn</t>
        </is>
      </c>
      <c r="L901" s="426" t="inlineStr">
        <is>
          <t>Contacted</t>
        </is>
      </c>
      <c r="M901" s="425" t="inlineStr">
        <is>
          <t>Strategic space / aerospace alignment</t>
        </is>
      </c>
      <c r="N901" s="426" t="inlineStr">
        <is>
          <t>Tier 2</t>
        </is>
      </c>
      <c r="O901" s="441" t="n">
        <v>45743</v>
      </c>
      <c r="P901" s="441" t="n">
        <v>45743</v>
      </c>
      <c r="Q901" s="425">
        <f>IF(P901="","",TODAY()-P901)</f>
        <v/>
      </c>
      <c r="R901" s="441">
        <f>IF(OR(L901="Passed",Z901=""),"",P901+Z901)</f>
        <v/>
      </c>
      <c r="S901" s="425">
        <f>IF(OR(R901="",L901="Passed"),"",IF(R901&lt;=TODAY(),"DUE",IF(R901&lt;=TODAY()+3,"Next 3 Days","Later")))</f>
        <v/>
      </c>
      <c r="T901" s="425" t="inlineStr"/>
      <c r="U901" s="426" t="inlineStr"/>
      <c r="V901" s="426" t="inlineStr"/>
      <c r="W901" s="428" t="inlineStr"/>
      <c r="X901" s="425" t="inlineStr">
        <is>
          <t>Tank Contacts!4</t>
        </is>
      </c>
      <c r="Y901" s="426" t="inlineStr">
        <is>
          <t>Send 1st follow-up and ask for 20-minute call</t>
        </is>
      </c>
      <c r="Z901" s="425" t="n">
        <v>3</v>
      </c>
      <c r="AA901" s="425">
        <f>IF(AC901="Archived",0,ROUND((IF(N901="Tier 1",35,IF(N901="Tier 2",20,8))+IF(C901="Financial Investor",15,IF(C901="Intermediary / Banker",12,8))+IF(L901="Term Sheet / Proposal",25,IF(L901="Engaged",20,IF(L901="Meeting Requested",18,IF(L901="Meeting Held",14,IF(L901="Follow Up",10,5)))))+MIN(Q901,30)+IF(S901="DUE",15,IF(S901="Next 3 Days",8,0))),0))</f>
        <v/>
      </c>
      <c r="AB901" s="425">
        <f>IF(AND(AC901="Active",OR(N901="Tier 1",N901="Tier 2"),OR(S901="DUE",S901="Next 3 Days")),"YES","")</f>
        <v/>
      </c>
      <c r="AC901" s="425">
        <f>IF(L901="Passed","Archived","Active")</f>
        <v/>
      </c>
    </row>
    <row r="902">
      <c r="A902" s="425" t="inlineStr">
        <is>
          <t>EXOS-0901</t>
        </is>
      </c>
      <c r="B902" s="425" t="inlineStr">
        <is>
          <t>Tank Contacts</t>
        </is>
      </c>
      <c r="C902" s="425" t="inlineStr">
        <is>
          <t>Strategic / Corporate</t>
        </is>
      </c>
      <c r="D902" s="425" t="inlineStr">
        <is>
          <t>Axiom</t>
        </is>
      </c>
      <c r="E902" s="425" t="inlineStr">
        <is>
          <t>James Stein</t>
        </is>
      </c>
      <c r="F902" s="425" t="inlineStr"/>
      <c r="G902" s="111" t="inlineStr">
        <is>
          <t>jim@axiomspace.com</t>
        </is>
      </c>
      <c r="H902" s="425" t="inlineStr"/>
      <c r="I902" s="425" t="inlineStr"/>
      <c r="J902" s="111" t="inlineStr">
        <is>
          <t>https://www.linkedin.com/in/james-stein-09018227/</t>
        </is>
      </c>
      <c r="K902" s="426" t="inlineStr">
        <is>
          <t>John Quinn</t>
        </is>
      </c>
      <c r="L902" s="426" t="inlineStr">
        <is>
          <t>Contacted</t>
        </is>
      </c>
      <c r="M902" s="425" t="inlineStr">
        <is>
          <t>Strategic space / aerospace alignment</t>
        </is>
      </c>
      <c r="N902" s="426" t="inlineStr">
        <is>
          <t>Tier 2</t>
        </is>
      </c>
      <c r="O902" s="441" t="n">
        <v>45743</v>
      </c>
      <c r="P902" s="441" t="n">
        <v>45743</v>
      </c>
      <c r="Q902" s="425">
        <f>IF(P902="","",TODAY()-P902)</f>
        <v/>
      </c>
      <c r="R902" s="441">
        <f>IF(OR(L902="Passed",Z902=""),"",P902+Z902)</f>
        <v/>
      </c>
      <c r="S902" s="425">
        <f>IF(OR(R902="",L902="Passed"),"",IF(R902&lt;=TODAY(),"DUE",IF(R902&lt;=TODAY()+3,"Next 3 Days","Later")))</f>
        <v/>
      </c>
      <c r="T902" s="425" t="inlineStr"/>
      <c r="U902" s="426" t="inlineStr"/>
      <c r="V902" s="426" t="inlineStr"/>
      <c r="W902" s="428" t="inlineStr"/>
      <c r="X902" s="425" t="inlineStr">
        <is>
          <t>Tank Contacts!9</t>
        </is>
      </c>
      <c r="Y902" s="426" t="inlineStr">
        <is>
          <t>Send 1st follow-up and ask for 20-minute call</t>
        </is>
      </c>
      <c r="Z902" s="425" t="n">
        <v>3</v>
      </c>
      <c r="AA902" s="425">
        <f>IF(AC902="Archived",0,ROUND((IF(N902="Tier 1",35,IF(N902="Tier 2",20,8))+IF(C902="Financial Investor",15,IF(C902="Intermediary / Banker",12,8))+IF(L902="Term Sheet / Proposal",25,IF(L902="Engaged",20,IF(L902="Meeting Requested",18,IF(L902="Meeting Held",14,IF(L902="Follow Up",10,5)))))+MIN(Q902,30)+IF(S902="DUE",15,IF(S902="Next 3 Days",8,0))),0))</f>
        <v/>
      </c>
      <c r="AB902" s="425">
        <f>IF(AND(AC902="Active",OR(N902="Tier 1",N902="Tier 2"),OR(S902="DUE",S902="Next 3 Days")),"YES","")</f>
        <v/>
      </c>
      <c r="AC902" s="425">
        <f>IF(L902="Passed","Archived","Active")</f>
        <v/>
      </c>
    </row>
    <row r="903">
      <c r="A903" s="425" t="inlineStr">
        <is>
          <t>EXOS-0902</t>
        </is>
      </c>
      <c r="B903" s="425" t="inlineStr">
        <is>
          <t>Tank Contacts</t>
        </is>
      </c>
      <c r="C903" s="425" t="inlineStr">
        <is>
          <t>Strategic / Corporate</t>
        </is>
      </c>
      <c r="D903" s="425" t="inlineStr">
        <is>
          <t>Axiom</t>
        </is>
      </c>
      <c r="E903" s="425" t="inlineStr">
        <is>
          <t>Luke Peeples</t>
        </is>
      </c>
      <c r="F903" s="425" t="inlineStr"/>
      <c r="G903" s="111" t="inlineStr">
        <is>
          <t>lukepeeples@gmail.com</t>
        </is>
      </c>
      <c r="H903" s="425" t="inlineStr">
        <is>
          <t>luke@axiomspace.com</t>
        </is>
      </c>
      <c r="I903" s="425" t="inlineStr"/>
      <c r="J903" s="111" t="inlineStr">
        <is>
          <t>https://www.linkedin.com/in/luke-peeples-91846087/</t>
        </is>
      </c>
      <c r="K903" s="426" t="inlineStr">
        <is>
          <t>John Quinn</t>
        </is>
      </c>
      <c r="L903" s="426" t="inlineStr">
        <is>
          <t>Contacted</t>
        </is>
      </c>
      <c r="M903" s="425" t="inlineStr">
        <is>
          <t>Strategic space / aerospace alignment</t>
        </is>
      </c>
      <c r="N903" s="426" t="inlineStr">
        <is>
          <t>Tier 2</t>
        </is>
      </c>
      <c r="O903" s="441" t="n">
        <v>45743</v>
      </c>
      <c r="P903" s="441" t="n">
        <v>45743</v>
      </c>
      <c r="Q903" s="425">
        <f>IF(P903="","",TODAY()-P903)</f>
        <v/>
      </c>
      <c r="R903" s="441">
        <f>IF(OR(L903="Passed",Z903=""),"",P903+Z903)</f>
        <v/>
      </c>
      <c r="S903" s="425">
        <f>IF(OR(R903="",L903="Passed"),"",IF(R903&lt;=TODAY(),"DUE",IF(R903&lt;=TODAY()+3,"Next 3 Days","Later")))</f>
        <v/>
      </c>
      <c r="T903" s="425" t="inlineStr"/>
      <c r="U903" s="426" t="inlineStr"/>
      <c r="V903" s="426" t="inlineStr"/>
      <c r="W903" s="428" t="inlineStr"/>
      <c r="X903" s="425" t="inlineStr">
        <is>
          <t>Tank Contacts!8</t>
        </is>
      </c>
      <c r="Y903" s="426" t="inlineStr">
        <is>
          <t>Send 1st follow-up and ask for 20-minute call</t>
        </is>
      </c>
      <c r="Z903" s="425" t="n">
        <v>3</v>
      </c>
      <c r="AA903" s="425">
        <f>IF(AC903="Archived",0,ROUND((IF(N903="Tier 1",35,IF(N903="Tier 2",20,8))+IF(C903="Financial Investor",15,IF(C903="Intermediary / Banker",12,8))+IF(L903="Term Sheet / Proposal",25,IF(L903="Engaged",20,IF(L903="Meeting Requested",18,IF(L903="Meeting Held",14,IF(L903="Follow Up",10,5)))))+MIN(Q903,30)+IF(S903="DUE",15,IF(S903="Next 3 Days",8,0))),0))</f>
        <v/>
      </c>
      <c r="AB903" s="425">
        <f>IF(AND(AC903="Active",OR(N903="Tier 1",N903="Tier 2"),OR(S903="DUE",S903="Next 3 Days")),"YES","")</f>
        <v/>
      </c>
      <c r="AC903" s="425">
        <f>IF(L903="Passed","Archived","Active")</f>
        <v/>
      </c>
    </row>
    <row r="904">
      <c r="A904" s="425" t="inlineStr">
        <is>
          <t>EXOS-0903</t>
        </is>
      </c>
      <c r="B904" s="425" t="inlineStr">
        <is>
          <t>Tank Contacts</t>
        </is>
      </c>
      <c r="C904" s="425" t="inlineStr">
        <is>
          <t>Strategic / Corporate</t>
        </is>
      </c>
      <c r="D904" s="425" t="inlineStr">
        <is>
          <t>Axiom</t>
        </is>
      </c>
      <c r="E904" s="425" t="inlineStr">
        <is>
          <t>Mark Greely</t>
        </is>
      </c>
      <c r="F904" s="425" t="inlineStr"/>
      <c r="G904" s="111" t="inlineStr">
        <is>
          <t>mark@axiomspace.com</t>
        </is>
      </c>
      <c r="H904" s="425" t="inlineStr"/>
      <c r="I904" s="425" t="inlineStr"/>
      <c r="J904" s="425" t="inlineStr"/>
      <c r="K904" s="426" t="inlineStr">
        <is>
          <t>John Quinn</t>
        </is>
      </c>
      <c r="L904" s="426" t="inlineStr">
        <is>
          <t>Contacted</t>
        </is>
      </c>
      <c r="M904" s="425" t="inlineStr">
        <is>
          <t>Strategic space / aerospace alignment</t>
        </is>
      </c>
      <c r="N904" s="426" t="inlineStr">
        <is>
          <t>Tier 2</t>
        </is>
      </c>
      <c r="O904" s="441" t="n">
        <v>45743</v>
      </c>
      <c r="P904" s="441" t="n">
        <v>45743</v>
      </c>
      <c r="Q904" s="425">
        <f>IF(P904="","",TODAY()-P904)</f>
        <v/>
      </c>
      <c r="R904" s="441">
        <f>IF(OR(L904="Passed",Z904=""),"",P904+Z904)</f>
        <v/>
      </c>
      <c r="S904" s="425">
        <f>IF(OR(R904="",L904="Passed"),"",IF(R904&lt;=TODAY(),"DUE",IF(R904&lt;=TODAY()+3,"Next 3 Days","Later")))</f>
        <v/>
      </c>
      <c r="T904" s="425" t="inlineStr"/>
      <c r="U904" s="426" t="inlineStr"/>
      <c r="V904" s="426" t="inlineStr"/>
      <c r="W904" s="428" t="inlineStr"/>
      <c r="X904" s="425" t="inlineStr">
        <is>
          <t>Tank Contacts!5</t>
        </is>
      </c>
      <c r="Y904" s="426" t="inlineStr">
        <is>
          <t>Send 1st follow-up and ask for 20-minute call</t>
        </is>
      </c>
      <c r="Z904" s="425" t="n">
        <v>3</v>
      </c>
      <c r="AA904" s="425">
        <f>IF(AC904="Archived",0,ROUND((IF(N904="Tier 1",35,IF(N904="Tier 2",20,8))+IF(C904="Financial Investor",15,IF(C904="Intermediary / Banker",12,8))+IF(L904="Term Sheet / Proposal",25,IF(L904="Engaged",20,IF(L904="Meeting Requested",18,IF(L904="Meeting Held",14,IF(L904="Follow Up",10,5)))))+MIN(Q904,30)+IF(S904="DUE",15,IF(S904="Next 3 Days",8,0))),0))</f>
        <v/>
      </c>
      <c r="AB904" s="425">
        <f>IF(AND(AC904="Active",OR(N904="Tier 1",N904="Tier 2"),OR(S904="DUE",S904="Next 3 Days")),"YES","")</f>
        <v/>
      </c>
      <c r="AC904" s="425">
        <f>IF(L904="Passed","Archived","Active")</f>
        <v/>
      </c>
    </row>
    <row r="905">
      <c r="A905" s="425" t="inlineStr">
        <is>
          <t>EXOS-0904</t>
        </is>
      </c>
      <c r="B905" s="425" t="inlineStr">
        <is>
          <t>Tank Contacts</t>
        </is>
      </c>
      <c r="C905" s="425" t="inlineStr">
        <is>
          <t>Strategic / Corporate</t>
        </is>
      </c>
      <c r="D905" s="425" t="inlineStr">
        <is>
          <t>Axiom</t>
        </is>
      </c>
      <c r="E905" s="425" t="inlineStr">
        <is>
          <t>Michael Baine</t>
        </is>
      </c>
      <c r="F905" s="425" t="inlineStr"/>
      <c r="G905" s="111" t="inlineStr">
        <is>
          <t>mike.baine@axiomspace.com</t>
        </is>
      </c>
      <c r="H905" s="425" t="inlineStr">
        <is>
          <t>michaelbaine@mac.com</t>
        </is>
      </c>
      <c r="I905" s="425" t="inlineStr"/>
      <c r="J905" s="111" t="inlineStr">
        <is>
          <t>https://www.linkedin.com/in/michael-baine-2b870640/</t>
        </is>
      </c>
      <c r="K905" s="426" t="inlineStr">
        <is>
          <t>John Quinn</t>
        </is>
      </c>
      <c r="L905" s="426" t="inlineStr">
        <is>
          <t>Contacted</t>
        </is>
      </c>
      <c r="M905" s="425" t="inlineStr">
        <is>
          <t>Strategic space / aerospace alignment</t>
        </is>
      </c>
      <c r="N905" s="426" t="inlineStr">
        <is>
          <t>Tier 2</t>
        </is>
      </c>
      <c r="O905" s="441" t="n">
        <v>45743</v>
      </c>
      <c r="P905" s="441" t="n">
        <v>45743</v>
      </c>
      <c r="Q905" s="425">
        <f>IF(P905="","",TODAY()-P905)</f>
        <v/>
      </c>
      <c r="R905" s="441">
        <f>IF(OR(L905="Passed",Z905=""),"",P905+Z905)</f>
        <v/>
      </c>
      <c r="S905" s="425">
        <f>IF(OR(R905="",L905="Passed"),"",IF(R905&lt;=TODAY(),"DUE",IF(R905&lt;=TODAY()+3,"Next 3 Days","Later")))</f>
        <v/>
      </c>
      <c r="T905" s="425" t="inlineStr"/>
      <c r="U905" s="426" t="inlineStr"/>
      <c r="V905" s="426" t="inlineStr"/>
      <c r="W905" s="428" t="inlineStr">
        <is>
          <t>4/25 - axiom announced new CEO</t>
        </is>
      </c>
      <c r="X905" s="425" t="inlineStr">
        <is>
          <t>Tank Contacts!2</t>
        </is>
      </c>
      <c r="Y905" s="426" t="inlineStr">
        <is>
          <t>Send 1st follow-up and ask for 20-minute call</t>
        </is>
      </c>
      <c r="Z905" s="425" t="n">
        <v>3</v>
      </c>
      <c r="AA905" s="425">
        <f>IF(AC905="Archived",0,ROUND((IF(N905="Tier 1",35,IF(N905="Tier 2",20,8))+IF(C905="Financial Investor",15,IF(C905="Intermediary / Banker",12,8))+IF(L905="Term Sheet / Proposal",25,IF(L905="Engaged",20,IF(L905="Meeting Requested",18,IF(L905="Meeting Held",14,IF(L905="Follow Up",10,5)))))+MIN(Q905,30)+IF(S905="DUE",15,IF(S905="Next 3 Days",8,0))),0))</f>
        <v/>
      </c>
      <c r="AB905" s="425">
        <f>IF(AND(AC905="Active",OR(N905="Tier 1",N905="Tier 2"),OR(S905="DUE",S905="Next 3 Days")),"YES","")</f>
        <v/>
      </c>
      <c r="AC905" s="425">
        <f>IF(L905="Passed","Archived","Active")</f>
        <v/>
      </c>
    </row>
    <row r="906">
      <c r="A906" s="425" t="inlineStr">
        <is>
          <t>EXOS-0905</t>
        </is>
      </c>
      <c r="B906" s="425" t="inlineStr">
        <is>
          <t>Tank Contacts</t>
        </is>
      </c>
      <c r="C906" s="425" t="inlineStr">
        <is>
          <t>Strategic / Corporate</t>
        </is>
      </c>
      <c r="D906" s="425" t="inlineStr">
        <is>
          <t>Axiom</t>
        </is>
      </c>
      <c r="E906" s="425" t="inlineStr">
        <is>
          <t>Randy Hubbard</t>
        </is>
      </c>
      <c r="F906" s="425" t="inlineStr"/>
      <c r="G906" s="111" t="inlineStr">
        <is>
          <t>randy@axiomspace.com</t>
        </is>
      </c>
      <c r="H906" s="425" t="inlineStr"/>
      <c r="I906" s="425" t="inlineStr"/>
      <c r="J906" s="111" t="inlineStr">
        <is>
          <t>https://www.linkedin.com/in/randy-hubbard-12731175/</t>
        </is>
      </c>
      <c r="K906" s="426" t="inlineStr">
        <is>
          <t>John Quinn</t>
        </is>
      </c>
      <c r="L906" s="426" t="inlineStr">
        <is>
          <t>Contacted</t>
        </is>
      </c>
      <c r="M906" s="425" t="inlineStr">
        <is>
          <t>Strategic space / aerospace alignment</t>
        </is>
      </c>
      <c r="N906" s="426" t="inlineStr">
        <is>
          <t>Tier 2</t>
        </is>
      </c>
      <c r="O906" s="441" t="n">
        <v>45743</v>
      </c>
      <c r="P906" s="441" t="n">
        <v>45743</v>
      </c>
      <c r="Q906" s="425">
        <f>IF(P906="","",TODAY()-P906)</f>
        <v/>
      </c>
      <c r="R906" s="441">
        <f>IF(OR(L906="Passed",Z906=""),"",P906+Z906)</f>
        <v/>
      </c>
      <c r="S906" s="425">
        <f>IF(OR(R906="",L906="Passed"),"",IF(R906&lt;=TODAY(),"DUE",IF(R906&lt;=TODAY()+3,"Next 3 Days","Later")))</f>
        <v/>
      </c>
      <c r="T906" s="425" t="inlineStr"/>
      <c r="U906" s="426" t="inlineStr"/>
      <c r="V906" s="426" t="inlineStr"/>
      <c r="W906" s="428" t="inlineStr"/>
      <c r="X906" s="425" t="inlineStr">
        <is>
          <t>Tank Contacts!6</t>
        </is>
      </c>
      <c r="Y906" s="426" t="inlineStr">
        <is>
          <t>Send 1st follow-up and ask for 20-minute call</t>
        </is>
      </c>
      <c r="Z906" s="425" t="n">
        <v>3</v>
      </c>
      <c r="AA906" s="425">
        <f>IF(AC906="Archived",0,ROUND((IF(N906="Tier 1",35,IF(N906="Tier 2",20,8))+IF(C906="Financial Investor",15,IF(C906="Intermediary / Banker",12,8))+IF(L906="Term Sheet / Proposal",25,IF(L906="Engaged",20,IF(L906="Meeting Requested",18,IF(L906="Meeting Held",14,IF(L906="Follow Up",10,5)))))+MIN(Q906,30)+IF(S906="DUE",15,IF(S906="Next 3 Days",8,0))),0))</f>
        <v/>
      </c>
      <c r="AB906" s="425">
        <f>IF(AND(AC906="Active",OR(N906="Tier 1",N906="Tier 2"),OR(S906="DUE",S906="Next 3 Days")),"YES","")</f>
        <v/>
      </c>
      <c r="AC906" s="425">
        <f>IF(L906="Passed","Archived","Active")</f>
        <v/>
      </c>
    </row>
    <row r="907">
      <c r="A907" s="425" t="inlineStr">
        <is>
          <t>EXOS-0906</t>
        </is>
      </c>
      <c r="B907" s="425" t="inlineStr">
        <is>
          <t>Tank Contacts</t>
        </is>
      </c>
      <c r="C907" s="425" t="inlineStr">
        <is>
          <t>Strategic / Corporate</t>
        </is>
      </c>
      <c r="D907" s="425" t="inlineStr">
        <is>
          <t>Axiom</t>
        </is>
      </c>
      <c r="E907" s="425" t="inlineStr">
        <is>
          <t>Russell Ralston</t>
        </is>
      </c>
      <c r="F907" s="425" t="inlineStr"/>
      <c r="G907" s="111" t="inlineStr">
        <is>
          <t>russell@axiomspace.com</t>
        </is>
      </c>
      <c r="H907" s="425" t="inlineStr"/>
      <c r="I907" s="425" t="inlineStr"/>
      <c r="J907" s="111" t="inlineStr">
        <is>
          <t>https://www.linkedin.com/in/russell-ralston-62113ab/</t>
        </is>
      </c>
      <c r="K907" s="426" t="inlineStr">
        <is>
          <t>John Quinn</t>
        </is>
      </c>
      <c r="L907" s="426" t="inlineStr">
        <is>
          <t>Contacted</t>
        </is>
      </c>
      <c r="M907" s="425" t="inlineStr">
        <is>
          <t>Strategic space / aerospace alignment</t>
        </is>
      </c>
      <c r="N907" s="426" t="inlineStr">
        <is>
          <t>Tier 2</t>
        </is>
      </c>
      <c r="O907" s="441" t="n">
        <v>45743</v>
      </c>
      <c r="P907" s="441" t="n">
        <v>45743</v>
      </c>
      <c r="Q907" s="425">
        <f>IF(P907="","",TODAY()-P907)</f>
        <v/>
      </c>
      <c r="R907" s="441">
        <f>IF(OR(L907="Passed",Z907=""),"",P907+Z907)</f>
        <v/>
      </c>
      <c r="S907" s="425">
        <f>IF(OR(R907="",L907="Passed"),"",IF(R907&lt;=TODAY(),"DUE",IF(R907&lt;=TODAY()+3,"Next 3 Days","Later")))</f>
        <v/>
      </c>
      <c r="T907" s="425" t="inlineStr"/>
      <c r="U907" s="426" t="inlineStr"/>
      <c r="V907" s="426" t="inlineStr"/>
      <c r="W907" s="428" t="inlineStr"/>
      <c r="X907" s="425" t="inlineStr">
        <is>
          <t>Tank Contacts!3</t>
        </is>
      </c>
      <c r="Y907" s="426" t="inlineStr">
        <is>
          <t>Send 1st follow-up and ask for 20-minute call</t>
        </is>
      </c>
      <c r="Z907" s="425" t="n">
        <v>3</v>
      </c>
      <c r="AA907" s="425">
        <f>IF(AC907="Archived",0,ROUND((IF(N907="Tier 1",35,IF(N907="Tier 2",20,8))+IF(C907="Financial Investor",15,IF(C907="Intermediary / Banker",12,8))+IF(L907="Term Sheet / Proposal",25,IF(L907="Engaged",20,IF(L907="Meeting Requested",18,IF(L907="Meeting Held",14,IF(L907="Follow Up",10,5)))))+MIN(Q907,30)+IF(S907="DUE",15,IF(S907="Next 3 Days",8,0))),0))</f>
        <v/>
      </c>
      <c r="AB907" s="425">
        <f>IF(AND(AC907="Active",OR(N907="Tier 1",N907="Tier 2"),OR(S907="DUE",S907="Next 3 Days")),"YES","")</f>
        <v/>
      </c>
      <c r="AC907" s="425">
        <f>IF(L907="Passed","Archived","Active")</f>
        <v/>
      </c>
    </row>
    <row r="908">
      <c r="A908" s="425" t="inlineStr">
        <is>
          <t>EXOS-0907</t>
        </is>
      </c>
      <c r="B908" s="425" t="inlineStr">
        <is>
          <t>John - Investor Contacts</t>
        </is>
      </c>
      <c r="C908" s="425" t="inlineStr">
        <is>
          <t>Financial Investor</t>
        </is>
      </c>
      <c r="D908" s="425" t="inlineStr">
        <is>
          <t>Axle Point</t>
        </is>
      </c>
      <c r="E908" s="425" t="inlineStr">
        <is>
          <t>Gerik - Kipton Intro</t>
        </is>
      </c>
      <c r="F908" s="425" t="inlineStr"/>
      <c r="G908" s="111" t="inlineStr">
        <is>
          <t>gdegner@axlepoint.com</t>
        </is>
      </c>
      <c r="H908" s="425" t="inlineStr"/>
      <c r="I908" s="425" t="inlineStr"/>
      <c r="J908" s="111" t="inlineStr">
        <is>
          <t>https://www.linkedin.com/in/gerikdegner/</t>
        </is>
      </c>
      <c r="K908" s="426" t="inlineStr">
        <is>
          <t>John Quinn</t>
        </is>
      </c>
      <c r="L908" s="426" t="inlineStr">
        <is>
          <t>Contacted</t>
        </is>
      </c>
      <c r="M908" s="425" t="inlineStr">
        <is>
          <t>Space / Defense / Aerospace / Advanced Manufacturing</t>
        </is>
      </c>
      <c r="N908" s="426" t="inlineStr">
        <is>
          <t>Tier 2</t>
        </is>
      </c>
      <c r="O908" s="441" t="n">
        <v>45835</v>
      </c>
      <c r="P908" s="441" t="n">
        <v>45835</v>
      </c>
      <c r="Q908" s="425">
        <f>IF(P908="","",TODAY()-P908)</f>
        <v/>
      </c>
      <c r="R908" s="441">
        <f>IF(OR(L908="Passed",Z908=""),"",P908+Z908)</f>
        <v/>
      </c>
      <c r="S908" s="425">
        <f>IF(OR(R908="",L908="Passed"),"",IF(R908&lt;=TODAY(),"DUE",IF(R908&lt;=TODAY()+3,"Next 3 Days","Later")))</f>
        <v/>
      </c>
      <c r="T908" s="425" t="inlineStr"/>
      <c r="U908" s="426" t="inlineStr">
        <is>
          <t>https://www.linkedin.com/in/gerikdegner/</t>
        </is>
      </c>
      <c r="V908" s="426" t="inlineStr"/>
      <c r="W908" s="428" t="inlineStr">
        <is>
          <t xml:space="preserve"> | outside scope, said he would pass on to anyone he thinks may be a good fit | </t>
        </is>
      </c>
      <c r="X908" s="425" t="inlineStr">
        <is>
          <t>John - Investor Contacts!272</t>
        </is>
      </c>
      <c r="Y908" s="426" t="inlineStr">
        <is>
          <t>Send 1st follow-up and ask for 20-minute call</t>
        </is>
      </c>
      <c r="Z908" s="425" t="n">
        <v>3</v>
      </c>
      <c r="AA908" s="425">
        <f>IF(AC908="Archived",0,ROUND((IF(N908="Tier 1",35,IF(N908="Tier 2",20,8))+IF(C908="Financial Investor",15,IF(C908="Intermediary / Banker",12,8))+IF(L908="Term Sheet / Proposal",25,IF(L908="Engaged",20,IF(L908="Meeting Requested",18,IF(L908="Meeting Held",14,IF(L908="Follow Up",10,5)))))+MIN(Q908,30)+IF(S908="DUE",15,IF(S908="Next 3 Days",8,0))),0))</f>
        <v/>
      </c>
      <c r="AB908" s="425">
        <f>IF(AND(AC908="Active",OR(N908="Tier 1",N908="Tier 2"),OR(S908="DUE",S908="Next 3 Days")),"YES","")</f>
        <v/>
      </c>
      <c r="AC908" s="425">
        <f>IF(L908="Passed","Archived","Active")</f>
        <v/>
      </c>
    </row>
    <row r="909">
      <c r="A909" s="425" t="inlineStr">
        <is>
          <t>EXOS-0908</t>
        </is>
      </c>
      <c r="B909" s="425" t="inlineStr">
        <is>
          <t>John - Investor Contacts</t>
        </is>
      </c>
      <c r="C909" s="425" t="inlineStr">
        <is>
          <t>Financial Investor</t>
        </is>
      </c>
      <c r="D909" s="425" t="inlineStr">
        <is>
          <t>BBK Capital</t>
        </is>
      </c>
      <c r="E909" s="425" t="inlineStr">
        <is>
          <t>Nick Breedlove</t>
        </is>
      </c>
      <c r="F909" s="425" t="inlineStr"/>
      <c r="G909" s="111" t="inlineStr">
        <is>
          <t>nick@bbkcap.com</t>
        </is>
      </c>
      <c r="H909" s="425" t="inlineStr"/>
      <c r="I909" s="425" t="inlineStr"/>
      <c r="J909" s="111" t="inlineStr">
        <is>
          <t>https://www.linkedin.com/in/nickbreedlove/</t>
        </is>
      </c>
      <c r="K909" s="426" t="inlineStr">
        <is>
          <t>John Quinn</t>
        </is>
      </c>
      <c r="L909" s="426" t="inlineStr">
        <is>
          <t>Contacted</t>
        </is>
      </c>
      <c r="M909" s="425" t="inlineStr">
        <is>
          <t>Space / Defense / Aerospace / Advanced Manufacturing</t>
        </is>
      </c>
      <c r="N909" s="426" t="inlineStr">
        <is>
          <t>Tier 2</t>
        </is>
      </c>
      <c r="O909" s="441" t="n">
        <v>45814</v>
      </c>
      <c r="P909" s="441" t="n">
        <v>45814</v>
      </c>
      <c r="Q909" s="425">
        <f>IF(P909="","",TODAY()-P909)</f>
        <v/>
      </c>
      <c r="R909" s="441">
        <f>IF(OR(L909="Passed",Z909=""),"",P909+Z909)</f>
        <v/>
      </c>
      <c r="S909" s="425">
        <f>IF(OR(R909="",L909="Passed"),"",IF(R909&lt;=TODAY(),"DUE",IF(R909&lt;=TODAY()+3,"Next 3 Days","Later")))</f>
        <v/>
      </c>
      <c r="T909" s="425" t="inlineStr"/>
      <c r="U909" s="426" t="inlineStr">
        <is>
          <t>https://www.linkedin.com/in/nickbreedlove/</t>
        </is>
      </c>
      <c r="V909" s="426" t="inlineStr"/>
      <c r="W909" s="428" t="inlineStr">
        <is>
          <t xml:space="preserve"> |  | </t>
        </is>
      </c>
      <c r="X909" s="425" t="inlineStr">
        <is>
          <t>John - Investor Contacts!147</t>
        </is>
      </c>
      <c r="Y909" s="426" t="inlineStr">
        <is>
          <t>Send 1st follow-up and ask for 20-minute call</t>
        </is>
      </c>
      <c r="Z909" s="425" t="n">
        <v>3</v>
      </c>
      <c r="AA909" s="425">
        <f>IF(AC909="Archived",0,ROUND((IF(N909="Tier 1",35,IF(N909="Tier 2",20,8))+IF(C909="Financial Investor",15,IF(C909="Intermediary / Banker",12,8))+IF(L909="Term Sheet / Proposal",25,IF(L909="Engaged",20,IF(L909="Meeting Requested",18,IF(L909="Meeting Held",14,IF(L909="Follow Up",10,5)))))+MIN(Q909,30)+IF(S909="DUE",15,IF(S909="Next 3 Days",8,0))),0))</f>
        <v/>
      </c>
      <c r="AB909" s="425">
        <f>IF(AND(AC909="Active",OR(N909="Tier 1",N909="Tier 2"),OR(S909="DUE",S909="Next 3 Days")),"YES","")</f>
        <v/>
      </c>
      <c r="AC909" s="425">
        <f>IF(L909="Passed","Archived","Active")</f>
        <v/>
      </c>
    </row>
    <row r="910">
      <c r="A910" s="425" t="inlineStr">
        <is>
          <t>EXOS-0909</t>
        </is>
      </c>
      <c r="B910" s="425" t="inlineStr">
        <is>
          <t>John - Investor Contacts</t>
        </is>
      </c>
      <c r="C910" s="425" t="inlineStr">
        <is>
          <t>Financial Investor</t>
        </is>
      </c>
      <c r="D910" s="425" t="inlineStr">
        <is>
          <t>Balderton</t>
        </is>
      </c>
      <c r="E910" s="425" t="inlineStr">
        <is>
          <t>Bernard Liautaud</t>
        </is>
      </c>
      <c r="F910" s="425" t="inlineStr"/>
      <c r="G910" s="111" t="inlineStr">
        <is>
          <t>bliautaud@balderton.com</t>
        </is>
      </c>
      <c r="H910" s="425" t="inlineStr"/>
      <c r="I910" s="425" t="inlineStr"/>
      <c r="J910" s="111" t="inlineStr">
        <is>
          <t>https://www.linkedin.com/in/bernardliautaud</t>
        </is>
      </c>
      <c r="K910" s="426" t="inlineStr">
        <is>
          <t>John Quinn</t>
        </is>
      </c>
      <c r="L910" s="426" t="inlineStr">
        <is>
          <t>Contacted</t>
        </is>
      </c>
      <c r="M910" s="425" t="inlineStr">
        <is>
          <t>Space / Defense / Aerospace / Advanced Manufacturing</t>
        </is>
      </c>
      <c r="N910" s="426" t="inlineStr">
        <is>
          <t>Tier 2</t>
        </is>
      </c>
      <c r="O910" s="441" t="n">
        <v>45891</v>
      </c>
      <c r="P910" s="441" t="n">
        <v>45891</v>
      </c>
      <c r="Q910" s="425">
        <f>IF(P910="","",TODAY()-P910)</f>
        <v/>
      </c>
      <c r="R910" s="441">
        <f>IF(OR(L910="Passed",Z910=""),"",P910+Z910)</f>
        <v/>
      </c>
      <c r="S910" s="425">
        <f>IF(OR(R910="",L910="Passed"),"",IF(R910&lt;=TODAY(),"DUE",IF(R910&lt;=TODAY()+3,"Next 3 Days","Later")))</f>
        <v/>
      </c>
      <c r="T910" s="425" t="inlineStr"/>
      <c r="U910" s="426" t="inlineStr">
        <is>
          <t>https://www.linkedin.com/in/bernardliautaud</t>
        </is>
      </c>
      <c r="V910" s="426" t="inlineStr"/>
      <c r="W910" s="428" t="inlineStr">
        <is>
          <t xml:space="preserve"> |  | </t>
        </is>
      </c>
      <c r="X910" s="425" t="inlineStr">
        <is>
          <t>John - Investor Contacts!498</t>
        </is>
      </c>
      <c r="Y910" s="426" t="inlineStr">
        <is>
          <t>Send 1st follow-up and ask for 20-minute call</t>
        </is>
      </c>
      <c r="Z910" s="425" t="n">
        <v>3</v>
      </c>
      <c r="AA910" s="425">
        <f>IF(AC910="Archived",0,ROUND((IF(N910="Tier 1",35,IF(N910="Tier 2",20,8))+IF(C910="Financial Investor",15,IF(C910="Intermediary / Banker",12,8))+IF(L910="Term Sheet / Proposal",25,IF(L910="Engaged",20,IF(L910="Meeting Requested",18,IF(L910="Meeting Held",14,IF(L910="Follow Up",10,5)))))+MIN(Q910,30)+IF(S910="DUE",15,IF(S910="Next 3 Days",8,0))),0))</f>
        <v/>
      </c>
      <c r="AB910" s="425">
        <f>IF(AND(AC910="Active",OR(N910="Tier 1",N910="Tier 2"),OR(S910="DUE",S910="Next 3 Days")),"YES","")</f>
        <v/>
      </c>
      <c r="AC910" s="425">
        <f>IF(L910="Passed","Archived","Active")</f>
        <v/>
      </c>
    </row>
    <row r="911">
      <c r="A911" s="425" t="inlineStr">
        <is>
          <t>EXOS-0910</t>
        </is>
      </c>
      <c r="B911" s="425" t="inlineStr">
        <is>
          <t>John - Investor Contacts</t>
        </is>
      </c>
      <c r="C911" s="425" t="inlineStr">
        <is>
          <t>Financial Investor</t>
        </is>
      </c>
      <c r="D911" s="425" t="inlineStr">
        <is>
          <t>Balderton</t>
        </is>
      </c>
      <c r="E911" s="425" t="inlineStr">
        <is>
          <t>Lars Fjeldsoe-Nielsen</t>
        </is>
      </c>
      <c r="F911" s="425" t="inlineStr"/>
      <c r="G911" s="111" t="inlineStr">
        <is>
          <t>lars@balderton.com</t>
        </is>
      </c>
      <c r="H911" s="425" t="inlineStr"/>
      <c r="I911" s="425" t="inlineStr"/>
      <c r="J911" s="111" t="inlineStr">
        <is>
          <t>https://www.linkedin.com/in/larsfjeldsoenielsen</t>
        </is>
      </c>
      <c r="K911" s="426" t="inlineStr">
        <is>
          <t>John Quinn</t>
        </is>
      </c>
      <c r="L911" s="426" t="inlineStr">
        <is>
          <t>Contacted</t>
        </is>
      </c>
      <c r="M911" s="425" t="inlineStr">
        <is>
          <t>Space / Defense / Aerospace / Advanced Manufacturing</t>
        </is>
      </c>
      <c r="N911" s="426" t="inlineStr">
        <is>
          <t>Tier 2</t>
        </is>
      </c>
      <c r="O911" s="441" t="n">
        <v>45891</v>
      </c>
      <c r="P911" s="441" t="n">
        <v>45891</v>
      </c>
      <c r="Q911" s="425">
        <f>IF(P911="","",TODAY()-P911)</f>
        <v/>
      </c>
      <c r="R911" s="441">
        <f>IF(OR(L911="Passed",Z911=""),"",P911+Z911)</f>
        <v/>
      </c>
      <c r="S911" s="425">
        <f>IF(OR(R911="",L911="Passed"),"",IF(R911&lt;=TODAY(),"DUE",IF(R911&lt;=TODAY()+3,"Next 3 Days","Later")))</f>
        <v/>
      </c>
      <c r="T911" s="425" t="inlineStr"/>
      <c r="U911" s="426" t="inlineStr">
        <is>
          <t>https://www.linkedin.com/in/larsfjeldsoenielsen</t>
        </is>
      </c>
      <c r="V911" s="426" t="inlineStr"/>
      <c r="W911" s="428" t="inlineStr">
        <is>
          <t xml:space="preserve"> |  | </t>
        </is>
      </c>
      <c r="X911" s="425" t="inlineStr">
        <is>
          <t>John - Investor Contacts!499</t>
        </is>
      </c>
      <c r="Y911" s="426" t="inlineStr">
        <is>
          <t>Send 1st follow-up and ask for 20-minute call</t>
        </is>
      </c>
      <c r="Z911" s="425" t="n">
        <v>3</v>
      </c>
      <c r="AA911" s="425">
        <f>IF(AC911="Archived",0,ROUND((IF(N911="Tier 1",35,IF(N911="Tier 2",20,8))+IF(C911="Financial Investor",15,IF(C911="Intermediary / Banker",12,8))+IF(L911="Term Sheet / Proposal",25,IF(L911="Engaged",20,IF(L911="Meeting Requested",18,IF(L911="Meeting Held",14,IF(L911="Follow Up",10,5)))))+MIN(Q911,30)+IF(S911="DUE",15,IF(S911="Next 3 Days",8,0))),0))</f>
        <v/>
      </c>
      <c r="AB911" s="425">
        <f>IF(AND(AC911="Active",OR(N911="Tier 1",N911="Tier 2"),OR(S911="DUE",S911="Next 3 Days")),"YES","")</f>
        <v/>
      </c>
      <c r="AC911" s="425">
        <f>IF(L911="Passed","Archived","Active")</f>
        <v/>
      </c>
    </row>
    <row r="912">
      <c r="A912" s="425" t="inlineStr">
        <is>
          <t>EXOS-0911</t>
        </is>
      </c>
      <c r="B912" s="425" t="inlineStr">
        <is>
          <t>John - Investor Contacts</t>
        </is>
      </c>
      <c r="C912" s="425" t="inlineStr">
        <is>
          <t>Financial Investor</t>
        </is>
      </c>
      <c r="D912" s="425" t="inlineStr">
        <is>
          <t>Balderton</t>
        </is>
      </c>
      <c r="E912" s="425" t="inlineStr">
        <is>
          <t>Rana Yared</t>
        </is>
      </c>
      <c r="F912" s="425" t="inlineStr"/>
      <c r="G912" s="111" t="inlineStr">
        <is>
          <t>rana@balderton.com</t>
        </is>
      </c>
      <c r="H912" s="425" t="inlineStr"/>
      <c r="I912" s="425" t="inlineStr"/>
      <c r="J912" s="111" t="inlineStr">
        <is>
          <t>https://www.linkedin.com/in/ranayared/</t>
        </is>
      </c>
      <c r="K912" s="426" t="inlineStr">
        <is>
          <t>John Quinn</t>
        </is>
      </c>
      <c r="L912" s="426" t="inlineStr">
        <is>
          <t>Contacted</t>
        </is>
      </c>
      <c r="M912" s="425" t="inlineStr">
        <is>
          <t>Space / Defense / Aerospace / Advanced Manufacturing</t>
        </is>
      </c>
      <c r="N912" s="426" t="inlineStr">
        <is>
          <t>Tier 2</t>
        </is>
      </c>
      <c r="O912" s="441" t="n">
        <v>45891</v>
      </c>
      <c r="P912" s="441" t="n">
        <v>45891</v>
      </c>
      <c r="Q912" s="425">
        <f>IF(P912="","",TODAY()-P912)</f>
        <v/>
      </c>
      <c r="R912" s="441">
        <f>IF(OR(L912="Passed",Z912=""),"",P912+Z912)</f>
        <v/>
      </c>
      <c r="S912" s="425">
        <f>IF(OR(R912="",L912="Passed"),"",IF(R912&lt;=TODAY(),"DUE",IF(R912&lt;=TODAY()+3,"Next 3 Days","Later")))</f>
        <v/>
      </c>
      <c r="T912" s="425" t="inlineStr"/>
      <c r="U912" s="426" t="inlineStr">
        <is>
          <t>https://www.linkedin.com/in/ranayared/</t>
        </is>
      </c>
      <c r="V912" s="426" t="inlineStr"/>
      <c r="W912" s="428" t="inlineStr">
        <is>
          <t xml:space="preserve"> |  | </t>
        </is>
      </c>
      <c r="X912" s="425" t="inlineStr">
        <is>
          <t>John - Investor Contacts!501</t>
        </is>
      </c>
      <c r="Y912" s="426" t="inlineStr">
        <is>
          <t>Send 1st follow-up and ask for 20-minute call</t>
        </is>
      </c>
      <c r="Z912" s="425" t="n">
        <v>3</v>
      </c>
      <c r="AA912" s="425">
        <f>IF(AC912="Archived",0,ROUND((IF(N912="Tier 1",35,IF(N912="Tier 2",20,8))+IF(C912="Financial Investor",15,IF(C912="Intermediary / Banker",12,8))+IF(L912="Term Sheet / Proposal",25,IF(L912="Engaged",20,IF(L912="Meeting Requested",18,IF(L912="Meeting Held",14,IF(L912="Follow Up",10,5)))))+MIN(Q912,30)+IF(S912="DUE",15,IF(S912="Next 3 Days",8,0))),0))</f>
        <v/>
      </c>
      <c r="AB912" s="425">
        <f>IF(AND(AC912="Active",OR(N912="Tier 1",N912="Tier 2"),OR(S912="DUE",S912="Next 3 Days")),"YES","")</f>
        <v/>
      </c>
      <c r="AC912" s="425">
        <f>IF(L912="Passed","Archived","Active")</f>
        <v/>
      </c>
    </row>
    <row r="913">
      <c r="A913" s="425" t="inlineStr">
        <is>
          <t>EXOS-0912</t>
        </is>
      </c>
      <c r="B913" s="425" t="inlineStr">
        <is>
          <t>John - Investor Contacts</t>
        </is>
      </c>
      <c r="C913" s="425" t="inlineStr">
        <is>
          <t>Financial Investor</t>
        </is>
      </c>
      <c r="D913" s="425" t="inlineStr">
        <is>
          <t>Balderton</t>
        </is>
      </c>
      <c r="E913" s="425" t="inlineStr">
        <is>
          <t>Suranga Chandratillake</t>
        </is>
      </c>
      <c r="F913" s="425" t="inlineStr"/>
      <c r="G913" s="111" t="inlineStr">
        <is>
          <t>suranga@balderton.com</t>
        </is>
      </c>
      <c r="H913" s="425" t="inlineStr"/>
      <c r="I913" s="425" t="inlineStr"/>
      <c r="J913" s="111" t="inlineStr">
        <is>
          <t>https://www.linkedin.com/in/suranga-chandratillake-6a839363/</t>
        </is>
      </c>
      <c r="K913" s="426" t="inlineStr">
        <is>
          <t>John Quinn</t>
        </is>
      </c>
      <c r="L913" s="426" t="inlineStr">
        <is>
          <t>Contacted</t>
        </is>
      </c>
      <c r="M913" s="425" t="inlineStr">
        <is>
          <t>Space / Defense / Aerospace / Advanced Manufacturing</t>
        </is>
      </c>
      <c r="N913" s="426" t="inlineStr">
        <is>
          <t>Tier 2</t>
        </is>
      </c>
      <c r="O913" s="441" t="n">
        <v>45891</v>
      </c>
      <c r="P913" s="441" t="n">
        <v>45891</v>
      </c>
      <c r="Q913" s="425">
        <f>IF(P913="","",TODAY()-P913)</f>
        <v/>
      </c>
      <c r="R913" s="441">
        <f>IF(OR(L913="Passed",Z913=""),"",P913+Z913)</f>
        <v/>
      </c>
      <c r="S913" s="425">
        <f>IF(OR(R913="",L913="Passed"),"",IF(R913&lt;=TODAY(),"DUE",IF(R913&lt;=TODAY()+3,"Next 3 Days","Later")))</f>
        <v/>
      </c>
      <c r="T913" s="425" t="inlineStr"/>
      <c r="U913" s="426" t="inlineStr">
        <is>
          <t>https://www.linkedin.com/in/suranga-chandratillake-6a839363/</t>
        </is>
      </c>
      <c r="V913" s="426" t="inlineStr"/>
      <c r="W913" s="428" t="inlineStr">
        <is>
          <t xml:space="preserve"> |  | </t>
        </is>
      </c>
      <c r="X913" s="425" t="inlineStr">
        <is>
          <t>John - Investor Contacts!500</t>
        </is>
      </c>
      <c r="Y913" s="426" t="inlineStr">
        <is>
          <t>Send 1st follow-up and ask for 20-minute call</t>
        </is>
      </c>
      <c r="Z913" s="425" t="n">
        <v>3</v>
      </c>
      <c r="AA913" s="425">
        <f>IF(AC913="Archived",0,ROUND((IF(N913="Tier 1",35,IF(N913="Tier 2",20,8))+IF(C913="Financial Investor",15,IF(C913="Intermediary / Banker",12,8))+IF(L913="Term Sheet / Proposal",25,IF(L913="Engaged",20,IF(L913="Meeting Requested",18,IF(L913="Meeting Held",14,IF(L913="Follow Up",10,5)))))+MIN(Q913,30)+IF(S913="DUE",15,IF(S913="Next 3 Days",8,0))),0))</f>
        <v/>
      </c>
      <c r="AB913" s="425">
        <f>IF(AND(AC913="Active",OR(N913="Tier 1",N913="Tier 2"),OR(S913="DUE",S913="Next 3 Days")),"YES","")</f>
        <v/>
      </c>
      <c r="AC913" s="425">
        <f>IF(L913="Passed","Archived","Active")</f>
        <v/>
      </c>
    </row>
    <row r="914">
      <c r="A914" s="425" t="inlineStr">
        <is>
          <t>EXOS-0913</t>
        </is>
      </c>
      <c r="B914" s="425" t="inlineStr">
        <is>
          <t>John - Investor Contacts</t>
        </is>
      </c>
      <c r="C914" s="425" t="inlineStr">
        <is>
          <t>Financial Investor</t>
        </is>
      </c>
      <c r="D914" s="425" t="inlineStr">
        <is>
          <t>Ballistic Ventures</t>
        </is>
      </c>
      <c r="E914" s="425" t="inlineStr">
        <is>
          <t>Kevin Mandia</t>
        </is>
      </c>
      <c r="F914" s="425" t="inlineStr"/>
      <c r="G914" s="111" t="inlineStr">
        <is>
          <t>kevin@ballisticventures.com</t>
        </is>
      </c>
      <c r="H914" s="425" t="inlineStr"/>
      <c r="I914" s="425" t="inlineStr"/>
      <c r="J914" s="111" t="inlineStr">
        <is>
          <t>https://www.linkedin.com/in/kevin-mandia-0a07173/</t>
        </is>
      </c>
      <c r="K914" s="426" t="inlineStr">
        <is>
          <t>John Quinn</t>
        </is>
      </c>
      <c r="L914" s="426" t="inlineStr">
        <is>
          <t>Contacted</t>
        </is>
      </c>
      <c r="M914" s="425" t="inlineStr">
        <is>
          <t>Space / Defense / Aerospace / Advanced Manufacturing</t>
        </is>
      </c>
      <c r="N914" s="426" t="inlineStr">
        <is>
          <t>Tier 2</t>
        </is>
      </c>
      <c r="O914" s="441" t="n">
        <v>46062</v>
      </c>
      <c r="P914" s="441" t="n">
        <v>46062</v>
      </c>
      <c r="Q914" s="425">
        <f>IF(P914="","",TODAY()-P914)</f>
        <v/>
      </c>
      <c r="R914" s="441">
        <f>IF(OR(L914="Passed",Z914=""),"",P914+Z914)</f>
        <v/>
      </c>
      <c r="S914" s="425">
        <f>IF(OR(R914="",L914="Passed"),"",IF(R914&lt;=TODAY(),"DUE",IF(R914&lt;=TODAY()+3,"Next 3 Days","Later")))</f>
        <v/>
      </c>
      <c r="T914" s="425" t="inlineStr"/>
      <c r="U914" s="426" t="inlineStr">
        <is>
          <t>https://www.linkedin.com/in/kevin-mandia-0a07173/</t>
        </is>
      </c>
      <c r="V914" s="426" t="inlineStr"/>
      <c r="W914" s="428" t="inlineStr">
        <is>
          <t xml:space="preserve"> |  | </t>
        </is>
      </c>
      <c r="X914" s="425" t="inlineStr">
        <is>
          <t>John - Investor Contacts!944</t>
        </is>
      </c>
      <c r="Y914" s="426" t="inlineStr">
        <is>
          <t>Send 1st follow-up and ask for 20-minute call</t>
        </is>
      </c>
      <c r="Z914" s="425" t="n">
        <v>3</v>
      </c>
      <c r="AA914" s="425">
        <f>IF(AC914="Archived",0,ROUND((IF(N914="Tier 1",35,IF(N914="Tier 2",20,8))+IF(C914="Financial Investor",15,IF(C914="Intermediary / Banker",12,8))+IF(L914="Term Sheet / Proposal",25,IF(L914="Engaged",20,IF(L914="Meeting Requested",18,IF(L914="Meeting Held",14,IF(L914="Follow Up",10,5)))))+MIN(Q914,30)+IF(S914="DUE",15,IF(S914="Next 3 Days",8,0))),0))</f>
        <v/>
      </c>
      <c r="AB914" s="425">
        <f>IF(AND(AC914="Active",OR(N914="Tier 1",N914="Tier 2"),OR(S914="DUE",S914="Next 3 Days")),"YES","")</f>
        <v/>
      </c>
      <c r="AC914" s="425">
        <f>IF(L914="Passed","Archived","Active")</f>
        <v/>
      </c>
    </row>
    <row r="915">
      <c r="A915" s="425" t="inlineStr">
        <is>
          <t>EXOS-0914</t>
        </is>
      </c>
      <c r="B915" s="425" t="inlineStr">
        <is>
          <t>John - Investor Contacts</t>
        </is>
      </c>
      <c r="C915" s="425" t="inlineStr">
        <is>
          <t>Financial Investor</t>
        </is>
      </c>
      <c r="D915" s="425" t="inlineStr">
        <is>
          <t>Band of Angels</t>
        </is>
      </c>
      <c r="E915" s="425" t="inlineStr">
        <is>
          <t>Tom Carroux</t>
        </is>
      </c>
      <c r="F915" s="425" t="inlineStr"/>
      <c r="G915" s="111" t="inlineStr">
        <is>
          <t>tom.carroux@bandangels.com</t>
        </is>
      </c>
      <c r="H915" s="425" t="inlineStr"/>
      <c r="I915" s="425" t="inlineStr"/>
      <c r="J915" s="111" t="inlineStr">
        <is>
          <t>https://www.linkedin.com/in/tomcarroux/</t>
        </is>
      </c>
      <c r="K915" s="426" t="inlineStr">
        <is>
          <t>John Quinn</t>
        </is>
      </c>
      <c r="L915" s="426" t="inlineStr">
        <is>
          <t>Contacted</t>
        </is>
      </c>
      <c r="M915" s="425" t="inlineStr">
        <is>
          <t>Space / Defense / Aerospace / Advanced Manufacturing</t>
        </is>
      </c>
      <c r="N915" s="426" t="inlineStr">
        <is>
          <t>Tier 2</t>
        </is>
      </c>
      <c r="O915" s="441" t="n">
        <v>45912</v>
      </c>
      <c r="P915" s="441" t="n">
        <v>45912</v>
      </c>
      <c r="Q915" s="425">
        <f>IF(P915="","",TODAY()-P915)</f>
        <v/>
      </c>
      <c r="R915" s="441">
        <f>IF(OR(L915="Passed",Z915=""),"",P915+Z915)</f>
        <v/>
      </c>
      <c r="S915" s="425">
        <f>IF(OR(R915="",L915="Passed"),"",IF(R915&lt;=TODAY(),"DUE",IF(R915&lt;=TODAY()+3,"Next 3 Days","Later")))</f>
        <v/>
      </c>
      <c r="T915" s="425" t="inlineStr"/>
      <c r="U915" s="426" t="inlineStr">
        <is>
          <t>https://www.linkedin.com/in/tomcarroux/</t>
        </is>
      </c>
      <c r="V915" s="426" t="inlineStr"/>
      <c r="W915" s="428" t="inlineStr">
        <is>
          <t xml:space="preserve"> |  | </t>
        </is>
      </c>
      <c r="X915" s="425" t="inlineStr">
        <is>
          <t>John - Investor Contacts!675</t>
        </is>
      </c>
      <c r="Y915" s="426" t="inlineStr">
        <is>
          <t>Send 1st follow-up and ask for 20-minute call</t>
        </is>
      </c>
      <c r="Z915" s="425" t="n">
        <v>3</v>
      </c>
      <c r="AA915" s="425">
        <f>IF(AC915="Archived",0,ROUND((IF(N915="Tier 1",35,IF(N915="Tier 2",20,8))+IF(C915="Financial Investor",15,IF(C915="Intermediary / Banker",12,8))+IF(L915="Term Sheet / Proposal",25,IF(L915="Engaged",20,IF(L915="Meeting Requested",18,IF(L915="Meeting Held",14,IF(L915="Follow Up",10,5)))))+MIN(Q915,30)+IF(S915="DUE",15,IF(S915="Next 3 Days",8,0))),0))</f>
        <v/>
      </c>
      <c r="AB915" s="425">
        <f>IF(AND(AC915="Active",OR(N915="Tier 1",N915="Tier 2"),OR(S915="DUE",S915="Next 3 Days")),"YES","")</f>
        <v/>
      </c>
      <c r="AC915" s="425">
        <f>IF(L915="Passed","Archived","Active")</f>
        <v/>
      </c>
    </row>
    <row r="916">
      <c r="A916" s="425" t="inlineStr">
        <is>
          <t>EXOS-0915</t>
        </is>
      </c>
      <c r="B916" s="425" t="inlineStr">
        <is>
          <t>John - Investor Contacts</t>
        </is>
      </c>
      <c r="C916" s="425" t="inlineStr">
        <is>
          <t>Financial Investor</t>
        </is>
      </c>
      <c r="D916" s="425" t="inlineStr">
        <is>
          <t>Bank Tech Ventures</t>
        </is>
      </c>
      <c r="E916" s="425" t="inlineStr">
        <is>
          <t>Jake Fuchs</t>
        </is>
      </c>
      <c r="F916" s="425" t="inlineStr"/>
      <c r="G916" s="111" t="inlineStr">
        <is>
          <t>jake@banktechventures.com</t>
        </is>
      </c>
      <c r="H916" s="425" t="inlineStr"/>
      <c r="I916" s="425" t="inlineStr"/>
      <c r="J916" s="111" t="inlineStr">
        <is>
          <t>https://www.linkedin.com/in/jake-fuchs-7b5ab472/</t>
        </is>
      </c>
      <c r="K916" s="426" t="inlineStr">
        <is>
          <t>John Quinn</t>
        </is>
      </c>
      <c r="L916" s="426" t="inlineStr">
        <is>
          <t>Contacted</t>
        </is>
      </c>
      <c r="M916" s="425" t="inlineStr">
        <is>
          <t>Space / Defense / Aerospace / Advanced Manufacturing</t>
        </is>
      </c>
      <c r="N916" s="426" t="inlineStr">
        <is>
          <t>Tier 2</t>
        </is>
      </c>
      <c r="O916" s="441" t="n">
        <v>45840</v>
      </c>
      <c r="P916" s="441" t="n">
        <v>45840</v>
      </c>
      <c r="Q916" s="425">
        <f>IF(P916="","",TODAY()-P916)</f>
        <v/>
      </c>
      <c r="R916" s="441">
        <f>IF(OR(L916="Passed",Z916=""),"",P916+Z916)</f>
        <v/>
      </c>
      <c r="S916" s="425">
        <f>IF(OR(R916="",L916="Passed"),"",IF(R916&lt;=TODAY(),"DUE",IF(R916&lt;=TODAY()+3,"Next 3 Days","Later")))</f>
        <v/>
      </c>
      <c r="T916" s="425" t="inlineStr"/>
      <c r="U916" s="426" t="inlineStr">
        <is>
          <t>https://www.linkedin.com/in/jake-fuchs-7b5ab472/</t>
        </is>
      </c>
      <c r="V916" s="426" t="inlineStr"/>
      <c r="W916" s="428" t="inlineStr">
        <is>
          <t xml:space="preserve">doesn't align with thesis | 12/26/2025 | </t>
        </is>
      </c>
      <c r="X916" s="425" t="inlineStr">
        <is>
          <t>John - Investor Contacts!330</t>
        </is>
      </c>
      <c r="Y916" s="426" t="inlineStr">
        <is>
          <t>Send 1st follow-up and ask for 20-minute call</t>
        </is>
      </c>
      <c r="Z916" s="425" t="n">
        <v>3</v>
      </c>
      <c r="AA916" s="425">
        <f>IF(AC916="Archived",0,ROUND((IF(N916="Tier 1",35,IF(N916="Tier 2",20,8))+IF(C916="Financial Investor",15,IF(C916="Intermediary / Banker",12,8))+IF(L916="Term Sheet / Proposal",25,IF(L916="Engaged",20,IF(L916="Meeting Requested",18,IF(L916="Meeting Held",14,IF(L916="Follow Up",10,5)))))+MIN(Q916,30)+IF(S916="DUE",15,IF(S916="Next 3 Days",8,0))),0))</f>
        <v/>
      </c>
      <c r="AB916" s="425">
        <f>IF(AND(AC916="Active",OR(N916="Tier 1",N916="Tier 2"),OR(S916="DUE",S916="Next 3 Days")),"YES","")</f>
        <v/>
      </c>
      <c r="AC916" s="425">
        <f>IF(L916="Passed","Archived","Active")</f>
        <v/>
      </c>
    </row>
    <row r="917">
      <c r="A917" s="425" t="inlineStr">
        <is>
          <t>EXOS-0916</t>
        </is>
      </c>
      <c r="B917" s="425" t="inlineStr">
        <is>
          <t>John - Investor Contacts</t>
        </is>
      </c>
      <c r="C917" s="425" t="inlineStr">
        <is>
          <t>Financial Investor</t>
        </is>
      </c>
      <c r="D917" s="425" t="inlineStr">
        <is>
          <t>Bank Tech Ventures</t>
        </is>
      </c>
      <c r="E917" s="425" t="inlineStr">
        <is>
          <t>Katie Quilligan</t>
        </is>
      </c>
      <c r="F917" s="425" t="inlineStr"/>
      <c r="G917" s="111" t="inlineStr">
        <is>
          <t>katie@banktechventures.com</t>
        </is>
      </c>
      <c r="H917" s="425" t="inlineStr"/>
      <c r="I917" s="425" t="inlineStr"/>
      <c r="J917" s="111" t="inlineStr">
        <is>
          <t>https://www.linkedin.com/in/katie-quilligan-207/</t>
        </is>
      </c>
      <c r="K917" s="426" t="inlineStr">
        <is>
          <t>John Quinn</t>
        </is>
      </c>
      <c r="L917" s="426" t="inlineStr">
        <is>
          <t>Contacted</t>
        </is>
      </c>
      <c r="M917" s="425" t="inlineStr">
        <is>
          <t>Space / Defense / Aerospace / Advanced Manufacturing</t>
        </is>
      </c>
      <c r="N917" s="426" t="inlineStr">
        <is>
          <t>Tier 2</t>
        </is>
      </c>
      <c r="O917" s="441" t="n">
        <v>45840</v>
      </c>
      <c r="P917" s="441" t="n">
        <v>45840</v>
      </c>
      <c r="Q917" s="425">
        <f>IF(P917="","",TODAY()-P917)</f>
        <v/>
      </c>
      <c r="R917" s="441">
        <f>IF(OR(L917="Passed",Z917=""),"",P917+Z917)</f>
        <v/>
      </c>
      <c r="S917" s="425">
        <f>IF(OR(R917="",L917="Passed"),"",IF(R917&lt;=TODAY(),"DUE",IF(R917&lt;=TODAY()+3,"Next 3 Days","Later")))</f>
        <v/>
      </c>
      <c r="T917" s="425" t="inlineStr"/>
      <c r="U917" s="426" t="inlineStr">
        <is>
          <t>https://www.linkedin.com/in/katie-quilligan-207/</t>
        </is>
      </c>
      <c r="V917" s="426" t="inlineStr"/>
      <c r="W917" s="428" t="inlineStr">
        <is>
          <t xml:space="preserve"> | 12/26/2025 | </t>
        </is>
      </c>
      <c r="X917" s="425" t="inlineStr">
        <is>
          <t>John - Investor Contacts!331</t>
        </is>
      </c>
      <c r="Y917" s="426" t="inlineStr">
        <is>
          <t>Send 1st follow-up and ask for 20-minute call</t>
        </is>
      </c>
      <c r="Z917" s="425" t="n">
        <v>3</v>
      </c>
      <c r="AA917" s="425">
        <f>IF(AC917="Archived",0,ROUND((IF(N917="Tier 1",35,IF(N917="Tier 2",20,8))+IF(C917="Financial Investor",15,IF(C917="Intermediary / Banker",12,8))+IF(L917="Term Sheet / Proposal",25,IF(L917="Engaged",20,IF(L917="Meeting Requested",18,IF(L917="Meeting Held",14,IF(L917="Follow Up",10,5)))))+MIN(Q917,30)+IF(S917="DUE",15,IF(S917="Next 3 Days",8,0))),0))</f>
        <v/>
      </c>
      <c r="AB917" s="425">
        <f>IF(AND(AC917="Active",OR(N917="Tier 1",N917="Tier 2"),OR(S917="DUE",S917="Next 3 Days")),"YES","")</f>
        <v/>
      </c>
      <c r="AC917" s="425">
        <f>IF(L917="Passed","Archived","Active")</f>
        <v/>
      </c>
    </row>
    <row r="918">
      <c r="A918" s="425" t="inlineStr">
        <is>
          <t>EXOS-0917</t>
        </is>
      </c>
      <c r="B918" s="425" t="inlineStr">
        <is>
          <t>John - Investor Contacts</t>
        </is>
      </c>
      <c r="C918" s="425" t="inlineStr">
        <is>
          <t>Financial Investor</t>
        </is>
      </c>
      <c r="D918" s="425" t="inlineStr">
        <is>
          <t>Bessemer Venture Partners</t>
        </is>
      </c>
      <c r="E918" s="425" t="inlineStr">
        <is>
          <t>Mick Mountz</t>
        </is>
      </c>
      <c r="F918" s="425" t="inlineStr"/>
      <c r="G918" s="111" t="inlineStr">
        <is>
          <t>mmountz@bvp.com</t>
        </is>
      </c>
      <c r="H918" s="425" t="inlineStr"/>
      <c r="I918" s="425" t="inlineStr"/>
      <c r="J918" s="425" t="inlineStr"/>
      <c r="K918" s="426" t="inlineStr">
        <is>
          <t>John Quinn</t>
        </is>
      </c>
      <c r="L918" s="426" t="inlineStr">
        <is>
          <t>Contacted</t>
        </is>
      </c>
      <c r="M918" s="425" t="inlineStr">
        <is>
          <t>Space / Defense / Aerospace / Advanced Manufacturing</t>
        </is>
      </c>
      <c r="N918" s="426" t="inlineStr">
        <is>
          <t>Tier 2</t>
        </is>
      </c>
      <c r="O918" s="441" t="n">
        <v>45792</v>
      </c>
      <c r="P918" s="441" t="n">
        <v>45792</v>
      </c>
      <c r="Q918" s="425">
        <f>IF(P918="","",TODAY()-P918)</f>
        <v/>
      </c>
      <c r="R918" s="441">
        <f>IF(OR(L918="Passed",Z918=""),"",P918+Z918)</f>
        <v/>
      </c>
      <c r="S918" s="425">
        <f>IF(OR(R918="",L918="Passed"),"",IF(R918&lt;=TODAY(),"DUE",IF(R918&lt;=TODAY()+3,"Next 3 Days","Later")))</f>
        <v/>
      </c>
      <c r="T918" s="425" t="inlineStr"/>
      <c r="U918" s="426" t="inlineStr"/>
      <c r="V918" s="426" t="inlineStr"/>
      <c r="W918" s="428" t="inlineStr">
        <is>
          <t xml:space="preserve"> |  | </t>
        </is>
      </c>
      <c r="X918" s="425" t="inlineStr">
        <is>
          <t>John - Investor Contacts!58</t>
        </is>
      </c>
      <c r="Y918" s="426" t="inlineStr">
        <is>
          <t>Send 1st follow-up and ask for 20-minute call</t>
        </is>
      </c>
      <c r="Z918" s="425" t="n">
        <v>3</v>
      </c>
      <c r="AA918" s="425">
        <f>IF(AC918="Archived",0,ROUND((IF(N918="Tier 1",35,IF(N918="Tier 2",20,8))+IF(C918="Financial Investor",15,IF(C918="Intermediary / Banker",12,8))+IF(L918="Term Sheet / Proposal",25,IF(L918="Engaged",20,IF(L918="Meeting Requested",18,IF(L918="Meeting Held",14,IF(L918="Follow Up",10,5)))))+MIN(Q918,30)+IF(S918="DUE",15,IF(S918="Next 3 Days",8,0))),0))</f>
        <v/>
      </c>
      <c r="AB918" s="425">
        <f>IF(AND(AC918="Active",OR(N918="Tier 1",N918="Tier 2"),OR(S918="DUE",S918="Next 3 Days")),"YES","")</f>
        <v/>
      </c>
      <c r="AC918" s="425">
        <f>IF(L918="Passed","Archived","Active")</f>
        <v/>
      </c>
    </row>
    <row r="919">
      <c r="A919" s="425" t="inlineStr">
        <is>
          <t>EXOS-0918</t>
        </is>
      </c>
      <c r="B919" s="425" t="inlineStr">
        <is>
          <t>John - Investor Contacts</t>
        </is>
      </c>
      <c r="C919" s="425" t="inlineStr">
        <is>
          <t>Financial Investor</t>
        </is>
      </c>
      <c r="D919" s="425" t="inlineStr">
        <is>
          <t>Bessemer Venture Partners</t>
        </is>
      </c>
      <c r="E919" s="425" t="inlineStr">
        <is>
          <t>Ravi Viswanathan</t>
        </is>
      </c>
      <c r="F919" s="425" t="inlineStr"/>
      <c r="G919" s="111" t="inlineStr">
        <is>
          <t>rviswanathan@bvp.com</t>
        </is>
      </c>
      <c r="H919" s="425" t="inlineStr"/>
      <c r="I919" s="425" t="inlineStr"/>
      <c r="J919" s="425" t="inlineStr"/>
      <c r="K919" s="426" t="inlineStr">
        <is>
          <t>John Quinn</t>
        </is>
      </c>
      <c r="L919" s="426" t="inlineStr">
        <is>
          <t>Contacted</t>
        </is>
      </c>
      <c r="M919" s="425" t="inlineStr">
        <is>
          <t>Space / Defense / Aerospace / Advanced Manufacturing</t>
        </is>
      </c>
      <c r="N919" s="426" t="inlineStr">
        <is>
          <t>Tier 2</t>
        </is>
      </c>
      <c r="O919" s="441" t="n">
        <v>45792</v>
      </c>
      <c r="P919" s="441" t="n">
        <v>45792</v>
      </c>
      <c r="Q919" s="425">
        <f>IF(P919="","",TODAY()-P919)</f>
        <v/>
      </c>
      <c r="R919" s="441">
        <f>IF(OR(L919="Passed",Z919=""),"",P919+Z919)</f>
        <v/>
      </c>
      <c r="S919" s="425">
        <f>IF(OR(R919="",L919="Passed"),"",IF(R919&lt;=TODAY(),"DUE",IF(R919&lt;=TODAY()+3,"Next 3 Days","Later")))</f>
        <v/>
      </c>
      <c r="T919" s="425" t="inlineStr"/>
      <c r="U919" s="426" t="inlineStr"/>
      <c r="V919" s="426" t="inlineStr"/>
      <c r="W919" s="428" t="inlineStr">
        <is>
          <t xml:space="preserve"> |  | </t>
        </is>
      </c>
      <c r="X919" s="425" t="inlineStr">
        <is>
          <t>John - Investor Contacts!59</t>
        </is>
      </c>
      <c r="Y919" s="426" t="inlineStr">
        <is>
          <t>Send 1st follow-up and ask for 20-minute call</t>
        </is>
      </c>
      <c r="Z919" s="425" t="n">
        <v>3</v>
      </c>
      <c r="AA919" s="425">
        <f>IF(AC919="Archived",0,ROUND((IF(N919="Tier 1",35,IF(N919="Tier 2",20,8))+IF(C919="Financial Investor",15,IF(C919="Intermediary / Banker",12,8))+IF(L919="Term Sheet / Proposal",25,IF(L919="Engaged",20,IF(L919="Meeting Requested",18,IF(L919="Meeting Held",14,IF(L919="Follow Up",10,5)))))+MIN(Q919,30)+IF(S919="DUE",15,IF(S919="Next 3 Days",8,0))),0))</f>
        <v/>
      </c>
      <c r="AB919" s="425">
        <f>IF(AND(AC919="Active",OR(N919="Tier 1",N919="Tier 2"),OR(S919="DUE",S919="Next 3 Days")),"YES","")</f>
        <v/>
      </c>
      <c r="AC919" s="425">
        <f>IF(L919="Passed","Archived","Active")</f>
        <v/>
      </c>
    </row>
    <row r="920">
      <c r="A920" s="425" t="inlineStr">
        <is>
          <t>EXOS-0919</t>
        </is>
      </c>
      <c r="B920" s="425" t="inlineStr">
        <is>
          <t>John - Investor Contacts</t>
        </is>
      </c>
      <c r="C920" s="425" t="inlineStr">
        <is>
          <t>Financial Investor</t>
        </is>
      </c>
      <c r="D920" s="425" t="inlineStr">
        <is>
          <t>Booz Allen</t>
        </is>
      </c>
      <c r="E920" s="425" t="inlineStr">
        <is>
          <t>Phillip Mann</t>
        </is>
      </c>
      <c r="F920" s="425" t="inlineStr"/>
      <c r="G920" s="111" t="inlineStr">
        <is>
          <t>mann_phillip@bah.com</t>
        </is>
      </c>
      <c r="H920" s="425" t="inlineStr"/>
      <c r="I920" s="425" t="inlineStr"/>
      <c r="J920" s="425" t="inlineStr"/>
      <c r="K920" s="426" t="inlineStr">
        <is>
          <t>John Quinn</t>
        </is>
      </c>
      <c r="L920" s="426" t="inlineStr">
        <is>
          <t>Contacted</t>
        </is>
      </c>
      <c r="M920" s="425" t="inlineStr">
        <is>
          <t>Space / Defense / Aerospace / Advanced Manufacturing</t>
        </is>
      </c>
      <c r="N920" s="426" t="inlineStr">
        <is>
          <t>Tier 2</t>
        </is>
      </c>
      <c r="O920" s="441" t="n">
        <v>46030</v>
      </c>
      <c r="P920" s="441" t="n">
        <v>46030</v>
      </c>
      <c r="Q920" s="425">
        <f>IF(P920="","",TODAY()-P920)</f>
        <v/>
      </c>
      <c r="R920" s="441">
        <f>IF(OR(L920="Passed",Z920=""),"",P920+Z920)</f>
        <v/>
      </c>
      <c r="S920" s="425">
        <f>IF(OR(R920="",L920="Passed"),"",IF(R920&lt;=TODAY(),"DUE",IF(R920&lt;=TODAY()+3,"Next 3 Days","Later")))</f>
        <v/>
      </c>
      <c r="T920" s="425" t="inlineStr"/>
      <c r="U920" s="426" t="inlineStr">
        <is>
          <t>linkedin.com/in/phillipmann</t>
        </is>
      </c>
      <c r="V920" s="426" t="inlineStr"/>
      <c r="W920" s="428" t="inlineStr">
        <is>
          <t xml:space="preserve"> | 02/26/2026 | </t>
        </is>
      </c>
      <c r="X920" s="425" t="inlineStr">
        <is>
          <t>John - Investor Contacts!907</t>
        </is>
      </c>
      <c r="Y920" s="426" t="inlineStr">
        <is>
          <t>Send 1st follow-up and ask for 20-minute call</t>
        </is>
      </c>
      <c r="Z920" s="425" t="n">
        <v>3</v>
      </c>
      <c r="AA920" s="425">
        <f>IF(AC920="Archived",0,ROUND((IF(N920="Tier 1",35,IF(N920="Tier 2",20,8))+IF(C920="Financial Investor",15,IF(C920="Intermediary / Banker",12,8))+IF(L920="Term Sheet / Proposal",25,IF(L920="Engaged",20,IF(L920="Meeting Requested",18,IF(L920="Meeting Held",14,IF(L920="Follow Up",10,5)))))+MIN(Q920,30)+IF(S920="DUE",15,IF(S920="Next 3 Days",8,0))),0))</f>
        <v/>
      </c>
      <c r="AB920" s="425">
        <f>IF(AND(AC920="Active",OR(N920="Tier 1",N920="Tier 2"),OR(S920="DUE",S920="Next 3 Days")),"YES","")</f>
        <v/>
      </c>
      <c r="AC920" s="425">
        <f>IF(L920="Passed","Archived","Active")</f>
        <v/>
      </c>
    </row>
    <row r="921">
      <c r="A921" s="425" t="inlineStr">
        <is>
          <t>EXOS-0920</t>
        </is>
      </c>
      <c r="B921" s="425" t="inlineStr">
        <is>
          <t>Tank Contacts</t>
        </is>
      </c>
      <c r="C921" s="425" t="inlineStr">
        <is>
          <t>Strategic / Corporate</t>
        </is>
      </c>
      <c r="D921" s="425" t="inlineStr">
        <is>
          <t>COO Calca</t>
        </is>
      </c>
      <c r="E921" s="425" t="inlineStr">
        <is>
          <t>Eric Walker</t>
        </is>
      </c>
      <c r="F921" s="425" t="inlineStr"/>
      <c r="G921" s="111" t="inlineStr">
        <is>
          <t>eric.walker@calcasolutions.com</t>
        </is>
      </c>
      <c r="H921" s="425" t="inlineStr"/>
      <c r="I921" s="425" t="inlineStr"/>
      <c r="J921" s="111" t="inlineStr">
        <is>
          <t>https://www.linkedin.com/in/ericwalker17/</t>
        </is>
      </c>
      <c r="K921" s="426" t="inlineStr">
        <is>
          <t>John Quinn</t>
        </is>
      </c>
      <c r="L921" s="426" t="inlineStr">
        <is>
          <t>Contacted</t>
        </is>
      </c>
      <c r="M921" s="425" t="inlineStr">
        <is>
          <t>Strategic space / aerospace alignment</t>
        </is>
      </c>
      <c r="N921" s="426" t="inlineStr">
        <is>
          <t>Tier 2</t>
        </is>
      </c>
      <c r="O921" s="441" t="n">
        <v>45951</v>
      </c>
      <c r="P921" s="441" t="n">
        <v>45951</v>
      </c>
      <c r="Q921" s="425">
        <f>IF(P921="","",TODAY()-P921)</f>
        <v/>
      </c>
      <c r="R921" s="441">
        <f>IF(OR(L921="Passed",Z921=""),"",P921+Z921)</f>
        <v/>
      </c>
      <c r="S921" s="425">
        <f>IF(OR(R921="",L921="Passed"),"",IF(R921&lt;=TODAY(),"DUE",IF(R921&lt;=TODAY()+3,"Next 3 Days","Later")))</f>
        <v/>
      </c>
      <c r="T921" s="425" t="inlineStr"/>
      <c r="U921" s="426" t="inlineStr"/>
      <c r="V921" s="426" t="inlineStr"/>
      <c r="W921" s="428" t="inlineStr"/>
      <c r="X921" s="425" t="inlineStr">
        <is>
          <t>Tank Contacts!19</t>
        </is>
      </c>
      <c r="Y921" s="426" t="inlineStr">
        <is>
          <t>Send 1st follow-up and ask for 20-minute call</t>
        </is>
      </c>
      <c r="Z921" s="425" t="n">
        <v>3</v>
      </c>
      <c r="AA921" s="425">
        <f>IF(AC921="Archived",0,ROUND((IF(N921="Tier 1",35,IF(N921="Tier 2",20,8))+IF(C921="Financial Investor",15,IF(C921="Intermediary / Banker",12,8))+IF(L921="Term Sheet / Proposal",25,IF(L921="Engaged",20,IF(L921="Meeting Requested",18,IF(L921="Meeting Held",14,IF(L921="Follow Up",10,5)))))+MIN(Q921,30)+IF(S921="DUE",15,IF(S921="Next 3 Days",8,0))),0))</f>
        <v/>
      </c>
      <c r="AB921" s="425">
        <f>IF(AND(AC921="Active",OR(N921="Tier 1",N921="Tier 2"),OR(S921="DUE",S921="Next 3 Days")),"YES","")</f>
        <v/>
      </c>
      <c r="AC921" s="425">
        <f>IF(L921="Passed","Archived","Active")</f>
        <v/>
      </c>
    </row>
    <row r="922">
      <c r="A922" s="425" t="inlineStr">
        <is>
          <t>EXOS-0921</t>
        </is>
      </c>
      <c r="B922" s="425" t="inlineStr">
        <is>
          <t>John - Investor Contacts</t>
        </is>
      </c>
      <c r="C922" s="425" t="inlineStr">
        <is>
          <t>Financial Investor</t>
        </is>
      </c>
      <c r="D922" s="425" t="inlineStr">
        <is>
          <t>Canaan Partners</t>
        </is>
      </c>
      <c r="E922" s="425" t="inlineStr">
        <is>
          <t>David Teten</t>
        </is>
      </c>
      <c r="F922" s="425" t="inlineStr"/>
      <c r="G922" s="111" t="inlineStr">
        <is>
          <t>dteten@canaan.com</t>
        </is>
      </c>
      <c r="H922" s="425" t="inlineStr"/>
      <c r="I922" s="425" t="inlineStr"/>
      <c r="J922" s="425" t="inlineStr"/>
      <c r="K922" s="426" t="inlineStr">
        <is>
          <t>John Quinn</t>
        </is>
      </c>
      <c r="L922" s="426" t="inlineStr">
        <is>
          <t>Contacted</t>
        </is>
      </c>
      <c r="M922" s="425" t="inlineStr">
        <is>
          <t>Space / Defense / Aerospace / Advanced Manufacturing</t>
        </is>
      </c>
      <c r="N922" s="426" t="inlineStr">
        <is>
          <t>Tier 2</t>
        </is>
      </c>
      <c r="O922" s="441" t="n">
        <v>45793</v>
      </c>
      <c r="P922" s="441" t="n">
        <v>45793</v>
      </c>
      <c r="Q922" s="425">
        <f>IF(P922="","",TODAY()-P922)</f>
        <v/>
      </c>
      <c r="R922" s="441">
        <f>IF(OR(L922="Passed",Z922=""),"",P922+Z922)</f>
        <v/>
      </c>
      <c r="S922" s="425">
        <f>IF(OR(R922="",L922="Passed"),"",IF(R922&lt;=TODAY(),"DUE",IF(R922&lt;=TODAY()+3,"Next 3 Days","Later")))</f>
        <v/>
      </c>
      <c r="T922" s="425" t="inlineStr"/>
      <c r="U922" s="426" t="inlineStr"/>
      <c r="V922" s="426" t="inlineStr"/>
      <c r="W922" s="428" t="inlineStr">
        <is>
          <t xml:space="preserve"> |  | </t>
        </is>
      </c>
      <c r="X922" s="425" t="inlineStr">
        <is>
          <t>John - Investor Contacts!72</t>
        </is>
      </c>
      <c r="Y922" s="426" t="inlineStr">
        <is>
          <t>Send 1st follow-up and ask for 20-minute call</t>
        </is>
      </c>
      <c r="Z922" s="425" t="n">
        <v>3</v>
      </c>
      <c r="AA922" s="425">
        <f>IF(AC922="Archived",0,ROUND((IF(N922="Tier 1",35,IF(N922="Tier 2",20,8))+IF(C922="Financial Investor",15,IF(C922="Intermediary / Banker",12,8))+IF(L922="Term Sheet / Proposal",25,IF(L922="Engaged",20,IF(L922="Meeting Requested",18,IF(L922="Meeting Held",14,IF(L922="Follow Up",10,5)))))+MIN(Q922,30)+IF(S922="DUE",15,IF(S922="Next 3 Days",8,0))),0))</f>
        <v/>
      </c>
      <c r="AB922" s="425">
        <f>IF(AND(AC922="Active",OR(N922="Tier 1",N922="Tier 2"),OR(S922="DUE",S922="Next 3 Days")),"YES","")</f>
        <v/>
      </c>
      <c r="AC922" s="425">
        <f>IF(L922="Passed","Archived","Active")</f>
        <v/>
      </c>
    </row>
    <row r="923">
      <c r="A923" s="425" t="inlineStr">
        <is>
          <t>EXOS-0922</t>
        </is>
      </c>
      <c r="B923" s="425" t="inlineStr">
        <is>
          <t>John - Investor Contacts</t>
        </is>
      </c>
      <c r="C923" s="425" t="inlineStr">
        <is>
          <t>Financial Investor</t>
        </is>
      </c>
      <c r="D923" s="425" t="inlineStr">
        <is>
          <t>Canaan Partners</t>
        </is>
      </c>
      <c r="E923" s="425" t="inlineStr">
        <is>
          <t>Hemant Mohapatra</t>
        </is>
      </c>
      <c r="F923" s="425" t="inlineStr"/>
      <c r="G923" s="111" t="inlineStr">
        <is>
          <t>hmohapatra@canaan.com</t>
        </is>
      </c>
      <c r="H923" s="425" t="inlineStr"/>
      <c r="I923" s="425" t="inlineStr"/>
      <c r="J923" s="425" t="inlineStr"/>
      <c r="K923" s="426" t="inlineStr">
        <is>
          <t>John Quinn</t>
        </is>
      </c>
      <c r="L923" s="426" t="inlineStr">
        <is>
          <t>Contacted</t>
        </is>
      </c>
      <c r="M923" s="425" t="inlineStr">
        <is>
          <t>Space / Defense / Aerospace / Advanced Manufacturing</t>
        </is>
      </c>
      <c r="N923" s="426" t="inlineStr">
        <is>
          <t>Tier 2</t>
        </is>
      </c>
      <c r="O923" s="441" t="n">
        <v>45793</v>
      </c>
      <c r="P923" s="441" t="n">
        <v>45793</v>
      </c>
      <c r="Q923" s="425">
        <f>IF(P923="","",TODAY()-P923)</f>
        <v/>
      </c>
      <c r="R923" s="441">
        <f>IF(OR(L923="Passed",Z923=""),"",P923+Z923)</f>
        <v/>
      </c>
      <c r="S923" s="425">
        <f>IF(OR(R923="",L923="Passed"),"",IF(R923&lt;=TODAY(),"DUE",IF(R923&lt;=TODAY()+3,"Next 3 Days","Later")))</f>
        <v/>
      </c>
      <c r="T923" s="425" t="inlineStr"/>
      <c r="U923" s="426" t="inlineStr"/>
      <c r="V923" s="426" t="inlineStr"/>
      <c r="W923" s="428" t="inlineStr">
        <is>
          <t xml:space="preserve"> |  | </t>
        </is>
      </c>
      <c r="X923" s="425" t="inlineStr">
        <is>
          <t>John - Investor Contacts!70</t>
        </is>
      </c>
      <c r="Y923" s="426" t="inlineStr">
        <is>
          <t>Send 1st follow-up and ask for 20-minute call</t>
        </is>
      </c>
      <c r="Z923" s="425" t="n">
        <v>3</v>
      </c>
      <c r="AA923" s="425">
        <f>IF(AC923="Archived",0,ROUND((IF(N923="Tier 1",35,IF(N923="Tier 2",20,8))+IF(C923="Financial Investor",15,IF(C923="Intermediary / Banker",12,8))+IF(L923="Term Sheet / Proposal",25,IF(L923="Engaged",20,IF(L923="Meeting Requested",18,IF(L923="Meeting Held",14,IF(L923="Follow Up",10,5)))))+MIN(Q923,30)+IF(S923="DUE",15,IF(S923="Next 3 Days",8,0))),0))</f>
        <v/>
      </c>
      <c r="AB923" s="425">
        <f>IF(AND(AC923="Active",OR(N923="Tier 1",N923="Tier 2"),OR(S923="DUE",S923="Next 3 Days")),"YES","")</f>
        <v/>
      </c>
      <c r="AC923" s="425">
        <f>IF(L923="Passed","Archived","Active")</f>
        <v/>
      </c>
    </row>
    <row r="924">
      <c r="A924" s="425" t="inlineStr">
        <is>
          <t>EXOS-0923</t>
        </is>
      </c>
      <c r="B924" s="425" t="inlineStr">
        <is>
          <t>John - Investor Contacts</t>
        </is>
      </c>
      <c r="C924" s="425" t="inlineStr">
        <is>
          <t>Financial Investor</t>
        </is>
      </c>
      <c r="D924" s="425" t="inlineStr">
        <is>
          <t>Canaan Partners</t>
        </is>
      </c>
      <c r="E924" s="425" t="inlineStr">
        <is>
          <t>Karan Mehandru</t>
        </is>
      </c>
      <c r="F924" s="425" t="inlineStr"/>
      <c r="G924" s="111" t="inlineStr">
        <is>
          <t>kmehandru@canaan.com</t>
        </is>
      </c>
      <c r="H924" s="425" t="inlineStr"/>
      <c r="I924" s="425" t="inlineStr"/>
      <c r="J924" s="425" t="inlineStr"/>
      <c r="K924" s="426" t="inlineStr">
        <is>
          <t>John Quinn</t>
        </is>
      </c>
      <c r="L924" s="426" t="inlineStr">
        <is>
          <t>Contacted</t>
        </is>
      </c>
      <c r="M924" s="425" t="inlineStr">
        <is>
          <t>Space / Defense / Aerospace / Advanced Manufacturing</t>
        </is>
      </c>
      <c r="N924" s="426" t="inlineStr">
        <is>
          <t>Tier 2</t>
        </is>
      </c>
      <c r="O924" s="441" t="n">
        <v>45793</v>
      </c>
      <c r="P924" s="441" t="n">
        <v>45793</v>
      </c>
      <c r="Q924" s="425">
        <f>IF(P924="","",TODAY()-P924)</f>
        <v/>
      </c>
      <c r="R924" s="441">
        <f>IF(OR(L924="Passed",Z924=""),"",P924+Z924)</f>
        <v/>
      </c>
      <c r="S924" s="425">
        <f>IF(OR(R924="",L924="Passed"),"",IF(R924&lt;=TODAY(),"DUE",IF(R924&lt;=TODAY()+3,"Next 3 Days","Later")))</f>
        <v/>
      </c>
      <c r="T924" s="425" t="inlineStr"/>
      <c r="U924" s="426" t="inlineStr"/>
      <c r="V924" s="426" t="inlineStr"/>
      <c r="W924" s="428" t="inlineStr">
        <is>
          <t xml:space="preserve"> |  | </t>
        </is>
      </c>
      <c r="X924" s="425" t="inlineStr">
        <is>
          <t>John - Investor Contacts!71</t>
        </is>
      </c>
      <c r="Y924" s="426" t="inlineStr">
        <is>
          <t>Send 1st follow-up and ask for 20-minute call</t>
        </is>
      </c>
      <c r="Z924" s="425" t="n">
        <v>3</v>
      </c>
      <c r="AA924" s="425">
        <f>IF(AC924="Archived",0,ROUND((IF(N924="Tier 1",35,IF(N924="Tier 2",20,8))+IF(C924="Financial Investor",15,IF(C924="Intermediary / Banker",12,8))+IF(L924="Term Sheet / Proposal",25,IF(L924="Engaged",20,IF(L924="Meeting Requested",18,IF(L924="Meeting Held",14,IF(L924="Follow Up",10,5)))))+MIN(Q924,30)+IF(S924="DUE",15,IF(S924="Next 3 Days",8,0))),0))</f>
        <v/>
      </c>
      <c r="AB924" s="425">
        <f>IF(AND(AC924="Active",OR(N924="Tier 1",N924="Tier 2"),OR(S924="DUE",S924="Next 3 Days")),"YES","")</f>
        <v/>
      </c>
      <c r="AC924" s="425">
        <f>IF(L924="Passed","Archived","Active")</f>
        <v/>
      </c>
    </row>
    <row r="925">
      <c r="A925" s="425" t="inlineStr">
        <is>
          <t>EXOS-0924</t>
        </is>
      </c>
      <c r="B925" s="425" t="inlineStr">
        <is>
          <t>John - Investor Contacts</t>
        </is>
      </c>
      <c r="C925" s="425" t="inlineStr">
        <is>
          <t>Financial Investor</t>
        </is>
      </c>
      <c r="D925" s="425" t="inlineStr">
        <is>
          <t>Canaan Partners</t>
        </is>
      </c>
      <c r="E925" s="425" t="inlineStr">
        <is>
          <t>Maya Bisineer</t>
        </is>
      </c>
      <c r="F925" s="425" t="inlineStr"/>
      <c r="G925" s="111" t="inlineStr">
        <is>
          <t>mbisineer@canaan.com</t>
        </is>
      </c>
      <c r="H925" s="425" t="inlineStr"/>
      <c r="I925" s="425" t="inlineStr"/>
      <c r="J925" s="425" t="inlineStr"/>
      <c r="K925" s="426" t="inlineStr">
        <is>
          <t>John Quinn</t>
        </is>
      </c>
      <c r="L925" s="426" t="inlineStr">
        <is>
          <t>Contacted</t>
        </is>
      </c>
      <c r="M925" s="425" t="inlineStr">
        <is>
          <t>Space / Defense / Aerospace / Advanced Manufacturing</t>
        </is>
      </c>
      <c r="N925" s="426" t="inlineStr">
        <is>
          <t>Tier 2</t>
        </is>
      </c>
      <c r="O925" s="441" t="n">
        <v>45793</v>
      </c>
      <c r="P925" s="441" t="n">
        <v>45793</v>
      </c>
      <c r="Q925" s="425">
        <f>IF(P925="","",TODAY()-P925)</f>
        <v/>
      </c>
      <c r="R925" s="441">
        <f>IF(OR(L925="Passed",Z925=""),"",P925+Z925)</f>
        <v/>
      </c>
      <c r="S925" s="425">
        <f>IF(OR(R925="",L925="Passed"),"",IF(R925&lt;=TODAY(),"DUE",IF(R925&lt;=TODAY()+3,"Next 3 Days","Later")))</f>
        <v/>
      </c>
      <c r="T925" s="425" t="inlineStr"/>
      <c r="U925" s="426" t="inlineStr"/>
      <c r="V925" s="426" t="inlineStr"/>
      <c r="W925" s="428" t="inlineStr">
        <is>
          <t xml:space="preserve"> |  | </t>
        </is>
      </c>
      <c r="X925" s="425" t="inlineStr">
        <is>
          <t>John - Investor Contacts!69</t>
        </is>
      </c>
      <c r="Y925" s="426" t="inlineStr">
        <is>
          <t>Send 1st follow-up and ask for 20-minute call</t>
        </is>
      </c>
      <c r="Z925" s="425" t="n">
        <v>3</v>
      </c>
      <c r="AA925" s="425">
        <f>IF(AC925="Archived",0,ROUND((IF(N925="Tier 1",35,IF(N925="Tier 2",20,8))+IF(C925="Financial Investor",15,IF(C925="Intermediary / Banker",12,8))+IF(L925="Term Sheet / Proposal",25,IF(L925="Engaged",20,IF(L925="Meeting Requested",18,IF(L925="Meeting Held",14,IF(L925="Follow Up",10,5)))))+MIN(Q925,30)+IF(S925="DUE",15,IF(S925="Next 3 Days",8,0))),0))</f>
        <v/>
      </c>
      <c r="AB925" s="425">
        <f>IF(AND(AC925="Active",OR(N925="Tier 1",N925="Tier 2"),OR(S925="DUE",S925="Next 3 Days")),"YES","")</f>
        <v/>
      </c>
      <c r="AC925" s="425">
        <f>IF(L925="Passed","Archived","Active")</f>
        <v/>
      </c>
    </row>
    <row r="926">
      <c r="A926" s="425" t="inlineStr">
        <is>
          <t>EXOS-0925</t>
        </is>
      </c>
      <c r="B926" s="425" t="inlineStr">
        <is>
          <t>John - Investor Contacts</t>
        </is>
      </c>
      <c r="C926" s="425" t="inlineStr">
        <is>
          <t>Financial Investor</t>
        </is>
      </c>
      <c r="D926" s="425" t="inlineStr">
        <is>
          <t>Caprice Capital</t>
        </is>
      </c>
      <c r="E926" s="425" t="inlineStr">
        <is>
          <t>Investor Reations</t>
        </is>
      </c>
      <c r="F926" s="425" t="inlineStr"/>
      <c r="G926" s="111" t="inlineStr">
        <is>
          <t>investor-relations@capricecapital.com</t>
        </is>
      </c>
      <c r="H926" s="425" t="inlineStr"/>
      <c r="I926" s="425" t="inlineStr"/>
      <c r="J926" s="425" t="inlineStr"/>
      <c r="K926" s="426" t="inlineStr">
        <is>
          <t>John Quinn</t>
        </is>
      </c>
      <c r="L926" s="426" t="inlineStr">
        <is>
          <t>Contacted</t>
        </is>
      </c>
      <c r="M926" s="425" t="inlineStr">
        <is>
          <t>Space / Defense / Aerospace / Advanced Manufacturing</t>
        </is>
      </c>
      <c r="N926" s="426" t="inlineStr">
        <is>
          <t>Tier 2</t>
        </is>
      </c>
      <c r="O926" s="441" t="n">
        <v>45831</v>
      </c>
      <c r="P926" s="441" t="n">
        <v>45831</v>
      </c>
      <c r="Q926" s="425">
        <f>IF(P926="","",TODAY()-P926)</f>
        <v/>
      </c>
      <c r="R926" s="441">
        <f>IF(OR(L926="Passed",Z926=""),"",P926+Z926)</f>
        <v/>
      </c>
      <c r="S926" s="425">
        <f>IF(OR(R926="",L926="Passed"),"",IF(R926&lt;=TODAY(),"DUE",IF(R926&lt;=TODAY()+3,"Next 3 Days","Later")))</f>
        <v/>
      </c>
      <c r="T926" s="425" t="inlineStr"/>
      <c r="U926" s="426" t="inlineStr"/>
      <c r="V926" s="426" t="inlineStr"/>
      <c r="W926" s="428" t="inlineStr">
        <is>
          <t xml:space="preserve"> | 12/23/2025 | </t>
        </is>
      </c>
      <c r="X926" s="425" t="inlineStr">
        <is>
          <t>John - Investor Contacts!242</t>
        </is>
      </c>
      <c r="Y926" s="426" t="inlineStr">
        <is>
          <t>Send 1st follow-up and ask for 20-minute call</t>
        </is>
      </c>
      <c r="Z926" s="425" t="n">
        <v>3</v>
      </c>
      <c r="AA926" s="425">
        <f>IF(AC926="Archived",0,ROUND((IF(N926="Tier 1",35,IF(N926="Tier 2",20,8))+IF(C926="Financial Investor",15,IF(C926="Intermediary / Banker",12,8))+IF(L926="Term Sheet / Proposal",25,IF(L926="Engaged",20,IF(L926="Meeting Requested",18,IF(L926="Meeting Held",14,IF(L926="Follow Up",10,5)))))+MIN(Q926,30)+IF(S926="DUE",15,IF(S926="Next 3 Days",8,0))),0))</f>
        <v/>
      </c>
      <c r="AB926" s="425">
        <f>IF(AND(AC926="Active",OR(N926="Tier 1",N926="Tier 2"),OR(S926="DUE",S926="Next 3 Days")),"YES","")</f>
        <v/>
      </c>
      <c r="AC926" s="425">
        <f>IF(L926="Passed","Archived","Active")</f>
        <v/>
      </c>
    </row>
    <row r="927">
      <c r="A927" s="425" t="inlineStr">
        <is>
          <t>EXOS-0926</t>
        </is>
      </c>
      <c r="B927" s="425" t="inlineStr">
        <is>
          <t>John - Investor Contacts</t>
        </is>
      </c>
      <c r="C927" s="425" t="inlineStr">
        <is>
          <t>Financial Investor</t>
        </is>
      </c>
      <c r="D927" s="425" t="inlineStr">
        <is>
          <t>Central Texas Angel Network</t>
        </is>
      </c>
      <c r="E927" s="425" t="inlineStr">
        <is>
          <t>Gary Forni</t>
        </is>
      </c>
      <c r="F927" s="425" t="inlineStr"/>
      <c r="G927" s="111" t="inlineStr">
        <is>
          <t>gary@ctan.com</t>
        </is>
      </c>
      <c r="H927" s="425" t="inlineStr"/>
      <c r="I927" s="425" t="inlineStr"/>
      <c r="J927" s="111" t="inlineStr">
        <is>
          <t>https://www.linkedin.com/in/garyforni/</t>
        </is>
      </c>
      <c r="K927" s="426" t="inlineStr">
        <is>
          <t>John Quinn</t>
        </is>
      </c>
      <c r="L927" s="426" t="inlineStr">
        <is>
          <t>Contacted</t>
        </is>
      </c>
      <c r="M927" s="425" t="inlineStr">
        <is>
          <t>Space / Defense / Aerospace / Advanced Manufacturing</t>
        </is>
      </c>
      <c r="N927" s="426" t="inlineStr">
        <is>
          <t>Tier 2</t>
        </is>
      </c>
      <c r="O927" s="441" t="n">
        <v>45813</v>
      </c>
      <c r="P927" s="441" t="n">
        <v>45813</v>
      </c>
      <c r="Q927" s="425">
        <f>IF(P927="","",TODAY()-P927)</f>
        <v/>
      </c>
      <c r="R927" s="441">
        <f>IF(OR(L927="Passed",Z927=""),"",P927+Z927)</f>
        <v/>
      </c>
      <c r="S927" s="425">
        <f>IF(OR(R927="",L927="Passed"),"",IF(R927&lt;=TODAY(),"DUE",IF(R927&lt;=TODAY()+3,"Next 3 Days","Later")))</f>
        <v/>
      </c>
      <c r="T927" s="425" t="inlineStr"/>
      <c r="U927" s="426" t="inlineStr">
        <is>
          <t>https://www.linkedin.com/in/garyforni/</t>
        </is>
      </c>
      <c r="V927" s="426" t="inlineStr"/>
      <c r="W927" s="428" t="inlineStr">
        <is>
          <t xml:space="preserve"> |  | </t>
        </is>
      </c>
      <c r="X927" s="425" t="inlineStr">
        <is>
          <t>John - Investor Contacts!114</t>
        </is>
      </c>
      <c r="Y927" s="426" t="inlineStr">
        <is>
          <t>Send 1st follow-up and ask for 20-minute call</t>
        </is>
      </c>
      <c r="Z927" s="425" t="n">
        <v>3</v>
      </c>
      <c r="AA927" s="425">
        <f>IF(AC927="Archived",0,ROUND((IF(N927="Tier 1",35,IF(N927="Tier 2",20,8))+IF(C927="Financial Investor",15,IF(C927="Intermediary / Banker",12,8))+IF(L927="Term Sheet / Proposal",25,IF(L927="Engaged",20,IF(L927="Meeting Requested",18,IF(L927="Meeting Held",14,IF(L927="Follow Up",10,5)))))+MIN(Q927,30)+IF(S927="DUE",15,IF(S927="Next 3 Days",8,0))),0))</f>
        <v/>
      </c>
      <c r="AB927" s="425">
        <f>IF(AND(AC927="Active",OR(N927="Tier 1",N927="Tier 2"),OR(S927="DUE",S927="Next 3 Days")),"YES","")</f>
        <v/>
      </c>
      <c r="AC927" s="425">
        <f>IF(L927="Passed","Archived","Active")</f>
        <v/>
      </c>
    </row>
    <row r="928">
      <c r="A928" s="425" t="inlineStr">
        <is>
          <t>EXOS-0927</t>
        </is>
      </c>
      <c r="B928" s="425" t="inlineStr">
        <is>
          <t>John - Investor Contacts</t>
        </is>
      </c>
      <c r="C928" s="425" t="inlineStr">
        <is>
          <t>Financial Investor</t>
        </is>
      </c>
      <c r="D928" s="425" t="inlineStr">
        <is>
          <t>Central Texas Angel Network</t>
        </is>
      </c>
      <c r="E928" s="425" t="inlineStr">
        <is>
          <t>Jake Hampton</t>
        </is>
      </c>
      <c r="F928" s="425" t="inlineStr"/>
      <c r="G928" s="111" t="inlineStr">
        <is>
          <t>jake@ctan.com</t>
        </is>
      </c>
      <c r="H928" s="425" t="inlineStr"/>
      <c r="I928" s="425" t="inlineStr"/>
      <c r="J928" s="111" t="inlineStr">
        <is>
          <t>https://www.linkedin.com/in/jake-hampton-134493/</t>
        </is>
      </c>
      <c r="K928" s="426" t="inlineStr">
        <is>
          <t>John Quinn</t>
        </is>
      </c>
      <c r="L928" s="426" t="inlineStr">
        <is>
          <t>Contacted</t>
        </is>
      </c>
      <c r="M928" s="425" t="inlineStr">
        <is>
          <t>Space / Defense / Aerospace / Advanced Manufacturing</t>
        </is>
      </c>
      <c r="N928" s="426" t="inlineStr">
        <is>
          <t>Tier 2</t>
        </is>
      </c>
      <c r="O928" s="441" t="n">
        <v>45813</v>
      </c>
      <c r="P928" s="441" t="n">
        <v>45813</v>
      </c>
      <c r="Q928" s="425">
        <f>IF(P928="","",TODAY()-P928)</f>
        <v/>
      </c>
      <c r="R928" s="441">
        <f>IF(OR(L928="Passed",Z928=""),"",P928+Z928)</f>
        <v/>
      </c>
      <c r="S928" s="425">
        <f>IF(OR(R928="",L928="Passed"),"",IF(R928&lt;=TODAY(),"DUE",IF(R928&lt;=TODAY()+3,"Next 3 Days","Later")))</f>
        <v/>
      </c>
      <c r="T928" s="425" t="inlineStr"/>
      <c r="U928" s="426" t="inlineStr">
        <is>
          <t>https://www.linkedin.com/in/jake-hampton-134493/</t>
        </is>
      </c>
      <c r="V928" s="426" t="inlineStr"/>
      <c r="W928" s="428" t="inlineStr">
        <is>
          <t xml:space="preserve"> |  | </t>
        </is>
      </c>
      <c r="X928" s="425" t="inlineStr">
        <is>
          <t>John - Investor Contacts!115</t>
        </is>
      </c>
      <c r="Y928" s="426" t="inlineStr">
        <is>
          <t>Send 1st follow-up and ask for 20-minute call</t>
        </is>
      </c>
      <c r="Z928" s="425" t="n">
        <v>3</v>
      </c>
      <c r="AA928" s="425">
        <f>IF(AC928="Archived",0,ROUND((IF(N928="Tier 1",35,IF(N928="Tier 2",20,8))+IF(C928="Financial Investor",15,IF(C928="Intermediary / Banker",12,8))+IF(L928="Term Sheet / Proposal",25,IF(L928="Engaged",20,IF(L928="Meeting Requested",18,IF(L928="Meeting Held",14,IF(L928="Follow Up",10,5)))))+MIN(Q928,30)+IF(S928="DUE",15,IF(S928="Next 3 Days",8,0))),0))</f>
        <v/>
      </c>
      <c r="AB928" s="425">
        <f>IF(AND(AC928="Active",OR(N928="Tier 1",N928="Tier 2"),OR(S928="DUE",S928="Next 3 Days")),"YES","")</f>
        <v/>
      </c>
      <c r="AC928" s="425">
        <f>IF(L928="Passed","Archived","Active")</f>
        <v/>
      </c>
    </row>
    <row r="929">
      <c r="A929" s="425" t="inlineStr">
        <is>
          <t>EXOS-0928</t>
        </is>
      </c>
      <c r="B929" s="425" t="inlineStr">
        <is>
          <t>John - Investor Contacts</t>
        </is>
      </c>
      <c r="C929" s="425" t="inlineStr">
        <is>
          <t>Financial Investor</t>
        </is>
      </c>
      <c r="D929" s="425" t="inlineStr">
        <is>
          <t>Central Texas Angel Network</t>
        </is>
      </c>
      <c r="E929" s="425" t="inlineStr">
        <is>
          <t>Katie Russel</t>
        </is>
      </c>
      <c r="F929" s="425" t="inlineStr"/>
      <c r="G929" s="111" t="inlineStr">
        <is>
          <t>katie@ctan.com</t>
        </is>
      </c>
      <c r="H929" s="425" t="inlineStr"/>
      <c r="I929" s="425" t="inlineStr"/>
      <c r="J929" s="111" t="inlineStr">
        <is>
          <t>https://www.linkedin.com/in/katierussel/</t>
        </is>
      </c>
      <c r="K929" s="426" t="inlineStr">
        <is>
          <t>John Quinn</t>
        </is>
      </c>
      <c r="L929" s="426" t="inlineStr">
        <is>
          <t>Contacted</t>
        </is>
      </c>
      <c r="M929" s="425" t="inlineStr">
        <is>
          <t>Space / Defense / Aerospace / Advanced Manufacturing</t>
        </is>
      </c>
      <c r="N929" s="426" t="inlineStr">
        <is>
          <t>Tier 2</t>
        </is>
      </c>
      <c r="O929" s="441" t="n">
        <v>45813</v>
      </c>
      <c r="P929" s="441" t="n">
        <v>45813</v>
      </c>
      <c r="Q929" s="425">
        <f>IF(P929="","",TODAY()-P929)</f>
        <v/>
      </c>
      <c r="R929" s="441">
        <f>IF(OR(L929="Passed",Z929=""),"",P929+Z929)</f>
        <v/>
      </c>
      <c r="S929" s="425">
        <f>IF(OR(R929="",L929="Passed"),"",IF(R929&lt;=TODAY(),"DUE",IF(R929&lt;=TODAY()+3,"Next 3 Days","Later")))</f>
        <v/>
      </c>
      <c r="T929" s="425" t="inlineStr"/>
      <c r="U929" s="426" t="inlineStr">
        <is>
          <t>https://www.linkedin.com/in/katierussel/</t>
        </is>
      </c>
      <c r="V929" s="426" t="inlineStr"/>
      <c r="W929" s="428" t="inlineStr">
        <is>
          <t xml:space="preserve">Said to apply online | CTAN Application: https://app.dealum.com/#/company/application/new/72264/cmwl94en1rop0rvg8k9x44vzlcw2hgrf | </t>
        </is>
      </c>
      <c r="X929" s="425" t="inlineStr">
        <is>
          <t>John - Investor Contacts!113</t>
        </is>
      </c>
      <c r="Y929" s="426" t="inlineStr">
        <is>
          <t>Send 1st follow-up and ask for 20-minute call</t>
        </is>
      </c>
      <c r="Z929" s="425" t="n">
        <v>3</v>
      </c>
      <c r="AA929" s="425">
        <f>IF(AC929="Archived",0,ROUND((IF(N929="Tier 1",35,IF(N929="Tier 2",20,8))+IF(C929="Financial Investor",15,IF(C929="Intermediary / Banker",12,8))+IF(L929="Term Sheet / Proposal",25,IF(L929="Engaged",20,IF(L929="Meeting Requested",18,IF(L929="Meeting Held",14,IF(L929="Follow Up",10,5)))))+MIN(Q929,30)+IF(S929="DUE",15,IF(S929="Next 3 Days",8,0))),0))</f>
        <v/>
      </c>
      <c r="AB929" s="425">
        <f>IF(AND(AC929="Active",OR(N929="Tier 1",N929="Tier 2"),OR(S929="DUE",S929="Next 3 Days")),"YES","")</f>
        <v/>
      </c>
      <c r="AC929" s="425">
        <f>IF(L929="Passed","Archived","Active")</f>
        <v/>
      </c>
    </row>
    <row r="930">
      <c r="A930" s="425" t="inlineStr">
        <is>
          <t>EXOS-0929</t>
        </is>
      </c>
      <c r="B930" s="425" t="inlineStr">
        <is>
          <t>John - Investor Contacts</t>
        </is>
      </c>
      <c r="C930" s="425" t="inlineStr">
        <is>
          <t>Financial Investor</t>
        </is>
      </c>
      <c r="D930" s="425" t="inlineStr">
        <is>
          <t>Central Texas Angel Network</t>
        </is>
      </c>
      <c r="E930" s="425" t="inlineStr">
        <is>
          <t>Lance Adams</t>
        </is>
      </c>
      <c r="F930" s="425" t="inlineStr"/>
      <c r="G930" s="111" t="inlineStr">
        <is>
          <t>lanceinaustin@hotmail.com</t>
        </is>
      </c>
      <c r="H930" s="425" t="inlineStr"/>
      <c r="I930" s="425" t="inlineStr"/>
      <c r="J930" s="111" t="inlineStr">
        <is>
          <t>https://www.linkedin.com/in/lanceadams1/</t>
        </is>
      </c>
      <c r="K930" s="426" t="inlineStr">
        <is>
          <t>John Quinn</t>
        </is>
      </c>
      <c r="L930" s="426" t="inlineStr">
        <is>
          <t>Contacted</t>
        </is>
      </c>
      <c r="M930" s="425" t="inlineStr">
        <is>
          <t>Space / Defense / Aerospace / Advanced Manufacturing</t>
        </is>
      </c>
      <c r="N930" s="426" t="inlineStr">
        <is>
          <t>Tier 2</t>
        </is>
      </c>
      <c r="O930" s="441" t="n">
        <v>45813</v>
      </c>
      <c r="P930" s="441" t="n">
        <v>45813</v>
      </c>
      <c r="Q930" s="425">
        <f>IF(P930="","",TODAY()-P930)</f>
        <v/>
      </c>
      <c r="R930" s="441">
        <f>IF(OR(L930="Passed",Z930=""),"",P930+Z930)</f>
        <v/>
      </c>
      <c r="S930" s="425">
        <f>IF(OR(R930="",L930="Passed"),"",IF(R930&lt;=TODAY(),"DUE",IF(R930&lt;=TODAY()+3,"Next 3 Days","Later")))</f>
        <v/>
      </c>
      <c r="T930" s="425" t="inlineStr"/>
      <c r="U930" s="426" t="inlineStr">
        <is>
          <t>https://www.linkedin.com/in/lanceadams1/</t>
        </is>
      </c>
      <c r="V930" s="426" t="inlineStr"/>
      <c r="W930" s="428" t="inlineStr">
        <is>
          <t xml:space="preserve"> |  | </t>
        </is>
      </c>
      <c r="X930" s="425" t="inlineStr">
        <is>
          <t>John - Investor Contacts!116</t>
        </is>
      </c>
      <c r="Y930" s="426" t="inlineStr">
        <is>
          <t>Send 1st follow-up and ask for 20-minute call</t>
        </is>
      </c>
      <c r="Z930" s="425" t="n">
        <v>3</v>
      </c>
      <c r="AA930" s="425">
        <f>IF(AC930="Archived",0,ROUND((IF(N930="Tier 1",35,IF(N930="Tier 2",20,8))+IF(C930="Financial Investor",15,IF(C930="Intermediary / Banker",12,8))+IF(L930="Term Sheet / Proposal",25,IF(L930="Engaged",20,IF(L930="Meeting Requested",18,IF(L930="Meeting Held",14,IF(L930="Follow Up",10,5)))))+MIN(Q930,30)+IF(S930="DUE",15,IF(S930="Next 3 Days",8,0))),0))</f>
        <v/>
      </c>
      <c r="AB930" s="425">
        <f>IF(AND(AC930="Active",OR(N930="Tier 1",N930="Tier 2"),OR(S930="DUE",S930="Next 3 Days")),"YES","")</f>
        <v/>
      </c>
      <c r="AC930" s="425">
        <f>IF(L930="Passed","Archived","Active")</f>
        <v/>
      </c>
    </row>
    <row r="931">
      <c r="A931" s="425" t="inlineStr">
        <is>
          <t>EXOS-0930</t>
        </is>
      </c>
      <c r="B931" s="425" t="inlineStr">
        <is>
          <t>John - Investor Contacts</t>
        </is>
      </c>
      <c r="C931" s="425" t="inlineStr">
        <is>
          <t>Financial Investor</t>
        </is>
      </c>
      <c r="D931" s="425" t="inlineStr">
        <is>
          <t>Cota Capital</t>
        </is>
      </c>
      <c r="E931" s="425" t="inlineStr">
        <is>
          <t>Babak Poushanchi</t>
        </is>
      </c>
      <c r="F931" s="425" t="inlineStr"/>
      <c r="G931" s="111" t="inlineStr">
        <is>
          <t>bp@cotacapital.com</t>
        </is>
      </c>
      <c r="H931" s="425" t="inlineStr"/>
      <c r="I931" s="425" t="inlineStr"/>
      <c r="J931" s="425" t="inlineStr"/>
      <c r="K931" s="426" t="inlineStr">
        <is>
          <t>John Quinn</t>
        </is>
      </c>
      <c r="L931" s="426" t="inlineStr">
        <is>
          <t>Contacted</t>
        </is>
      </c>
      <c r="M931" s="425" t="inlineStr">
        <is>
          <t>Space / Defense / Aerospace / Advanced Manufacturing</t>
        </is>
      </c>
      <c r="N931" s="426" t="inlineStr">
        <is>
          <t>Tier 2</t>
        </is>
      </c>
      <c r="O931" s="441" t="n">
        <v>46036</v>
      </c>
      <c r="P931" s="441" t="n">
        <v>46036</v>
      </c>
      <c r="Q931" s="425">
        <f>IF(P931="","",TODAY()-P931)</f>
        <v/>
      </c>
      <c r="R931" s="441">
        <f>IF(OR(L931="Passed",Z931=""),"",P931+Z931)</f>
        <v/>
      </c>
      <c r="S931" s="425">
        <f>IF(OR(R931="",L931="Passed"),"",IF(R931&lt;=TODAY(),"DUE",IF(R931&lt;=TODAY()+3,"Next 3 Days","Later")))</f>
        <v/>
      </c>
      <c r="T931" s="425" t="inlineStr"/>
      <c r="U931" s="426" t="inlineStr">
        <is>
          <t>linkedin.com/in/babak-poushanchi-a5a3a238</t>
        </is>
      </c>
      <c r="V931" s="426" t="inlineStr"/>
      <c r="W931" s="428" t="inlineStr">
        <is>
          <t xml:space="preserve"> |  | </t>
        </is>
      </c>
      <c r="X931" s="425" t="inlineStr">
        <is>
          <t>John - Investor Contacts!929</t>
        </is>
      </c>
      <c r="Y931" s="426" t="inlineStr">
        <is>
          <t>Send 1st follow-up and ask for 20-minute call</t>
        </is>
      </c>
      <c r="Z931" s="425" t="n">
        <v>3</v>
      </c>
      <c r="AA931" s="425">
        <f>IF(AC931="Archived",0,ROUND((IF(N931="Tier 1",35,IF(N931="Tier 2",20,8))+IF(C931="Financial Investor",15,IF(C931="Intermediary / Banker",12,8))+IF(L931="Term Sheet / Proposal",25,IF(L931="Engaged",20,IF(L931="Meeting Requested",18,IF(L931="Meeting Held",14,IF(L931="Follow Up",10,5)))))+MIN(Q931,30)+IF(S931="DUE",15,IF(S931="Next 3 Days",8,0))),0))</f>
        <v/>
      </c>
      <c r="AB931" s="425">
        <f>IF(AND(AC931="Active",OR(N931="Tier 1",N931="Tier 2"),OR(S931="DUE",S931="Next 3 Days")),"YES","")</f>
        <v/>
      </c>
      <c r="AC931" s="425">
        <f>IF(L931="Passed","Archived","Active")</f>
        <v/>
      </c>
    </row>
    <row r="932">
      <c r="A932" s="425" t="inlineStr">
        <is>
          <t>EXOS-0931</t>
        </is>
      </c>
      <c r="B932" s="425" t="inlineStr">
        <is>
          <t>John - Investor Contacts</t>
        </is>
      </c>
      <c r="C932" s="425" t="inlineStr">
        <is>
          <t>Financial Investor</t>
        </is>
      </c>
      <c r="D932" s="425" t="inlineStr">
        <is>
          <t>Cota Capital</t>
        </is>
      </c>
      <c r="E932" s="425" t="inlineStr">
        <is>
          <t>Bobby Yazdani</t>
        </is>
      </c>
      <c r="F932" s="425" t="inlineStr"/>
      <c r="G932" s="111" t="inlineStr">
        <is>
          <t>bobby@cotacapital.com</t>
        </is>
      </c>
      <c r="H932" s="425" t="inlineStr"/>
      <c r="I932" s="425" t="inlineStr"/>
      <c r="J932" s="111" t="inlineStr">
        <is>
          <t>https://www.linkedin.com/in/bobby-yazdani-015a13a/</t>
        </is>
      </c>
      <c r="K932" s="426" t="inlineStr">
        <is>
          <t>John Quinn</t>
        </is>
      </c>
      <c r="L932" s="426" t="inlineStr">
        <is>
          <t>Contacted</t>
        </is>
      </c>
      <c r="M932" s="425" t="inlineStr">
        <is>
          <t>Space / Defense / Aerospace / Advanced Manufacturing</t>
        </is>
      </c>
      <c r="N932" s="426" t="inlineStr">
        <is>
          <t>Tier 2</t>
        </is>
      </c>
      <c r="O932" s="441" t="n">
        <v>46036</v>
      </c>
      <c r="P932" s="441" t="n">
        <v>46036</v>
      </c>
      <c r="Q932" s="425">
        <f>IF(P932="","",TODAY()-P932)</f>
        <v/>
      </c>
      <c r="R932" s="441">
        <f>IF(OR(L932="Passed",Z932=""),"",P932+Z932)</f>
        <v/>
      </c>
      <c r="S932" s="425">
        <f>IF(OR(R932="",L932="Passed"),"",IF(R932&lt;=TODAY(),"DUE",IF(R932&lt;=TODAY()+3,"Next 3 Days","Later")))</f>
        <v/>
      </c>
      <c r="T932" s="425" t="inlineStr"/>
      <c r="U932" s="426" t="inlineStr">
        <is>
          <t>https://www.linkedin.com/in/bobby-yazdani-015a13a/</t>
        </is>
      </c>
      <c r="V932" s="426" t="inlineStr"/>
      <c r="W932" s="428" t="inlineStr">
        <is>
          <t xml:space="preserve"> |  | </t>
        </is>
      </c>
      <c r="X932" s="425" t="inlineStr">
        <is>
          <t>John - Investor Contacts!928</t>
        </is>
      </c>
      <c r="Y932" s="426" t="inlineStr">
        <is>
          <t>Send 1st follow-up and ask for 20-minute call</t>
        </is>
      </c>
      <c r="Z932" s="425" t="n">
        <v>3</v>
      </c>
      <c r="AA932" s="425">
        <f>IF(AC932="Archived",0,ROUND((IF(N932="Tier 1",35,IF(N932="Tier 2",20,8))+IF(C932="Financial Investor",15,IF(C932="Intermediary / Banker",12,8))+IF(L932="Term Sheet / Proposal",25,IF(L932="Engaged",20,IF(L932="Meeting Requested",18,IF(L932="Meeting Held",14,IF(L932="Follow Up",10,5)))))+MIN(Q932,30)+IF(S932="DUE",15,IF(S932="Next 3 Days",8,0))),0))</f>
        <v/>
      </c>
      <c r="AB932" s="425">
        <f>IF(AND(AC932="Active",OR(N932="Tier 1",N932="Tier 2"),OR(S932="DUE",S932="Next 3 Days")),"YES","")</f>
        <v/>
      </c>
      <c r="AC932" s="425">
        <f>IF(L932="Passed","Archived","Active")</f>
        <v/>
      </c>
    </row>
    <row r="933">
      <c r="A933" s="425" t="inlineStr">
        <is>
          <t>EXOS-0932</t>
        </is>
      </c>
      <c r="B933" s="425" t="inlineStr">
        <is>
          <t>John - Investor Contacts</t>
        </is>
      </c>
      <c r="C933" s="425" t="inlineStr">
        <is>
          <t>Financial Investor</t>
        </is>
      </c>
      <c r="D933" s="425" t="inlineStr">
        <is>
          <t>Cota Capital</t>
        </is>
      </c>
      <c r="E933" s="425" t="inlineStr">
        <is>
          <t>Hannan Parvizian</t>
        </is>
      </c>
      <c r="F933" s="425" t="inlineStr"/>
      <c r="G933" s="111" t="inlineStr">
        <is>
          <t>hannan@cotacapital.com</t>
        </is>
      </c>
      <c r="H933" s="425" t="inlineStr"/>
      <c r="I933" s="425" t="inlineStr"/>
      <c r="J933" s="425" t="inlineStr"/>
      <c r="K933" s="426" t="inlineStr">
        <is>
          <t>John Quinn</t>
        </is>
      </c>
      <c r="L933" s="426" t="inlineStr">
        <is>
          <t>Contacted</t>
        </is>
      </c>
      <c r="M933" s="425" t="inlineStr">
        <is>
          <t>Space / Defense / Aerospace / Advanced Manufacturing</t>
        </is>
      </c>
      <c r="N933" s="426" t="inlineStr">
        <is>
          <t>Tier 2</t>
        </is>
      </c>
      <c r="O933" s="441" t="n">
        <v>46036</v>
      </c>
      <c r="P933" s="441" t="n">
        <v>46036</v>
      </c>
      <c r="Q933" s="425">
        <f>IF(P933="","",TODAY()-P933)</f>
        <v/>
      </c>
      <c r="R933" s="441">
        <f>IF(OR(L933="Passed",Z933=""),"",P933+Z933)</f>
        <v/>
      </c>
      <c r="S933" s="425">
        <f>IF(OR(R933="",L933="Passed"),"",IF(R933&lt;=TODAY(),"DUE",IF(R933&lt;=TODAY()+3,"Next 3 Days","Later")))</f>
        <v/>
      </c>
      <c r="T933" s="425" t="inlineStr"/>
      <c r="U933" s="426" t="inlineStr"/>
      <c r="V933" s="426" t="inlineStr"/>
      <c r="W933" s="428" t="inlineStr">
        <is>
          <t xml:space="preserve"> |  | </t>
        </is>
      </c>
      <c r="X933" s="425" t="inlineStr">
        <is>
          <t>John - Investor Contacts!930</t>
        </is>
      </c>
      <c r="Y933" s="426" t="inlineStr">
        <is>
          <t>Send 1st follow-up and ask for 20-minute call</t>
        </is>
      </c>
      <c r="Z933" s="425" t="n">
        <v>3</v>
      </c>
      <c r="AA933" s="425">
        <f>IF(AC933="Archived",0,ROUND((IF(N933="Tier 1",35,IF(N933="Tier 2",20,8))+IF(C933="Financial Investor",15,IF(C933="Intermediary / Banker",12,8))+IF(L933="Term Sheet / Proposal",25,IF(L933="Engaged",20,IF(L933="Meeting Requested",18,IF(L933="Meeting Held",14,IF(L933="Follow Up",10,5)))))+MIN(Q933,30)+IF(S933="DUE",15,IF(S933="Next 3 Days",8,0))),0))</f>
        <v/>
      </c>
      <c r="AB933" s="425">
        <f>IF(AND(AC933="Active",OR(N933="Tier 1",N933="Tier 2"),OR(S933="DUE",S933="Next 3 Days")),"YES","")</f>
        <v/>
      </c>
      <c r="AC933" s="425">
        <f>IF(L933="Passed","Archived","Active")</f>
        <v/>
      </c>
    </row>
    <row r="934">
      <c r="A934" s="425" t="inlineStr">
        <is>
          <t>EXOS-0933</t>
        </is>
      </c>
      <c r="B934" s="425" t="inlineStr">
        <is>
          <t>John - Investor Contacts</t>
        </is>
      </c>
      <c r="C934" s="425" t="inlineStr">
        <is>
          <t>Financial Investor</t>
        </is>
      </c>
      <c r="D934" s="425" t="inlineStr">
        <is>
          <t>Cota Capital</t>
        </is>
      </c>
      <c r="E934" s="425" t="inlineStr">
        <is>
          <t>Kevin Jacques</t>
        </is>
      </c>
      <c r="F934" s="425" t="inlineStr"/>
      <c r="G934" s="111" t="inlineStr">
        <is>
          <t>kevin@cotacapital.com</t>
        </is>
      </c>
      <c r="H934" s="425" t="inlineStr"/>
      <c r="I934" s="425" t="inlineStr"/>
      <c r="J934" s="425" t="inlineStr"/>
      <c r="K934" s="426" t="inlineStr">
        <is>
          <t>John Quinn</t>
        </is>
      </c>
      <c r="L934" s="426" t="inlineStr">
        <is>
          <t>Contacted</t>
        </is>
      </c>
      <c r="M934" s="425" t="inlineStr">
        <is>
          <t>Space / Defense / Aerospace / Advanced Manufacturing</t>
        </is>
      </c>
      <c r="N934" s="426" t="inlineStr">
        <is>
          <t>Tier 2</t>
        </is>
      </c>
      <c r="O934" s="441" t="n">
        <v>46036</v>
      </c>
      <c r="P934" s="441" t="n">
        <v>46036</v>
      </c>
      <c r="Q934" s="425">
        <f>IF(P934="","",TODAY()-P934)</f>
        <v/>
      </c>
      <c r="R934" s="441">
        <f>IF(OR(L934="Passed",Z934=""),"",P934+Z934)</f>
        <v/>
      </c>
      <c r="S934" s="425">
        <f>IF(OR(R934="",L934="Passed"),"",IF(R934&lt;=TODAY(),"DUE",IF(R934&lt;=TODAY()+3,"Next 3 Days","Later")))</f>
        <v/>
      </c>
      <c r="T934" s="425" t="inlineStr"/>
      <c r="U934" s="426" t="inlineStr">
        <is>
          <t>linkedin.com/in/kevinjacques</t>
        </is>
      </c>
      <c r="V934" s="426" t="inlineStr"/>
      <c r="W934" s="428" t="inlineStr">
        <is>
          <t xml:space="preserve"> |  | </t>
        </is>
      </c>
      <c r="X934" s="425" t="inlineStr">
        <is>
          <t>John - Investor Contacts!931</t>
        </is>
      </c>
      <c r="Y934" s="426" t="inlineStr">
        <is>
          <t>Send 1st follow-up and ask for 20-minute call</t>
        </is>
      </c>
      <c r="Z934" s="425" t="n">
        <v>3</v>
      </c>
      <c r="AA934" s="425">
        <f>IF(AC934="Archived",0,ROUND((IF(N934="Tier 1",35,IF(N934="Tier 2",20,8))+IF(C934="Financial Investor",15,IF(C934="Intermediary / Banker",12,8))+IF(L934="Term Sheet / Proposal",25,IF(L934="Engaged",20,IF(L934="Meeting Requested",18,IF(L934="Meeting Held",14,IF(L934="Follow Up",10,5)))))+MIN(Q934,30)+IF(S934="DUE",15,IF(S934="Next 3 Days",8,0))),0))</f>
        <v/>
      </c>
      <c r="AB934" s="425">
        <f>IF(AND(AC934="Active",OR(N934="Tier 1",N934="Tier 2"),OR(S934="DUE",S934="Next 3 Days")),"YES","")</f>
        <v/>
      </c>
      <c r="AC934" s="425">
        <f>IF(L934="Passed","Archived","Active")</f>
        <v/>
      </c>
    </row>
    <row r="935">
      <c r="A935" s="425" t="inlineStr">
        <is>
          <t>EXOS-0934</t>
        </is>
      </c>
      <c r="B935" s="425" t="inlineStr">
        <is>
          <t>John - Investor Contacts</t>
        </is>
      </c>
      <c r="C935" s="425" t="inlineStr">
        <is>
          <t>Financial Investor</t>
        </is>
      </c>
      <c r="D935" s="425" t="inlineStr">
        <is>
          <t>Crosscut VC</t>
        </is>
      </c>
      <c r="E935" s="425" t="inlineStr">
        <is>
          <t>Rick Smith</t>
        </is>
      </c>
      <c r="F935" s="425" t="inlineStr"/>
      <c r="G935" s="111" t="inlineStr">
        <is>
          <t>rick@crosscut.vc</t>
        </is>
      </c>
      <c r="H935" s="425" t="inlineStr"/>
      <c r="I935" s="425" t="inlineStr"/>
      <c r="J935" s="111" t="inlineStr">
        <is>
          <t>https://www.linkedin.com/in/ricksmithvc/</t>
        </is>
      </c>
      <c r="K935" s="426" t="inlineStr">
        <is>
          <t>John Quinn</t>
        </is>
      </c>
      <c r="L935" s="426" t="inlineStr">
        <is>
          <t>Contacted</t>
        </is>
      </c>
      <c r="M935" s="425" t="inlineStr">
        <is>
          <t>Space / Defense / Aerospace / Advanced Manufacturing</t>
        </is>
      </c>
      <c r="N935" s="426" t="inlineStr">
        <is>
          <t>Tier 2</t>
        </is>
      </c>
      <c r="O935" s="441" t="n">
        <v>45908</v>
      </c>
      <c r="P935" s="441" t="n">
        <v>45908</v>
      </c>
      <c r="Q935" s="425">
        <f>IF(P935="","",TODAY()-P935)</f>
        <v/>
      </c>
      <c r="R935" s="441">
        <f>IF(OR(L935="Passed",Z935=""),"",P935+Z935)</f>
        <v/>
      </c>
      <c r="S935" s="425">
        <f>IF(OR(R935="",L935="Passed"),"",IF(R935&lt;=TODAY(),"DUE",IF(R935&lt;=TODAY()+3,"Next 3 Days","Later")))</f>
        <v/>
      </c>
      <c r="T935" s="425" t="inlineStr"/>
      <c r="U935" s="426" t="inlineStr">
        <is>
          <t>https://www.linkedin.com/in/ricksmithvc/</t>
        </is>
      </c>
      <c r="V935" s="426" t="inlineStr"/>
      <c r="W935" s="428" t="inlineStr">
        <is>
          <t xml:space="preserve"> |  | </t>
        </is>
      </c>
      <c r="X935" s="425" t="inlineStr">
        <is>
          <t>John - Investor Contacts!625</t>
        </is>
      </c>
      <c r="Y935" s="426" t="inlineStr">
        <is>
          <t>Send 1st follow-up and ask for 20-minute call</t>
        </is>
      </c>
      <c r="Z935" s="425" t="n">
        <v>3</v>
      </c>
      <c r="AA935" s="425">
        <f>IF(AC935="Archived",0,ROUND((IF(N935="Tier 1",35,IF(N935="Tier 2",20,8))+IF(C935="Financial Investor",15,IF(C935="Intermediary / Banker",12,8))+IF(L935="Term Sheet / Proposal",25,IF(L935="Engaged",20,IF(L935="Meeting Requested",18,IF(L935="Meeting Held",14,IF(L935="Follow Up",10,5)))))+MIN(Q935,30)+IF(S935="DUE",15,IF(S935="Next 3 Days",8,0))),0))</f>
        <v/>
      </c>
      <c r="AB935" s="425">
        <f>IF(AND(AC935="Active",OR(N935="Tier 1",N935="Tier 2"),OR(S935="DUE",S935="Next 3 Days")),"YES","")</f>
        <v/>
      </c>
      <c r="AC935" s="425">
        <f>IF(L935="Passed","Archived","Active")</f>
        <v/>
      </c>
    </row>
    <row r="936">
      <c r="A936" s="425" t="inlineStr">
        <is>
          <t>EXOS-0935</t>
        </is>
      </c>
      <c r="B936" s="425" t="inlineStr">
        <is>
          <t>John - Investor Contacts</t>
        </is>
      </c>
      <c r="C936" s="425" t="inlineStr">
        <is>
          <t>Financial Investor</t>
        </is>
      </c>
      <c r="D936" s="425" t="inlineStr">
        <is>
          <t>DA Davidson</t>
        </is>
      </c>
      <c r="E936" s="425" t="inlineStr">
        <is>
          <t>Craig Hrinkevich</t>
        </is>
      </c>
      <c r="F936" s="425" t="inlineStr"/>
      <c r="G936" s="111" t="inlineStr">
        <is>
          <t>chrinkevich@dadco.com</t>
        </is>
      </c>
      <c r="H936" s="425" t="inlineStr"/>
      <c r="I936" s="425" t="inlineStr"/>
      <c r="J936" s="111" t="inlineStr">
        <is>
          <t>https://www.linkedin.com/in/craig-hrinkevich/</t>
        </is>
      </c>
      <c r="K936" s="426" t="inlineStr">
        <is>
          <t>John Quinn</t>
        </is>
      </c>
      <c r="L936" s="426" t="inlineStr">
        <is>
          <t>Contacted</t>
        </is>
      </c>
      <c r="M936" s="425" t="inlineStr">
        <is>
          <t>Space / Defense / Aerospace / Advanced Manufacturing</t>
        </is>
      </c>
      <c r="N936" s="426" t="inlineStr">
        <is>
          <t>Tier 2</t>
        </is>
      </c>
      <c r="O936" s="441" t="n">
        <v>46030</v>
      </c>
      <c r="P936" s="441" t="n">
        <v>46030</v>
      </c>
      <c r="Q936" s="425">
        <f>IF(P936="","",TODAY()-P936)</f>
        <v/>
      </c>
      <c r="R936" s="441">
        <f>IF(OR(L936="Passed",Z936=""),"",P936+Z936)</f>
        <v/>
      </c>
      <c r="S936" s="425">
        <f>IF(OR(R936="",L936="Passed"),"",IF(R936&lt;=TODAY(),"DUE",IF(R936&lt;=TODAY()+3,"Next 3 Days","Later")))</f>
        <v/>
      </c>
      <c r="T936" s="425" t="inlineStr"/>
      <c r="U936" s="426" t="inlineStr">
        <is>
          <t>https://www.linkedin.com/in/craig-hrinkevich/</t>
        </is>
      </c>
      <c r="V936" s="426" t="inlineStr"/>
      <c r="W936" s="428" t="inlineStr">
        <is>
          <t xml:space="preserve"> |  | </t>
        </is>
      </c>
      <c r="X936" s="425" t="inlineStr">
        <is>
          <t>John - Investor Contacts!906</t>
        </is>
      </c>
      <c r="Y936" s="426" t="inlineStr">
        <is>
          <t>Send 1st follow-up and ask for 20-minute call</t>
        </is>
      </c>
      <c r="Z936" s="425" t="n">
        <v>3</v>
      </c>
      <c r="AA936" s="425">
        <f>IF(AC936="Archived",0,ROUND((IF(N936="Tier 1",35,IF(N936="Tier 2",20,8))+IF(C936="Financial Investor",15,IF(C936="Intermediary / Banker",12,8))+IF(L936="Term Sheet / Proposal",25,IF(L936="Engaged",20,IF(L936="Meeting Requested",18,IF(L936="Meeting Held",14,IF(L936="Follow Up",10,5)))))+MIN(Q936,30)+IF(S936="DUE",15,IF(S936="Next 3 Days",8,0))),0))</f>
        <v/>
      </c>
      <c r="AB936" s="425">
        <f>IF(AND(AC936="Active",OR(N936="Tier 1",N936="Tier 2"),OR(S936="DUE",S936="Next 3 Days")),"YES","")</f>
        <v/>
      </c>
      <c r="AC936" s="425">
        <f>IF(L936="Passed","Archived","Active")</f>
        <v/>
      </c>
    </row>
    <row r="937">
      <c r="A937" s="425" t="inlineStr">
        <is>
          <t>EXOS-0936</t>
        </is>
      </c>
      <c r="B937" s="425" t="inlineStr">
        <is>
          <t>John - Investor Contacts</t>
        </is>
      </c>
      <c r="C937" s="425" t="inlineStr">
        <is>
          <t>Financial Investor</t>
        </is>
      </c>
      <c r="D937" s="425" t="inlineStr">
        <is>
          <t>Dcode Capital</t>
        </is>
      </c>
      <c r="E937" s="425" t="inlineStr">
        <is>
          <t>the team</t>
        </is>
      </c>
      <c r="F937" s="425" t="inlineStr"/>
      <c r="G937" s="111" t="inlineStr">
        <is>
          <t>info@dcodecapital.com</t>
        </is>
      </c>
      <c r="H937" s="425" t="inlineStr"/>
      <c r="I937" s="425" t="inlineStr"/>
      <c r="J937" s="425" t="inlineStr"/>
      <c r="K937" s="426" t="inlineStr">
        <is>
          <t>John Quinn</t>
        </is>
      </c>
      <c r="L937" s="426" t="inlineStr">
        <is>
          <t>Contacted</t>
        </is>
      </c>
      <c r="M937" s="425" t="inlineStr">
        <is>
          <t>Space / Defense / Aerospace / Advanced Manufacturing</t>
        </is>
      </c>
      <c r="N937" s="426" t="inlineStr">
        <is>
          <t>Tier 2</t>
        </is>
      </c>
      <c r="O937" s="441" t="n">
        <v>45819</v>
      </c>
      <c r="P937" s="441" t="n">
        <v>45819</v>
      </c>
      <c r="Q937" s="425">
        <f>IF(P937="","",TODAY()-P937)</f>
        <v/>
      </c>
      <c r="R937" s="441">
        <f>IF(OR(L937="Passed",Z937=""),"",P937+Z937)</f>
        <v/>
      </c>
      <c r="S937" s="425">
        <f>IF(OR(R937="",L937="Passed"),"",IF(R937&lt;=TODAY(),"DUE",IF(R937&lt;=TODAY()+3,"Next 3 Days","Later")))</f>
        <v/>
      </c>
      <c r="T937" s="425" t="inlineStr"/>
      <c r="U937" s="426" t="inlineStr"/>
      <c r="V937" s="426" t="inlineStr"/>
      <c r="W937" s="428" t="inlineStr">
        <is>
          <t xml:space="preserve"> |  | </t>
        </is>
      </c>
      <c r="X937" s="425" t="inlineStr">
        <is>
          <t>John - Investor Contacts!162</t>
        </is>
      </c>
      <c r="Y937" s="426" t="inlineStr">
        <is>
          <t>Send 1st follow-up and ask for 20-minute call</t>
        </is>
      </c>
      <c r="Z937" s="425" t="n">
        <v>3</v>
      </c>
      <c r="AA937" s="425">
        <f>IF(AC937="Archived",0,ROUND((IF(N937="Tier 1",35,IF(N937="Tier 2",20,8))+IF(C937="Financial Investor",15,IF(C937="Intermediary / Banker",12,8))+IF(L937="Term Sheet / Proposal",25,IF(L937="Engaged",20,IF(L937="Meeting Requested",18,IF(L937="Meeting Held",14,IF(L937="Follow Up",10,5)))))+MIN(Q937,30)+IF(S937="DUE",15,IF(S937="Next 3 Days",8,0))),0))</f>
        <v/>
      </c>
      <c r="AB937" s="425">
        <f>IF(AND(AC937="Active",OR(N937="Tier 1",N937="Tier 2"),OR(S937="DUE",S937="Next 3 Days")),"YES","")</f>
        <v/>
      </c>
      <c r="AC937" s="425">
        <f>IF(L937="Passed","Archived","Active")</f>
        <v/>
      </c>
    </row>
    <row r="938">
      <c r="A938" s="425" t="inlineStr">
        <is>
          <t>EXOS-0937</t>
        </is>
      </c>
      <c r="B938" s="425" t="inlineStr">
        <is>
          <t>John - Investor Contacts</t>
        </is>
      </c>
      <c r="C938" s="425" t="inlineStr">
        <is>
          <t>Financial Investor</t>
        </is>
      </c>
      <c r="D938" s="425" t="inlineStr">
        <is>
          <t>Drive Capital</t>
        </is>
      </c>
      <c r="E938" s="425" t="inlineStr">
        <is>
          <t>Nick Solaro</t>
        </is>
      </c>
      <c r="F938" s="425" t="inlineStr"/>
      <c r="G938" s="111" t="inlineStr">
        <is>
          <t>nick@drivecapital.com</t>
        </is>
      </c>
      <c r="H938" s="425" t="inlineStr"/>
      <c r="I938" s="425" t="inlineStr"/>
      <c r="J938" s="111" t="inlineStr">
        <is>
          <t>https://www.linkedin.com/in/solaro/</t>
        </is>
      </c>
      <c r="K938" s="426" t="inlineStr">
        <is>
          <t>John Quinn</t>
        </is>
      </c>
      <c r="L938" s="426" t="inlineStr">
        <is>
          <t>Contacted</t>
        </is>
      </c>
      <c r="M938" s="425" t="inlineStr">
        <is>
          <t>Space / Defense / Aerospace / Advanced Manufacturing</t>
        </is>
      </c>
      <c r="N938" s="426" t="inlineStr">
        <is>
          <t>Tier 2</t>
        </is>
      </c>
      <c r="O938" s="441" t="n">
        <v>45898</v>
      </c>
      <c r="P938" s="441" t="n">
        <v>45898</v>
      </c>
      <c r="Q938" s="425">
        <f>IF(P938="","",TODAY()-P938)</f>
        <v/>
      </c>
      <c r="R938" s="441">
        <f>IF(OR(L938="Passed",Z938=""),"",P938+Z938)</f>
        <v/>
      </c>
      <c r="S938" s="425">
        <f>IF(OR(R938="",L938="Passed"),"",IF(R938&lt;=TODAY(),"DUE",IF(R938&lt;=TODAY()+3,"Next 3 Days","Later")))</f>
        <v/>
      </c>
      <c r="T938" s="425" t="inlineStr"/>
      <c r="U938" s="426" t="inlineStr">
        <is>
          <t>https://www.linkedin.com/in/solaro/</t>
        </is>
      </c>
      <c r="V938" s="426" t="inlineStr"/>
      <c r="W938" s="428" t="inlineStr">
        <is>
          <t xml:space="preserve"> |  | </t>
        </is>
      </c>
      <c r="X938" s="425" t="inlineStr">
        <is>
          <t>John - Investor Contacts!581</t>
        </is>
      </c>
      <c r="Y938" s="426" t="inlineStr">
        <is>
          <t>Send 1st follow-up and ask for 20-minute call</t>
        </is>
      </c>
      <c r="Z938" s="425" t="n">
        <v>3</v>
      </c>
      <c r="AA938" s="425">
        <f>IF(AC938="Archived",0,ROUND((IF(N938="Tier 1",35,IF(N938="Tier 2",20,8))+IF(C938="Financial Investor",15,IF(C938="Intermediary / Banker",12,8))+IF(L938="Term Sheet / Proposal",25,IF(L938="Engaged",20,IF(L938="Meeting Requested",18,IF(L938="Meeting Held",14,IF(L938="Follow Up",10,5)))))+MIN(Q938,30)+IF(S938="DUE",15,IF(S938="Next 3 Days",8,0))),0))</f>
        <v/>
      </c>
      <c r="AB938" s="425">
        <f>IF(AND(AC938="Active",OR(N938="Tier 1",N938="Tier 2"),OR(S938="DUE",S938="Next 3 Days")),"YES","")</f>
        <v/>
      </c>
      <c r="AC938" s="425">
        <f>IF(L938="Passed","Archived","Active")</f>
        <v/>
      </c>
    </row>
    <row r="939">
      <c r="A939" s="425" t="inlineStr">
        <is>
          <t>EXOS-0938</t>
        </is>
      </c>
      <c r="B939" s="425" t="inlineStr">
        <is>
          <t>John - Investor Contacts</t>
        </is>
      </c>
      <c r="C939" s="425" t="inlineStr">
        <is>
          <t>Financial Investor</t>
        </is>
      </c>
      <c r="D939" s="425" t="inlineStr">
        <is>
          <t>Eclipse Ventures</t>
        </is>
      </c>
      <c r="E939" s="425" t="inlineStr">
        <is>
          <t>Charly Mwangi</t>
        </is>
      </c>
      <c r="F939" s="425" t="inlineStr"/>
      <c r="G939" s="111" t="inlineStr">
        <is>
          <t>charly@eclipse.vc</t>
        </is>
      </c>
      <c r="H939" s="425" t="inlineStr"/>
      <c r="I939" s="425" t="inlineStr"/>
      <c r="J939" s="111" t="inlineStr">
        <is>
          <t>https://www.linkedin.com/in/charlymwangi/</t>
        </is>
      </c>
      <c r="K939" s="426" t="inlineStr">
        <is>
          <t>John Quinn</t>
        </is>
      </c>
      <c r="L939" s="426" t="inlineStr">
        <is>
          <t>Contacted</t>
        </is>
      </c>
      <c r="M939" s="425" t="inlineStr">
        <is>
          <t>Space / Defense / Aerospace / Advanced Manufacturing</t>
        </is>
      </c>
      <c r="N939" s="426" t="inlineStr">
        <is>
          <t>Tier 2</t>
        </is>
      </c>
      <c r="O939" s="441" t="n">
        <v>45909</v>
      </c>
      <c r="P939" s="441" t="n">
        <v>45909</v>
      </c>
      <c r="Q939" s="425">
        <f>IF(P939="","",TODAY()-P939)</f>
        <v/>
      </c>
      <c r="R939" s="441">
        <f>IF(OR(L939="Passed",Z939=""),"",P939+Z939)</f>
        <v/>
      </c>
      <c r="S939" s="425">
        <f>IF(OR(R939="",L939="Passed"),"",IF(R939&lt;=TODAY(),"DUE",IF(R939&lt;=TODAY()+3,"Next 3 Days","Later")))</f>
        <v/>
      </c>
      <c r="T939" s="425" t="inlineStr"/>
      <c r="U939" s="426" t="inlineStr">
        <is>
          <t>https://www.linkedin.com/in/charlymwangi/</t>
        </is>
      </c>
      <c r="V939" s="426" t="inlineStr"/>
      <c r="W939" s="428" t="inlineStr">
        <is>
          <t xml:space="preserve"> | sent one pager 9/11 | not a fit right now</t>
        </is>
      </c>
      <c r="X939" s="425" t="inlineStr">
        <is>
          <t>John - Investor Contacts!638</t>
        </is>
      </c>
      <c r="Y939" s="426" t="inlineStr">
        <is>
          <t>Send 1st follow-up and ask for 20-minute call</t>
        </is>
      </c>
      <c r="Z939" s="425" t="n">
        <v>3</v>
      </c>
      <c r="AA939" s="425">
        <f>IF(AC939="Archived",0,ROUND((IF(N939="Tier 1",35,IF(N939="Tier 2",20,8))+IF(C939="Financial Investor",15,IF(C939="Intermediary / Banker",12,8))+IF(L939="Term Sheet / Proposal",25,IF(L939="Engaged",20,IF(L939="Meeting Requested",18,IF(L939="Meeting Held",14,IF(L939="Follow Up",10,5)))))+MIN(Q939,30)+IF(S939="DUE",15,IF(S939="Next 3 Days",8,0))),0))</f>
        <v/>
      </c>
      <c r="AB939" s="425">
        <f>IF(AND(AC939="Active",OR(N939="Tier 1",N939="Tier 2"),OR(S939="DUE",S939="Next 3 Days")),"YES","")</f>
        <v/>
      </c>
      <c r="AC939" s="425">
        <f>IF(L939="Passed","Archived","Active")</f>
        <v/>
      </c>
    </row>
    <row r="940">
      <c r="A940" s="425" t="inlineStr">
        <is>
          <t>EXOS-0939</t>
        </is>
      </c>
      <c r="B940" s="425" t="inlineStr">
        <is>
          <t>Lizi - Investor Contacts</t>
        </is>
      </c>
      <c r="C940" s="425" t="inlineStr">
        <is>
          <t>Financial Investor</t>
        </is>
      </c>
      <c r="D940" s="425" t="inlineStr">
        <is>
          <t>Embedded Ventures</t>
        </is>
      </c>
      <c r="E940" s="425" t="inlineStr">
        <is>
          <t>Vonni Williams</t>
        </is>
      </c>
      <c r="F940" s="425" t="inlineStr"/>
      <c r="G940" s="111" t="inlineStr">
        <is>
          <t>vonni@embedded.ventures</t>
        </is>
      </c>
      <c r="H940" s="425" t="inlineStr"/>
      <c r="I940" s="425" t="inlineStr"/>
      <c r="J940" s="111" t="inlineStr">
        <is>
          <t>https://www.linkedin.com/in/vonni-williams-83515415/</t>
        </is>
      </c>
      <c r="K940" s="426" t="inlineStr">
        <is>
          <t>John Quinn</t>
        </is>
      </c>
      <c r="L940" s="426" t="inlineStr">
        <is>
          <t>Contacted</t>
        </is>
      </c>
      <c r="M940" s="425" t="inlineStr">
        <is>
          <t>Space / Defense / Aerospace / Advanced Manufacturing</t>
        </is>
      </c>
      <c r="N940" s="426" t="inlineStr">
        <is>
          <t>Tier 2</t>
        </is>
      </c>
      <c r="O940" s="441" t="n">
        <v>45779</v>
      </c>
      <c r="P940" s="441" t="n">
        <v>45779</v>
      </c>
      <c r="Q940" s="425">
        <f>IF(P940="","",TODAY()-P940)</f>
        <v/>
      </c>
      <c r="R940" s="441">
        <f>IF(OR(L940="Passed",Z940=""),"",P940+Z940)</f>
        <v/>
      </c>
      <c r="S940" s="425">
        <f>IF(OR(R940="",L940="Passed"),"",IF(R940&lt;=TODAY(),"DUE",IF(R940&lt;=TODAY()+3,"Next 3 Days","Later")))</f>
        <v/>
      </c>
      <c r="T940" s="425" t="inlineStr"/>
      <c r="U940" s="426" t="inlineStr"/>
      <c r="V940" s="426" t="inlineStr"/>
      <c r="W940" s="428" t="inlineStr">
        <is>
          <t xml:space="preserve"> | </t>
        </is>
      </c>
      <c r="X940" s="425" t="inlineStr">
        <is>
          <t>Lizi - Investor Contacts!4</t>
        </is>
      </c>
      <c r="Y940" s="426" t="inlineStr">
        <is>
          <t>Send 1st follow-up and ask for 20-minute call</t>
        </is>
      </c>
      <c r="Z940" s="425" t="n">
        <v>3</v>
      </c>
      <c r="AA940" s="425">
        <f>IF(AC940="Archived",0,ROUND((IF(N940="Tier 1",35,IF(N940="Tier 2",20,8))+IF(C940="Financial Investor",15,IF(C940="Intermediary / Banker",12,8))+IF(L940="Term Sheet / Proposal",25,IF(L940="Engaged",20,IF(L940="Meeting Requested",18,IF(L940="Meeting Held",14,IF(L940="Follow Up",10,5)))))+MIN(Q940,30)+IF(S940="DUE",15,IF(S940="Next 3 Days",8,0))),0))</f>
        <v/>
      </c>
      <c r="AB940" s="425">
        <f>IF(AND(AC940="Active",OR(N940="Tier 1",N940="Tier 2"),OR(S940="DUE",S940="Next 3 Days")),"YES","")</f>
        <v/>
      </c>
      <c r="AC940" s="425">
        <f>IF(L940="Passed","Archived","Active")</f>
        <v/>
      </c>
    </row>
    <row r="941">
      <c r="A941" s="425" t="inlineStr">
        <is>
          <t>EXOS-0940</t>
        </is>
      </c>
      <c r="B941" s="425" t="inlineStr">
        <is>
          <t>John - Investor Contacts</t>
        </is>
      </c>
      <c r="C941" s="425" t="inlineStr">
        <is>
          <t>Financial Investor</t>
        </is>
      </c>
      <c r="D941" s="425" t="inlineStr">
        <is>
          <t>Eunike Ventures</t>
        </is>
      </c>
      <c r="E941" s="425" t="inlineStr"/>
      <c r="F941" s="425" t="inlineStr"/>
      <c r="G941" s="111" t="inlineStr">
        <is>
          <t>info@eunikeventures.com</t>
        </is>
      </c>
      <c r="H941" s="425" t="inlineStr"/>
      <c r="I941" s="425" t="inlineStr"/>
      <c r="J941" s="425" t="inlineStr"/>
      <c r="K941" s="426" t="inlineStr">
        <is>
          <t>John Quinn</t>
        </is>
      </c>
      <c r="L941" s="426" t="inlineStr">
        <is>
          <t>Contacted</t>
        </is>
      </c>
      <c r="M941" s="425" t="inlineStr">
        <is>
          <t>Space / Defense / Aerospace / Advanced Manufacturing</t>
        </is>
      </c>
      <c r="N941" s="426" t="inlineStr">
        <is>
          <t>Tier 2</t>
        </is>
      </c>
      <c r="O941" s="441" t="n">
        <v>45824</v>
      </c>
      <c r="P941" s="441" t="n">
        <v>45824</v>
      </c>
      <c r="Q941" s="425">
        <f>IF(P941="","",TODAY()-P941)</f>
        <v/>
      </c>
      <c r="R941" s="441">
        <f>IF(OR(L941="Passed",Z941=""),"",P941+Z941)</f>
        <v/>
      </c>
      <c r="S941" s="425">
        <f>IF(OR(R941="",L941="Passed"),"",IF(R941&lt;=TODAY(),"DUE",IF(R941&lt;=TODAY()+3,"Next 3 Days","Later")))</f>
        <v/>
      </c>
      <c r="T941" s="425" t="inlineStr"/>
      <c r="U941" s="426" t="inlineStr"/>
      <c r="V941" s="426" t="inlineStr"/>
      <c r="W941" s="428" t="inlineStr">
        <is>
          <t xml:space="preserve"> | online application: https://www.eunikeventures.com/application | </t>
        </is>
      </c>
      <c r="X941" s="425" t="inlineStr">
        <is>
          <t>John - Investor Contacts!219</t>
        </is>
      </c>
      <c r="Y941" s="426" t="inlineStr">
        <is>
          <t>Send 1st follow-up and ask for 20-minute call</t>
        </is>
      </c>
      <c r="Z941" s="425" t="n">
        <v>3</v>
      </c>
      <c r="AA941" s="425">
        <f>IF(AC941="Archived",0,ROUND((IF(N941="Tier 1",35,IF(N941="Tier 2",20,8))+IF(C941="Financial Investor",15,IF(C941="Intermediary / Banker",12,8))+IF(L941="Term Sheet / Proposal",25,IF(L941="Engaged",20,IF(L941="Meeting Requested",18,IF(L941="Meeting Held",14,IF(L941="Follow Up",10,5)))))+MIN(Q941,30)+IF(S941="DUE",15,IF(S941="Next 3 Days",8,0))),0))</f>
        <v/>
      </c>
      <c r="AB941" s="425">
        <f>IF(AND(AC941="Active",OR(N941="Tier 1",N941="Tier 2"),OR(S941="DUE",S941="Next 3 Days")),"YES","")</f>
        <v/>
      </c>
      <c r="AC941" s="425">
        <f>IF(L941="Passed","Archived","Active")</f>
        <v/>
      </c>
    </row>
    <row r="942">
      <c r="A942" s="425" t="inlineStr">
        <is>
          <t>EXOS-0941</t>
        </is>
      </c>
      <c r="B942" s="425" t="inlineStr">
        <is>
          <t>John - Investor Contacts</t>
        </is>
      </c>
      <c r="C942" s="425" t="inlineStr">
        <is>
          <t>Financial Investor</t>
        </is>
      </c>
      <c r="D942" s="425" t="inlineStr">
        <is>
          <t>Founder and CEO of Mercury</t>
        </is>
      </c>
      <c r="E942" s="425" t="inlineStr">
        <is>
          <t>Immad Akhund</t>
        </is>
      </c>
      <c r="F942" s="425" t="inlineStr"/>
      <c r="G942" s="111" t="inlineStr">
        <is>
          <t>immad@mercury.com</t>
        </is>
      </c>
      <c r="H942" s="425" t="inlineStr"/>
      <c r="I942" s="425" t="inlineStr"/>
      <c r="J942" s="111" t="inlineStr">
        <is>
          <t>https://www.linkedin.com/in/iakhund/</t>
        </is>
      </c>
      <c r="K942" s="426" t="inlineStr">
        <is>
          <t>John Quinn</t>
        </is>
      </c>
      <c r="L942" s="426" t="inlineStr">
        <is>
          <t>Contacted</t>
        </is>
      </c>
      <c r="M942" s="425" t="inlineStr">
        <is>
          <t>Space / Defense / Aerospace / Advanced Manufacturing</t>
        </is>
      </c>
      <c r="N942" s="426" t="inlineStr">
        <is>
          <t>Tier 2</t>
        </is>
      </c>
      <c r="O942" s="441" t="n">
        <v>46074</v>
      </c>
      <c r="P942" s="441" t="n">
        <v>46074</v>
      </c>
      <c r="Q942" s="425">
        <f>IF(P942="","",TODAY()-P942)</f>
        <v/>
      </c>
      <c r="R942" s="441">
        <f>IF(OR(L942="Passed",Z942=""),"",P942+Z942)</f>
        <v/>
      </c>
      <c r="S942" s="425">
        <f>IF(OR(R942="",L942="Passed"),"",IF(R942&lt;=TODAY(),"DUE",IF(R942&lt;=TODAY()+3,"Next 3 Days","Later")))</f>
        <v/>
      </c>
      <c r="T942" s="425" t="inlineStr"/>
      <c r="U942" s="426" t="inlineStr">
        <is>
          <t>https://www.linkedin.com/in/iakhund/</t>
        </is>
      </c>
      <c r="V942" s="426" t="inlineStr"/>
      <c r="W942" s="428" t="inlineStr">
        <is>
          <t xml:space="preserve"> |  | </t>
        </is>
      </c>
      <c r="X942" s="425" t="inlineStr">
        <is>
          <t>John - Investor Contacts!966</t>
        </is>
      </c>
      <c r="Y942" s="426" t="inlineStr">
        <is>
          <t>Send 1st follow-up and ask for 20-minute call</t>
        </is>
      </c>
      <c r="Z942" s="425" t="n">
        <v>3</v>
      </c>
      <c r="AA942" s="425">
        <f>IF(AC942="Archived",0,ROUND((IF(N942="Tier 1",35,IF(N942="Tier 2",20,8))+IF(C942="Financial Investor",15,IF(C942="Intermediary / Banker",12,8))+IF(L942="Term Sheet / Proposal",25,IF(L942="Engaged",20,IF(L942="Meeting Requested",18,IF(L942="Meeting Held",14,IF(L942="Follow Up",10,5)))))+MIN(Q942,30)+IF(S942="DUE",15,IF(S942="Next 3 Days",8,0))),0))</f>
        <v/>
      </c>
      <c r="AB942" s="425">
        <f>IF(AND(AC942="Active",OR(N942="Tier 1",N942="Tier 2"),OR(S942="DUE",S942="Next 3 Days")),"YES","")</f>
        <v/>
      </c>
      <c r="AC942" s="425">
        <f>IF(L942="Passed","Archived","Active")</f>
        <v/>
      </c>
    </row>
    <row r="943">
      <c r="A943" s="425" t="inlineStr">
        <is>
          <t>EXOS-0942</t>
        </is>
      </c>
      <c r="B943" s="425" t="inlineStr">
        <is>
          <t>John - Investor Contacts</t>
        </is>
      </c>
      <c r="C943" s="425" t="inlineStr">
        <is>
          <t>Financial Investor</t>
        </is>
      </c>
      <c r="D943" s="425" t="inlineStr">
        <is>
          <t>Founding Partner</t>
        </is>
      </c>
      <c r="E943" s="425" t="inlineStr">
        <is>
          <t>Pippa Gawley</t>
        </is>
      </c>
      <c r="F943" s="425" t="inlineStr"/>
      <c r="G943" s="111" t="inlineStr">
        <is>
          <t>pippa@zerocarbon.capital</t>
        </is>
      </c>
      <c r="H943" s="425" t="inlineStr"/>
      <c r="I943" s="425" t="inlineStr"/>
      <c r="J943" s="111" t="inlineStr">
        <is>
          <t>https://www.linkedin.com/in/pippagawley/</t>
        </is>
      </c>
      <c r="K943" s="426" t="inlineStr">
        <is>
          <t>John Quinn</t>
        </is>
      </c>
      <c r="L943" s="426" t="inlineStr">
        <is>
          <t>Contacted</t>
        </is>
      </c>
      <c r="M943" s="425" t="inlineStr">
        <is>
          <t>Space / Defense / Aerospace / Advanced Manufacturing</t>
        </is>
      </c>
      <c r="N943" s="426" t="inlineStr">
        <is>
          <t>Tier 2</t>
        </is>
      </c>
      <c r="O943" s="441" t="n">
        <v>45974</v>
      </c>
      <c r="P943" s="441" t="n">
        <v>45974</v>
      </c>
      <c r="Q943" s="425">
        <f>IF(P943="","",TODAY()-P943)</f>
        <v/>
      </c>
      <c r="R943" s="441">
        <f>IF(OR(L943="Passed",Z943=""),"",P943+Z943)</f>
        <v/>
      </c>
      <c r="S943" s="425">
        <f>IF(OR(R943="",L943="Passed"),"",IF(R943&lt;=TODAY(),"DUE",IF(R943&lt;=TODAY()+3,"Next 3 Days","Later")))</f>
        <v/>
      </c>
      <c r="T943" s="425" t="inlineStr"/>
      <c r="U943" s="426" t="inlineStr">
        <is>
          <t>https://www.linkedin.com/in/pippagawley/</t>
        </is>
      </c>
      <c r="V943" s="426" t="inlineStr"/>
      <c r="W943" s="428" t="inlineStr">
        <is>
          <t xml:space="preserve"> |  | </t>
        </is>
      </c>
      <c r="X943" s="425" t="inlineStr">
        <is>
          <t>John - Investor Contacts!735</t>
        </is>
      </c>
      <c r="Y943" s="426" t="inlineStr">
        <is>
          <t>Send 1st follow-up and ask for 20-minute call</t>
        </is>
      </c>
      <c r="Z943" s="425" t="n">
        <v>3</v>
      </c>
      <c r="AA943" s="425">
        <f>IF(AC943="Archived",0,ROUND((IF(N943="Tier 1",35,IF(N943="Tier 2",20,8))+IF(C943="Financial Investor",15,IF(C943="Intermediary / Banker",12,8))+IF(L943="Term Sheet / Proposal",25,IF(L943="Engaged",20,IF(L943="Meeting Requested",18,IF(L943="Meeting Held",14,IF(L943="Follow Up",10,5)))))+MIN(Q943,30)+IF(S943="DUE",15,IF(S943="Next 3 Days",8,0))),0))</f>
        <v/>
      </c>
      <c r="AB943" s="425">
        <f>IF(AND(AC943="Active",OR(N943="Tier 1",N943="Tier 2"),OR(S943="DUE",S943="Next 3 Days")),"YES","")</f>
        <v/>
      </c>
      <c r="AC943" s="425">
        <f>IF(L943="Passed","Archived","Active")</f>
        <v/>
      </c>
    </row>
    <row r="944">
      <c r="A944" s="425" t="inlineStr">
        <is>
          <t>EXOS-0943</t>
        </is>
      </c>
      <c r="B944" s="425" t="inlineStr">
        <is>
          <t>John - Investor Contacts</t>
        </is>
      </c>
      <c r="C944" s="425" t="inlineStr">
        <is>
          <t>Financial Investor</t>
        </is>
      </c>
      <c r="D944" s="425" t="inlineStr">
        <is>
          <t>Framework VC</t>
        </is>
      </c>
      <c r="E944" s="425" t="inlineStr">
        <is>
          <t>Ajay Gopal</t>
        </is>
      </c>
      <c r="F944" s="425" t="inlineStr"/>
      <c r="G944" s="111" t="inlineStr">
        <is>
          <t>ajay@framework.vc</t>
        </is>
      </c>
      <c r="H944" s="425" t="inlineStr"/>
      <c r="I944" s="425" t="inlineStr"/>
      <c r="J944" s="111" t="inlineStr">
        <is>
          <t>https://www.linkedin.com/in/ajay-gopal-815a3159/</t>
        </is>
      </c>
      <c r="K944" s="426" t="inlineStr">
        <is>
          <t>John Quinn</t>
        </is>
      </c>
      <c r="L944" s="426" t="inlineStr">
        <is>
          <t>Contacted</t>
        </is>
      </c>
      <c r="M944" s="425" t="inlineStr">
        <is>
          <t>Space / Defense / Aerospace / Advanced Manufacturing</t>
        </is>
      </c>
      <c r="N944" s="426" t="inlineStr">
        <is>
          <t>Tier 2</t>
        </is>
      </c>
      <c r="O944" s="441" t="n">
        <v>45845</v>
      </c>
      <c r="P944" s="441" t="n">
        <v>45845</v>
      </c>
      <c r="Q944" s="425">
        <f>IF(P944="","",TODAY()-P944)</f>
        <v/>
      </c>
      <c r="R944" s="441">
        <f>IF(OR(L944="Passed",Z944=""),"",P944+Z944)</f>
        <v/>
      </c>
      <c r="S944" s="425">
        <f>IF(OR(R944="",L944="Passed"),"",IF(R944&lt;=TODAY(),"DUE",IF(R944&lt;=TODAY()+3,"Next 3 Days","Later")))</f>
        <v/>
      </c>
      <c r="T944" s="425" t="inlineStr"/>
      <c r="U944" s="426" t="inlineStr">
        <is>
          <t>https://www.linkedin.com/in/ajay-gopal-815a3159/</t>
        </is>
      </c>
      <c r="V944" s="426" t="inlineStr"/>
      <c r="W944" s="428" t="inlineStr">
        <is>
          <t xml:space="preserve"> |  | </t>
        </is>
      </c>
      <c r="X944" s="425" t="inlineStr">
        <is>
          <t>John - Investor Contacts!352</t>
        </is>
      </c>
      <c r="Y944" s="426" t="inlineStr">
        <is>
          <t>Send 1st follow-up and ask for 20-minute call</t>
        </is>
      </c>
      <c r="Z944" s="425" t="n">
        <v>3</v>
      </c>
      <c r="AA944" s="425">
        <f>IF(AC944="Archived",0,ROUND((IF(N944="Tier 1",35,IF(N944="Tier 2",20,8))+IF(C944="Financial Investor",15,IF(C944="Intermediary / Banker",12,8))+IF(L944="Term Sheet / Proposal",25,IF(L944="Engaged",20,IF(L944="Meeting Requested",18,IF(L944="Meeting Held",14,IF(L944="Follow Up",10,5)))))+MIN(Q944,30)+IF(S944="DUE",15,IF(S944="Next 3 Days",8,0))),0))</f>
        <v/>
      </c>
      <c r="AB944" s="425">
        <f>IF(AND(AC944="Active",OR(N944="Tier 1",N944="Tier 2"),OR(S944="DUE",S944="Next 3 Days")),"YES","")</f>
        <v/>
      </c>
      <c r="AC944" s="425">
        <f>IF(L944="Passed","Archived","Active")</f>
        <v/>
      </c>
    </row>
    <row r="945">
      <c r="A945" s="425" t="inlineStr">
        <is>
          <t>EXOS-0944</t>
        </is>
      </c>
      <c r="B945" s="425" t="inlineStr">
        <is>
          <t>John - Investor Contacts</t>
        </is>
      </c>
      <c r="C945" s="425" t="inlineStr">
        <is>
          <t>Financial Investor</t>
        </is>
      </c>
      <c r="D945" s="425" t="inlineStr">
        <is>
          <t>Framework VC</t>
        </is>
      </c>
      <c r="E945" s="425" t="inlineStr">
        <is>
          <t>Jim Texier</t>
        </is>
      </c>
      <c r="F945" s="425" t="inlineStr"/>
      <c r="G945" s="111" t="inlineStr">
        <is>
          <t>jim@framework.vc</t>
        </is>
      </c>
      <c r="H945" s="425" t="inlineStr"/>
      <c r="I945" s="425" t="inlineStr"/>
      <c r="J945" s="425" t="inlineStr"/>
      <c r="K945" s="426" t="inlineStr">
        <is>
          <t>John Quinn</t>
        </is>
      </c>
      <c r="L945" s="426" t="inlineStr">
        <is>
          <t>Contacted</t>
        </is>
      </c>
      <c r="M945" s="425" t="inlineStr">
        <is>
          <t>Space / Defense / Aerospace / Advanced Manufacturing</t>
        </is>
      </c>
      <c r="N945" s="426" t="inlineStr">
        <is>
          <t>Tier 2</t>
        </is>
      </c>
      <c r="O945" s="441" t="n">
        <v>45845</v>
      </c>
      <c r="P945" s="441" t="n">
        <v>45845</v>
      </c>
      <c r="Q945" s="425">
        <f>IF(P945="","",TODAY()-P945)</f>
        <v/>
      </c>
      <c r="R945" s="441">
        <f>IF(OR(L945="Passed",Z945=""),"",P945+Z945)</f>
        <v/>
      </c>
      <c r="S945" s="425">
        <f>IF(OR(R945="",L945="Passed"),"",IF(R945&lt;=TODAY(),"DUE",IF(R945&lt;=TODAY()+3,"Next 3 Days","Later")))</f>
        <v/>
      </c>
      <c r="T945" s="425" t="inlineStr"/>
      <c r="U945" s="426" t="inlineStr">
        <is>
          <t>linkedin.com/in/texierjm</t>
        </is>
      </c>
      <c r="V945" s="426" t="inlineStr"/>
      <c r="W945" s="428" t="inlineStr">
        <is>
          <t xml:space="preserve"> |  | </t>
        </is>
      </c>
      <c r="X945" s="425" t="inlineStr">
        <is>
          <t>John - Investor Contacts!351</t>
        </is>
      </c>
      <c r="Y945" s="426" t="inlineStr">
        <is>
          <t>Send 1st follow-up and ask for 20-minute call</t>
        </is>
      </c>
      <c r="Z945" s="425" t="n">
        <v>3</v>
      </c>
      <c r="AA945" s="425">
        <f>IF(AC945="Archived",0,ROUND((IF(N945="Tier 1",35,IF(N945="Tier 2",20,8))+IF(C945="Financial Investor",15,IF(C945="Intermediary / Banker",12,8))+IF(L945="Term Sheet / Proposal",25,IF(L945="Engaged",20,IF(L945="Meeting Requested",18,IF(L945="Meeting Held",14,IF(L945="Follow Up",10,5)))))+MIN(Q945,30)+IF(S945="DUE",15,IF(S945="Next 3 Days",8,0))),0))</f>
        <v/>
      </c>
      <c r="AB945" s="425">
        <f>IF(AND(AC945="Active",OR(N945="Tier 1",N945="Tier 2"),OR(S945="DUE",S945="Next 3 Days")),"YES","")</f>
        <v/>
      </c>
      <c r="AC945" s="425">
        <f>IF(L945="Passed","Archived","Active")</f>
        <v/>
      </c>
    </row>
    <row r="946">
      <c r="A946" s="425" t="inlineStr">
        <is>
          <t>EXOS-0945</t>
        </is>
      </c>
      <c r="B946" s="425" t="inlineStr">
        <is>
          <t>John - Investor Contacts</t>
        </is>
      </c>
      <c r="C946" s="425" t="inlineStr">
        <is>
          <t>Financial Investor</t>
        </is>
      </c>
      <c r="D946" s="425" t="inlineStr">
        <is>
          <t>Framework VC</t>
        </is>
      </c>
      <c r="E946" s="425" t="inlineStr">
        <is>
          <t>Mike Dobbins</t>
        </is>
      </c>
      <c r="F946" s="425" t="inlineStr"/>
      <c r="G946" s="111" t="inlineStr">
        <is>
          <t>mike@framework.vc</t>
        </is>
      </c>
      <c r="H946" s="425" t="inlineStr"/>
      <c r="I946" s="425" t="inlineStr"/>
      <c r="J946" s="111" t="inlineStr">
        <is>
          <t>https://www.linkedin.com/in/mike-dobbins-a5a7241/</t>
        </is>
      </c>
      <c r="K946" s="426" t="inlineStr">
        <is>
          <t>John Quinn</t>
        </is>
      </c>
      <c r="L946" s="426" t="inlineStr">
        <is>
          <t>Contacted</t>
        </is>
      </c>
      <c r="M946" s="425" t="inlineStr">
        <is>
          <t>Space / Defense / Aerospace / Advanced Manufacturing</t>
        </is>
      </c>
      <c r="N946" s="426" t="inlineStr">
        <is>
          <t>Tier 2</t>
        </is>
      </c>
      <c r="O946" s="441" t="n">
        <v>45845</v>
      </c>
      <c r="P946" s="441" t="n">
        <v>45845</v>
      </c>
      <c r="Q946" s="425">
        <f>IF(P946="","",TODAY()-P946)</f>
        <v/>
      </c>
      <c r="R946" s="441">
        <f>IF(OR(L946="Passed",Z946=""),"",P946+Z946)</f>
        <v/>
      </c>
      <c r="S946" s="425">
        <f>IF(OR(R946="",L946="Passed"),"",IF(R946&lt;=TODAY(),"DUE",IF(R946&lt;=TODAY()+3,"Next 3 Days","Later")))</f>
        <v/>
      </c>
      <c r="T946" s="425" t="inlineStr"/>
      <c r="U946" s="426" t="inlineStr">
        <is>
          <t>https://www.linkedin.com/in/mike-dobbins-a5a7241/</t>
        </is>
      </c>
      <c r="V946" s="426" t="inlineStr"/>
      <c r="W946" s="428" t="inlineStr">
        <is>
          <t xml:space="preserve"> |  | </t>
        </is>
      </c>
      <c r="X946" s="425" t="inlineStr">
        <is>
          <t>John - Investor Contacts!353</t>
        </is>
      </c>
      <c r="Y946" s="426" t="inlineStr">
        <is>
          <t>Send 1st follow-up and ask for 20-minute call</t>
        </is>
      </c>
      <c r="Z946" s="425" t="n">
        <v>3</v>
      </c>
      <c r="AA946" s="425">
        <f>IF(AC946="Archived",0,ROUND((IF(N946="Tier 1",35,IF(N946="Tier 2",20,8))+IF(C946="Financial Investor",15,IF(C946="Intermediary / Banker",12,8))+IF(L946="Term Sheet / Proposal",25,IF(L946="Engaged",20,IF(L946="Meeting Requested",18,IF(L946="Meeting Held",14,IF(L946="Follow Up",10,5)))))+MIN(Q946,30)+IF(S946="DUE",15,IF(S946="Next 3 Days",8,0))),0))</f>
        <v/>
      </c>
      <c r="AB946" s="425">
        <f>IF(AND(AC946="Active",OR(N946="Tier 1",N946="Tier 2"),OR(S946="DUE",S946="Next 3 Days")),"YES","")</f>
        <v/>
      </c>
      <c r="AC946" s="425">
        <f>IF(L946="Passed","Archived","Active")</f>
        <v/>
      </c>
    </row>
    <row r="947">
      <c r="A947" s="425" t="inlineStr">
        <is>
          <t>EXOS-0946</t>
        </is>
      </c>
      <c r="B947" s="425" t="inlineStr">
        <is>
          <t>John - Investor Contacts</t>
        </is>
      </c>
      <c r="C947" s="425" t="inlineStr">
        <is>
          <t>Financial Investor</t>
        </is>
      </c>
      <c r="D947" s="425" t="inlineStr">
        <is>
          <t>Framework VC</t>
        </is>
      </c>
      <c r="E947" s="425" t="inlineStr">
        <is>
          <t>Peter Misek</t>
        </is>
      </c>
      <c r="F947" s="425" t="inlineStr"/>
      <c r="G947" s="111" t="inlineStr">
        <is>
          <t>peter@framework.vc</t>
        </is>
      </c>
      <c r="H947" s="425" t="inlineStr"/>
      <c r="I947" s="425" t="inlineStr"/>
      <c r="J947" s="111" t="inlineStr">
        <is>
          <t>https://www.linkedin.com/in/peter-misek-3191394/</t>
        </is>
      </c>
      <c r="K947" s="426" t="inlineStr">
        <is>
          <t>John Quinn</t>
        </is>
      </c>
      <c r="L947" s="426" t="inlineStr">
        <is>
          <t>Contacted</t>
        </is>
      </c>
      <c r="M947" s="425" t="inlineStr">
        <is>
          <t>Space / Defense / Aerospace / Advanced Manufacturing</t>
        </is>
      </c>
      <c r="N947" s="426" t="inlineStr">
        <is>
          <t>Tier 2</t>
        </is>
      </c>
      <c r="O947" s="441" t="n">
        <v>45845</v>
      </c>
      <c r="P947" s="441" t="n">
        <v>45845</v>
      </c>
      <c r="Q947" s="425">
        <f>IF(P947="","",TODAY()-P947)</f>
        <v/>
      </c>
      <c r="R947" s="441">
        <f>IF(OR(L947="Passed",Z947=""),"",P947+Z947)</f>
        <v/>
      </c>
      <c r="S947" s="425">
        <f>IF(OR(R947="",L947="Passed"),"",IF(R947&lt;=TODAY(),"DUE",IF(R947&lt;=TODAY()+3,"Next 3 Days","Later")))</f>
        <v/>
      </c>
      <c r="T947" s="425" t="inlineStr"/>
      <c r="U947" s="426" t="inlineStr">
        <is>
          <t>https://www.linkedin.com/in/peter-misek-3191394/</t>
        </is>
      </c>
      <c r="V947" s="426" t="inlineStr"/>
      <c r="W947" s="428" t="inlineStr">
        <is>
          <t xml:space="preserve"> |  | </t>
        </is>
      </c>
      <c r="X947" s="425" t="inlineStr">
        <is>
          <t>John - Investor Contacts!354</t>
        </is>
      </c>
      <c r="Y947" s="426" t="inlineStr">
        <is>
          <t>Send 1st follow-up and ask for 20-minute call</t>
        </is>
      </c>
      <c r="Z947" s="425" t="n">
        <v>3</v>
      </c>
      <c r="AA947" s="425">
        <f>IF(AC947="Archived",0,ROUND((IF(N947="Tier 1",35,IF(N947="Tier 2",20,8))+IF(C947="Financial Investor",15,IF(C947="Intermediary / Banker",12,8))+IF(L947="Term Sheet / Proposal",25,IF(L947="Engaged",20,IF(L947="Meeting Requested",18,IF(L947="Meeting Held",14,IF(L947="Follow Up",10,5)))))+MIN(Q947,30)+IF(S947="DUE",15,IF(S947="Next 3 Days",8,0))),0))</f>
        <v/>
      </c>
      <c r="AB947" s="425">
        <f>IF(AND(AC947="Active",OR(N947="Tier 1",N947="Tier 2"),OR(S947="DUE",S947="Next 3 Days")),"YES","")</f>
        <v/>
      </c>
      <c r="AC947" s="425">
        <f>IF(L947="Passed","Archived","Active")</f>
        <v/>
      </c>
    </row>
    <row r="948">
      <c r="A948" s="425" t="inlineStr">
        <is>
          <t>EXOS-0947</t>
        </is>
      </c>
      <c r="B948" s="425" t="inlineStr">
        <is>
          <t>John - Investor Contacts</t>
        </is>
      </c>
      <c r="C948" s="425" t="inlineStr">
        <is>
          <t>Financial Investor</t>
        </is>
      </c>
      <c r="D948" s="425" t="inlineStr">
        <is>
          <t>Framework VC</t>
        </is>
      </c>
      <c r="E948" s="425" t="inlineStr">
        <is>
          <t>the team</t>
        </is>
      </c>
      <c r="F948" s="425" t="inlineStr"/>
      <c r="G948" s="111" t="inlineStr">
        <is>
          <t>startups@framework.vc</t>
        </is>
      </c>
      <c r="H948" s="425" t="inlineStr"/>
      <c r="I948" s="425" t="inlineStr"/>
      <c r="J948" s="111" t="inlineStr">
        <is>
          <t>https://www.linkedin.com/company/frameworkventures/</t>
        </is>
      </c>
      <c r="K948" s="426" t="inlineStr">
        <is>
          <t>John Quinn</t>
        </is>
      </c>
      <c r="L948" s="426" t="inlineStr">
        <is>
          <t>Contacted</t>
        </is>
      </c>
      <c r="M948" s="425" t="inlineStr">
        <is>
          <t>Space / Defense / Aerospace / Advanced Manufacturing</t>
        </is>
      </c>
      <c r="N948" s="426" t="inlineStr">
        <is>
          <t>Tier 2</t>
        </is>
      </c>
      <c r="O948" s="441" t="n">
        <v>45845</v>
      </c>
      <c r="P948" s="441" t="n">
        <v>45845</v>
      </c>
      <c r="Q948" s="425">
        <f>IF(P948="","",TODAY()-P948)</f>
        <v/>
      </c>
      <c r="R948" s="441">
        <f>IF(OR(L948="Passed",Z948=""),"",P948+Z948)</f>
        <v/>
      </c>
      <c r="S948" s="425">
        <f>IF(OR(R948="",L948="Passed"),"",IF(R948&lt;=TODAY(),"DUE",IF(R948&lt;=TODAY()+3,"Next 3 Days","Later")))</f>
        <v/>
      </c>
      <c r="T948" s="425" t="inlineStr"/>
      <c r="U948" s="426" t="inlineStr">
        <is>
          <t>https://www.linkedin.com/company/frameworkventures/</t>
        </is>
      </c>
      <c r="V948" s="426" t="inlineStr"/>
      <c r="W948" s="428" t="inlineStr">
        <is>
          <t xml:space="preserve"> | only invests in softwarre | </t>
        </is>
      </c>
      <c r="X948" s="425" t="inlineStr">
        <is>
          <t>John - Investor Contacts!350</t>
        </is>
      </c>
      <c r="Y948" s="426" t="inlineStr">
        <is>
          <t>Send 1st follow-up and ask for 20-minute call</t>
        </is>
      </c>
      <c r="Z948" s="425" t="n">
        <v>3</v>
      </c>
      <c r="AA948" s="425">
        <f>IF(AC948="Archived",0,ROUND((IF(N948="Tier 1",35,IF(N948="Tier 2",20,8))+IF(C948="Financial Investor",15,IF(C948="Intermediary / Banker",12,8))+IF(L948="Term Sheet / Proposal",25,IF(L948="Engaged",20,IF(L948="Meeting Requested",18,IF(L948="Meeting Held",14,IF(L948="Follow Up",10,5)))))+MIN(Q948,30)+IF(S948="DUE",15,IF(S948="Next 3 Days",8,0))),0))</f>
        <v/>
      </c>
      <c r="AB948" s="425">
        <f>IF(AND(AC948="Active",OR(N948="Tier 1",N948="Tier 2"),OR(S948="DUE",S948="Next 3 Days")),"YES","")</f>
        <v/>
      </c>
      <c r="AC948" s="425">
        <f>IF(L948="Passed","Archived","Active")</f>
        <v/>
      </c>
    </row>
    <row r="949">
      <c r="A949" s="425" t="inlineStr">
        <is>
          <t>EXOS-0948</t>
        </is>
      </c>
      <c r="B949" s="425" t="inlineStr">
        <is>
          <t>John - Investor Contacts</t>
        </is>
      </c>
      <c r="C949" s="425" t="inlineStr">
        <is>
          <t>Financial Investor</t>
        </is>
      </c>
      <c r="D949" s="425" t="inlineStr">
        <is>
          <t>Galava</t>
        </is>
      </c>
      <c r="E949" s="425" t="inlineStr">
        <is>
          <t>the team</t>
        </is>
      </c>
      <c r="F949" s="425" t="inlineStr"/>
      <c r="G949" s="425" t="inlineStr"/>
      <c r="H949" s="425" t="inlineStr"/>
      <c r="I949" s="425" t="inlineStr"/>
      <c r="J949" s="425" t="inlineStr"/>
      <c r="K949" s="426" t="inlineStr">
        <is>
          <t>John Quinn</t>
        </is>
      </c>
      <c r="L949" s="426" t="inlineStr">
        <is>
          <t>Contacted</t>
        </is>
      </c>
      <c r="M949" s="425" t="inlineStr">
        <is>
          <t>Space / Defense / Aerospace / Advanced Manufacturing</t>
        </is>
      </c>
      <c r="N949" s="426" t="inlineStr">
        <is>
          <t>Tier 2</t>
        </is>
      </c>
      <c r="O949" s="441" t="n">
        <v>46031</v>
      </c>
      <c r="P949" s="441" t="n">
        <v>46031</v>
      </c>
      <c r="Q949" s="425">
        <f>IF(P949="","",TODAY()-P949)</f>
        <v/>
      </c>
      <c r="R949" s="441">
        <f>IF(OR(L949="Passed",Z949=""),"",P949+Z949)</f>
        <v/>
      </c>
      <c r="S949" s="425">
        <f>IF(OR(R949="",L949="Passed"),"",IF(R949&lt;=TODAY(),"DUE",IF(R949&lt;=TODAY()+3,"Next 3 Days","Later")))</f>
        <v/>
      </c>
      <c r="T949" s="425" t="inlineStr"/>
      <c r="U949" s="426" t="inlineStr"/>
      <c r="V949" s="426" t="inlineStr"/>
      <c r="W949" s="428" t="inlineStr">
        <is>
          <t xml:space="preserve"> |  | </t>
        </is>
      </c>
      <c r="X949" s="425" t="inlineStr">
        <is>
          <t>John - Investor Contacts!911</t>
        </is>
      </c>
      <c r="Y949" s="426" t="inlineStr">
        <is>
          <t>Send 1st follow-up and ask for 20-minute call</t>
        </is>
      </c>
      <c r="Z949" s="425" t="n">
        <v>3</v>
      </c>
      <c r="AA949" s="425">
        <f>IF(AC949="Archived",0,ROUND((IF(N949="Tier 1",35,IF(N949="Tier 2",20,8))+IF(C949="Financial Investor",15,IF(C949="Intermediary / Banker",12,8))+IF(L949="Term Sheet / Proposal",25,IF(L949="Engaged",20,IF(L949="Meeting Requested",18,IF(L949="Meeting Held",14,IF(L949="Follow Up",10,5)))))+MIN(Q949,30)+IF(S949="DUE",15,IF(S949="Next 3 Days",8,0))),0))</f>
        <v/>
      </c>
      <c r="AB949" s="425">
        <f>IF(AND(AC949="Active",OR(N949="Tier 1",N949="Tier 2"),OR(S949="DUE",S949="Next 3 Days")),"YES","")</f>
        <v/>
      </c>
      <c r="AC949" s="425">
        <f>IF(L949="Passed","Archived","Active")</f>
        <v/>
      </c>
    </row>
    <row r="950">
      <c r="A950" s="425" t="inlineStr">
        <is>
          <t>EXOS-0949</t>
        </is>
      </c>
      <c r="B950" s="425" t="inlineStr">
        <is>
          <t>John - Investor Contacts</t>
        </is>
      </c>
      <c r="C950" s="425" t="inlineStr">
        <is>
          <t>Financial Investor</t>
        </is>
      </c>
      <c r="D950" s="425" t="inlineStr">
        <is>
          <t>Generational Partners</t>
        </is>
      </c>
      <c r="E950" s="425" t="inlineStr">
        <is>
          <t>Asher Kraut</t>
        </is>
      </c>
      <c r="F950" s="425" t="inlineStr"/>
      <c r="G950" s="111" t="inlineStr">
        <is>
          <t>asher@generational.partners</t>
        </is>
      </c>
      <c r="H950" s="425" t="inlineStr"/>
      <c r="I950" s="425" t="inlineStr"/>
      <c r="J950" s="111" t="inlineStr">
        <is>
          <t>https://www.linkedin.com/in/nathaniel-asher-kraut/</t>
        </is>
      </c>
      <c r="K950" s="426" t="inlineStr">
        <is>
          <t>John Quinn</t>
        </is>
      </c>
      <c r="L950" s="426" t="inlineStr">
        <is>
          <t>Contacted</t>
        </is>
      </c>
      <c r="M950" s="425" t="inlineStr">
        <is>
          <t>Space / Defense / Aerospace / Advanced Manufacturing</t>
        </is>
      </c>
      <c r="N950" s="426" t="inlineStr">
        <is>
          <t>Tier 2</t>
        </is>
      </c>
      <c r="O950" s="441" t="n">
        <v>45986</v>
      </c>
      <c r="P950" s="441" t="n">
        <v>45986</v>
      </c>
      <c r="Q950" s="425">
        <f>IF(P950="","",TODAY()-P950)</f>
        <v/>
      </c>
      <c r="R950" s="441">
        <f>IF(OR(L950="Passed",Z950=""),"",P950+Z950)</f>
        <v/>
      </c>
      <c r="S950" s="425">
        <f>IF(OR(R950="",L950="Passed"),"",IF(R950&lt;=TODAY(),"DUE",IF(R950&lt;=TODAY()+3,"Next 3 Days","Later")))</f>
        <v/>
      </c>
      <c r="T950" s="425" t="inlineStr"/>
      <c r="U950" s="426" t="inlineStr">
        <is>
          <t>https://www.linkedin.com/in/nathaniel-asher-kraut/</t>
        </is>
      </c>
      <c r="V950" s="426" t="inlineStr"/>
      <c r="W950" s="428" t="inlineStr">
        <is>
          <t xml:space="preserve"> |  | </t>
        </is>
      </c>
      <c r="X950" s="425" t="inlineStr">
        <is>
          <t>John - Investor Contacts!875</t>
        </is>
      </c>
      <c r="Y950" s="426" t="inlineStr">
        <is>
          <t>Send 1st follow-up and ask for 20-minute call</t>
        </is>
      </c>
      <c r="Z950" s="425" t="n">
        <v>3</v>
      </c>
      <c r="AA950" s="425">
        <f>IF(AC950="Archived",0,ROUND((IF(N950="Tier 1",35,IF(N950="Tier 2",20,8))+IF(C950="Financial Investor",15,IF(C950="Intermediary / Banker",12,8))+IF(L950="Term Sheet / Proposal",25,IF(L950="Engaged",20,IF(L950="Meeting Requested",18,IF(L950="Meeting Held",14,IF(L950="Follow Up",10,5)))))+MIN(Q950,30)+IF(S950="DUE",15,IF(S950="Next 3 Days",8,0))),0))</f>
        <v/>
      </c>
      <c r="AB950" s="425">
        <f>IF(AND(AC950="Active",OR(N950="Tier 1",N950="Tier 2"),OR(S950="DUE",S950="Next 3 Days")),"YES","")</f>
        <v/>
      </c>
      <c r="AC950" s="425">
        <f>IF(L950="Passed","Archived","Active")</f>
        <v/>
      </c>
    </row>
    <row r="951">
      <c r="A951" s="425" t="inlineStr">
        <is>
          <t>EXOS-0950</t>
        </is>
      </c>
      <c r="B951" s="425" t="inlineStr">
        <is>
          <t>John - Investor Contacts</t>
        </is>
      </c>
      <c r="C951" s="425" t="inlineStr">
        <is>
          <t>Financial Investor</t>
        </is>
      </c>
      <c r="D951" s="425" t="inlineStr">
        <is>
          <t>Generational Partners</t>
        </is>
      </c>
      <c r="E951" s="425" t="inlineStr">
        <is>
          <t>Van Espahbodi</t>
        </is>
      </c>
      <c r="F951" s="425" t="inlineStr"/>
      <c r="G951" s="111" t="inlineStr">
        <is>
          <t>van@generational.partners</t>
        </is>
      </c>
      <c r="H951" s="425" t="inlineStr"/>
      <c r="I951" s="425" t="inlineStr"/>
      <c r="J951" s="425" t="inlineStr"/>
      <c r="K951" s="426" t="inlineStr">
        <is>
          <t>John Quinn</t>
        </is>
      </c>
      <c r="L951" s="426" t="inlineStr">
        <is>
          <t>Contacted</t>
        </is>
      </c>
      <c r="M951" s="425" t="inlineStr">
        <is>
          <t>Space / Defense / Aerospace / Advanced Manufacturing</t>
        </is>
      </c>
      <c r="N951" s="426" t="inlineStr">
        <is>
          <t>Tier 2</t>
        </is>
      </c>
      <c r="O951" s="441" t="n">
        <v>45986</v>
      </c>
      <c r="P951" s="441" t="n">
        <v>45986</v>
      </c>
      <c r="Q951" s="425">
        <f>IF(P951="","",TODAY()-P951)</f>
        <v/>
      </c>
      <c r="R951" s="441">
        <f>IF(OR(L951="Passed",Z951=""),"",P951+Z951)</f>
        <v/>
      </c>
      <c r="S951" s="425">
        <f>IF(OR(R951="",L951="Passed"),"",IF(R951&lt;=TODAY(),"DUE",IF(R951&lt;=TODAY()+3,"Next 3 Days","Later")))</f>
        <v/>
      </c>
      <c r="T951" s="425" t="inlineStr"/>
      <c r="U951" s="426" t="inlineStr">
        <is>
          <t>linkedin.com/in/vandade</t>
        </is>
      </c>
      <c r="V951" s="426" t="inlineStr"/>
      <c r="W951" s="428" t="inlineStr">
        <is>
          <t xml:space="preserve"> |  | </t>
        </is>
      </c>
      <c r="X951" s="425" t="inlineStr">
        <is>
          <t>John - Investor Contacts!874</t>
        </is>
      </c>
      <c r="Y951" s="426" t="inlineStr">
        <is>
          <t>Send 1st follow-up and ask for 20-minute call</t>
        </is>
      </c>
      <c r="Z951" s="425" t="n">
        <v>3</v>
      </c>
      <c r="AA951" s="425">
        <f>IF(AC951="Archived",0,ROUND((IF(N951="Tier 1",35,IF(N951="Tier 2",20,8))+IF(C951="Financial Investor",15,IF(C951="Intermediary / Banker",12,8))+IF(L951="Term Sheet / Proposal",25,IF(L951="Engaged",20,IF(L951="Meeting Requested",18,IF(L951="Meeting Held",14,IF(L951="Follow Up",10,5)))))+MIN(Q951,30)+IF(S951="DUE",15,IF(S951="Next 3 Days",8,0))),0))</f>
        <v/>
      </c>
      <c r="AB951" s="425">
        <f>IF(AND(AC951="Active",OR(N951="Tier 1",N951="Tier 2"),OR(S951="DUE",S951="Next 3 Days")),"YES","")</f>
        <v/>
      </c>
      <c r="AC951" s="425">
        <f>IF(L951="Passed","Archived","Active")</f>
        <v/>
      </c>
    </row>
    <row r="952">
      <c r="A952" s="425" t="inlineStr">
        <is>
          <t>EXOS-0951</t>
        </is>
      </c>
      <c r="B952" s="425" t="inlineStr">
        <is>
          <t>Lizi - Investor Contacts</t>
        </is>
      </c>
      <c r="C952" s="425" t="inlineStr">
        <is>
          <t>Financial Investor</t>
        </is>
      </c>
      <c r="D952" s="425" t="inlineStr">
        <is>
          <t>Golden Seeds</t>
        </is>
      </c>
      <c r="E952" s="425" t="inlineStr">
        <is>
          <t>Amy Kim</t>
        </is>
      </c>
      <c r="F952" s="425" t="inlineStr"/>
      <c r="G952" s="111" t="inlineStr">
        <is>
          <t>akim@goldenseeds.com</t>
        </is>
      </c>
      <c r="H952" s="425" t="inlineStr"/>
      <c r="I952" s="425" t="inlineStr"/>
      <c r="J952" s="111" t="inlineStr">
        <is>
          <t>https://www.linkedin.com/in/amkim/</t>
        </is>
      </c>
      <c r="K952" s="426" t="inlineStr">
        <is>
          <t>John Quinn</t>
        </is>
      </c>
      <c r="L952" s="426" t="inlineStr">
        <is>
          <t>Contacted</t>
        </is>
      </c>
      <c r="M952" s="425" t="inlineStr">
        <is>
          <t>Space / Defense / Aerospace / Advanced Manufacturing</t>
        </is>
      </c>
      <c r="N952" s="426" t="inlineStr">
        <is>
          <t>Tier 2</t>
        </is>
      </c>
      <c r="O952" s="441" t="n">
        <v>45779</v>
      </c>
      <c r="P952" s="441" t="n">
        <v>45779</v>
      </c>
      <c r="Q952" s="425">
        <f>IF(P952="","",TODAY()-P952)</f>
        <v/>
      </c>
      <c r="R952" s="441">
        <f>IF(OR(L952="Passed",Z952=""),"",P952+Z952)</f>
        <v/>
      </c>
      <c r="S952" s="425">
        <f>IF(OR(R952="",L952="Passed"),"",IF(R952&lt;=TODAY(),"DUE",IF(R952&lt;=TODAY()+3,"Next 3 Days","Later")))</f>
        <v/>
      </c>
      <c r="T952" s="425" t="inlineStr"/>
      <c r="U952" s="426" t="inlineStr"/>
      <c r="V952" s="426" t="inlineStr"/>
      <c r="W952" s="428" t="inlineStr">
        <is>
          <t xml:space="preserve"> | </t>
        </is>
      </c>
      <c r="X952" s="425" t="inlineStr">
        <is>
          <t>Lizi - Investor Contacts!14</t>
        </is>
      </c>
      <c r="Y952" s="426" t="inlineStr">
        <is>
          <t>Send 1st follow-up and ask for 20-minute call</t>
        </is>
      </c>
      <c r="Z952" s="425" t="n">
        <v>3</v>
      </c>
      <c r="AA952" s="425">
        <f>IF(AC952="Archived",0,ROUND((IF(N952="Tier 1",35,IF(N952="Tier 2",20,8))+IF(C952="Financial Investor",15,IF(C952="Intermediary / Banker",12,8))+IF(L952="Term Sheet / Proposal",25,IF(L952="Engaged",20,IF(L952="Meeting Requested",18,IF(L952="Meeting Held",14,IF(L952="Follow Up",10,5)))))+MIN(Q952,30)+IF(S952="DUE",15,IF(S952="Next 3 Days",8,0))),0))</f>
        <v/>
      </c>
      <c r="AB952" s="425">
        <f>IF(AND(AC952="Active",OR(N952="Tier 1",N952="Tier 2"),OR(S952="DUE",S952="Next 3 Days")),"YES","")</f>
        <v/>
      </c>
      <c r="AC952" s="425">
        <f>IF(L952="Passed","Archived","Active")</f>
        <v/>
      </c>
    </row>
    <row r="953">
      <c r="A953" s="425" t="inlineStr">
        <is>
          <t>EXOS-0952</t>
        </is>
      </c>
      <c r="B953" s="425" t="inlineStr">
        <is>
          <t>Lizi - Investor Contacts</t>
        </is>
      </c>
      <c r="C953" s="425" t="inlineStr">
        <is>
          <t>Financial Investor</t>
        </is>
      </c>
      <c r="D953" s="425" t="inlineStr">
        <is>
          <t>Golden Seeds</t>
        </is>
      </c>
      <c r="E953" s="425" t="inlineStr">
        <is>
          <t>Heather Hunter</t>
        </is>
      </c>
      <c r="F953" s="425" t="inlineStr"/>
      <c r="G953" s="111" t="inlineStr">
        <is>
          <t>hhunter@goldenseeds.com</t>
        </is>
      </c>
      <c r="H953" s="425" t="inlineStr"/>
      <c r="I953" s="425" t="inlineStr"/>
      <c r="J953" s="111" t="inlineStr">
        <is>
          <t>https://www.linkedin.com/in/heatherhunter/</t>
        </is>
      </c>
      <c r="K953" s="426" t="inlineStr">
        <is>
          <t>John Quinn</t>
        </is>
      </c>
      <c r="L953" s="426" t="inlineStr">
        <is>
          <t>Contacted</t>
        </is>
      </c>
      <c r="M953" s="425" t="inlineStr">
        <is>
          <t>Space / Defense / Aerospace / Advanced Manufacturing</t>
        </is>
      </c>
      <c r="N953" s="426" t="inlineStr">
        <is>
          <t>Tier 2</t>
        </is>
      </c>
      <c r="O953" s="441" t="n">
        <v>45779</v>
      </c>
      <c r="P953" s="441" t="n">
        <v>45779</v>
      </c>
      <c r="Q953" s="425">
        <f>IF(P953="","",TODAY()-P953)</f>
        <v/>
      </c>
      <c r="R953" s="441">
        <f>IF(OR(L953="Passed",Z953=""),"",P953+Z953)</f>
        <v/>
      </c>
      <c r="S953" s="425">
        <f>IF(OR(R953="",L953="Passed"),"",IF(R953&lt;=TODAY(),"DUE",IF(R953&lt;=TODAY()+3,"Next 3 Days","Later")))</f>
        <v/>
      </c>
      <c r="T953" s="425" t="inlineStr"/>
      <c r="U953" s="426" t="inlineStr"/>
      <c r="V953" s="426" t="inlineStr"/>
      <c r="W953" s="428" t="inlineStr">
        <is>
          <t xml:space="preserve"> | </t>
        </is>
      </c>
      <c r="X953" s="425" t="inlineStr">
        <is>
          <t>Lizi - Investor Contacts!13</t>
        </is>
      </c>
      <c r="Y953" s="426" t="inlineStr">
        <is>
          <t>Send 1st follow-up and ask for 20-minute call</t>
        </is>
      </c>
      <c r="Z953" s="425" t="n">
        <v>3</v>
      </c>
      <c r="AA953" s="425">
        <f>IF(AC953="Archived",0,ROUND((IF(N953="Tier 1",35,IF(N953="Tier 2",20,8))+IF(C953="Financial Investor",15,IF(C953="Intermediary / Banker",12,8))+IF(L953="Term Sheet / Proposal",25,IF(L953="Engaged",20,IF(L953="Meeting Requested",18,IF(L953="Meeting Held",14,IF(L953="Follow Up",10,5)))))+MIN(Q953,30)+IF(S953="DUE",15,IF(S953="Next 3 Days",8,0))),0))</f>
        <v/>
      </c>
      <c r="AB953" s="425">
        <f>IF(AND(AC953="Active",OR(N953="Tier 1",N953="Tier 2"),OR(S953="DUE",S953="Next 3 Days")),"YES","")</f>
        <v/>
      </c>
      <c r="AC953" s="425">
        <f>IF(L953="Passed","Archived","Active")</f>
        <v/>
      </c>
    </row>
    <row r="954">
      <c r="A954" s="425" t="inlineStr">
        <is>
          <t>EXOS-0953</t>
        </is>
      </c>
      <c r="B954" s="425" t="inlineStr">
        <is>
          <t>Lizi - Investor Contacts</t>
        </is>
      </c>
      <c r="C954" s="425" t="inlineStr">
        <is>
          <t>Financial Investor</t>
        </is>
      </c>
      <c r="D954" s="425" t="inlineStr">
        <is>
          <t>Golden Seeds</t>
        </is>
      </c>
      <c r="E954" s="425" t="inlineStr">
        <is>
          <t>Irina Berkon</t>
        </is>
      </c>
      <c r="F954" s="425" t="inlineStr"/>
      <c r="G954" s="111" t="inlineStr">
        <is>
          <t>iberkon@goldenseeds.com</t>
        </is>
      </c>
      <c r="H954" s="425" t="inlineStr"/>
      <c r="I954" s="425" t="inlineStr"/>
      <c r="J954" s="111" t="inlineStr">
        <is>
          <t>https://www.linkedin.com/in/irinaberkon/</t>
        </is>
      </c>
      <c r="K954" s="426" t="inlineStr">
        <is>
          <t>John Quinn</t>
        </is>
      </c>
      <c r="L954" s="426" t="inlineStr">
        <is>
          <t>Contacted</t>
        </is>
      </c>
      <c r="M954" s="425" t="inlineStr">
        <is>
          <t>Space / Defense / Aerospace / Advanced Manufacturing</t>
        </is>
      </c>
      <c r="N954" s="426" t="inlineStr">
        <is>
          <t>Tier 2</t>
        </is>
      </c>
      <c r="O954" s="441" t="n">
        <v>45779</v>
      </c>
      <c r="P954" s="441" t="n">
        <v>45779</v>
      </c>
      <c r="Q954" s="425">
        <f>IF(P954="","",TODAY()-P954)</f>
        <v/>
      </c>
      <c r="R954" s="441">
        <f>IF(OR(L954="Passed",Z954=""),"",P954+Z954)</f>
        <v/>
      </c>
      <c r="S954" s="425">
        <f>IF(OR(R954="",L954="Passed"),"",IF(R954&lt;=TODAY(),"DUE",IF(R954&lt;=TODAY()+3,"Next 3 Days","Later")))</f>
        <v/>
      </c>
      <c r="T954" s="425" t="inlineStr"/>
      <c r="U954" s="426" t="inlineStr"/>
      <c r="V954" s="426" t="inlineStr"/>
      <c r="W954" s="428" t="inlineStr">
        <is>
          <t xml:space="preserve"> | </t>
        </is>
      </c>
      <c r="X954" s="425" t="inlineStr">
        <is>
          <t>Lizi - Investor Contacts!6</t>
        </is>
      </c>
      <c r="Y954" s="426" t="inlineStr">
        <is>
          <t>Send 1st follow-up and ask for 20-minute call</t>
        </is>
      </c>
      <c r="Z954" s="425" t="n">
        <v>3</v>
      </c>
      <c r="AA954" s="425">
        <f>IF(AC954="Archived",0,ROUND((IF(N954="Tier 1",35,IF(N954="Tier 2",20,8))+IF(C954="Financial Investor",15,IF(C954="Intermediary / Banker",12,8))+IF(L954="Term Sheet / Proposal",25,IF(L954="Engaged",20,IF(L954="Meeting Requested",18,IF(L954="Meeting Held",14,IF(L954="Follow Up",10,5)))))+MIN(Q954,30)+IF(S954="DUE",15,IF(S954="Next 3 Days",8,0))),0))</f>
        <v/>
      </c>
      <c r="AB954" s="425">
        <f>IF(AND(AC954="Active",OR(N954="Tier 1",N954="Tier 2"),OR(S954="DUE",S954="Next 3 Days")),"YES","")</f>
        <v/>
      </c>
      <c r="AC954" s="425">
        <f>IF(L954="Passed","Archived","Active")</f>
        <v/>
      </c>
    </row>
    <row r="955">
      <c r="A955" s="425" t="inlineStr">
        <is>
          <t>EXOS-0954</t>
        </is>
      </c>
      <c r="B955" s="425" t="inlineStr">
        <is>
          <t>Lizi - Investor Contacts</t>
        </is>
      </c>
      <c r="C955" s="425" t="inlineStr">
        <is>
          <t>Financial Investor</t>
        </is>
      </c>
      <c r="D955" s="425" t="inlineStr">
        <is>
          <t>Golden Seeds</t>
        </is>
      </c>
      <c r="E955" s="425" t="inlineStr">
        <is>
          <t>Jenny Chou</t>
        </is>
      </c>
      <c r="F955" s="425" t="inlineStr"/>
      <c r="G955" s="111" t="inlineStr">
        <is>
          <t>jchou@goldenseeds.com</t>
        </is>
      </c>
      <c r="H955" s="425" t="inlineStr"/>
      <c r="I955" s="425" t="inlineStr"/>
      <c r="J955" s="111" t="inlineStr">
        <is>
          <t>https://www.linkedin.com/in/jennyannchou/</t>
        </is>
      </c>
      <c r="K955" s="426" t="inlineStr">
        <is>
          <t>John Quinn</t>
        </is>
      </c>
      <c r="L955" s="426" t="inlineStr">
        <is>
          <t>Contacted</t>
        </is>
      </c>
      <c r="M955" s="425" t="inlineStr">
        <is>
          <t>Space / Defense / Aerospace / Advanced Manufacturing</t>
        </is>
      </c>
      <c r="N955" s="426" t="inlineStr">
        <is>
          <t>Tier 2</t>
        </is>
      </c>
      <c r="O955" s="441" t="n">
        <v>45779</v>
      </c>
      <c r="P955" s="441" t="n">
        <v>45779</v>
      </c>
      <c r="Q955" s="425">
        <f>IF(P955="","",TODAY()-P955)</f>
        <v/>
      </c>
      <c r="R955" s="441">
        <f>IF(OR(L955="Passed",Z955=""),"",P955+Z955)</f>
        <v/>
      </c>
      <c r="S955" s="425">
        <f>IF(OR(R955="",L955="Passed"),"",IF(R955&lt;=TODAY(),"DUE",IF(R955&lt;=TODAY()+3,"Next 3 Days","Later")))</f>
        <v/>
      </c>
      <c r="T955" s="425" t="inlineStr"/>
      <c r="U955" s="426" t="inlineStr"/>
      <c r="V955" s="426" t="inlineStr"/>
      <c r="W955" s="428" t="inlineStr">
        <is>
          <t xml:space="preserve"> | </t>
        </is>
      </c>
      <c r="X955" s="425" t="inlineStr">
        <is>
          <t>Lizi - Investor Contacts!16</t>
        </is>
      </c>
      <c r="Y955" s="426" t="inlineStr">
        <is>
          <t>Send 1st follow-up and ask for 20-minute call</t>
        </is>
      </c>
      <c r="Z955" s="425" t="n">
        <v>3</v>
      </c>
      <c r="AA955" s="425">
        <f>IF(AC955="Archived",0,ROUND((IF(N955="Tier 1",35,IF(N955="Tier 2",20,8))+IF(C955="Financial Investor",15,IF(C955="Intermediary / Banker",12,8))+IF(L955="Term Sheet / Proposal",25,IF(L955="Engaged",20,IF(L955="Meeting Requested",18,IF(L955="Meeting Held",14,IF(L955="Follow Up",10,5)))))+MIN(Q955,30)+IF(S955="DUE",15,IF(S955="Next 3 Days",8,0))),0))</f>
        <v/>
      </c>
      <c r="AB955" s="425">
        <f>IF(AND(AC955="Active",OR(N955="Tier 1",N955="Tier 2"),OR(S955="DUE",S955="Next 3 Days")),"YES","")</f>
        <v/>
      </c>
      <c r="AC955" s="425">
        <f>IF(L955="Passed","Archived","Active")</f>
        <v/>
      </c>
    </row>
    <row r="956">
      <c r="A956" s="425" t="inlineStr">
        <is>
          <t>EXOS-0955</t>
        </is>
      </c>
      <c r="B956" s="425" t="inlineStr">
        <is>
          <t>Lizi - Investor Contacts</t>
        </is>
      </c>
      <c r="C956" s="425" t="inlineStr">
        <is>
          <t>Financial Investor</t>
        </is>
      </c>
      <c r="D956" s="425" t="inlineStr">
        <is>
          <t>Golden Seeds</t>
        </is>
      </c>
      <c r="E956" s="425" t="inlineStr">
        <is>
          <t>JoAnn Corkran</t>
        </is>
      </c>
      <c r="F956" s="425" t="inlineStr"/>
      <c r="G956" s="111" t="inlineStr">
        <is>
          <t>jac@goldenseeds.com</t>
        </is>
      </c>
      <c r="H956" s="425" t="inlineStr"/>
      <c r="I956" s="425" t="inlineStr"/>
      <c r="J956" s="111" t="inlineStr">
        <is>
          <t>https://www.linkedin.com/in/jo-ann-corkran-06600531/</t>
        </is>
      </c>
      <c r="K956" s="426" t="inlineStr">
        <is>
          <t>John Quinn</t>
        </is>
      </c>
      <c r="L956" s="426" t="inlineStr">
        <is>
          <t>Contacted</t>
        </is>
      </c>
      <c r="M956" s="425" t="inlineStr">
        <is>
          <t>Space / Defense / Aerospace / Advanced Manufacturing</t>
        </is>
      </c>
      <c r="N956" s="426" t="inlineStr">
        <is>
          <t>Tier 2</t>
        </is>
      </c>
      <c r="O956" s="441" t="n">
        <v>45779</v>
      </c>
      <c r="P956" s="441" t="n">
        <v>45779</v>
      </c>
      <c r="Q956" s="425">
        <f>IF(P956="","",TODAY()-P956)</f>
        <v/>
      </c>
      <c r="R956" s="441">
        <f>IF(OR(L956="Passed",Z956=""),"",P956+Z956)</f>
        <v/>
      </c>
      <c r="S956" s="425">
        <f>IF(OR(R956="",L956="Passed"),"",IF(R956&lt;=TODAY(),"DUE",IF(R956&lt;=TODAY()+3,"Next 3 Days","Later")))</f>
        <v/>
      </c>
      <c r="T956" s="425" t="inlineStr"/>
      <c r="U956" s="426" t="inlineStr"/>
      <c r="V956" s="426" t="inlineStr"/>
      <c r="W956" s="428" t="inlineStr">
        <is>
          <t xml:space="preserve"> | </t>
        </is>
      </c>
      <c r="X956" s="425" t="inlineStr">
        <is>
          <t>Lizi - Investor Contacts!8</t>
        </is>
      </c>
      <c r="Y956" s="426" t="inlineStr">
        <is>
          <t>Send 1st follow-up and ask for 20-minute call</t>
        </is>
      </c>
      <c r="Z956" s="425" t="n">
        <v>3</v>
      </c>
      <c r="AA956" s="425">
        <f>IF(AC956="Archived",0,ROUND((IF(N956="Tier 1",35,IF(N956="Tier 2",20,8))+IF(C956="Financial Investor",15,IF(C956="Intermediary / Banker",12,8))+IF(L956="Term Sheet / Proposal",25,IF(L956="Engaged",20,IF(L956="Meeting Requested",18,IF(L956="Meeting Held",14,IF(L956="Follow Up",10,5)))))+MIN(Q956,30)+IF(S956="DUE",15,IF(S956="Next 3 Days",8,0))),0))</f>
        <v/>
      </c>
      <c r="AB956" s="425">
        <f>IF(AND(AC956="Active",OR(N956="Tier 1",N956="Tier 2"),OR(S956="DUE",S956="Next 3 Days")),"YES","")</f>
        <v/>
      </c>
      <c r="AC956" s="425">
        <f>IF(L956="Passed","Archived","Active")</f>
        <v/>
      </c>
    </row>
    <row r="957">
      <c r="A957" s="425" t="inlineStr">
        <is>
          <t>EXOS-0956</t>
        </is>
      </c>
      <c r="B957" s="425" t="inlineStr">
        <is>
          <t>Lizi - Investor Contacts</t>
        </is>
      </c>
      <c r="C957" s="425" t="inlineStr">
        <is>
          <t>Financial Investor</t>
        </is>
      </c>
      <c r="D957" s="425" t="inlineStr">
        <is>
          <t>Golden Seeds</t>
        </is>
      </c>
      <c r="E957" s="425" t="inlineStr">
        <is>
          <t>Laura Baldwin</t>
        </is>
      </c>
      <c r="F957" s="425" t="inlineStr"/>
      <c r="G957" s="111" t="inlineStr">
        <is>
          <t>baldwinlaura@sbcglobal.net</t>
        </is>
      </c>
      <c r="H957" s="425" t="inlineStr"/>
      <c r="I957" s="425" t="inlineStr"/>
      <c r="J957" s="111" t="inlineStr">
        <is>
          <t>https://www.linkedin.com/in/laura-baldwin-98233615/</t>
        </is>
      </c>
      <c r="K957" s="426" t="inlineStr">
        <is>
          <t>John Quinn</t>
        </is>
      </c>
      <c r="L957" s="426" t="inlineStr">
        <is>
          <t>Contacted</t>
        </is>
      </c>
      <c r="M957" s="425" t="inlineStr">
        <is>
          <t>Space / Defense / Aerospace / Advanced Manufacturing</t>
        </is>
      </c>
      <c r="N957" s="426" t="inlineStr">
        <is>
          <t>Tier 2</t>
        </is>
      </c>
      <c r="O957" s="441" t="n">
        <v>45779</v>
      </c>
      <c r="P957" s="441" t="n">
        <v>45779</v>
      </c>
      <c r="Q957" s="425">
        <f>IF(P957="","",TODAY()-P957)</f>
        <v/>
      </c>
      <c r="R957" s="441">
        <f>IF(OR(L957="Passed",Z957=""),"",P957+Z957)</f>
        <v/>
      </c>
      <c r="S957" s="425">
        <f>IF(OR(R957="",L957="Passed"),"",IF(R957&lt;=TODAY(),"DUE",IF(R957&lt;=TODAY()+3,"Next 3 Days","Later")))</f>
        <v/>
      </c>
      <c r="T957" s="425" t="inlineStr"/>
      <c r="U957" s="426" t="inlineStr"/>
      <c r="V957" s="426" t="inlineStr"/>
      <c r="W957" s="428" t="inlineStr">
        <is>
          <t xml:space="preserve"> | </t>
        </is>
      </c>
      <c r="X957" s="425" t="inlineStr">
        <is>
          <t>Lizi - Investor Contacts!12</t>
        </is>
      </c>
      <c r="Y957" s="426" t="inlineStr">
        <is>
          <t>Send 1st follow-up and ask for 20-minute call</t>
        </is>
      </c>
      <c r="Z957" s="425" t="n">
        <v>3</v>
      </c>
      <c r="AA957" s="425">
        <f>IF(AC957="Archived",0,ROUND((IF(N957="Tier 1",35,IF(N957="Tier 2",20,8))+IF(C957="Financial Investor",15,IF(C957="Intermediary / Banker",12,8))+IF(L957="Term Sheet / Proposal",25,IF(L957="Engaged",20,IF(L957="Meeting Requested",18,IF(L957="Meeting Held",14,IF(L957="Follow Up",10,5)))))+MIN(Q957,30)+IF(S957="DUE",15,IF(S957="Next 3 Days",8,0))),0))</f>
        <v/>
      </c>
      <c r="AB957" s="425">
        <f>IF(AND(AC957="Active",OR(N957="Tier 1",N957="Tier 2"),OR(S957="DUE",S957="Next 3 Days")),"YES","")</f>
        <v/>
      </c>
      <c r="AC957" s="425">
        <f>IF(L957="Passed","Archived","Active")</f>
        <v/>
      </c>
    </row>
    <row r="958">
      <c r="A958" s="425" t="inlineStr">
        <is>
          <t>EXOS-0957</t>
        </is>
      </c>
      <c r="B958" s="425" t="inlineStr">
        <is>
          <t>Lizi - Investor Contacts</t>
        </is>
      </c>
      <c r="C958" s="425" t="inlineStr">
        <is>
          <t>Financial Investor</t>
        </is>
      </c>
      <c r="D958" s="425" t="inlineStr">
        <is>
          <t>Golden Seeds</t>
        </is>
      </c>
      <c r="E958" s="425" t="inlineStr">
        <is>
          <t>Loretta McCarthy</t>
        </is>
      </c>
      <c r="F958" s="425" t="inlineStr"/>
      <c r="G958" s="111" t="inlineStr">
        <is>
          <t>loretta@goldenseeds.com</t>
        </is>
      </c>
      <c r="H958" s="425" t="inlineStr"/>
      <c r="I958" s="425" t="inlineStr"/>
      <c r="J958" s="111" t="inlineStr">
        <is>
          <t>https://www.linkedin.com/in/loretta-mccarthy-b885a/</t>
        </is>
      </c>
      <c r="K958" s="426" t="inlineStr">
        <is>
          <t>John Quinn</t>
        </is>
      </c>
      <c r="L958" s="426" t="inlineStr">
        <is>
          <t>Contacted</t>
        </is>
      </c>
      <c r="M958" s="425" t="inlineStr">
        <is>
          <t>Space / Defense / Aerospace / Advanced Manufacturing</t>
        </is>
      </c>
      <c r="N958" s="426" t="inlineStr">
        <is>
          <t>Tier 2</t>
        </is>
      </c>
      <c r="O958" s="441" t="n">
        <v>45779</v>
      </c>
      <c r="P958" s="441" t="n">
        <v>45779</v>
      </c>
      <c r="Q958" s="425">
        <f>IF(P958="","",TODAY()-P958)</f>
        <v/>
      </c>
      <c r="R958" s="441">
        <f>IF(OR(L958="Passed",Z958=""),"",P958+Z958)</f>
        <v/>
      </c>
      <c r="S958" s="425">
        <f>IF(OR(R958="",L958="Passed"),"",IF(R958&lt;=TODAY(),"DUE",IF(R958&lt;=TODAY()+3,"Next 3 Days","Later")))</f>
        <v/>
      </c>
      <c r="T958" s="425" t="inlineStr"/>
      <c r="U958" s="426" t="inlineStr"/>
      <c r="V958" s="426" t="inlineStr"/>
      <c r="W958" s="428" t="inlineStr">
        <is>
          <t xml:space="preserve"> | </t>
        </is>
      </c>
      <c r="X958" s="425" t="inlineStr">
        <is>
          <t>Lizi - Investor Contacts!9</t>
        </is>
      </c>
      <c r="Y958" s="426" t="inlineStr">
        <is>
          <t>Send 1st follow-up and ask for 20-minute call</t>
        </is>
      </c>
      <c r="Z958" s="425" t="n">
        <v>3</v>
      </c>
      <c r="AA958" s="425">
        <f>IF(AC958="Archived",0,ROUND((IF(N958="Tier 1",35,IF(N958="Tier 2",20,8))+IF(C958="Financial Investor",15,IF(C958="Intermediary / Banker",12,8))+IF(L958="Term Sheet / Proposal",25,IF(L958="Engaged",20,IF(L958="Meeting Requested",18,IF(L958="Meeting Held",14,IF(L958="Follow Up",10,5)))))+MIN(Q958,30)+IF(S958="DUE",15,IF(S958="Next 3 Days",8,0))),0))</f>
        <v/>
      </c>
      <c r="AB958" s="425">
        <f>IF(AND(AC958="Active",OR(N958="Tier 1",N958="Tier 2"),OR(S958="DUE",S958="Next 3 Days")),"YES","")</f>
        <v/>
      </c>
      <c r="AC958" s="425">
        <f>IF(L958="Passed","Archived","Active")</f>
        <v/>
      </c>
    </row>
    <row r="959">
      <c r="A959" s="425" t="inlineStr">
        <is>
          <t>EXOS-0958</t>
        </is>
      </c>
      <c r="B959" s="425" t="inlineStr">
        <is>
          <t>Lizi - Investor Contacts</t>
        </is>
      </c>
      <c r="C959" s="425" t="inlineStr">
        <is>
          <t>Financial Investor</t>
        </is>
      </c>
      <c r="D959" s="425" t="inlineStr">
        <is>
          <t>Golden Seeds</t>
        </is>
      </c>
      <c r="E959" s="425" t="inlineStr">
        <is>
          <t>Robert Delman</t>
        </is>
      </c>
      <c r="F959" s="425" t="inlineStr"/>
      <c r="G959" s="111" t="inlineStr">
        <is>
          <t>robdelman@gmail.com</t>
        </is>
      </c>
      <c r="H959" s="425" t="inlineStr"/>
      <c r="I959" s="425" t="inlineStr"/>
      <c r="J959" s="111" t="inlineStr">
        <is>
          <t>https://www.linkedin.com/in/robdelman/</t>
        </is>
      </c>
      <c r="K959" s="426" t="inlineStr">
        <is>
          <t>John Quinn</t>
        </is>
      </c>
      <c r="L959" s="426" t="inlineStr">
        <is>
          <t>Contacted</t>
        </is>
      </c>
      <c r="M959" s="425" t="inlineStr">
        <is>
          <t>Space / Defense / Aerospace / Advanced Manufacturing</t>
        </is>
      </c>
      <c r="N959" s="426" t="inlineStr">
        <is>
          <t>Tier 2</t>
        </is>
      </c>
      <c r="O959" s="441" t="n">
        <v>45779</v>
      </c>
      <c r="P959" s="441" t="n">
        <v>45779</v>
      </c>
      <c r="Q959" s="425">
        <f>IF(P959="","",TODAY()-P959)</f>
        <v/>
      </c>
      <c r="R959" s="441">
        <f>IF(OR(L959="Passed",Z959=""),"",P959+Z959)</f>
        <v/>
      </c>
      <c r="S959" s="425">
        <f>IF(OR(R959="",L959="Passed"),"",IF(R959&lt;=TODAY(),"DUE",IF(R959&lt;=TODAY()+3,"Next 3 Days","Later")))</f>
        <v/>
      </c>
      <c r="T959" s="425" t="inlineStr"/>
      <c r="U959" s="426" t="inlineStr"/>
      <c r="V959" s="426" t="inlineStr"/>
      <c r="W959" s="428" t="inlineStr">
        <is>
          <t xml:space="preserve"> | </t>
        </is>
      </c>
      <c r="X959" s="425" t="inlineStr">
        <is>
          <t>Lizi - Investor Contacts!17</t>
        </is>
      </c>
      <c r="Y959" s="426" t="inlineStr">
        <is>
          <t>Send 1st follow-up and ask for 20-minute call</t>
        </is>
      </c>
      <c r="Z959" s="425" t="n">
        <v>3</v>
      </c>
      <c r="AA959" s="425">
        <f>IF(AC959="Archived",0,ROUND((IF(N959="Tier 1",35,IF(N959="Tier 2",20,8))+IF(C959="Financial Investor",15,IF(C959="Intermediary / Banker",12,8))+IF(L959="Term Sheet / Proposal",25,IF(L959="Engaged",20,IF(L959="Meeting Requested",18,IF(L959="Meeting Held",14,IF(L959="Follow Up",10,5)))))+MIN(Q959,30)+IF(S959="DUE",15,IF(S959="Next 3 Days",8,0))),0))</f>
        <v/>
      </c>
      <c r="AB959" s="425">
        <f>IF(AND(AC959="Active",OR(N959="Tier 1",N959="Tier 2"),OR(S959="DUE",S959="Next 3 Days")),"YES","")</f>
        <v/>
      </c>
      <c r="AC959" s="425">
        <f>IF(L959="Passed","Archived","Active")</f>
        <v/>
      </c>
    </row>
    <row r="960">
      <c r="A960" s="425" t="inlineStr">
        <is>
          <t>EXOS-0959</t>
        </is>
      </c>
      <c r="B960" s="425" t="inlineStr">
        <is>
          <t>Lizi - Investor Contacts</t>
        </is>
      </c>
      <c r="C960" s="425" t="inlineStr">
        <is>
          <t>Financial Investor</t>
        </is>
      </c>
      <c r="D960" s="425" t="inlineStr">
        <is>
          <t>Golden Seeds</t>
        </is>
      </c>
      <c r="E960" s="425" t="inlineStr">
        <is>
          <t>Samina Farid</t>
        </is>
      </c>
      <c r="F960" s="425" t="inlineStr"/>
      <c r="G960" s="111" t="inlineStr">
        <is>
          <t>sfarid@goldenseeds.com</t>
        </is>
      </c>
      <c r="H960" s="425" t="inlineStr"/>
      <c r="I960" s="425" t="inlineStr"/>
      <c r="J960" s="111" t="inlineStr">
        <is>
          <t>https://www.linkedin.com/in/samina-farid-a8156a2/</t>
        </is>
      </c>
      <c r="K960" s="426" t="inlineStr">
        <is>
          <t>John Quinn</t>
        </is>
      </c>
      <c r="L960" s="426" t="inlineStr">
        <is>
          <t>Contacted</t>
        </is>
      </c>
      <c r="M960" s="425" t="inlineStr">
        <is>
          <t>Space / Defense / Aerospace / Advanced Manufacturing</t>
        </is>
      </c>
      <c r="N960" s="426" t="inlineStr">
        <is>
          <t>Tier 2</t>
        </is>
      </c>
      <c r="O960" s="441" t="n">
        <v>45779</v>
      </c>
      <c r="P960" s="441" t="n">
        <v>45779</v>
      </c>
      <c r="Q960" s="425">
        <f>IF(P960="","",TODAY()-P960)</f>
        <v/>
      </c>
      <c r="R960" s="441">
        <f>IF(OR(L960="Passed",Z960=""),"",P960+Z960)</f>
        <v/>
      </c>
      <c r="S960" s="425">
        <f>IF(OR(R960="",L960="Passed"),"",IF(R960&lt;=TODAY(),"DUE",IF(R960&lt;=TODAY()+3,"Next 3 Days","Later")))</f>
        <v/>
      </c>
      <c r="T960" s="425" t="inlineStr"/>
      <c r="U960" s="426" t="inlineStr"/>
      <c r="V960" s="426" t="inlineStr"/>
      <c r="W960" s="428" t="inlineStr">
        <is>
          <t xml:space="preserve"> | </t>
        </is>
      </c>
      <c r="X960" s="425" t="inlineStr">
        <is>
          <t>Lizi - Investor Contacts!10</t>
        </is>
      </c>
      <c r="Y960" s="426" t="inlineStr">
        <is>
          <t>Send 1st follow-up and ask for 20-minute call</t>
        </is>
      </c>
      <c r="Z960" s="425" t="n">
        <v>3</v>
      </c>
      <c r="AA960" s="425">
        <f>IF(AC960="Archived",0,ROUND((IF(N960="Tier 1",35,IF(N960="Tier 2",20,8))+IF(C960="Financial Investor",15,IF(C960="Intermediary / Banker",12,8))+IF(L960="Term Sheet / Proposal",25,IF(L960="Engaged",20,IF(L960="Meeting Requested",18,IF(L960="Meeting Held",14,IF(L960="Follow Up",10,5)))))+MIN(Q960,30)+IF(S960="DUE",15,IF(S960="Next 3 Days",8,0))),0))</f>
        <v/>
      </c>
      <c r="AB960" s="425">
        <f>IF(AND(AC960="Active",OR(N960="Tier 1",N960="Tier 2"),OR(S960="DUE",S960="Next 3 Days")),"YES","")</f>
        <v/>
      </c>
      <c r="AC960" s="425">
        <f>IF(L960="Passed","Archived","Active")</f>
        <v/>
      </c>
    </row>
    <row r="961">
      <c r="A961" s="425" t="inlineStr">
        <is>
          <t>EXOS-0960</t>
        </is>
      </c>
      <c r="B961" s="425" t="inlineStr">
        <is>
          <t>Lizi - Investor Contacts</t>
        </is>
      </c>
      <c r="C961" s="425" t="inlineStr">
        <is>
          <t>Financial Investor</t>
        </is>
      </c>
      <c r="D961" s="425" t="inlineStr">
        <is>
          <t>Golden Seeds</t>
        </is>
      </c>
      <c r="E961" s="425" t="inlineStr">
        <is>
          <t>Sheryl Schultz</t>
        </is>
      </c>
      <c r="F961" s="425" t="inlineStr"/>
      <c r="G961" s="111" t="inlineStr">
        <is>
          <t>srs@goldenseeds.com</t>
        </is>
      </c>
      <c r="H961" s="425" t="inlineStr"/>
      <c r="I961" s="425" t="inlineStr"/>
      <c r="J961" s="111" t="inlineStr">
        <is>
          <t>https://www.linkedin.com/in/sherylschultz/</t>
        </is>
      </c>
      <c r="K961" s="426" t="inlineStr">
        <is>
          <t>John Quinn</t>
        </is>
      </c>
      <c r="L961" s="426" t="inlineStr">
        <is>
          <t>Contacted</t>
        </is>
      </c>
      <c r="M961" s="425" t="inlineStr">
        <is>
          <t>Space / Defense / Aerospace / Advanced Manufacturing</t>
        </is>
      </c>
      <c r="N961" s="426" t="inlineStr">
        <is>
          <t>Tier 2</t>
        </is>
      </c>
      <c r="O961" s="441" t="n">
        <v>45779</v>
      </c>
      <c r="P961" s="441" t="n">
        <v>45779</v>
      </c>
      <c r="Q961" s="425">
        <f>IF(P961="","",TODAY()-P961)</f>
        <v/>
      </c>
      <c r="R961" s="441">
        <f>IF(OR(L961="Passed",Z961=""),"",P961+Z961)</f>
        <v/>
      </c>
      <c r="S961" s="425">
        <f>IF(OR(R961="",L961="Passed"),"",IF(R961&lt;=TODAY(),"DUE",IF(R961&lt;=TODAY()+3,"Next 3 Days","Later")))</f>
        <v/>
      </c>
      <c r="T961" s="425" t="inlineStr"/>
      <c r="U961" s="426" t="inlineStr"/>
      <c r="V961" s="426" t="inlineStr"/>
      <c r="W961" s="428" t="inlineStr">
        <is>
          <t xml:space="preserve"> | </t>
        </is>
      </c>
      <c r="X961" s="425" t="inlineStr">
        <is>
          <t>Lizi - Investor Contacts!7</t>
        </is>
      </c>
      <c r="Y961" s="426" t="inlineStr">
        <is>
          <t>Send 1st follow-up and ask for 20-minute call</t>
        </is>
      </c>
      <c r="Z961" s="425" t="n">
        <v>3</v>
      </c>
      <c r="AA961" s="425">
        <f>IF(AC961="Archived",0,ROUND((IF(N961="Tier 1",35,IF(N961="Tier 2",20,8))+IF(C961="Financial Investor",15,IF(C961="Intermediary / Banker",12,8))+IF(L961="Term Sheet / Proposal",25,IF(L961="Engaged",20,IF(L961="Meeting Requested",18,IF(L961="Meeting Held",14,IF(L961="Follow Up",10,5)))))+MIN(Q961,30)+IF(S961="DUE",15,IF(S961="Next 3 Days",8,0))),0))</f>
        <v/>
      </c>
      <c r="AB961" s="425">
        <f>IF(AND(AC961="Active",OR(N961="Tier 1",N961="Tier 2"),OR(S961="DUE",S961="Next 3 Days")),"YES","")</f>
        <v/>
      </c>
      <c r="AC961" s="425">
        <f>IF(L961="Passed","Archived","Active")</f>
        <v/>
      </c>
    </row>
    <row r="962">
      <c r="A962" s="425" t="inlineStr">
        <is>
          <t>EXOS-0961</t>
        </is>
      </c>
      <c r="B962" s="425" t="inlineStr">
        <is>
          <t>Lizi - Investor Contacts</t>
        </is>
      </c>
      <c r="C962" s="425" t="inlineStr">
        <is>
          <t>Financial Investor</t>
        </is>
      </c>
      <c r="D962" s="425" t="inlineStr">
        <is>
          <t>Golden Seeds</t>
        </is>
      </c>
      <c r="E962" s="425" t="inlineStr">
        <is>
          <t>Sumina Verma</t>
        </is>
      </c>
      <c r="F962" s="425" t="inlineStr"/>
      <c r="G962" s="111" t="inlineStr">
        <is>
          <t>sverma@goldenseeds.com</t>
        </is>
      </c>
      <c r="H962" s="425" t="inlineStr"/>
      <c r="I962" s="425" t="inlineStr"/>
      <c r="J962" s="111" t="inlineStr">
        <is>
          <t>https://www.linkedin.com/in/sumina/</t>
        </is>
      </c>
      <c r="K962" s="426" t="inlineStr">
        <is>
          <t>John Quinn</t>
        </is>
      </c>
      <c r="L962" s="426" t="inlineStr">
        <is>
          <t>Contacted</t>
        </is>
      </c>
      <c r="M962" s="425" t="inlineStr">
        <is>
          <t>Space / Defense / Aerospace / Advanced Manufacturing</t>
        </is>
      </c>
      <c r="N962" s="426" t="inlineStr">
        <is>
          <t>Tier 2</t>
        </is>
      </c>
      <c r="O962" s="441" t="n">
        <v>45779</v>
      </c>
      <c r="P962" s="441" t="n">
        <v>45779</v>
      </c>
      <c r="Q962" s="425">
        <f>IF(P962="","",TODAY()-P962)</f>
        <v/>
      </c>
      <c r="R962" s="441">
        <f>IF(OR(L962="Passed",Z962=""),"",P962+Z962)</f>
        <v/>
      </c>
      <c r="S962" s="425">
        <f>IF(OR(R962="",L962="Passed"),"",IF(R962&lt;=TODAY(),"DUE",IF(R962&lt;=TODAY()+3,"Next 3 Days","Later")))</f>
        <v/>
      </c>
      <c r="T962" s="425" t="inlineStr"/>
      <c r="U962" s="426" t="inlineStr"/>
      <c r="V962" s="426" t="inlineStr"/>
      <c r="W962" s="428" t="inlineStr">
        <is>
          <t xml:space="preserve"> | </t>
        </is>
      </c>
      <c r="X962" s="425" t="inlineStr">
        <is>
          <t>Lizi - Investor Contacts!15</t>
        </is>
      </c>
      <c r="Y962" s="426" t="inlineStr">
        <is>
          <t>Send 1st follow-up and ask for 20-minute call</t>
        </is>
      </c>
      <c r="Z962" s="425" t="n">
        <v>3</v>
      </c>
      <c r="AA962" s="425">
        <f>IF(AC962="Archived",0,ROUND((IF(N962="Tier 1",35,IF(N962="Tier 2",20,8))+IF(C962="Financial Investor",15,IF(C962="Intermediary / Banker",12,8))+IF(L962="Term Sheet / Proposal",25,IF(L962="Engaged",20,IF(L962="Meeting Requested",18,IF(L962="Meeting Held",14,IF(L962="Follow Up",10,5)))))+MIN(Q962,30)+IF(S962="DUE",15,IF(S962="Next 3 Days",8,0))),0))</f>
        <v/>
      </c>
      <c r="AB962" s="425">
        <f>IF(AND(AC962="Active",OR(N962="Tier 1",N962="Tier 2"),OR(S962="DUE",S962="Next 3 Days")),"YES","")</f>
        <v/>
      </c>
      <c r="AC962" s="425">
        <f>IF(L962="Passed","Archived","Active")</f>
        <v/>
      </c>
    </row>
    <row r="963">
      <c r="A963" s="425" t="inlineStr">
        <is>
          <t>EXOS-0962</t>
        </is>
      </c>
      <c r="B963" s="425" t="inlineStr">
        <is>
          <t>Lizi - Investor Contacts</t>
        </is>
      </c>
      <c r="C963" s="425" t="inlineStr">
        <is>
          <t>Financial Investor</t>
        </is>
      </c>
      <c r="D963" s="425" t="inlineStr">
        <is>
          <t>Golden Seeds</t>
        </is>
      </c>
      <c r="E963" s="425" t="inlineStr">
        <is>
          <t>Ulya Khan</t>
        </is>
      </c>
      <c r="F963" s="425" t="inlineStr"/>
      <c r="G963" s="111" t="inlineStr">
        <is>
          <t>ulya.khan@gmail.com</t>
        </is>
      </c>
      <c r="H963" s="425" t="inlineStr"/>
      <c r="I963" s="425" t="inlineStr"/>
      <c r="J963" s="111" t="inlineStr">
        <is>
          <t>https://www.linkedin.com/in/ulyakhan/</t>
        </is>
      </c>
      <c r="K963" s="426" t="inlineStr">
        <is>
          <t>John Quinn</t>
        </is>
      </c>
      <c r="L963" s="426" t="inlineStr">
        <is>
          <t>Contacted</t>
        </is>
      </c>
      <c r="M963" s="425" t="inlineStr">
        <is>
          <t>Space / Defense / Aerospace / Advanced Manufacturing</t>
        </is>
      </c>
      <c r="N963" s="426" t="inlineStr">
        <is>
          <t>Tier 2</t>
        </is>
      </c>
      <c r="O963" s="441" t="n">
        <v>45779</v>
      </c>
      <c r="P963" s="441" t="n">
        <v>45779</v>
      </c>
      <c r="Q963" s="425">
        <f>IF(P963="","",TODAY()-P963)</f>
        <v/>
      </c>
      <c r="R963" s="441">
        <f>IF(OR(L963="Passed",Z963=""),"",P963+Z963)</f>
        <v/>
      </c>
      <c r="S963" s="425">
        <f>IF(OR(R963="",L963="Passed"),"",IF(R963&lt;=TODAY(),"DUE",IF(R963&lt;=TODAY()+3,"Next 3 Days","Later")))</f>
        <v/>
      </c>
      <c r="T963" s="425" t="inlineStr"/>
      <c r="U963" s="426" t="inlineStr"/>
      <c r="V963" s="426" t="inlineStr"/>
      <c r="W963" s="428" t="inlineStr">
        <is>
          <t xml:space="preserve"> | </t>
        </is>
      </c>
      <c r="X963" s="425" t="inlineStr">
        <is>
          <t>Lizi - Investor Contacts!11</t>
        </is>
      </c>
      <c r="Y963" s="426" t="inlineStr">
        <is>
          <t>Send 1st follow-up and ask for 20-minute call</t>
        </is>
      </c>
      <c r="Z963" s="425" t="n">
        <v>3</v>
      </c>
      <c r="AA963" s="425">
        <f>IF(AC963="Archived",0,ROUND((IF(N963="Tier 1",35,IF(N963="Tier 2",20,8))+IF(C963="Financial Investor",15,IF(C963="Intermediary / Banker",12,8))+IF(L963="Term Sheet / Proposal",25,IF(L963="Engaged",20,IF(L963="Meeting Requested",18,IF(L963="Meeting Held",14,IF(L963="Follow Up",10,5)))))+MIN(Q963,30)+IF(S963="DUE",15,IF(S963="Next 3 Days",8,0))),0))</f>
        <v/>
      </c>
      <c r="AB963" s="425">
        <f>IF(AND(AC963="Active",OR(N963="Tier 1",N963="Tier 2"),OR(S963="DUE",S963="Next 3 Days")),"YES","")</f>
        <v/>
      </c>
      <c r="AC963" s="425">
        <f>IF(L963="Passed","Archived","Active")</f>
        <v/>
      </c>
    </row>
    <row r="964">
      <c r="A964" s="425" t="inlineStr">
        <is>
          <t>EXOS-0963</t>
        </is>
      </c>
      <c r="B964" s="425" t="inlineStr">
        <is>
          <t>Tank Contacts</t>
        </is>
      </c>
      <c r="C964" s="425" t="inlineStr">
        <is>
          <t>Strategic / Corporate</t>
        </is>
      </c>
      <c r="D964" s="425" t="inlineStr">
        <is>
          <t>Gravitics</t>
        </is>
      </c>
      <c r="E964" s="425" t="inlineStr">
        <is>
          <t>Bill Tandy</t>
        </is>
      </c>
      <c r="F964" s="425" t="inlineStr"/>
      <c r="G964" s="111" t="inlineStr">
        <is>
          <t>btandy@gravitics.com</t>
        </is>
      </c>
      <c r="H964" s="425" t="inlineStr"/>
      <c r="I964" s="425" t="inlineStr"/>
      <c r="J964" s="111" t="inlineStr">
        <is>
          <t>https://www.linkedin.com/in/billtandy/</t>
        </is>
      </c>
      <c r="K964" s="426" t="inlineStr">
        <is>
          <t>John Quinn</t>
        </is>
      </c>
      <c r="L964" s="426" t="inlineStr">
        <is>
          <t>Contacted</t>
        </is>
      </c>
      <c r="M964" s="425" t="inlineStr">
        <is>
          <t>Strategic space / aerospace alignment</t>
        </is>
      </c>
      <c r="N964" s="426" t="inlineStr">
        <is>
          <t>Tier 2</t>
        </is>
      </c>
      <c r="O964" s="441" t="n">
        <v>45744</v>
      </c>
      <c r="P964" s="441" t="n">
        <v>45744</v>
      </c>
      <c r="Q964" s="425">
        <f>IF(P964="","",TODAY()-P964)</f>
        <v/>
      </c>
      <c r="R964" s="441">
        <f>IF(OR(L964="Passed",Z964=""),"",P964+Z964)</f>
        <v/>
      </c>
      <c r="S964" s="425">
        <f>IF(OR(R964="",L964="Passed"),"",IF(R964&lt;=TODAY(),"DUE",IF(R964&lt;=TODAY()+3,"Next 3 Days","Later")))</f>
        <v/>
      </c>
      <c r="T964" s="425" t="inlineStr"/>
      <c r="U964" s="426" t="inlineStr"/>
      <c r="V964" s="426" t="inlineStr"/>
      <c r="W964" s="428" t="inlineStr"/>
      <c r="X964" s="425" t="inlineStr">
        <is>
          <t>Tank Contacts!10</t>
        </is>
      </c>
      <c r="Y964" s="426" t="inlineStr">
        <is>
          <t>Send 1st follow-up and ask for 20-minute call</t>
        </is>
      </c>
      <c r="Z964" s="425" t="n">
        <v>3</v>
      </c>
      <c r="AA964" s="425">
        <f>IF(AC964="Archived",0,ROUND((IF(N964="Tier 1",35,IF(N964="Tier 2",20,8))+IF(C964="Financial Investor",15,IF(C964="Intermediary / Banker",12,8))+IF(L964="Term Sheet / Proposal",25,IF(L964="Engaged",20,IF(L964="Meeting Requested",18,IF(L964="Meeting Held",14,IF(L964="Follow Up",10,5)))))+MIN(Q964,30)+IF(S964="DUE",15,IF(S964="Next 3 Days",8,0))),0))</f>
        <v/>
      </c>
      <c r="AB964" s="425">
        <f>IF(AND(AC964="Active",OR(N964="Tier 1",N964="Tier 2"),OR(S964="DUE",S964="Next 3 Days")),"YES","")</f>
        <v/>
      </c>
      <c r="AC964" s="425">
        <f>IF(L964="Passed","Archived","Active")</f>
        <v/>
      </c>
    </row>
    <row r="965">
      <c r="A965" s="425" t="inlineStr">
        <is>
          <t>EXOS-0964</t>
        </is>
      </c>
      <c r="B965" s="425" t="inlineStr">
        <is>
          <t>Tank Contacts</t>
        </is>
      </c>
      <c r="C965" s="425" t="inlineStr">
        <is>
          <t>Strategic / Corporate</t>
        </is>
      </c>
      <c r="D965" s="425" t="inlineStr">
        <is>
          <t>Gravitics</t>
        </is>
      </c>
      <c r="E965" s="425" t="inlineStr">
        <is>
          <t>Colin Doughan</t>
        </is>
      </c>
      <c r="F965" s="425" t="inlineStr"/>
      <c r="G965" s="111" t="inlineStr">
        <is>
          <t>cdoughan@gravitics.com</t>
        </is>
      </c>
      <c r="H965" s="425" t="inlineStr"/>
      <c r="I965" s="425" t="inlineStr"/>
      <c r="J965" s="111" t="inlineStr">
        <is>
          <t>https://www.linkedin.com/in/colin-doughan-60b511/</t>
        </is>
      </c>
      <c r="K965" s="426" t="inlineStr">
        <is>
          <t>John Quinn</t>
        </is>
      </c>
      <c r="L965" s="426" t="inlineStr">
        <is>
          <t>Contacted</t>
        </is>
      </c>
      <c r="M965" s="425" t="inlineStr">
        <is>
          <t>Strategic space / aerospace alignment</t>
        </is>
      </c>
      <c r="N965" s="426" t="inlineStr">
        <is>
          <t>Tier 2</t>
        </is>
      </c>
      <c r="O965" s="441" t="n">
        <v>45744</v>
      </c>
      <c r="P965" s="441" t="n">
        <v>45744</v>
      </c>
      <c r="Q965" s="425">
        <f>IF(P965="","",TODAY()-P965)</f>
        <v/>
      </c>
      <c r="R965" s="441">
        <f>IF(OR(L965="Passed",Z965=""),"",P965+Z965)</f>
        <v/>
      </c>
      <c r="S965" s="425">
        <f>IF(OR(R965="",L965="Passed"),"",IF(R965&lt;=TODAY(),"DUE",IF(R965&lt;=TODAY()+3,"Next 3 Days","Later")))</f>
        <v/>
      </c>
      <c r="T965" s="425" t="inlineStr"/>
      <c r="U965" s="426" t="inlineStr"/>
      <c r="V965" s="426" t="inlineStr"/>
      <c r="W965" s="428" t="inlineStr"/>
      <c r="X965" s="425" t="inlineStr">
        <is>
          <t>Tank Contacts!13</t>
        </is>
      </c>
      <c r="Y965" s="426" t="inlineStr">
        <is>
          <t>Send 1st follow-up and ask for 20-minute call</t>
        </is>
      </c>
      <c r="Z965" s="425" t="n">
        <v>3</v>
      </c>
      <c r="AA965" s="425">
        <f>IF(AC965="Archived",0,ROUND((IF(N965="Tier 1",35,IF(N965="Tier 2",20,8))+IF(C965="Financial Investor",15,IF(C965="Intermediary / Banker",12,8))+IF(L965="Term Sheet / Proposal",25,IF(L965="Engaged",20,IF(L965="Meeting Requested",18,IF(L965="Meeting Held",14,IF(L965="Follow Up",10,5)))))+MIN(Q965,30)+IF(S965="DUE",15,IF(S965="Next 3 Days",8,0))),0))</f>
        <v/>
      </c>
      <c r="AB965" s="425">
        <f>IF(AND(AC965="Active",OR(N965="Tier 1",N965="Tier 2"),OR(S965="DUE",S965="Next 3 Days")),"YES","")</f>
        <v/>
      </c>
      <c r="AC965" s="425">
        <f>IF(L965="Passed","Archived","Active")</f>
        <v/>
      </c>
    </row>
    <row r="966">
      <c r="A966" s="425" t="inlineStr">
        <is>
          <t>EXOS-0965</t>
        </is>
      </c>
      <c r="B966" s="425" t="inlineStr">
        <is>
          <t>Tank Contacts</t>
        </is>
      </c>
      <c r="C966" s="425" t="inlineStr">
        <is>
          <t>Strategic / Corporate</t>
        </is>
      </c>
      <c r="D966" s="425" t="inlineStr">
        <is>
          <t>Gravitics</t>
        </is>
      </c>
      <c r="E966" s="425" t="inlineStr">
        <is>
          <t>Jiral Shah</t>
        </is>
      </c>
      <c r="F966" s="425" t="inlineStr"/>
      <c r="G966" s="111" t="inlineStr">
        <is>
          <t>jshah@gravitics.com</t>
        </is>
      </c>
      <c r="H966" s="425" t="inlineStr">
        <is>
          <t>jiral.shah@gmail.com</t>
        </is>
      </c>
      <c r="I966" s="425" t="inlineStr"/>
      <c r="J966" s="111" t="inlineStr">
        <is>
          <t>https://www.linkedin.com/in/jiralshah/</t>
        </is>
      </c>
      <c r="K966" s="426" t="inlineStr">
        <is>
          <t>John Quinn</t>
        </is>
      </c>
      <c r="L966" s="426" t="inlineStr">
        <is>
          <t>Contacted</t>
        </is>
      </c>
      <c r="M966" s="425" t="inlineStr">
        <is>
          <t>Strategic space / aerospace alignment</t>
        </is>
      </c>
      <c r="N966" s="426" t="inlineStr">
        <is>
          <t>Tier 2</t>
        </is>
      </c>
      <c r="O966" s="441" t="n">
        <v>45744</v>
      </c>
      <c r="P966" s="441" t="n">
        <v>45744</v>
      </c>
      <c r="Q966" s="425">
        <f>IF(P966="","",TODAY()-P966)</f>
        <v/>
      </c>
      <c r="R966" s="441">
        <f>IF(OR(L966="Passed",Z966=""),"",P966+Z966)</f>
        <v/>
      </c>
      <c r="S966" s="425">
        <f>IF(OR(R966="",L966="Passed"),"",IF(R966&lt;=TODAY(),"DUE",IF(R966&lt;=TODAY()+3,"Next 3 Days","Later")))</f>
        <v/>
      </c>
      <c r="T966" s="425" t="inlineStr"/>
      <c r="U966" s="426" t="inlineStr"/>
      <c r="V966" s="426" t="inlineStr"/>
      <c r="W966" s="428" t="inlineStr"/>
      <c r="X966" s="425" t="inlineStr">
        <is>
          <t>Tank Contacts!11</t>
        </is>
      </c>
      <c r="Y966" s="426" t="inlineStr">
        <is>
          <t>Send 1st follow-up and ask for 20-minute call</t>
        </is>
      </c>
      <c r="Z966" s="425" t="n">
        <v>3</v>
      </c>
      <c r="AA966" s="425">
        <f>IF(AC966="Archived",0,ROUND((IF(N966="Tier 1",35,IF(N966="Tier 2",20,8))+IF(C966="Financial Investor",15,IF(C966="Intermediary / Banker",12,8))+IF(L966="Term Sheet / Proposal",25,IF(L966="Engaged",20,IF(L966="Meeting Requested",18,IF(L966="Meeting Held",14,IF(L966="Follow Up",10,5)))))+MIN(Q966,30)+IF(S966="DUE",15,IF(S966="Next 3 Days",8,0))),0))</f>
        <v/>
      </c>
      <c r="AB966" s="425">
        <f>IF(AND(AC966="Active",OR(N966="Tier 1",N966="Tier 2"),OR(S966="DUE",S966="Next 3 Days")),"YES","")</f>
        <v/>
      </c>
      <c r="AC966" s="425">
        <f>IF(L966="Passed","Archived","Active")</f>
        <v/>
      </c>
    </row>
    <row r="967">
      <c r="A967" s="425" t="inlineStr">
        <is>
          <t>EXOS-0966</t>
        </is>
      </c>
      <c r="B967" s="425" t="inlineStr">
        <is>
          <t>John - Investor Contacts</t>
        </is>
      </c>
      <c r="C967" s="425" t="inlineStr">
        <is>
          <t>Financial Investor</t>
        </is>
      </c>
      <c r="D967" s="425" t="inlineStr">
        <is>
          <t>Hanover International</t>
        </is>
      </c>
      <c r="E967" s="425" t="inlineStr">
        <is>
          <t>Kathy Cusumano</t>
        </is>
      </c>
      <c r="F967" s="425" t="inlineStr"/>
      <c r="G967" s="111" t="inlineStr">
        <is>
          <t>ka@hanoverintlinc.com</t>
        </is>
      </c>
      <c r="H967" s="425" t="inlineStr"/>
      <c r="I967" s="425" t="inlineStr"/>
      <c r="J967" s="425" t="inlineStr"/>
      <c r="K967" s="426" t="inlineStr">
        <is>
          <t>John Quinn</t>
        </is>
      </c>
      <c r="L967" s="426" t="inlineStr">
        <is>
          <t>Contacted</t>
        </is>
      </c>
      <c r="M967" s="425" t="inlineStr">
        <is>
          <t>Space / Defense / Aerospace / Advanced Manufacturing</t>
        </is>
      </c>
      <c r="N967" s="426" t="inlineStr">
        <is>
          <t>Tier 2</t>
        </is>
      </c>
      <c r="O967" s="441" t="n">
        <v>45852</v>
      </c>
      <c r="P967" s="441" t="n">
        <v>45852</v>
      </c>
      <c r="Q967" s="425">
        <f>IF(P967="","",TODAY()-P967)</f>
        <v/>
      </c>
      <c r="R967" s="441">
        <f>IF(OR(L967="Passed",Z967=""),"",P967+Z967)</f>
        <v/>
      </c>
      <c r="S967" s="425">
        <f>IF(OR(R967="",L967="Passed"),"",IF(R967&lt;=TODAY(),"DUE",IF(R967&lt;=TODAY()+3,"Next 3 Days","Later")))</f>
        <v/>
      </c>
      <c r="T967" s="425" t="inlineStr"/>
      <c r="U967" s="426" t="inlineStr"/>
      <c r="V967" s="426" t="inlineStr"/>
      <c r="W967" s="428" t="inlineStr">
        <is>
          <t xml:space="preserve"> |  | call for 7/16</t>
        </is>
      </c>
      <c r="X967" s="425" t="inlineStr">
        <is>
          <t>John - Investor Contacts!408</t>
        </is>
      </c>
      <c r="Y967" s="426" t="inlineStr">
        <is>
          <t>Send 1st follow-up and ask for 20-minute call</t>
        </is>
      </c>
      <c r="Z967" s="425" t="n">
        <v>3</v>
      </c>
      <c r="AA967" s="425">
        <f>IF(AC967="Archived",0,ROUND((IF(N967="Tier 1",35,IF(N967="Tier 2",20,8))+IF(C967="Financial Investor",15,IF(C967="Intermediary / Banker",12,8))+IF(L967="Term Sheet / Proposal",25,IF(L967="Engaged",20,IF(L967="Meeting Requested",18,IF(L967="Meeting Held",14,IF(L967="Follow Up",10,5)))))+MIN(Q967,30)+IF(S967="DUE",15,IF(S967="Next 3 Days",8,0))),0))</f>
        <v/>
      </c>
      <c r="AB967" s="425">
        <f>IF(AND(AC967="Active",OR(N967="Tier 1",N967="Tier 2"),OR(S967="DUE",S967="Next 3 Days")),"YES","")</f>
        <v/>
      </c>
      <c r="AC967" s="425">
        <f>IF(L967="Passed","Archived","Active")</f>
        <v/>
      </c>
    </row>
    <row r="968">
      <c r="A968" s="425" t="inlineStr">
        <is>
          <t>EXOS-0967</t>
        </is>
      </c>
      <c r="B968" s="425" t="inlineStr">
        <is>
          <t>John - Investor Contacts</t>
        </is>
      </c>
      <c r="C968" s="425" t="inlineStr">
        <is>
          <t>Financial Investor</t>
        </is>
      </c>
      <c r="D968" s="425" t="inlineStr">
        <is>
          <t>Harpoon VC</t>
        </is>
      </c>
      <c r="E968" s="425" t="inlineStr">
        <is>
          <t>Andrew Couillard</t>
        </is>
      </c>
      <c r="F968" s="425" t="inlineStr"/>
      <c r="G968" s="111" t="inlineStr">
        <is>
          <t>andrew@harpoon.vc</t>
        </is>
      </c>
      <c r="H968" s="425" t="inlineStr"/>
      <c r="I968" s="425" t="inlineStr"/>
      <c r="J968" s="111" t="inlineStr">
        <is>
          <t>https://www.linkedin.com/in/andrew-couillard/</t>
        </is>
      </c>
      <c r="K968" s="426" t="inlineStr">
        <is>
          <t>John Quinn</t>
        </is>
      </c>
      <c r="L968" s="426" t="inlineStr">
        <is>
          <t>Contacted</t>
        </is>
      </c>
      <c r="M968" s="425" t="inlineStr">
        <is>
          <t>Space / Defense / Aerospace / Advanced Manufacturing</t>
        </is>
      </c>
      <c r="N968" s="426" t="inlineStr">
        <is>
          <t>Tier 2</t>
        </is>
      </c>
      <c r="O968" s="441" t="n">
        <v>46074</v>
      </c>
      <c r="P968" s="441" t="n">
        <v>46074</v>
      </c>
      <c r="Q968" s="425">
        <f>IF(P968="","",TODAY()-P968)</f>
        <v/>
      </c>
      <c r="R968" s="441">
        <f>IF(OR(L968="Passed",Z968=""),"",P968+Z968)</f>
        <v/>
      </c>
      <c r="S968" s="425">
        <f>IF(OR(R968="",L968="Passed"),"",IF(R968&lt;=TODAY(),"DUE",IF(R968&lt;=TODAY()+3,"Next 3 Days","Later")))</f>
        <v/>
      </c>
      <c r="T968" s="425" t="inlineStr"/>
      <c r="U968" s="426" t="inlineStr">
        <is>
          <t>https://www.linkedin.com/in/andrew-couillard/</t>
        </is>
      </c>
      <c r="V968" s="426" t="inlineStr"/>
      <c r="W968" s="428" t="inlineStr">
        <is>
          <t xml:space="preserve"> |  | </t>
        </is>
      </c>
      <c r="X968" s="425" t="inlineStr">
        <is>
          <t>John - Investor Contacts!958</t>
        </is>
      </c>
      <c r="Y968" s="426" t="inlineStr">
        <is>
          <t>Send 1st follow-up and ask for 20-minute call</t>
        </is>
      </c>
      <c r="Z968" s="425" t="n">
        <v>3</v>
      </c>
      <c r="AA968" s="425">
        <f>IF(AC968="Archived",0,ROUND((IF(N968="Tier 1",35,IF(N968="Tier 2",20,8))+IF(C968="Financial Investor",15,IF(C968="Intermediary / Banker",12,8))+IF(L968="Term Sheet / Proposal",25,IF(L968="Engaged",20,IF(L968="Meeting Requested",18,IF(L968="Meeting Held",14,IF(L968="Follow Up",10,5)))))+MIN(Q968,30)+IF(S968="DUE",15,IF(S968="Next 3 Days",8,0))),0))</f>
        <v/>
      </c>
      <c r="AB968" s="425">
        <f>IF(AND(AC968="Active",OR(N968="Tier 1",N968="Tier 2"),OR(S968="DUE",S968="Next 3 Days")),"YES","")</f>
        <v/>
      </c>
      <c r="AC968" s="425">
        <f>IF(L968="Passed","Archived","Active")</f>
        <v/>
      </c>
    </row>
    <row r="969">
      <c r="A969" s="425" t="inlineStr">
        <is>
          <t>EXOS-0968</t>
        </is>
      </c>
      <c r="B969" s="425" t="inlineStr">
        <is>
          <t>John - Investor Contacts</t>
        </is>
      </c>
      <c r="C969" s="425" t="inlineStr">
        <is>
          <t>Financial Investor</t>
        </is>
      </c>
      <c r="D969" s="425" t="inlineStr">
        <is>
          <t>Harpoon VC</t>
        </is>
      </c>
      <c r="E969" s="425" t="inlineStr">
        <is>
          <t>Jacob Windle</t>
        </is>
      </c>
      <c r="F969" s="425" t="inlineStr"/>
      <c r="G969" s="111" t="inlineStr">
        <is>
          <t>jake@harpoon.vc</t>
        </is>
      </c>
      <c r="H969" s="425" t="inlineStr"/>
      <c r="I969" s="425" t="inlineStr"/>
      <c r="J969" s="111" t="inlineStr">
        <is>
          <t>https://www.linkedin.com/in/jacob-windle-2196b3109</t>
        </is>
      </c>
      <c r="K969" s="426" t="inlineStr">
        <is>
          <t>John Quinn</t>
        </is>
      </c>
      <c r="L969" s="426" t="inlineStr">
        <is>
          <t>Contacted</t>
        </is>
      </c>
      <c r="M969" s="425" t="inlineStr">
        <is>
          <t>Space / Defense / Aerospace / Advanced Manufacturing</t>
        </is>
      </c>
      <c r="N969" s="426" t="inlineStr">
        <is>
          <t>Tier 2</t>
        </is>
      </c>
      <c r="O969" s="441" t="n">
        <v>46074</v>
      </c>
      <c r="P969" s="441" t="n">
        <v>46074</v>
      </c>
      <c r="Q969" s="425">
        <f>IF(P969="","",TODAY()-P969)</f>
        <v/>
      </c>
      <c r="R969" s="441">
        <f>IF(OR(L969="Passed",Z969=""),"",P969+Z969)</f>
        <v/>
      </c>
      <c r="S969" s="425">
        <f>IF(OR(R969="",L969="Passed"),"",IF(R969&lt;=TODAY(),"DUE",IF(R969&lt;=TODAY()+3,"Next 3 Days","Later")))</f>
        <v/>
      </c>
      <c r="T969" s="425" t="inlineStr"/>
      <c r="U969" s="426" t="inlineStr">
        <is>
          <t>https://www.linkedin.com/in/jacob-windle-2196b3109</t>
        </is>
      </c>
      <c r="V969" s="426" t="inlineStr"/>
      <c r="W969" s="428" t="inlineStr">
        <is>
          <t xml:space="preserve"> |  | </t>
        </is>
      </c>
      <c r="X969" s="425" t="inlineStr">
        <is>
          <t>John - Investor Contacts!959</t>
        </is>
      </c>
      <c r="Y969" s="426" t="inlineStr">
        <is>
          <t>Send 1st follow-up and ask for 20-minute call</t>
        </is>
      </c>
      <c r="Z969" s="425" t="n">
        <v>3</v>
      </c>
      <c r="AA969" s="425">
        <f>IF(AC969="Archived",0,ROUND((IF(N969="Tier 1",35,IF(N969="Tier 2",20,8))+IF(C969="Financial Investor",15,IF(C969="Intermediary / Banker",12,8))+IF(L969="Term Sheet / Proposal",25,IF(L969="Engaged",20,IF(L969="Meeting Requested",18,IF(L969="Meeting Held",14,IF(L969="Follow Up",10,5)))))+MIN(Q969,30)+IF(S969="DUE",15,IF(S969="Next 3 Days",8,0))),0))</f>
        <v/>
      </c>
      <c r="AB969" s="425">
        <f>IF(AND(AC969="Active",OR(N969="Tier 1",N969="Tier 2"),OR(S969="DUE",S969="Next 3 Days")),"YES","")</f>
        <v/>
      </c>
      <c r="AC969" s="425">
        <f>IF(L969="Passed","Archived","Active")</f>
        <v/>
      </c>
    </row>
    <row r="970">
      <c r="A970" s="425" t="inlineStr">
        <is>
          <t>EXOS-0969</t>
        </is>
      </c>
      <c r="B970" s="425" t="inlineStr">
        <is>
          <t>John - Investor Contacts</t>
        </is>
      </c>
      <c r="C970" s="425" t="inlineStr">
        <is>
          <t>Financial Investor</t>
        </is>
      </c>
      <c r="D970" s="425" t="inlineStr">
        <is>
          <t>Harpoon VC</t>
        </is>
      </c>
      <c r="E970" s="425" t="inlineStr">
        <is>
          <t>Larsen Jensen</t>
        </is>
      </c>
      <c r="F970" s="425" t="inlineStr"/>
      <c r="G970" s="111" t="inlineStr">
        <is>
          <t>larsen@harpoon.vc</t>
        </is>
      </c>
      <c r="H970" s="425" t="inlineStr"/>
      <c r="I970" s="425" t="inlineStr"/>
      <c r="J970" s="425" t="inlineStr"/>
      <c r="K970" s="426" t="inlineStr">
        <is>
          <t>John Quinn</t>
        </is>
      </c>
      <c r="L970" s="426" t="inlineStr">
        <is>
          <t>Contacted</t>
        </is>
      </c>
      <c r="M970" s="425" t="inlineStr">
        <is>
          <t>Space / Defense / Aerospace / Advanced Manufacturing</t>
        </is>
      </c>
      <c r="N970" s="426" t="inlineStr">
        <is>
          <t>Tier 2</t>
        </is>
      </c>
      <c r="O970" s="441" t="n">
        <v>46074</v>
      </c>
      <c r="P970" s="441" t="n">
        <v>46074</v>
      </c>
      <c r="Q970" s="425">
        <f>IF(P970="","",TODAY()-P970)</f>
        <v/>
      </c>
      <c r="R970" s="441">
        <f>IF(OR(L970="Passed",Z970=""),"",P970+Z970)</f>
        <v/>
      </c>
      <c r="S970" s="425">
        <f>IF(OR(R970="",L970="Passed"),"",IF(R970&lt;=TODAY(),"DUE",IF(R970&lt;=TODAY()+3,"Next 3 Days","Later")))</f>
        <v/>
      </c>
      <c r="T970" s="425" t="inlineStr"/>
      <c r="U970" s="426" t="inlineStr"/>
      <c r="V970" s="426" t="inlineStr"/>
      <c r="W970" s="428" t="inlineStr">
        <is>
          <t xml:space="preserve"> |  | </t>
        </is>
      </c>
      <c r="X970" s="425" t="inlineStr">
        <is>
          <t>John - Investor Contacts!957</t>
        </is>
      </c>
      <c r="Y970" s="426" t="inlineStr">
        <is>
          <t>Send 1st follow-up and ask for 20-minute call</t>
        </is>
      </c>
      <c r="Z970" s="425" t="n">
        <v>3</v>
      </c>
      <c r="AA970" s="425">
        <f>IF(AC970="Archived",0,ROUND((IF(N970="Tier 1",35,IF(N970="Tier 2",20,8))+IF(C970="Financial Investor",15,IF(C970="Intermediary / Banker",12,8))+IF(L970="Term Sheet / Proposal",25,IF(L970="Engaged",20,IF(L970="Meeting Requested",18,IF(L970="Meeting Held",14,IF(L970="Follow Up",10,5)))))+MIN(Q970,30)+IF(S970="DUE",15,IF(S970="Next 3 Days",8,0))),0))</f>
        <v/>
      </c>
      <c r="AB970" s="425">
        <f>IF(AND(AC970="Active",OR(N970="Tier 1",N970="Tier 2"),OR(S970="DUE",S970="Next 3 Days")),"YES","")</f>
        <v/>
      </c>
      <c r="AC970" s="425">
        <f>IF(L970="Passed","Archived","Active")</f>
        <v/>
      </c>
    </row>
    <row r="971">
      <c r="A971" s="425" t="inlineStr">
        <is>
          <t>EXOS-0970</t>
        </is>
      </c>
      <c r="B971" s="425" t="inlineStr">
        <is>
          <t>John - Investor Contacts</t>
        </is>
      </c>
      <c r="C971" s="425" t="inlineStr">
        <is>
          <t>Financial Investor</t>
        </is>
      </c>
      <c r="D971" s="425" t="inlineStr">
        <is>
          <t>Harpoon VC</t>
        </is>
      </c>
      <c r="E971" s="425" t="inlineStr">
        <is>
          <t>Nathan Parker</t>
        </is>
      </c>
      <c r="F971" s="425" t="inlineStr"/>
      <c r="G971" s="111" t="inlineStr">
        <is>
          <t>nathan@harpoon.vc</t>
        </is>
      </c>
      <c r="H971" s="425" t="inlineStr"/>
      <c r="I971" s="425" t="inlineStr"/>
      <c r="J971" s="111" t="inlineStr">
        <is>
          <t>https://www.linkedin.com/in/nathan-parker-5801552</t>
        </is>
      </c>
      <c r="K971" s="426" t="inlineStr">
        <is>
          <t>John Quinn</t>
        </is>
      </c>
      <c r="L971" s="426" t="inlineStr">
        <is>
          <t>Contacted</t>
        </is>
      </c>
      <c r="M971" s="425" t="inlineStr">
        <is>
          <t>Space / Defense / Aerospace / Advanced Manufacturing</t>
        </is>
      </c>
      <c r="N971" s="426" t="inlineStr">
        <is>
          <t>Tier 2</t>
        </is>
      </c>
      <c r="O971" s="441" t="n">
        <v>46074</v>
      </c>
      <c r="P971" s="441" t="n">
        <v>46074</v>
      </c>
      <c r="Q971" s="425">
        <f>IF(P971="","",TODAY()-P971)</f>
        <v/>
      </c>
      <c r="R971" s="441">
        <f>IF(OR(L971="Passed",Z971=""),"",P971+Z971)</f>
        <v/>
      </c>
      <c r="S971" s="425">
        <f>IF(OR(R971="",L971="Passed"),"",IF(R971&lt;=TODAY(),"DUE",IF(R971&lt;=TODAY()+3,"Next 3 Days","Later")))</f>
        <v/>
      </c>
      <c r="T971" s="425" t="inlineStr"/>
      <c r="U971" s="426" t="inlineStr">
        <is>
          <t>https://www.linkedin.com/in/nathan-parker-5801552</t>
        </is>
      </c>
      <c r="V971" s="426" t="inlineStr"/>
      <c r="W971" s="428" t="inlineStr">
        <is>
          <t xml:space="preserve"> |  | </t>
        </is>
      </c>
      <c r="X971" s="425" t="inlineStr">
        <is>
          <t>John - Investor Contacts!955</t>
        </is>
      </c>
      <c r="Y971" s="426" t="inlineStr">
        <is>
          <t>Send 1st follow-up and ask for 20-minute call</t>
        </is>
      </c>
      <c r="Z971" s="425" t="n">
        <v>3</v>
      </c>
      <c r="AA971" s="425">
        <f>IF(AC971="Archived",0,ROUND((IF(N971="Tier 1",35,IF(N971="Tier 2",20,8))+IF(C971="Financial Investor",15,IF(C971="Intermediary / Banker",12,8))+IF(L971="Term Sheet / Proposal",25,IF(L971="Engaged",20,IF(L971="Meeting Requested",18,IF(L971="Meeting Held",14,IF(L971="Follow Up",10,5)))))+MIN(Q971,30)+IF(S971="DUE",15,IF(S971="Next 3 Days",8,0))),0))</f>
        <v/>
      </c>
      <c r="AB971" s="425">
        <f>IF(AND(AC971="Active",OR(N971="Tier 1",N971="Tier 2"),OR(S971="DUE",S971="Next 3 Days")),"YES","")</f>
        <v/>
      </c>
      <c r="AC971" s="425">
        <f>IF(L971="Passed","Archived","Active")</f>
        <v/>
      </c>
    </row>
    <row r="972">
      <c r="A972" s="425" t="inlineStr">
        <is>
          <t>EXOS-0971</t>
        </is>
      </c>
      <c r="B972" s="425" t="inlineStr">
        <is>
          <t>John - Investor Contacts</t>
        </is>
      </c>
      <c r="C972" s="425" t="inlineStr">
        <is>
          <t>Financial Investor</t>
        </is>
      </c>
      <c r="D972" s="425" t="inlineStr">
        <is>
          <t>Harpoon VC</t>
        </is>
      </c>
      <c r="E972" s="425" t="inlineStr">
        <is>
          <t>Steven Potter</t>
        </is>
      </c>
      <c r="F972" s="425" t="inlineStr"/>
      <c r="G972" s="111" t="inlineStr">
        <is>
          <t>stevenjpotter@mac.com</t>
        </is>
      </c>
      <c r="H972" s="425" t="inlineStr"/>
      <c r="I972" s="425" t="inlineStr"/>
      <c r="J972" s="425" t="inlineStr"/>
      <c r="K972" s="426" t="inlineStr">
        <is>
          <t>John Quinn</t>
        </is>
      </c>
      <c r="L972" s="426" t="inlineStr">
        <is>
          <t>Contacted</t>
        </is>
      </c>
      <c r="M972" s="425" t="inlineStr">
        <is>
          <t>Space / Defense / Aerospace / Advanced Manufacturing</t>
        </is>
      </c>
      <c r="N972" s="426" t="inlineStr">
        <is>
          <t>Tier 2</t>
        </is>
      </c>
      <c r="O972" s="441" t="n">
        <v>46074</v>
      </c>
      <c r="P972" s="441" t="n">
        <v>46074</v>
      </c>
      <c r="Q972" s="425">
        <f>IF(P972="","",TODAY()-P972)</f>
        <v/>
      </c>
      <c r="R972" s="441">
        <f>IF(OR(L972="Passed",Z972=""),"",P972+Z972)</f>
        <v/>
      </c>
      <c r="S972" s="425">
        <f>IF(OR(R972="",L972="Passed"),"",IF(R972&lt;=TODAY(),"DUE",IF(R972&lt;=TODAY()+3,"Next 3 Days","Later")))</f>
        <v/>
      </c>
      <c r="T972" s="425" t="inlineStr"/>
      <c r="U972" s="426" t="inlineStr">
        <is>
          <t>linkedin.com/in/spotter5326</t>
        </is>
      </c>
      <c r="V972" s="426" t="inlineStr"/>
      <c r="W972" s="428" t="inlineStr">
        <is>
          <t xml:space="preserve"> |  | </t>
        </is>
      </c>
      <c r="X972" s="425" t="inlineStr">
        <is>
          <t>John - Investor Contacts!956</t>
        </is>
      </c>
      <c r="Y972" s="426" t="inlineStr">
        <is>
          <t>Send 1st follow-up and ask for 20-minute call</t>
        </is>
      </c>
      <c r="Z972" s="425" t="n">
        <v>3</v>
      </c>
      <c r="AA972" s="425">
        <f>IF(AC972="Archived",0,ROUND((IF(N972="Tier 1",35,IF(N972="Tier 2",20,8))+IF(C972="Financial Investor",15,IF(C972="Intermediary / Banker",12,8))+IF(L972="Term Sheet / Proposal",25,IF(L972="Engaged",20,IF(L972="Meeting Requested",18,IF(L972="Meeting Held",14,IF(L972="Follow Up",10,5)))))+MIN(Q972,30)+IF(S972="DUE",15,IF(S972="Next 3 Days",8,0))),0))</f>
        <v/>
      </c>
      <c r="AB972" s="425">
        <f>IF(AND(AC972="Active",OR(N972="Tier 1",N972="Tier 2"),OR(S972="DUE",S972="Next 3 Days")),"YES","")</f>
        <v/>
      </c>
      <c r="AC972" s="425">
        <f>IF(L972="Passed","Archived","Active")</f>
        <v/>
      </c>
    </row>
    <row r="973">
      <c r="A973" s="425" t="inlineStr">
        <is>
          <t>EXOS-0972</t>
        </is>
      </c>
      <c r="B973" s="425" t="inlineStr">
        <is>
          <t>Tank Contacts</t>
        </is>
      </c>
      <c r="C973" s="425" t="inlineStr">
        <is>
          <t>Strategic / Corporate</t>
        </is>
      </c>
      <c r="D973" s="425" t="inlineStr">
        <is>
          <t>HyImpulse</t>
        </is>
      </c>
      <c r="E973" s="425" t="inlineStr">
        <is>
          <t>Altynay Graham</t>
        </is>
      </c>
      <c r="F973" s="425" t="inlineStr"/>
      <c r="G973" s="111" t="inlineStr">
        <is>
          <t>demeubayeva@hyimpulse.de</t>
        </is>
      </c>
      <c r="H973" s="425" t="inlineStr"/>
      <c r="I973" s="425" t="inlineStr"/>
      <c r="J973" s="111" t="inlineStr">
        <is>
          <t>https://www.linkedin.com/in/altynay-graham/</t>
        </is>
      </c>
      <c r="K973" s="426" t="inlineStr">
        <is>
          <t>John Quinn</t>
        </is>
      </c>
      <c r="L973" s="426" t="inlineStr">
        <is>
          <t>Contacted</t>
        </is>
      </c>
      <c r="M973" s="425" t="inlineStr">
        <is>
          <t>Strategic space / aerospace alignment</t>
        </is>
      </c>
      <c r="N973" s="426" t="inlineStr">
        <is>
          <t>Tier 2</t>
        </is>
      </c>
      <c r="O973" s="441" t="n">
        <v>45950</v>
      </c>
      <c r="P973" s="441" t="n">
        <v>45950</v>
      </c>
      <c r="Q973" s="425">
        <f>IF(P973="","",TODAY()-P973)</f>
        <v/>
      </c>
      <c r="R973" s="441">
        <f>IF(OR(L973="Passed",Z973=""),"",P973+Z973)</f>
        <v/>
      </c>
      <c r="S973" s="425">
        <f>IF(OR(R973="",L973="Passed"),"",IF(R973&lt;=TODAY(),"DUE",IF(R973&lt;=TODAY()+3,"Next 3 Days","Later")))</f>
        <v/>
      </c>
      <c r="T973" s="425" t="inlineStr"/>
      <c r="U973" s="426" t="inlineStr"/>
      <c r="V973" s="426" t="inlineStr"/>
      <c r="W973" s="428" t="inlineStr"/>
      <c r="X973" s="425" t="inlineStr">
        <is>
          <t>Tank Contacts!48</t>
        </is>
      </c>
      <c r="Y973" s="426" t="inlineStr">
        <is>
          <t>Send 1st follow-up and ask for 20-minute call</t>
        </is>
      </c>
      <c r="Z973" s="425" t="n">
        <v>3</v>
      </c>
      <c r="AA973" s="425">
        <f>IF(AC973="Archived",0,ROUND((IF(N973="Tier 1",35,IF(N973="Tier 2",20,8))+IF(C973="Financial Investor",15,IF(C973="Intermediary / Banker",12,8))+IF(L973="Term Sheet / Proposal",25,IF(L973="Engaged",20,IF(L973="Meeting Requested",18,IF(L973="Meeting Held",14,IF(L973="Follow Up",10,5)))))+MIN(Q973,30)+IF(S973="DUE",15,IF(S973="Next 3 Days",8,0))),0))</f>
        <v/>
      </c>
      <c r="AB973" s="425">
        <f>IF(AND(AC973="Active",OR(N973="Tier 1",N973="Tier 2"),OR(S973="DUE",S973="Next 3 Days")),"YES","")</f>
        <v/>
      </c>
      <c r="AC973" s="425">
        <f>IF(L973="Passed","Archived","Active")</f>
        <v/>
      </c>
    </row>
    <row r="974">
      <c r="A974" s="425" t="inlineStr">
        <is>
          <t>EXOS-0973</t>
        </is>
      </c>
      <c r="B974" s="425" t="inlineStr">
        <is>
          <t>Tank Contacts</t>
        </is>
      </c>
      <c r="C974" s="425" t="inlineStr">
        <is>
          <t>Strategic / Corporate</t>
        </is>
      </c>
      <c r="D974" s="425" t="inlineStr">
        <is>
          <t>HyImpulse</t>
        </is>
      </c>
      <c r="E974" s="425" t="inlineStr">
        <is>
          <t>Andrea De Pace</t>
        </is>
      </c>
      <c r="F974" s="425" t="inlineStr"/>
      <c r="G974" s="111" t="inlineStr">
        <is>
          <t>depace@hyimpulse.de</t>
        </is>
      </c>
      <c r="H974" s="425" t="inlineStr"/>
      <c r="I974" s="425" t="inlineStr"/>
      <c r="J974" s="111" t="inlineStr">
        <is>
          <t>https://www.linkedin.com/in/andreadepace/</t>
        </is>
      </c>
      <c r="K974" s="426" t="inlineStr">
        <is>
          <t>John Quinn</t>
        </is>
      </c>
      <c r="L974" s="426" t="inlineStr">
        <is>
          <t>Contacted</t>
        </is>
      </c>
      <c r="M974" s="425" t="inlineStr">
        <is>
          <t>Strategic space / aerospace alignment</t>
        </is>
      </c>
      <c r="N974" s="426" t="inlineStr">
        <is>
          <t>Tier 2</t>
        </is>
      </c>
      <c r="O974" s="441" t="n">
        <v>45950</v>
      </c>
      <c r="P974" s="441" t="n">
        <v>45950</v>
      </c>
      <c r="Q974" s="425">
        <f>IF(P974="","",TODAY()-P974)</f>
        <v/>
      </c>
      <c r="R974" s="441">
        <f>IF(OR(L974="Passed",Z974=""),"",P974+Z974)</f>
        <v/>
      </c>
      <c r="S974" s="425">
        <f>IF(OR(R974="",L974="Passed"),"",IF(R974&lt;=TODAY(),"DUE",IF(R974&lt;=TODAY()+3,"Next 3 Days","Later")))</f>
        <v/>
      </c>
      <c r="T974" s="425" t="inlineStr"/>
      <c r="U974" s="426" t="inlineStr"/>
      <c r="V974" s="426" t="inlineStr"/>
      <c r="W974" s="428" t="inlineStr"/>
      <c r="X974" s="425" t="inlineStr">
        <is>
          <t>Tank Contacts!46</t>
        </is>
      </c>
      <c r="Y974" s="426" t="inlineStr">
        <is>
          <t>Send 1st follow-up and ask for 20-minute call</t>
        </is>
      </c>
      <c r="Z974" s="425" t="n">
        <v>3</v>
      </c>
      <c r="AA974" s="425">
        <f>IF(AC974="Archived",0,ROUND((IF(N974="Tier 1",35,IF(N974="Tier 2",20,8))+IF(C974="Financial Investor",15,IF(C974="Intermediary / Banker",12,8))+IF(L974="Term Sheet / Proposal",25,IF(L974="Engaged",20,IF(L974="Meeting Requested",18,IF(L974="Meeting Held",14,IF(L974="Follow Up",10,5)))))+MIN(Q974,30)+IF(S974="DUE",15,IF(S974="Next 3 Days",8,0))),0))</f>
        <v/>
      </c>
      <c r="AB974" s="425">
        <f>IF(AND(AC974="Active",OR(N974="Tier 1",N974="Tier 2"),OR(S974="DUE",S974="Next 3 Days")),"YES","")</f>
        <v/>
      </c>
      <c r="AC974" s="425">
        <f>IF(L974="Passed","Archived","Active")</f>
        <v/>
      </c>
    </row>
    <row r="975">
      <c r="A975" s="425" t="inlineStr">
        <is>
          <t>EXOS-0974</t>
        </is>
      </c>
      <c r="B975" s="425" t="inlineStr">
        <is>
          <t>Tank Contacts</t>
        </is>
      </c>
      <c r="C975" s="425" t="inlineStr">
        <is>
          <t>Strategic / Corporate</t>
        </is>
      </c>
      <c r="D975" s="425" t="inlineStr">
        <is>
          <t>HyImpulse</t>
        </is>
      </c>
      <c r="E975" s="425" t="inlineStr">
        <is>
          <t>Aurimas Jankauskas</t>
        </is>
      </c>
      <c r="F975" s="425" t="inlineStr"/>
      <c r="G975" s="111" t="inlineStr">
        <is>
          <t>jankauskas@hyimpulse.de</t>
        </is>
      </c>
      <c r="H975" s="425" t="inlineStr"/>
      <c r="I975" s="425" t="inlineStr"/>
      <c r="J975" s="111" t="inlineStr">
        <is>
          <t>https://www.linkedin.com/in/aurimas-jankauskas-67a81482/</t>
        </is>
      </c>
      <c r="K975" s="426" t="inlineStr">
        <is>
          <t>John Quinn</t>
        </is>
      </c>
      <c r="L975" s="426" t="inlineStr">
        <is>
          <t>Contacted</t>
        </is>
      </c>
      <c r="M975" s="425" t="inlineStr">
        <is>
          <t>Strategic space / aerospace alignment</t>
        </is>
      </c>
      <c r="N975" s="426" t="inlineStr">
        <is>
          <t>Tier 2</t>
        </is>
      </c>
      <c r="O975" s="441" t="n">
        <v>45950</v>
      </c>
      <c r="P975" s="441" t="n">
        <v>45950</v>
      </c>
      <c r="Q975" s="425">
        <f>IF(P975="","",TODAY()-P975)</f>
        <v/>
      </c>
      <c r="R975" s="441">
        <f>IF(OR(L975="Passed",Z975=""),"",P975+Z975)</f>
        <v/>
      </c>
      <c r="S975" s="425">
        <f>IF(OR(R975="",L975="Passed"),"",IF(R975&lt;=TODAY(),"DUE",IF(R975&lt;=TODAY()+3,"Next 3 Days","Later")))</f>
        <v/>
      </c>
      <c r="T975" s="425" t="inlineStr"/>
      <c r="U975" s="426" t="inlineStr"/>
      <c r="V975" s="426" t="inlineStr"/>
      <c r="W975" s="428" t="inlineStr"/>
      <c r="X975" s="425" t="inlineStr">
        <is>
          <t>Tank Contacts!47</t>
        </is>
      </c>
      <c r="Y975" s="426" t="inlineStr">
        <is>
          <t>Send 1st follow-up and ask for 20-minute call</t>
        </is>
      </c>
      <c r="Z975" s="425" t="n">
        <v>3</v>
      </c>
      <c r="AA975" s="425">
        <f>IF(AC975="Archived",0,ROUND((IF(N975="Tier 1",35,IF(N975="Tier 2",20,8))+IF(C975="Financial Investor",15,IF(C975="Intermediary / Banker",12,8))+IF(L975="Term Sheet / Proposal",25,IF(L975="Engaged",20,IF(L975="Meeting Requested",18,IF(L975="Meeting Held",14,IF(L975="Follow Up",10,5)))))+MIN(Q975,30)+IF(S975="DUE",15,IF(S975="Next 3 Days",8,0))),0))</f>
        <v/>
      </c>
      <c r="AB975" s="425">
        <f>IF(AND(AC975="Active",OR(N975="Tier 1",N975="Tier 2"),OR(S975="DUE",S975="Next 3 Days")),"YES","")</f>
        <v/>
      </c>
      <c r="AC975" s="425">
        <f>IF(L975="Passed","Archived","Active")</f>
        <v/>
      </c>
    </row>
    <row r="976">
      <c r="A976" s="425" t="inlineStr">
        <is>
          <t>EXOS-0975</t>
        </is>
      </c>
      <c r="B976" s="425" t="inlineStr">
        <is>
          <t>Tank Contacts</t>
        </is>
      </c>
      <c r="C976" s="425" t="inlineStr">
        <is>
          <t>Strategic / Corporate</t>
        </is>
      </c>
      <c r="D976" s="425" t="inlineStr">
        <is>
          <t>HyImpulse</t>
        </is>
      </c>
      <c r="E976" s="425" t="inlineStr">
        <is>
          <t>Ilnur Farizanov</t>
        </is>
      </c>
      <c r="F976" s="425" t="inlineStr"/>
      <c r="G976" s="111" t="inlineStr">
        <is>
          <t>farizanov@hyimpulse.de</t>
        </is>
      </c>
      <c r="H976" s="425" t="inlineStr"/>
      <c r="I976" s="425" t="inlineStr"/>
      <c r="J976" s="111" t="inlineStr">
        <is>
          <t>https://www.linkedin.com/in/ilnur-farizanov-6b2072131/</t>
        </is>
      </c>
      <c r="K976" s="426" t="inlineStr">
        <is>
          <t>John Quinn</t>
        </is>
      </c>
      <c r="L976" s="426" t="inlineStr">
        <is>
          <t>Contacted</t>
        </is>
      </c>
      <c r="M976" s="425" t="inlineStr">
        <is>
          <t>Strategic space / aerospace alignment</t>
        </is>
      </c>
      <c r="N976" s="426" t="inlineStr">
        <is>
          <t>Tier 2</t>
        </is>
      </c>
      <c r="O976" s="441" t="n">
        <v>45950</v>
      </c>
      <c r="P976" s="441" t="n">
        <v>45950</v>
      </c>
      <c r="Q976" s="425">
        <f>IF(P976="","",TODAY()-P976)</f>
        <v/>
      </c>
      <c r="R976" s="441">
        <f>IF(OR(L976="Passed",Z976=""),"",P976+Z976)</f>
        <v/>
      </c>
      <c r="S976" s="425">
        <f>IF(OR(R976="",L976="Passed"),"",IF(R976&lt;=TODAY(),"DUE",IF(R976&lt;=TODAY()+3,"Next 3 Days","Later")))</f>
        <v/>
      </c>
      <c r="T976" s="425" t="inlineStr"/>
      <c r="U976" s="426" t="inlineStr"/>
      <c r="V976" s="426" t="inlineStr"/>
      <c r="W976" s="428" t="inlineStr"/>
      <c r="X976" s="425" t="inlineStr">
        <is>
          <t>Tank Contacts!50</t>
        </is>
      </c>
      <c r="Y976" s="426" t="inlineStr">
        <is>
          <t>Send 1st follow-up and ask for 20-minute call</t>
        </is>
      </c>
      <c r="Z976" s="425" t="n">
        <v>3</v>
      </c>
      <c r="AA976" s="425">
        <f>IF(AC976="Archived",0,ROUND((IF(N976="Tier 1",35,IF(N976="Tier 2",20,8))+IF(C976="Financial Investor",15,IF(C976="Intermediary / Banker",12,8))+IF(L976="Term Sheet / Proposal",25,IF(L976="Engaged",20,IF(L976="Meeting Requested",18,IF(L976="Meeting Held",14,IF(L976="Follow Up",10,5)))))+MIN(Q976,30)+IF(S976="DUE",15,IF(S976="Next 3 Days",8,0))),0))</f>
        <v/>
      </c>
      <c r="AB976" s="425">
        <f>IF(AND(AC976="Active",OR(N976="Tier 1",N976="Tier 2"),OR(S976="DUE",S976="Next 3 Days")),"YES","")</f>
        <v/>
      </c>
      <c r="AC976" s="425">
        <f>IF(L976="Passed","Archived","Active")</f>
        <v/>
      </c>
    </row>
    <row r="977">
      <c r="A977" s="425" t="inlineStr">
        <is>
          <t>EXOS-0976</t>
        </is>
      </c>
      <c r="B977" s="425" t="inlineStr">
        <is>
          <t>Tank Contacts</t>
        </is>
      </c>
      <c r="C977" s="425" t="inlineStr">
        <is>
          <t>Strategic / Corporate</t>
        </is>
      </c>
      <c r="D977" s="425" t="inlineStr">
        <is>
          <t>HyImpulse</t>
        </is>
      </c>
      <c r="E977" s="425" t="inlineStr">
        <is>
          <t>Issabella Verri</t>
        </is>
      </c>
      <c r="F977" s="425" t="inlineStr"/>
      <c r="G977" s="111" t="inlineStr">
        <is>
          <t>verri@hyimpulse.de</t>
        </is>
      </c>
      <c r="H977" s="425" t="inlineStr"/>
      <c r="I977" s="425" t="inlineStr"/>
      <c r="J977" s="111" t="inlineStr">
        <is>
          <t>https://www.linkedin.com/in/isabella-verri-2785b796/</t>
        </is>
      </c>
      <c r="K977" s="426" t="inlineStr">
        <is>
          <t>John Quinn</t>
        </is>
      </c>
      <c r="L977" s="426" t="inlineStr">
        <is>
          <t>Contacted</t>
        </is>
      </c>
      <c r="M977" s="425" t="inlineStr">
        <is>
          <t>Strategic space / aerospace alignment</t>
        </is>
      </c>
      <c r="N977" s="426" t="inlineStr">
        <is>
          <t>Tier 2</t>
        </is>
      </c>
      <c r="O977" s="441" t="n">
        <v>45950</v>
      </c>
      <c r="P977" s="441" t="n">
        <v>45950</v>
      </c>
      <c r="Q977" s="425">
        <f>IF(P977="","",TODAY()-P977)</f>
        <v/>
      </c>
      <c r="R977" s="441">
        <f>IF(OR(L977="Passed",Z977=""),"",P977+Z977)</f>
        <v/>
      </c>
      <c r="S977" s="425">
        <f>IF(OR(R977="",L977="Passed"),"",IF(R977&lt;=TODAY(),"DUE",IF(R977&lt;=TODAY()+3,"Next 3 Days","Later")))</f>
        <v/>
      </c>
      <c r="T977" s="425" t="inlineStr"/>
      <c r="U977" s="426" t="inlineStr"/>
      <c r="V977" s="426" t="inlineStr"/>
      <c r="W977" s="428" t="inlineStr"/>
      <c r="X977" s="425" t="inlineStr">
        <is>
          <t>Tank Contacts!44</t>
        </is>
      </c>
      <c r="Y977" s="426" t="inlineStr">
        <is>
          <t>Send 1st follow-up and ask for 20-minute call</t>
        </is>
      </c>
      <c r="Z977" s="425" t="n">
        <v>3</v>
      </c>
      <c r="AA977" s="425">
        <f>IF(AC977="Archived",0,ROUND((IF(N977="Tier 1",35,IF(N977="Tier 2",20,8))+IF(C977="Financial Investor",15,IF(C977="Intermediary / Banker",12,8))+IF(L977="Term Sheet / Proposal",25,IF(L977="Engaged",20,IF(L977="Meeting Requested",18,IF(L977="Meeting Held",14,IF(L977="Follow Up",10,5)))))+MIN(Q977,30)+IF(S977="DUE",15,IF(S977="Next 3 Days",8,0))),0))</f>
        <v/>
      </c>
      <c r="AB977" s="425">
        <f>IF(AND(AC977="Active",OR(N977="Tier 1",N977="Tier 2"),OR(S977="DUE",S977="Next 3 Days")),"YES","")</f>
        <v/>
      </c>
      <c r="AC977" s="425">
        <f>IF(L977="Passed","Archived","Active")</f>
        <v/>
      </c>
    </row>
    <row r="978">
      <c r="A978" s="425" t="inlineStr">
        <is>
          <t>EXOS-0977</t>
        </is>
      </c>
      <c r="B978" s="425" t="inlineStr">
        <is>
          <t>Tank Contacts</t>
        </is>
      </c>
      <c r="C978" s="425" t="inlineStr">
        <is>
          <t>Strategic / Corporate</t>
        </is>
      </c>
      <c r="D978" s="425" t="inlineStr">
        <is>
          <t>HyImpulse</t>
        </is>
      </c>
      <c r="E978" s="425" t="inlineStr">
        <is>
          <t>Konstantin Tomlin</t>
        </is>
      </c>
      <c r="F978" s="425" t="inlineStr"/>
      <c r="G978" s="111" t="inlineStr">
        <is>
          <t>tomilin@hyimpulse.de</t>
        </is>
      </c>
      <c r="H978" s="425" t="inlineStr"/>
      <c r="I978" s="425" t="inlineStr"/>
      <c r="J978" s="111" t="inlineStr">
        <is>
          <t>https://www.linkedin.com/in/konstantin-tomilin-166830151/</t>
        </is>
      </c>
      <c r="K978" s="426" t="inlineStr">
        <is>
          <t>John Quinn</t>
        </is>
      </c>
      <c r="L978" s="426" t="inlineStr">
        <is>
          <t>Contacted</t>
        </is>
      </c>
      <c r="M978" s="425" t="inlineStr">
        <is>
          <t>Strategic space / aerospace alignment</t>
        </is>
      </c>
      <c r="N978" s="426" t="inlineStr">
        <is>
          <t>Tier 2</t>
        </is>
      </c>
      <c r="O978" s="441" t="n">
        <v>45950</v>
      </c>
      <c r="P978" s="441" t="n">
        <v>45950</v>
      </c>
      <c r="Q978" s="425">
        <f>IF(P978="","",TODAY()-P978)</f>
        <v/>
      </c>
      <c r="R978" s="441">
        <f>IF(OR(L978="Passed",Z978=""),"",P978+Z978)</f>
        <v/>
      </c>
      <c r="S978" s="425">
        <f>IF(OR(R978="",L978="Passed"),"",IF(R978&lt;=TODAY(),"DUE",IF(R978&lt;=TODAY()+3,"Next 3 Days","Later")))</f>
        <v/>
      </c>
      <c r="T978" s="425" t="inlineStr"/>
      <c r="U978" s="426" t="inlineStr"/>
      <c r="V978" s="426" t="inlineStr"/>
      <c r="W978" s="428" t="inlineStr"/>
      <c r="X978" s="425" t="inlineStr">
        <is>
          <t>Tank Contacts!42</t>
        </is>
      </c>
      <c r="Y978" s="426" t="inlineStr">
        <is>
          <t>Send 1st follow-up and ask for 20-minute call</t>
        </is>
      </c>
      <c r="Z978" s="425" t="n">
        <v>3</v>
      </c>
      <c r="AA978" s="425">
        <f>IF(AC978="Archived",0,ROUND((IF(N978="Tier 1",35,IF(N978="Tier 2",20,8))+IF(C978="Financial Investor",15,IF(C978="Intermediary / Banker",12,8))+IF(L978="Term Sheet / Proposal",25,IF(L978="Engaged",20,IF(L978="Meeting Requested",18,IF(L978="Meeting Held",14,IF(L978="Follow Up",10,5)))))+MIN(Q978,30)+IF(S978="DUE",15,IF(S978="Next 3 Days",8,0))),0))</f>
        <v/>
      </c>
      <c r="AB978" s="425">
        <f>IF(AND(AC978="Active",OR(N978="Tier 1",N978="Tier 2"),OR(S978="DUE",S978="Next 3 Days")),"YES","")</f>
        <v/>
      </c>
      <c r="AC978" s="425">
        <f>IF(L978="Passed","Archived","Active")</f>
        <v/>
      </c>
    </row>
    <row r="979">
      <c r="A979" s="425" t="inlineStr">
        <is>
          <t>EXOS-0978</t>
        </is>
      </c>
      <c r="B979" s="425" t="inlineStr">
        <is>
          <t>Tank Contacts</t>
        </is>
      </c>
      <c r="C979" s="425" t="inlineStr">
        <is>
          <t>Strategic / Corporate</t>
        </is>
      </c>
      <c r="D979" s="425" t="inlineStr">
        <is>
          <t>HyImpulse</t>
        </is>
      </c>
      <c r="E979" s="425" t="inlineStr">
        <is>
          <t>Romain Verges</t>
        </is>
      </c>
      <c r="F979" s="425" t="inlineStr"/>
      <c r="G979" s="111" t="inlineStr">
        <is>
          <t>verges@hyimpulse.de</t>
        </is>
      </c>
      <c r="H979" s="425" t="inlineStr"/>
      <c r="I979" s="425" t="inlineStr"/>
      <c r="J979" s="111" t="inlineStr">
        <is>
          <t>https://www.linkedin.com/in/romain-verges/</t>
        </is>
      </c>
      <c r="K979" s="426" t="inlineStr">
        <is>
          <t>John Quinn</t>
        </is>
      </c>
      <c r="L979" s="426" t="inlineStr">
        <is>
          <t>Contacted</t>
        </is>
      </c>
      <c r="M979" s="425" t="inlineStr">
        <is>
          <t>Strategic space / aerospace alignment</t>
        </is>
      </c>
      <c r="N979" s="426" t="inlineStr">
        <is>
          <t>Tier 2</t>
        </is>
      </c>
      <c r="O979" s="441" t="n">
        <v>45950</v>
      </c>
      <c r="P979" s="441" t="n">
        <v>45950</v>
      </c>
      <c r="Q979" s="425">
        <f>IF(P979="","",TODAY()-P979)</f>
        <v/>
      </c>
      <c r="R979" s="441">
        <f>IF(OR(L979="Passed",Z979=""),"",P979+Z979)</f>
        <v/>
      </c>
      <c r="S979" s="425">
        <f>IF(OR(R979="",L979="Passed"),"",IF(R979&lt;=TODAY(),"DUE",IF(R979&lt;=TODAY()+3,"Next 3 Days","Later")))</f>
        <v/>
      </c>
      <c r="T979" s="425" t="inlineStr"/>
      <c r="U979" s="426" t="inlineStr"/>
      <c r="V979" s="426" t="inlineStr"/>
      <c r="W979" s="428" t="inlineStr"/>
      <c r="X979" s="425" t="inlineStr">
        <is>
          <t>Tank Contacts!45</t>
        </is>
      </c>
      <c r="Y979" s="426" t="inlineStr">
        <is>
          <t>Send 1st follow-up and ask for 20-minute call</t>
        </is>
      </c>
      <c r="Z979" s="425" t="n">
        <v>3</v>
      </c>
      <c r="AA979" s="425">
        <f>IF(AC979="Archived",0,ROUND((IF(N979="Tier 1",35,IF(N979="Tier 2",20,8))+IF(C979="Financial Investor",15,IF(C979="Intermediary / Banker",12,8))+IF(L979="Term Sheet / Proposal",25,IF(L979="Engaged",20,IF(L979="Meeting Requested",18,IF(L979="Meeting Held",14,IF(L979="Follow Up",10,5)))))+MIN(Q979,30)+IF(S979="DUE",15,IF(S979="Next 3 Days",8,0))),0))</f>
        <v/>
      </c>
      <c r="AB979" s="425">
        <f>IF(AND(AC979="Active",OR(N979="Tier 1",N979="Tier 2"),OR(S979="DUE",S979="Next 3 Days")),"YES","")</f>
        <v/>
      </c>
      <c r="AC979" s="425">
        <f>IF(L979="Passed","Archived","Active")</f>
        <v/>
      </c>
    </row>
    <row r="980">
      <c r="A980" s="425" t="inlineStr">
        <is>
          <t>EXOS-0979</t>
        </is>
      </c>
      <c r="B980" s="425" t="inlineStr">
        <is>
          <t>Tank Contacts</t>
        </is>
      </c>
      <c r="C980" s="425" t="inlineStr">
        <is>
          <t>Strategic / Corporate</t>
        </is>
      </c>
      <c r="D980" s="425" t="inlineStr">
        <is>
          <t>HyImpulse</t>
        </is>
      </c>
      <c r="E980" s="425" t="inlineStr">
        <is>
          <t>Ulrich Fishcer</t>
        </is>
      </c>
      <c r="F980" s="425" t="inlineStr"/>
      <c r="G980" s="111" t="inlineStr">
        <is>
          <t>fischer@hyimpulse.de</t>
        </is>
      </c>
      <c r="H980" s="425" t="inlineStr"/>
      <c r="I980" s="425" t="inlineStr"/>
      <c r="J980" s="425" t="inlineStr"/>
      <c r="K980" s="426" t="inlineStr">
        <is>
          <t>John Quinn</t>
        </is>
      </c>
      <c r="L980" s="426" t="inlineStr">
        <is>
          <t>Contacted</t>
        </is>
      </c>
      <c r="M980" s="425" t="inlineStr">
        <is>
          <t>Strategic space / aerospace alignment</t>
        </is>
      </c>
      <c r="N980" s="426" t="inlineStr">
        <is>
          <t>Tier 2</t>
        </is>
      </c>
      <c r="O980" s="441" t="n">
        <v>45950</v>
      </c>
      <c r="P980" s="441" t="n">
        <v>45950</v>
      </c>
      <c r="Q980" s="425">
        <f>IF(P980="","",TODAY()-P980)</f>
        <v/>
      </c>
      <c r="R980" s="441">
        <f>IF(OR(L980="Passed",Z980=""),"",P980+Z980)</f>
        <v/>
      </c>
      <c r="S980" s="425">
        <f>IF(OR(R980="",L980="Passed"),"",IF(R980&lt;=TODAY(),"DUE",IF(R980&lt;=TODAY()+3,"Next 3 Days","Later")))</f>
        <v/>
      </c>
      <c r="T980" s="425" t="inlineStr"/>
      <c r="U980" s="426" t="inlineStr"/>
      <c r="V980" s="426" t="inlineStr"/>
      <c r="W980" s="428" t="inlineStr"/>
      <c r="X980" s="425" t="inlineStr">
        <is>
          <t>Tank Contacts!49</t>
        </is>
      </c>
      <c r="Y980" s="426" t="inlineStr">
        <is>
          <t>Send 1st follow-up and ask for 20-minute call</t>
        </is>
      </c>
      <c r="Z980" s="425" t="n">
        <v>3</v>
      </c>
      <c r="AA980" s="425">
        <f>IF(AC980="Archived",0,ROUND((IF(N980="Tier 1",35,IF(N980="Tier 2",20,8))+IF(C980="Financial Investor",15,IF(C980="Intermediary / Banker",12,8))+IF(L980="Term Sheet / Proposal",25,IF(L980="Engaged",20,IF(L980="Meeting Requested",18,IF(L980="Meeting Held",14,IF(L980="Follow Up",10,5)))))+MIN(Q980,30)+IF(S980="DUE",15,IF(S980="Next 3 Days",8,0))),0))</f>
        <v/>
      </c>
      <c r="AB980" s="425">
        <f>IF(AND(AC980="Active",OR(N980="Tier 1",N980="Tier 2"),OR(S980="DUE",S980="Next 3 Days")),"YES","")</f>
        <v/>
      </c>
      <c r="AC980" s="425">
        <f>IF(L980="Passed","Archived","Active")</f>
        <v/>
      </c>
    </row>
    <row r="981">
      <c r="A981" s="425" t="inlineStr">
        <is>
          <t>EXOS-0980</t>
        </is>
      </c>
      <c r="B981" s="425" t="inlineStr">
        <is>
          <t>Tank Contacts</t>
        </is>
      </c>
      <c r="C981" s="425" t="inlineStr">
        <is>
          <t>Strategic / Corporate</t>
        </is>
      </c>
      <c r="D981" s="425" t="inlineStr">
        <is>
          <t>HyImpulse</t>
        </is>
      </c>
      <c r="E981" s="425" t="inlineStr">
        <is>
          <t>Vibha Vasanthakumar</t>
        </is>
      </c>
      <c r="F981" s="425" t="inlineStr"/>
      <c r="G981" s="111" t="inlineStr">
        <is>
          <t>vasanthakumar@hyimpulse.de</t>
        </is>
      </c>
      <c r="H981" s="425" t="inlineStr"/>
      <c r="I981" s="425" t="inlineStr"/>
      <c r="J981" s="111" t="inlineStr">
        <is>
          <t>https://www.linkedin.com/in/vibha-vasanthakumar/</t>
        </is>
      </c>
      <c r="K981" s="426" t="inlineStr">
        <is>
          <t>John Quinn</t>
        </is>
      </c>
      <c r="L981" s="426" t="inlineStr">
        <is>
          <t>Contacted</t>
        </is>
      </c>
      <c r="M981" s="425" t="inlineStr">
        <is>
          <t>Strategic space / aerospace alignment</t>
        </is>
      </c>
      <c r="N981" s="426" t="inlineStr">
        <is>
          <t>Tier 2</t>
        </is>
      </c>
      <c r="O981" s="441" t="n">
        <v>45950</v>
      </c>
      <c r="P981" s="441" t="n">
        <v>45950</v>
      </c>
      <c r="Q981" s="425">
        <f>IF(P981="","",TODAY()-P981)</f>
        <v/>
      </c>
      <c r="R981" s="441">
        <f>IF(OR(L981="Passed",Z981=""),"",P981+Z981)</f>
        <v/>
      </c>
      <c r="S981" s="425">
        <f>IF(OR(R981="",L981="Passed"),"",IF(R981&lt;=TODAY(),"DUE",IF(R981&lt;=TODAY()+3,"Next 3 Days","Later")))</f>
        <v/>
      </c>
      <c r="T981" s="425" t="inlineStr"/>
      <c r="U981" s="426" t="inlineStr"/>
      <c r="V981" s="426" t="inlineStr"/>
      <c r="W981" s="428" t="inlineStr"/>
      <c r="X981" s="425" t="inlineStr">
        <is>
          <t>Tank Contacts!43</t>
        </is>
      </c>
      <c r="Y981" s="426" t="inlineStr">
        <is>
          <t>Send 1st follow-up and ask for 20-minute call</t>
        </is>
      </c>
      <c r="Z981" s="425" t="n">
        <v>3</v>
      </c>
      <c r="AA981" s="425">
        <f>IF(AC981="Archived",0,ROUND((IF(N981="Tier 1",35,IF(N981="Tier 2",20,8))+IF(C981="Financial Investor",15,IF(C981="Intermediary / Banker",12,8))+IF(L981="Term Sheet / Proposal",25,IF(L981="Engaged",20,IF(L981="Meeting Requested",18,IF(L981="Meeting Held",14,IF(L981="Follow Up",10,5)))))+MIN(Q981,30)+IF(S981="DUE",15,IF(S981="Next 3 Days",8,0))),0))</f>
        <v/>
      </c>
      <c r="AB981" s="425">
        <f>IF(AND(AC981="Active",OR(N981="Tier 1",N981="Tier 2"),OR(S981="DUE",S981="Next 3 Days")),"YES","")</f>
        <v/>
      </c>
      <c r="AC981" s="425">
        <f>IF(L981="Passed","Archived","Active")</f>
        <v/>
      </c>
    </row>
    <row r="982">
      <c r="A982" s="425" t="inlineStr">
        <is>
          <t>EXOS-0981</t>
        </is>
      </c>
      <c r="B982" s="425" t="inlineStr">
        <is>
          <t>John - Investor Contacts</t>
        </is>
      </c>
      <c r="C982" s="425" t="inlineStr">
        <is>
          <t>Financial Investor</t>
        </is>
      </c>
      <c r="D982" s="425" t="inlineStr">
        <is>
          <t>IPO Club</t>
        </is>
      </c>
      <c r="E982" s="425" t="inlineStr">
        <is>
          <t>Jordan Yip</t>
        </is>
      </c>
      <c r="F982" s="425" t="inlineStr"/>
      <c r="G982" s="111" t="inlineStr">
        <is>
          <t>jordan@preipo.club</t>
        </is>
      </c>
      <c r="H982" s="425" t="inlineStr"/>
      <c r="I982" s="425" t="inlineStr"/>
      <c r="J982" s="425" t="inlineStr"/>
      <c r="K982" s="426" t="inlineStr">
        <is>
          <t>John Quinn</t>
        </is>
      </c>
      <c r="L982" s="426" t="inlineStr">
        <is>
          <t>Contacted</t>
        </is>
      </c>
      <c r="M982" s="425" t="inlineStr">
        <is>
          <t>Space / Defense / Aerospace / Advanced Manufacturing</t>
        </is>
      </c>
      <c r="N982" s="426" t="inlineStr">
        <is>
          <t>Tier 2</t>
        </is>
      </c>
      <c r="O982" s="441" t="n">
        <v>46030</v>
      </c>
      <c r="P982" s="441" t="n">
        <v>46030</v>
      </c>
      <c r="Q982" s="425">
        <f>IF(P982="","",TODAY()-P982)</f>
        <v/>
      </c>
      <c r="R982" s="441">
        <f>IF(OR(L982="Passed",Z982=""),"",P982+Z982)</f>
        <v/>
      </c>
      <c r="S982" s="425">
        <f>IF(OR(R982="",L982="Passed"),"",IF(R982&lt;=TODAY(),"DUE",IF(R982&lt;=TODAY()+3,"Next 3 Days","Later")))</f>
        <v/>
      </c>
      <c r="T982" s="425" t="inlineStr"/>
      <c r="U982" s="426" t="inlineStr">
        <is>
          <t>linkedin.com/in/jordan-yip-zhu-ern</t>
        </is>
      </c>
      <c r="V982" s="426" t="inlineStr"/>
      <c r="W982" s="428" t="inlineStr">
        <is>
          <t xml:space="preserve"> |  | </t>
        </is>
      </c>
      <c r="X982" s="425" t="inlineStr">
        <is>
          <t>John - Investor Contacts!909</t>
        </is>
      </c>
      <c r="Y982" s="426" t="inlineStr">
        <is>
          <t>Send 1st follow-up and ask for 20-minute call</t>
        </is>
      </c>
      <c r="Z982" s="425" t="n">
        <v>3</v>
      </c>
      <c r="AA982" s="425">
        <f>IF(AC982="Archived",0,ROUND((IF(N982="Tier 1",35,IF(N982="Tier 2",20,8))+IF(C982="Financial Investor",15,IF(C982="Intermediary / Banker",12,8))+IF(L982="Term Sheet / Proposal",25,IF(L982="Engaged",20,IF(L982="Meeting Requested",18,IF(L982="Meeting Held",14,IF(L982="Follow Up",10,5)))))+MIN(Q982,30)+IF(S982="DUE",15,IF(S982="Next 3 Days",8,0))),0))</f>
        <v/>
      </c>
      <c r="AB982" s="425">
        <f>IF(AND(AC982="Active",OR(N982="Tier 1",N982="Tier 2"),OR(S982="DUE",S982="Next 3 Days")),"YES","")</f>
        <v/>
      </c>
      <c r="AC982" s="425">
        <f>IF(L982="Passed","Archived","Active")</f>
        <v/>
      </c>
    </row>
    <row r="983">
      <c r="A983" s="425" t="inlineStr">
        <is>
          <t>EXOS-0982</t>
        </is>
      </c>
      <c r="B983" s="425" t="inlineStr">
        <is>
          <t>Tank Contacts</t>
        </is>
      </c>
      <c r="C983" s="425" t="inlineStr">
        <is>
          <t>Strategic / Corporate</t>
        </is>
      </c>
      <c r="D983" s="425" t="inlineStr">
        <is>
          <t>Impulse Space</t>
        </is>
      </c>
      <c r="E983" s="425" t="inlineStr">
        <is>
          <t>Thomas Mueller</t>
        </is>
      </c>
      <c r="F983" s="425" t="inlineStr"/>
      <c r="G983" s="111" t="inlineStr">
        <is>
          <t>tom@impulsespace.com</t>
        </is>
      </c>
      <c r="H983" s="425" t="inlineStr"/>
      <c r="I983" s="425" t="inlineStr"/>
      <c r="J983" s="425" t="inlineStr"/>
      <c r="K983" s="426" t="inlineStr">
        <is>
          <t>John Quinn</t>
        </is>
      </c>
      <c r="L983" s="426" t="inlineStr">
        <is>
          <t>Contacted</t>
        </is>
      </c>
      <c r="M983" s="425" t="inlineStr">
        <is>
          <t>Strategic space / aerospace alignment</t>
        </is>
      </c>
      <c r="N983" s="426" t="inlineStr">
        <is>
          <t>Tier 2</t>
        </is>
      </c>
      <c r="O983" s="441" t="n">
        <v>45908</v>
      </c>
      <c r="P983" s="441" t="n">
        <v>45908</v>
      </c>
      <c r="Q983" s="425">
        <f>IF(P983="","",TODAY()-P983)</f>
        <v/>
      </c>
      <c r="R983" s="441">
        <f>IF(OR(L983="Passed",Z983=""),"",P983+Z983)</f>
        <v/>
      </c>
      <c r="S983" s="425">
        <f>IF(OR(R983="",L983="Passed"),"",IF(R983&lt;=TODAY(),"DUE",IF(R983&lt;=TODAY()+3,"Next 3 Days","Later")))</f>
        <v/>
      </c>
      <c r="T983" s="425" t="inlineStr"/>
      <c r="U983" s="426" t="inlineStr"/>
      <c r="V983" s="426" t="inlineStr"/>
      <c r="W983" s="428" t="inlineStr"/>
      <c r="X983" s="425" t="inlineStr">
        <is>
          <t>Tank Contacts!14</t>
        </is>
      </c>
      <c r="Y983" s="426" t="inlineStr">
        <is>
          <t>Send 1st follow-up and ask for 20-minute call</t>
        </is>
      </c>
      <c r="Z983" s="425" t="n">
        <v>3</v>
      </c>
      <c r="AA983" s="425">
        <f>IF(AC983="Archived",0,ROUND((IF(N983="Tier 1",35,IF(N983="Tier 2",20,8))+IF(C983="Financial Investor",15,IF(C983="Intermediary / Banker",12,8))+IF(L983="Term Sheet / Proposal",25,IF(L983="Engaged",20,IF(L983="Meeting Requested",18,IF(L983="Meeting Held",14,IF(L983="Follow Up",10,5)))))+MIN(Q983,30)+IF(S983="DUE",15,IF(S983="Next 3 Days",8,0))),0))</f>
        <v/>
      </c>
      <c r="AB983" s="425">
        <f>IF(AND(AC983="Active",OR(N983="Tier 1",N983="Tier 2"),OR(S983="DUE",S983="Next 3 Days")),"YES","")</f>
        <v/>
      </c>
      <c r="AC983" s="425">
        <f>IF(L983="Passed","Archived","Active")</f>
        <v/>
      </c>
    </row>
    <row r="984">
      <c r="A984" s="425" t="inlineStr">
        <is>
          <t>EXOS-0983</t>
        </is>
      </c>
      <c r="B984" s="425" t="inlineStr">
        <is>
          <t>John - Investor Contacts</t>
        </is>
      </c>
      <c r="C984" s="425" t="inlineStr">
        <is>
          <t>Financial Investor</t>
        </is>
      </c>
      <c r="D984" s="425" t="inlineStr">
        <is>
          <t>Initialized Capital</t>
        </is>
      </c>
      <c r="E984" s="425" t="inlineStr">
        <is>
          <t>Abdul Ly</t>
        </is>
      </c>
      <c r="F984" s="425" t="inlineStr"/>
      <c r="G984" s="111" t="inlineStr">
        <is>
          <t>abdul@initialized.com</t>
        </is>
      </c>
      <c r="H984" s="425" t="inlineStr"/>
      <c r="I984" s="425" t="inlineStr"/>
      <c r="J984" s="111" t="inlineStr">
        <is>
          <t>https://www.linkedin.com/in/abdully</t>
        </is>
      </c>
      <c r="K984" s="426" t="inlineStr">
        <is>
          <t>John Quinn</t>
        </is>
      </c>
      <c r="L984" s="426" t="inlineStr">
        <is>
          <t>Contacted</t>
        </is>
      </c>
      <c r="M984" s="425" t="inlineStr">
        <is>
          <t>Space / Defense / Aerospace / Advanced Manufacturing</t>
        </is>
      </c>
      <c r="N984" s="426" t="inlineStr">
        <is>
          <t>Tier 2</t>
        </is>
      </c>
      <c r="O984" s="441" t="n">
        <v>46074</v>
      </c>
      <c r="P984" s="441" t="n">
        <v>46074</v>
      </c>
      <c r="Q984" s="425">
        <f>IF(P984="","",TODAY()-P984)</f>
        <v/>
      </c>
      <c r="R984" s="441">
        <f>IF(OR(L984="Passed",Z984=""),"",P984+Z984)</f>
        <v/>
      </c>
      <c r="S984" s="425">
        <f>IF(OR(R984="",L984="Passed"),"",IF(R984&lt;=TODAY(),"DUE",IF(R984&lt;=TODAY()+3,"Next 3 Days","Later")))</f>
        <v/>
      </c>
      <c r="T984" s="425" t="inlineStr"/>
      <c r="U984" s="426" t="inlineStr">
        <is>
          <t>https://www.linkedin.com/in/abdully</t>
        </is>
      </c>
      <c r="V984" s="426" t="inlineStr"/>
      <c r="W984" s="428" t="inlineStr">
        <is>
          <t xml:space="preserve"> |  | </t>
        </is>
      </c>
      <c r="X984" s="425" t="inlineStr">
        <is>
          <t>John - Investor Contacts!953</t>
        </is>
      </c>
      <c r="Y984" s="426" t="inlineStr">
        <is>
          <t>Send 1st follow-up and ask for 20-minute call</t>
        </is>
      </c>
      <c r="Z984" s="425" t="n">
        <v>3</v>
      </c>
      <c r="AA984" s="425">
        <f>IF(AC984="Archived",0,ROUND((IF(N984="Tier 1",35,IF(N984="Tier 2",20,8))+IF(C984="Financial Investor",15,IF(C984="Intermediary / Banker",12,8))+IF(L984="Term Sheet / Proposal",25,IF(L984="Engaged",20,IF(L984="Meeting Requested",18,IF(L984="Meeting Held",14,IF(L984="Follow Up",10,5)))))+MIN(Q984,30)+IF(S984="DUE",15,IF(S984="Next 3 Days",8,0))),0))</f>
        <v/>
      </c>
      <c r="AB984" s="425">
        <f>IF(AND(AC984="Active",OR(N984="Tier 1",N984="Tier 2"),OR(S984="DUE",S984="Next 3 Days")),"YES","")</f>
        <v/>
      </c>
      <c r="AC984" s="425">
        <f>IF(L984="Passed","Archived","Active")</f>
        <v/>
      </c>
    </row>
    <row r="985">
      <c r="A985" s="425" t="inlineStr">
        <is>
          <t>EXOS-0984</t>
        </is>
      </c>
      <c r="B985" s="425" t="inlineStr">
        <is>
          <t>John - Investor Contacts</t>
        </is>
      </c>
      <c r="C985" s="425" t="inlineStr">
        <is>
          <t>Financial Investor</t>
        </is>
      </c>
      <c r="D985" s="425" t="inlineStr">
        <is>
          <t>Initialized Capital</t>
        </is>
      </c>
      <c r="E985" s="425" t="inlineStr">
        <is>
          <t>Andrew Sather</t>
        </is>
      </c>
      <c r="F985" s="425" t="inlineStr"/>
      <c r="G985" s="111" t="inlineStr">
        <is>
          <t>andrew@initialized.com</t>
        </is>
      </c>
      <c r="H985" s="425" t="inlineStr"/>
      <c r="I985" s="425" t="inlineStr"/>
      <c r="J985" s="111" t="inlineStr">
        <is>
          <t>https://www.linkedin.com/in/andrewsather</t>
        </is>
      </c>
      <c r="K985" s="426" t="inlineStr">
        <is>
          <t>John Quinn</t>
        </is>
      </c>
      <c r="L985" s="426" t="inlineStr">
        <is>
          <t>Contacted</t>
        </is>
      </c>
      <c r="M985" s="425" t="inlineStr">
        <is>
          <t>Space / Defense / Aerospace / Advanced Manufacturing</t>
        </is>
      </c>
      <c r="N985" s="426" t="inlineStr">
        <is>
          <t>Tier 2</t>
        </is>
      </c>
      <c r="O985" s="441" t="n">
        <v>46074</v>
      </c>
      <c r="P985" s="441" t="n">
        <v>46074</v>
      </c>
      <c r="Q985" s="425">
        <f>IF(P985="","",TODAY()-P985)</f>
        <v/>
      </c>
      <c r="R985" s="441">
        <f>IF(OR(L985="Passed",Z985=""),"",P985+Z985)</f>
        <v/>
      </c>
      <c r="S985" s="425">
        <f>IF(OR(R985="",L985="Passed"),"",IF(R985&lt;=TODAY(),"DUE",IF(R985&lt;=TODAY()+3,"Next 3 Days","Later")))</f>
        <v/>
      </c>
      <c r="T985" s="425" t="inlineStr"/>
      <c r="U985" s="426" t="inlineStr">
        <is>
          <t>https://www.linkedin.com/in/andrewsather</t>
        </is>
      </c>
      <c r="V985" s="426" t="inlineStr"/>
      <c r="W985" s="428" t="inlineStr">
        <is>
          <t xml:space="preserve"> |  | </t>
        </is>
      </c>
      <c r="X985" s="425" t="inlineStr">
        <is>
          <t>John - Investor Contacts!954</t>
        </is>
      </c>
      <c r="Y985" s="426" t="inlineStr">
        <is>
          <t>Send 1st follow-up and ask for 20-minute call</t>
        </is>
      </c>
      <c r="Z985" s="425" t="n">
        <v>3</v>
      </c>
      <c r="AA985" s="425">
        <f>IF(AC985="Archived",0,ROUND((IF(N985="Tier 1",35,IF(N985="Tier 2",20,8))+IF(C985="Financial Investor",15,IF(C985="Intermediary / Banker",12,8))+IF(L985="Term Sheet / Proposal",25,IF(L985="Engaged",20,IF(L985="Meeting Requested",18,IF(L985="Meeting Held",14,IF(L985="Follow Up",10,5)))))+MIN(Q985,30)+IF(S985="DUE",15,IF(S985="Next 3 Days",8,0))),0))</f>
        <v/>
      </c>
      <c r="AB985" s="425">
        <f>IF(AND(AC985="Active",OR(N985="Tier 1",N985="Tier 2"),OR(S985="DUE",S985="Next 3 Days")),"YES","")</f>
        <v/>
      </c>
      <c r="AC985" s="425">
        <f>IF(L985="Passed","Archived","Active")</f>
        <v/>
      </c>
    </row>
    <row r="986">
      <c r="A986" s="425" t="inlineStr">
        <is>
          <t>EXOS-0985</t>
        </is>
      </c>
      <c r="B986" s="425" t="inlineStr">
        <is>
          <t>John - Investor Contacts</t>
        </is>
      </c>
      <c r="C986" s="425" t="inlineStr">
        <is>
          <t>Financial Investor</t>
        </is>
      </c>
      <c r="D986" s="425" t="inlineStr">
        <is>
          <t>Initialized Capital</t>
        </is>
      </c>
      <c r="E986" s="425" t="inlineStr">
        <is>
          <t>Brett Gibson</t>
        </is>
      </c>
      <c r="F986" s="425" t="inlineStr"/>
      <c r="G986" s="111" t="inlineStr">
        <is>
          <t>brett@initialized.com</t>
        </is>
      </c>
      <c r="H986" s="425" t="inlineStr"/>
      <c r="I986" s="425" t="inlineStr"/>
      <c r="J986" s="111" t="inlineStr">
        <is>
          <t>https://www.linkedin.com/in/brettdgibson</t>
        </is>
      </c>
      <c r="K986" s="426" t="inlineStr">
        <is>
          <t>John Quinn</t>
        </is>
      </c>
      <c r="L986" s="426" t="inlineStr">
        <is>
          <t>Contacted</t>
        </is>
      </c>
      <c r="M986" s="425" t="inlineStr">
        <is>
          <t>Space / Defense / Aerospace / Advanced Manufacturing</t>
        </is>
      </c>
      <c r="N986" s="426" t="inlineStr">
        <is>
          <t>Tier 2</t>
        </is>
      </c>
      <c r="O986" s="441" t="n">
        <v>46074</v>
      </c>
      <c r="P986" s="441" t="n">
        <v>46074</v>
      </c>
      <c r="Q986" s="425">
        <f>IF(P986="","",TODAY()-P986)</f>
        <v/>
      </c>
      <c r="R986" s="441">
        <f>IF(OR(L986="Passed",Z986=""),"",P986+Z986)</f>
        <v/>
      </c>
      <c r="S986" s="425">
        <f>IF(OR(R986="",L986="Passed"),"",IF(R986&lt;=TODAY(),"DUE",IF(R986&lt;=TODAY()+3,"Next 3 Days","Later")))</f>
        <v/>
      </c>
      <c r="T986" s="425" t="inlineStr"/>
      <c r="U986" s="426" t="inlineStr">
        <is>
          <t>https://www.linkedin.com/in/brettdgibson</t>
        </is>
      </c>
      <c r="V986" s="426" t="inlineStr"/>
      <c r="W986" s="428" t="inlineStr">
        <is>
          <t xml:space="preserve"> |  | </t>
        </is>
      </c>
      <c r="X986" s="425" t="inlineStr">
        <is>
          <t>John - Investor Contacts!952</t>
        </is>
      </c>
      <c r="Y986" s="426" t="inlineStr">
        <is>
          <t>Send 1st follow-up and ask for 20-minute call</t>
        </is>
      </c>
      <c r="Z986" s="425" t="n">
        <v>3</v>
      </c>
      <c r="AA986" s="425">
        <f>IF(AC986="Archived",0,ROUND((IF(N986="Tier 1",35,IF(N986="Tier 2",20,8))+IF(C986="Financial Investor",15,IF(C986="Intermediary / Banker",12,8))+IF(L986="Term Sheet / Proposal",25,IF(L986="Engaged",20,IF(L986="Meeting Requested",18,IF(L986="Meeting Held",14,IF(L986="Follow Up",10,5)))))+MIN(Q986,30)+IF(S986="DUE",15,IF(S986="Next 3 Days",8,0))),0))</f>
        <v/>
      </c>
      <c r="AB986" s="425">
        <f>IF(AND(AC986="Active",OR(N986="Tier 1",N986="Tier 2"),OR(S986="DUE",S986="Next 3 Days")),"YES","")</f>
        <v/>
      </c>
      <c r="AC986" s="425">
        <f>IF(L986="Passed","Archived","Active")</f>
        <v/>
      </c>
    </row>
    <row r="987">
      <c r="A987" s="425" t="inlineStr">
        <is>
          <t>EXOS-0986</t>
        </is>
      </c>
      <c r="B987" s="425" t="inlineStr">
        <is>
          <t>John - Investor Contacts</t>
        </is>
      </c>
      <c r="C987" s="425" t="inlineStr">
        <is>
          <t>Financial Investor</t>
        </is>
      </c>
      <c r="D987" s="425" t="inlineStr">
        <is>
          <t>Initialized Capital</t>
        </is>
      </c>
      <c r="E987" s="425" t="inlineStr">
        <is>
          <t>Livingston Miller</t>
        </is>
      </c>
      <c r="F987" s="425" t="inlineStr"/>
      <c r="G987" s="111" t="inlineStr">
        <is>
          <t>livingston@initialized.com</t>
        </is>
      </c>
      <c r="H987" s="425" t="inlineStr"/>
      <c r="I987" s="425" t="inlineStr"/>
      <c r="J987" s="111" t="inlineStr">
        <is>
          <t>https://www.linkedin.com/in/livingston-miller-5a6a73a/</t>
        </is>
      </c>
      <c r="K987" s="426" t="inlineStr">
        <is>
          <t>John Quinn</t>
        </is>
      </c>
      <c r="L987" s="426" t="inlineStr">
        <is>
          <t>Contacted</t>
        </is>
      </c>
      <c r="M987" s="425" t="inlineStr">
        <is>
          <t>Space / Defense / Aerospace / Advanced Manufacturing</t>
        </is>
      </c>
      <c r="N987" s="426" t="inlineStr">
        <is>
          <t>Tier 2</t>
        </is>
      </c>
      <c r="O987" s="441" t="n">
        <v>46074</v>
      </c>
      <c r="P987" s="441" t="n">
        <v>46074</v>
      </c>
      <c r="Q987" s="425">
        <f>IF(P987="","",TODAY()-P987)</f>
        <v/>
      </c>
      <c r="R987" s="441">
        <f>IF(OR(L987="Passed",Z987=""),"",P987+Z987)</f>
        <v/>
      </c>
      <c r="S987" s="425">
        <f>IF(OR(R987="",L987="Passed"),"",IF(R987&lt;=TODAY(),"DUE",IF(R987&lt;=TODAY()+3,"Next 3 Days","Later")))</f>
        <v/>
      </c>
      <c r="T987" s="425" t="inlineStr"/>
      <c r="U987" s="426" t="inlineStr">
        <is>
          <t>https://www.linkedin.com/in/livingston-miller-5a6a73a/</t>
        </is>
      </c>
      <c r="V987" s="426" t="inlineStr"/>
      <c r="W987" s="428" t="inlineStr">
        <is>
          <t xml:space="preserve"> |  | </t>
        </is>
      </c>
      <c r="X987" s="425" t="inlineStr">
        <is>
          <t>John - Investor Contacts!951</t>
        </is>
      </c>
      <c r="Y987" s="426" t="inlineStr">
        <is>
          <t>Send 1st follow-up and ask for 20-minute call</t>
        </is>
      </c>
      <c r="Z987" s="425" t="n">
        <v>3</v>
      </c>
      <c r="AA987" s="425">
        <f>IF(AC987="Archived",0,ROUND((IF(N987="Tier 1",35,IF(N987="Tier 2",20,8))+IF(C987="Financial Investor",15,IF(C987="Intermediary / Banker",12,8))+IF(L987="Term Sheet / Proposal",25,IF(L987="Engaged",20,IF(L987="Meeting Requested",18,IF(L987="Meeting Held",14,IF(L987="Follow Up",10,5)))))+MIN(Q987,30)+IF(S987="DUE",15,IF(S987="Next 3 Days",8,0))),0))</f>
        <v/>
      </c>
      <c r="AB987" s="425">
        <f>IF(AND(AC987="Active",OR(N987="Tier 1",N987="Tier 2"),OR(S987="DUE",S987="Next 3 Days")),"YES","")</f>
        <v/>
      </c>
      <c r="AC987" s="425">
        <f>IF(L987="Passed","Archived","Active")</f>
        <v/>
      </c>
    </row>
    <row r="988">
      <c r="A988" s="425" t="inlineStr">
        <is>
          <t>EXOS-0987</t>
        </is>
      </c>
      <c r="B988" s="425" t="inlineStr">
        <is>
          <t>John - Investor Contacts</t>
        </is>
      </c>
      <c r="C988" s="425" t="inlineStr">
        <is>
          <t>Financial Investor</t>
        </is>
      </c>
      <c r="D988" s="425" t="inlineStr">
        <is>
          <t>J4 Ventures</t>
        </is>
      </c>
      <c r="E988" s="425" t="inlineStr">
        <is>
          <t>Bruce Jaffe</t>
        </is>
      </c>
      <c r="F988" s="425" t="inlineStr"/>
      <c r="G988" s="111" t="inlineStr">
        <is>
          <t>bruce@j4.ventures</t>
        </is>
      </c>
      <c r="H988" s="425" t="inlineStr"/>
      <c r="I988" s="425" t="inlineStr"/>
      <c r="J988" s="111" t="inlineStr">
        <is>
          <t>https://www.linkedin.com/in/brucejaffe/</t>
        </is>
      </c>
      <c r="K988" s="426" t="inlineStr">
        <is>
          <t>John Quinn</t>
        </is>
      </c>
      <c r="L988" s="426" t="inlineStr">
        <is>
          <t>Contacted</t>
        </is>
      </c>
      <c r="M988" s="425" t="inlineStr">
        <is>
          <t>Space / Defense / Aerospace / Advanced Manufacturing</t>
        </is>
      </c>
      <c r="N988" s="426" t="inlineStr">
        <is>
          <t>Tier 2</t>
        </is>
      </c>
      <c r="O988" s="441" t="n">
        <v>45848</v>
      </c>
      <c r="P988" s="441" t="n">
        <v>45848</v>
      </c>
      <c r="Q988" s="425">
        <f>IF(P988="","",TODAY()-P988)</f>
        <v/>
      </c>
      <c r="R988" s="441">
        <f>IF(OR(L988="Passed",Z988=""),"",P988+Z988)</f>
        <v/>
      </c>
      <c r="S988" s="425">
        <f>IF(OR(R988="",L988="Passed"),"",IF(R988&lt;=TODAY(),"DUE",IF(R988&lt;=TODAY()+3,"Next 3 Days","Later")))</f>
        <v/>
      </c>
      <c r="T988" s="425" t="inlineStr"/>
      <c r="U988" s="426" t="inlineStr">
        <is>
          <t>https://www.linkedin.com/in/brucejaffe/</t>
        </is>
      </c>
      <c r="V988" s="426" t="inlineStr"/>
      <c r="W988" s="428" t="inlineStr">
        <is>
          <t xml:space="preserve"> | outside scope | </t>
        </is>
      </c>
      <c r="X988" s="425" t="inlineStr">
        <is>
          <t>John - Investor Contacts!384</t>
        </is>
      </c>
      <c r="Y988" s="426" t="inlineStr">
        <is>
          <t>Send 1st follow-up and ask for 20-minute call</t>
        </is>
      </c>
      <c r="Z988" s="425" t="n">
        <v>3</v>
      </c>
      <c r="AA988" s="425">
        <f>IF(AC988="Archived",0,ROUND((IF(N988="Tier 1",35,IF(N988="Tier 2",20,8))+IF(C988="Financial Investor",15,IF(C988="Intermediary / Banker",12,8))+IF(L988="Term Sheet / Proposal",25,IF(L988="Engaged",20,IF(L988="Meeting Requested",18,IF(L988="Meeting Held",14,IF(L988="Follow Up",10,5)))))+MIN(Q988,30)+IF(S988="DUE",15,IF(S988="Next 3 Days",8,0))),0))</f>
        <v/>
      </c>
      <c r="AB988" s="425">
        <f>IF(AND(AC988="Active",OR(N988="Tier 1",N988="Tier 2"),OR(S988="DUE",S988="Next 3 Days")),"YES","")</f>
        <v/>
      </c>
      <c r="AC988" s="425">
        <f>IF(L988="Passed","Archived","Active")</f>
        <v/>
      </c>
    </row>
    <row r="989">
      <c r="A989" s="425" t="inlineStr">
        <is>
          <t>EXOS-0988</t>
        </is>
      </c>
      <c r="B989" s="425" t="inlineStr">
        <is>
          <t>John - Investor Contacts</t>
        </is>
      </c>
      <c r="C989" s="425" t="inlineStr">
        <is>
          <t>Financial Investor</t>
        </is>
      </c>
      <c r="D989" s="425" t="inlineStr">
        <is>
          <t>J4 Ventures</t>
        </is>
      </c>
      <c r="E989" s="425" t="inlineStr">
        <is>
          <t>Erik Johnson</t>
        </is>
      </c>
      <c r="F989" s="425" t="inlineStr"/>
      <c r="G989" s="111" t="inlineStr">
        <is>
          <t>erik@j4.ventures</t>
        </is>
      </c>
      <c r="H989" s="425" t="inlineStr"/>
      <c r="I989" s="425" t="inlineStr"/>
      <c r="J989" s="111" t="inlineStr">
        <is>
          <t>https://www.linkedin.com/in/erik-johnson-192630/</t>
        </is>
      </c>
      <c r="K989" s="426" t="inlineStr">
        <is>
          <t>John Quinn</t>
        </is>
      </c>
      <c r="L989" s="426" t="inlineStr">
        <is>
          <t>Contacted</t>
        </is>
      </c>
      <c r="M989" s="425" t="inlineStr">
        <is>
          <t>Space / Defense / Aerospace / Advanced Manufacturing</t>
        </is>
      </c>
      <c r="N989" s="426" t="inlineStr">
        <is>
          <t>Tier 2</t>
        </is>
      </c>
      <c r="O989" s="441" t="n">
        <v>45848</v>
      </c>
      <c r="P989" s="441" t="n">
        <v>45848</v>
      </c>
      <c r="Q989" s="425">
        <f>IF(P989="","",TODAY()-P989)</f>
        <v/>
      </c>
      <c r="R989" s="441">
        <f>IF(OR(L989="Passed",Z989=""),"",P989+Z989)</f>
        <v/>
      </c>
      <c r="S989" s="425">
        <f>IF(OR(R989="",L989="Passed"),"",IF(R989&lt;=TODAY(),"DUE",IF(R989&lt;=TODAY()+3,"Next 3 Days","Later")))</f>
        <v/>
      </c>
      <c r="T989" s="425" t="inlineStr"/>
      <c r="U989" s="426" t="inlineStr">
        <is>
          <t>https://www.linkedin.com/in/erik-johnson-192630/</t>
        </is>
      </c>
      <c r="V989" s="426" t="inlineStr"/>
      <c r="W989" s="428" t="inlineStr">
        <is>
          <t xml:space="preserve"> |  | </t>
        </is>
      </c>
      <c r="X989" s="425" t="inlineStr">
        <is>
          <t>John - Investor Contacts!387</t>
        </is>
      </c>
      <c r="Y989" s="426" t="inlineStr">
        <is>
          <t>Send 1st follow-up and ask for 20-minute call</t>
        </is>
      </c>
      <c r="Z989" s="425" t="n">
        <v>3</v>
      </c>
      <c r="AA989" s="425">
        <f>IF(AC989="Archived",0,ROUND((IF(N989="Tier 1",35,IF(N989="Tier 2",20,8))+IF(C989="Financial Investor",15,IF(C989="Intermediary / Banker",12,8))+IF(L989="Term Sheet / Proposal",25,IF(L989="Engaged",20,IF(L989="Meeting Requested",18,IF(L989="Meeting Held",14,IF(L989="Follow Up",10,5)))))+MIN(Q989,30)+IF(S989="DUE",15,IF(S989="Next 3 Days",8,0))),0))</f>
        <v/>
      </c>
      <c r="AB989" s="425">
        <f>IF(AND(AC989="Active",OR(N989="Tier 1",N989="Tier 2"),OR(S989="DUE",S989="Next 3 Days")),"YES","")</f>
        <v/>
      </c>
      <c r="AC989" s="425">
        <f>IF(L989="Passed","Archived","Active")</f>
        <v/>
      </c>
    </row>
    <row r="990">
      <c r="A990" s="425" t="inlineStr">
        <is>
          <t>EXOS-0989</t>
        </is>
      </c>
      <c r="B990" s="425" t="inlineStr">
        <is>
          <t>John - Investor Contacts</t>
        </is>
      </c>
      <c r="C990" s="425" t="inlineStr">
        <is>
          <t>Financial Investor</t>
        </is>
      </c>
      <c r="D990" s="425" t="inlineStr">
        <is>
          <t>J4 Ventures</t>
        </is>
      </c>
      <c r="E990" s="425" t="inlineStr">
        <is>
          <t>Jamie Rapperport</t>
        </is>
      </c>
      <c r="F990" s="425" t="inlineStr"/>
      <c r="G990" s="111" t="inlineStr">
        <is>
          <t>jamie@j4.ventures</t>
        </is>
      </c>
      <c r="H990" s="425" t="inlineStr"/>
      <c r="I990" s="425" t="inlineStr"/>
      <c r="J990" s="111" t="inlineStr">
        <is>
          <t>https://www.linkedin.com/in/jamierapperport/</t>
        </is>
      </c>
      <c r="K990" s="426" t="inlineStr">
        <is>
          <t>John Quinn</t>
        </is>
      </c>
      <c r="L990" s="426" t="inlineStr">
        <is>
          <t>Contacted</t>
        </is>
      </c>
      <c r="M990" s="425" t="inlineStr">
        <is>
          <t>Space / Defense / Aerospace / Advanced Manufacturing</t>
        </is>
      </c>
      <c r="N990" s="426" t="inlineStr">
        <is>
          <t>Tier 2</t>
        </is>
      </c>
      <c r="O990" s="441" t="n">
        <v>45848</v>
      </c>
      <c r="P990" s="441" t="n">
        <v>45848</v>
      </c>
      <c r="Q990" s="425">
        <f>IF(P990="","",TODAY()-P990)</f>
        <v/>
      </c>
      <c r="R990" s="441">
        <f>IF(OR(L990="Passed",Z990=""),"",P990+Z990)</f>
        <v/>
      </c>
      <c r="S990" s="425">
        <f>IF(OR(R990="",L990="Passed"),"",IF(R990&lt;=TODAY(),"DUE",IF(R990&lt;=TODAY()+3,"Next 3 Days","Later")))</f>
        <v/>
      </c>
      <c r="T990" s="425" t="inlineStr"/>
      <c r="U990" s="426" t="inlineStr">
        <is>
          <t>https://www.linkedin.com/in/jamierapperport/</t>
        </is>
      </c>
      <c r="V990" s="426" t="inlineStr"/>
      <c r="W990" s="428" t="inlineStr">
        <is>
          <t xml:space="preserve"> |  | </t>
        </is>
      </c>
      <c r="X990" s="425" t="inlineStr">
        <is>
          <t>John - Investor Contacts!385</t>
        </is>
      </c>
      <c r="Y990" s="426" t="inlineStr">
        <is>
          <t>Send 1st follow-up and ask for 20-minute call</t>
        </is>
      </c>
      <c r="Z990" s="425" t="n">
        <v>3</v>
      </c>
      <c r="AA990" s="425">
        <f>IF(AC990="Archived",0,ROUND((IF(N990="Tier 1",35,IF(N990="Tier 2",20,8))+IF(C990="Financial Investor",15,IF(C990="Intermediary / Banker",12,8))+IF(L990="Term Sheet / Proposal",25,IF(L990="Engaged",20,IF(L990="Meeting Requested",18,IF(L990="Meeting Held",14,IF(L990="Follow Up",10,5)))))+MIN(Q990,30)+IF(S990="DUE",15,IF(S990="Next 3 Days",8,0))),0))</f>
        <v/>
      </c>
      <c r="AB990" s="425">
        <f>IF(AND(AC990="Active",OR(N990="Tier 1",N990="Tier 2"),OR(S990="DUE",S990="Next 3 Days")),"YES","")</f>
        <v/>
      </c>
      <c r="AC990" s="425">
        <f>IF(L990="Passed","Archived","Active")</f>
        <v/>
      </c>
    </row>
    <row r="991">
      <c r="A991" s="425" t="inlineStr">
        <is>
          <t>EXOS-0990</t>
        </is>
      </c>
      <c r="B991" s="425" t="inlineStr">
        <is>
          <t>John - Investor Contacts</t>
        </is>
      </c>
      <c r="C991" s="425" t="inlineStr">
        <is>
          <t>Financial Investor</t>
        </is>
      </c>
      <c r="D991" s="425" t="inlineStr">
        <is>
          <t>J4 Ventures</t>
        </is>
      </c>
      <c r="E991" s="425" t="inlineStr">
        <is>
          <t>John Mitchell</t>
        </is>
      </c>
      <c r="F991" s="425" t="inlineStr"/>
      <c r="G991" s="111" t="inlineStr">
        <is>
          <t>john@j4.ventures</t>
        </is>
      </c>
      <c r="H991" s="425" t="inlineStr"/>
      <c r="I991" s="425" t="inlineStr"/>
      <c r="J991" s="111" t="inlineStr">
        <is>
          <t>https://www.linkedin.com/in/john-mitchell-36338a8/</t>
        </is>
      </c>
      <c r="K991" s="426" t="inlineStr">
        <is>
          <t>John Quinn</t>
        </is>
      </c>
      <c r="L991" s="426" t="inlineStr">
        <is>
          <t>Contacted</t>
        </is>
      </c>
      <c r="M991" s="425" t="inlineStr">
        <is>
          <t>Space / Defense / Aerospace / Advanced Manufacturing</t>
        </is>
      </c>
      <c r="N991" s="426" t="inlineStr">
        <is>
          <t>Tier 2</t>
        </is>
      </c>
      <c r="O991" s="441" t="n">
        <v>45848</v>
      </c>
      <c r="P991" s="441" t="n">
        <v>45848</v>
      </c>
      <c r="Q991" s="425">
        <f>IF(P991="","",TODAY()-P991)</f>
        <v/>
      </c>
      <c r="R991" s="441">
        <f>IF(OR(L991="Passed",Z991=""),"",P991+Z991)</f>
        <v/>
      </c>
      <c r="S991" s="425">
        <f>IF(OR(R991="",L991="Passed"),"",IF(R991&lt;=TODAY(),"DUE",IF(R991&lt;=TODAY()+3,"Next 3 Days","Later")))</f>
        <v/>
      </c>
      <c r="T991" s="425" t="inlineStr"/>
      <c r="U991" s="426" t="inlineStr">
        <is>
          <t>https://www.linkedin.com/in/john-mitchell-36338a8/</t>
        </is>
      </c>
      <c r="V991" s="426" t="inlineStr"/>
      <c r="W991" s="428" t="inlineStr">
        <is>
          <t xml:space="preserve"> |  | </t>
        </is>
      </c>
      <c r="X991" s="425" t="inlineStr">
        <is>
          <t>John - Investor Contacts!386</t>
        </is>
      </c>
      <c r="Y991" s="426" t="inlineStr">
        <is>
          <t>Send 1st follow-up and ask for 20-minute call</t>
        </is>
      </c>
      <c r="Z991" s="425" t="n">
        <v>3</v>
      </c>
      <c r="AA991" s="425">
        <f>IF(AC991="Archived",0,ROUND((IF(N991="Tier 1",35,IF(N991="Tier 2",20,8))+IF(C991="Financial Investor",15,IF(C991="Intermediary / Banker",12,8))+IF(L991="Term Sheet / Proposal",25,IF(L991="Engaged",20,IF(L991="Meeting Requested",18,IF(L991="Meeting Held",14,IF(L991="Follow Up",10,5)))))+MIN(Q991,30)+IF(S991="DUE",15,IF(S991="Next 3 Days",8,0))),0))</f>
        <v/>
      </c>
      <c r="AB991" s="425">
        <f>IF(AND(AC991="Active",OR(N991="Tier 1",N991="Tier 2"),OR(S991="DUE",S991="Next 3 Days")),"YES","")</f>
        <v/>
      </c>
      <c r="AC991" s="425">
        <f>IF(L991="Passed","Archived","Active")</f>
        <v/>
      </c>
    </row>
    <row r="992">
      <c r="A992" s="425" t="inlineStr">
        <is>
          <t>EXOS-0991</t>
        </is>
      </c>
      <c r="B992" s="425" t="inlineStr">
        <is>
          <t>John - Investor Contacts</t>
        </is>
      </c>
      <c r="C992" s="425" t="inlineStr">
        <is>
          <t>Financial Investor</t>
        </is>
      </c>
      <c r="D992" s="425" t="inlineStr">
        <is>
          <t>Karman Ventures</t>
        </is>
      </c>
      <c r="E992" s="425" t="inlineStr">
        <is>
          <t>Amr Al-Shihabi</t>
        </is>
      </c>
      <c r="F992" s="425" t="inlineStr"/>
      <c r="G992" s="111" t="inlineStr">
        <is>
          <t>amr@movingcapital.com</t>
        </is>
      </c>
      <c r="H992" s="425" t="inlineStr"/>
      <c r="I992" s="425" t="inlineStr"/>
      <c r="J992" s="111" t="inlineStr">
        <is>
          <t>https://www.linkedin.com/in/amr-alshihabi</t>
        </is>
      </c>
      <c r="K992" s="426" t="inlineStr">
        <is>
          <t>John Quinn</t>
        </is>
      </c>
      <c r="L992" s="426" t="inlineStr">
        <is>
          <t>Contacted</t>
        </is>
      </c>
      <c r="M992" s="425" t="inlineStr">
        <is>
          <t>Space / Defense / Aerospace / Advanced Manufacturing</t>
        </is>
      </c>
      <c r="N992" s="426" t="inlineStr">
        <is>
          <t>Tier 2</t>
        </is>
      </c>
      <c r="O992" s="441" t="n">
        <v>46074</v>
      </c>
      <c r="P992" s="441" t="n">
        <v>46074</v>
      </c>
      <c r="Q992" s="425">
        <f>IF(P992="","",TODAY()-P992)</f>
        <v/>
      </c>
      <c r="R992" s="441">
        <f>IF(OR(L992="Passed",Z992=""),"",P992+Z992)</f>
        <v/>
      </c>
      <c r="S992" s="425">
        <f>IF(OR(R992="",L992="Passed"),"",IF(R992&lt;=TODAY(),"DUE",IF(R992&lt;=TODAY()+3,"Next 3 Days","Later")))</f>
        <v/>
      </c>
      <c r="T992" s="425" t="inlineStr"/>
      <c r="U992" s="426" t="inlineStr">
        <is>
          <t>https://www.linkedin.com/in/amr-alshihabi</t>
        </is>
      </c>
      <c r="V992" s="426" t="inlineStr"/>
      <c r="W992" s="428" t="inlineStr">
        <is>
          <t xml:space="preserve"> |  | </t>
        </is>
      </c>
      <c r="X992" s="425" t="inlineStr">
        <is>
          <t>John - Investor Contacts!963</t>
        </is>
      </c>
      <c r="Y992" s="426" t="inlineStr">
        <is>
          <t>Send 1st follow-up and ask for 20-minute call</t>
        </is>
      </c>
      <c r="Z992" s="425" t="n">
        <v>3</v>
      </c>
      <c r="AA992" s="425">
        <f>IF(AC992="Archived",0,ROUND((IF(N992="Tier 1",35,IF(N992="Tier 2",20,8))+IF(C992="Financial Investor",15,IF(C992="Intermediary / Banker",12,8))+IF(L992="Term Sheet / Proposal",25,IF(L992="Engaged",20,IF(L992="Meeting Requested",18,IF(L992="Meeting Held",14,IF(L992="Follow Up",10,5)))))+MIN(Q992,30)+IF(S992="DUE",15,IF(S992="Next 3 Days",8,0))),0))</f>
        <v/>
      </c>
      <c r="AB992" s="425">
        <f>IF(AND(AC992="Active",OR(N992="Tier 1",N992="Tier 2"),OR(S992="DUE",S992="Next 3 Days")),"YES","")</f>
        <v/>
      </c>
      <c r="AC992" s="425">
        <f>IF(L992="Passed","Archived","Active")</f>
        <v/>
      </c>
    </row>
    <row r="993">
      <c r="A993" s="425" t="inlineStr">
        <is>
          <t>EXOS-0992</t>
        </is>
      </c>
      <c r="B993" s="425" t="inlineStr">
        <is>
          <t>John - Investor Contacts</t>
        </is>
      </c>
      <c r="C993" s="425" t="inlineStr">
        <is>
          <t>Financial Investor</t>
        </is>
      </c>
      <c r="D993" s="425" t="inlineStr">
        <is>
          <t>Karman Ventures</t>
        </is>
      </c>
      <c r="E993" s="425" t="inlineStr">
        <is>
          <t>Dave Clark</t>
        </is>
      </c>
      <c r="F993" s="425" t="inlineStr"/>
      <c r="G993" s="111" t="inlineStr">
        <is>
          <t>dave@karman.vc</t>
        </is>
      </c>
      <c r="H993" s="425" t="inlineStr"/>
      <c r="I993" s="425" t="inlineStr"/>
      <c r="J993" s="111" t="inlineStr">
        <is>
          <t>https://www.linkedin.com/in/davidacclark</t>
        </is>
      </c>
      <c r="K993" s="426" t="inlineStr">
        <is>
          <t>John Quinn</t>
        </is>
      </c>
      <c r="L993" s="426" t="inlineStr">
        <is>
          <t>Contacted</t>
        </is>
      </c>
      <c r="M993" s="425" t="inlineStr">
        <is>
          <t>Space / Defense / Aerospace / Advanced Manufacturing</t>
        </is>
      </c>
      <c r="N993" s="426" t="inlineStr">
        <is>
          <t>Tier 2</t>
        </is>
      </c>
      <c r="O993" s="441" t="n">
        <v>46074</v>
      </c>
      <c r="P993" s="441" t="n">
        <v>46074</v>
      </c>
      <c r="Q993" s="425">
        <f>IF(P993="","",TODAY()-P993)</f>
        <v/>
      </c>
      <c r="R993" s="441">
        <f>IF(OR(L993="Passed",Z993=""),"",P993+Z993)</f>
        <v/>
      </c>
      <c r="S993" s="425">
        <f>IF(OR(R993="",L993="Passed"),"",IF(R993&lt;=TODAY(),"DUE",IF(R993&lt;=TODAY()+3,"Next 3 Days","Later")))</f>
        <v/>
      </c>
      <c r="T993" s="425" t="inlineStr"/>
      <c r="U993" s="426" t="inlineStr">
        <is>
          <t>https://www.linkedin.com/in/davidacclark</t>
        </is>
      </c>
      <c r="V993" s="426" t="inlineStr"/>
      <c r="W993" s="428" t="inlineStr">
        <is>
          <t xml:space="preserve"> |  | </t>
        </is>
      </c>
      <c r="X993" s="425" t="inlineStr">
        <is>
          <t>John - Investor Contacts!965</t>
        </is>
      </c>
      <c r="Y993" s="426" t="inlineStr">
        <is>
          <t>Send 1st follow-up and ask for 20-minute call</t>
        </is>
      </c>
      <c r="Z993" s="425" t="n">
        <v>3</v>
      </c>
      <c r="AA993" s="425">
        <f>IF(AC993="Archived",0,ROUND((IF(N993="Tier 1",35,IF(N993="Tier 2",20,8))+IF(C993="Financial Investor",15,IF(C993="Intermediary / Banker",12,8))+IF(L993="Term Sheet / Proposal",25,IF(L993="Engaged",20,IF(L993="Meeting Requested",18,IF(L993="Meeting Held",14,IF(L993="Follow Up",10,5)))))+MIN(Q993,30)+IF(S993="DUE",15,IF(S993="Next 3 Days",8,0))),0))</f>
        <v/>
      </c>
      <c r="AB993" s="425">
        <f>IF(AND(AC993="Active",OR(N993="Tier 1",N993="Tier 2"),OR(S993="DUE",S993="Next 3 Days")),"YES","")</f>
        <v/>
      </c>
      <c r="AC993" s="425">
        <f>IF(L993="Passed","Archived","Active")</f>
        <v/>
      </c>
    </row>
    <row r="994">
      <c r="A994" s="425" t="inlineStr">
        <is>
          <t>EXOS-0993</t>
        </is>
      </c>
      <c r="B994" s="425" t="inlineStr">
        <is>
          <t>John - Investor Contacts</t>
        </is>
      </c>
      <c r="C994" s="425" t="inlineStr">
        <is>
          <t>Financial Investor</t>
        </is>
      </c>
      <c r="D994" s="425" t="inlineStr">
        <is>
          <t>Karman Ventures</t>
        </is>
      </c>
      <c r="E994" s="425" t="inlineStr">
        <is>
          <t>William Barnes</t>
        </is>
      </c>
      <c r="F994" s="425" t="inlineStr"/>
      <c r="G994" s="111" t="inlineStr">
        <is>
          <t>william@movingcapital.com</t>
        </is>
      </c>
      <c r="H994" s="425" t="inlineStr"/>
      <c r="I994" s="425" t="inlineStr"/>
      <c r="J994" s="111" t="inlineStr">
        <is>
          <t>https://www.linkedin.com/in/williampbarnes/</t>
        </is>
      </c>
      <c r="K994" s="426" t="inlineStr">
        <is>
          <t>John Quinn</t>
        </is>
      </c>
      <c r="L994" s="426" t="inlineStr">
        <is>
          <t>Contacted</t>
        </is>
      </c>
      <c r="M994" s="425" t="inlineStr">
        <is>
          <t>Space / Defense / Aerospace / Advanced Manufacturing</t>
        </is>
      </c>
      <c r="N994" s="426" t="inlineStr">
        <is>
          <t>Tier 2</t>
        </is>
      </c>
      <c r="O994" s="441" t="n">
        <v>46074</v>
      </c>
      <c r="P994" s="441" t="n">
        <v>46074</v>
      </c>
      <c r="Q994" s="425">
        <f>IF(P994="","",TODAY()-P994)</f>
        <v/>
      </c>
      <c r="R994" s="441">
        <f>IF(OR(L994="Passed",Z994=""),"",P994+Z994)</f>
        <v/>
      </c>
      <c r="S994" s="425">
        <f>IF(OR(R994="",L994="Passed"),"",IF(R994&lt;=TODAY(),"DUE",IF(R994&lt;=TODAY()+3,"Next 3 Days","Later")))</f>
        <v/>
      </c>
      <c r="T994" s="425" t="inlineStr"/>
      <c r="U994" s="426" t="inlineStr">
        <is>
          <t>https://www.linkedin.com/in/williampbarnes/</t>
        </is>
      </c>
      <c r="V994" s="426" t="inlineStr"/>
      <c r="W994" s="428" t="inlineStr">
        <is>
          <t xml:space="preserve"> |  | </t>
        </is>
      </c>
      <c r="X994" s="425" t="inlineStr">
        <is>
          <t>John - Investor Contacts!964</t>
        </is>
      </c>
      <c r="Y994" s="426" t="inlineStr">
        <is>
          <t>Send 1st follow-up and ask for 20-minute call</t>
        </is>
      </c>
      <c r="Z994" s="425" t="n">
        <v>3</v>
      </c>
      <c r="AA994" s="425">
        <f>IF(AC994="Archived",0,ROUND((IF(N994="Tier 1",35,IF(N994="Tier 2",20,8))+IF(C994="Financial Investor",15,IF(C994="Intermediary / Banker",12,8))+IF(L994="Term Sheet / Proposal",25,IF(L994="Engaged",20,IF(L994="Meeting Requested",18,IF(L994="Meeting Held",14,IF(L994="Follow Up",10,5)))))+MIN(Q994,30)+IF(S994="DUE",15,IF(S994="Next 3 Days",8,0))),0))</f>
        <v/>
      </c>
      <c r="AB994" s="425">
        <f>IF(AND(AC994="Active",OR(N994="Tier 1",N994="Tier 2"),OR(S994="DUE",S994="Next 3 Days")),"YES","")</f>
        <v/>
      </c>
      <c r="AC994" s="425">
        <f>IF(L994="Passed","Archived","Active")</f>
        <v/>
      </c>
    </row>
    <row r="995">
      <c r="A995" s="425" t="inlineStr">
        <is>
          <t>EXOS-0994</t>
        </is>
      </c>
      <c r="B995" s="425" t="inlineStr">
        <is>
          <t>John - Investor Contacts</t>
        </is>
      </c>
      <c r="C995" s="425" t="inlineStr">
        <is>
          <t>Financial Investor</t>
        </is>
      </c>
      <c r="D995" s="425" t="inlineStr">
        <is>
          <t>MU Ventures</t>
        </is>
      </c>
      <c r="E995" s="425" t="inlineStr">
        <is>
          <t>Gary Benerofe</t>
        </is>
      </c>
      <c r="F995" s="425" t="inlineStr"/>
      <c r="G995" s="111" t="inlineStr">
        <is>
          <t>gary@muventures.com</t>
        </is>
      </c>
      <c r="H995" s="425" t="inlineStr"/>
      <c r="I995" s="425" t="inlineStr"/>
      <c r="J995" s="111" t="inlineStr">
        <is>
          <t>https://www.linkedin.com/in/gary-benerofe/</t>
        </is>
      </c>
      <c r="K995" s="426" t="inlineStr">
        <is>
          <t>John Quinn</t>
        </is>
      </c>
      <c r="L995" s="426" t="inlineStr">
        <is>
          <t>Contacted</t>
        </is>
      </c>
      <c r="M995" s="425" t="inlineStr">
        <is>
          <t>Space / Defense / Aerospace / Advanced Manufacturing</t>
        </is>
      </c>
      <c r="N995" s="426" t="inlineStr">
        <is>
          <t>Tier 2</t>
        </is>
      </c>
      <c r="O995" s="441" t="n">
        <v>45821</v>
      </c>
      <c r="P995" s="441" t="n">
        <v>45821</v>
      </c>
      <c r="Q995" s="425">
        <f>IF(P995="","",TODAY()-P995)</f>
        <v/>
      </c>
      <c r="R995" s="441">
        <f>IF(OR(L995="Passed",Z995=""),"",P995+Z995)</f>
        <v/>
      </c>
      <c r="S995" s="425">
        <f>IF(OR(R995="",L995="Passed"),"",IF(R995&lt;=TODAY(),"DUE",IF(R995&lt;=TODAY()+3,"Next 3 Days","Later")))</f>
        <v/>
      </c>
      <c r="T995" s="425" t="inlineStr"/>
      <c r="U995" s="426" t="inlineStr">
        <is>
          <t>https://www.linkedin.com/in/gary-benerofe/</t>
        </is>
      </c>
      <c r="V995" s="426" t="inlineStr"/>
      <c r="W995" s="428" t="inlineStr">
        <is>
          <t xml:space="preserve"> | not a fit | online application: https://airtable.com/app7oFpuEBhSQDqVs/pagZDGTU1EMibc45y/form</t>
        </is>
      </c>
      <c r="X995" s="425" t="inlineStr">
        <is>
          <t>John - Investor Contacts!189</t>
        </is>
      </c>
      <c r="Y995" s="426" t="inlineStr">
        <is>
          <t>Send 1st follow-up and ask for 20-minute call</t>
        </is>
      </c>
      <c r="Z995" s="425" t="n">
        <v>3</v>
      </c>
      <c r="AA995" s="425">
        <f>IF(AC995="Archived",0,ROUND((IF(N995="Tier 1",35,IF(N995="Tier 2",20,8))+IF(C995="Financial Investor",15,IF(C995="Intermediary / Banker",12,8))+IF(L995="Term Sheet / Proposal",25,IF(L995="Engaged",20,IF(L995="Meeting Requested",18,IF(L995="Meeting Held",14,IF(L995="Follow Up",10,5)))))+MIN(Q995,30)+IF(S995="DUE",15,IF(S995="Next 3 Days",8,0))),0))</f>
        <v/>
      </c>
      <c r="AB995" s="425">
        <f>IF(AND(AC995="Active",OR(N995="Tier 1",N995="Tier 2"),OR(S995="DUE",S995="Next 3 Days")),"YES","")</f>
        <v/>
      </c>
      <c r="AC995" s="425">
        <f>IF(L995="Passed","Archived","Active")</f>
        <v/>
      </c>
    </row>
    <row r="996">
      <c r="A996" s="425" t="inlineStr">
        <is>
          <t>EXOS-0995</t>
        </is>
      </c>
      <c r="B996" s="425" t="inlineStr">
        <is>
          <t>John - Investor Contacts</t>
        </is>
      </c>
      <c r="C996" s="425" t="inlineStr">
        <is>
          <t>Financial Investor</t>
        </is>
      </c>
      <c r="D996" s="425" t="inlineStr">
        <is>
          <t>Mana Ventures</t>
        </is>
      </c>
      <c r="E996" s="425" t="inlineStr">
        <is>
          <t>David Karol</t>
        </is>
      </c>
      <c r="F996" s="425" t="inlineStr"/>
      <c r="G996" s="111" t="inlineStr">
        <is>
          <t>david@manaventures.vc</t>
        </is>
      </c>
      <c r="H996" s="425" t="inlineStr"/>
      <c r="I996" s="425" t="inlineStr"/>
      <c r="J996" s="111" t="inlineStr">
        <is>
          <t>https://www.linkedin.com/in/david-karol/</t>
        </is>
      </c>
      <c r="K996" s="426" t="inlineStr">
        <is>
          <t>John Quinn</t>
        </is>
      </c>
      <c r="L996" s="426" t="inlineStr">
        <is>
          <t>Contacted</t>
        </is>
      </c>
      <c r="M996" s="425" t="inlineStr">
        <is>
          <t>Space / Defense / Aerospace / Advanced Manufacturing</t>
        </is>
      </c>
      <c r="N996" s="426" t="inlineStr">
        <is>
          <t>Tier 2</t>
        </is>
      </c>
      <c r="O996" s="441" t="n">
        <v>46079</v>
      </c>
      <c r="P996" s="441" t="n">
        <v>46079</v>
      </c>
      <c r="Q996" s="425">
        <f>IF(P996="","",TODAY()-P996)</f>
        <v/>
      </c>
      <c r="R996" s="441">
        <f>IF(OR(L996="Passed",Z996=""),"",P996+Z996)</f>
        <v/>
      </c>
      <c r="S996" s="425">
        <f>IF(OR(R996="",L996="Passed"),"",IF(R996&lt;=TODAY(),"DUE",IF(R996&lt;=TODAY()+3,"Next 3 Days","Later")))</f>
        <v/>
      </c>
      <c r="T996" s="425" t="inlineStr"/>
      <c r="U996" s="426" t="inlineStr">
        <is>
          <t>https://www.linkedin.com/in/david-karol/</t>
        </is>
      </c>
      <c r="V996" s="426" t="inlineStr"/>
      <c r="W996" s="428" t="inlineStr">
        <is>
          <t xml:space="preserve"> |  | </t>
        </is>
      </c>
      <c r="X996" s="425" t="inlineStr">
        <is>
          <t>John - Investor Contacts!969</t>
        </is>
      </c>
      <c r="Y996" s="426" t="inlineStr">
        <is>
          <t>Send 1st follow-up and ask for 20-minute call</t>
        </is>
      </c>
      <c r="Z996" s="425" t="n">
        <v>3</v>
      </c>
      <c r="AA996" s="425">
        <f>IF(AC996="Archived",0,ROUND((IF(N996="Tier 1",35,IF(N996="Tier 2",20,8))+IF(C996="Financial Investor",15,IF(C996="Intermediary / Banker",12,8))+IF(L996="Term Sheet / Proposal",25,IF(L996="Engaged",20,IF(L996="Meeting Requested",18,IF(L996="Meeting Held",14,IF(L996="Follow Up",10,5)))))+MIN(Q996,30)+IF(S996="DUE",15,IF(S996="Next 3 Days",8,0))),0))</f>
        <v/>
      </c>
      <c r="AB996" s="425">
        <f>IF(AND(AC996="Active",OR(N996="Tier 1",N996="Tier 2"),OR(S996="DUE",S996="Next 3 Days")),"YES","")</f>
        <v/>
      </c>
      <c r="AC996" s="425">
        <f>IF(L996="Passed","Archived","Active")</f>
        <v/>
      </c>
    </row>
    <row r="997">
      <c r="A997" s="425" t="inlineStr">
        <is>
          <t>EXOS-0996</t>
        </is>
      </c>
      <c r="B997" s="425" t="inlineStr">
        <is>
          <t>John - Investor Contacts</t>
        </is>
      </c>
      <c r="C997" s="425" t="inlineStr">
        <is>
          <t>Financial Investor</t>
        </is>
      </c>
      <c r="D997" s="425" t="inlineStr">
        <is>
          <t>Mana Ventures</t>
        </is>
      </c>
      <c r="E997" s="425" t="inlineStr">
        <is>
          <t>Morgan Schwanke</t>
        </is>
      </c>
      <c r="F997" s="425" t="inlineStr"/>
      <c r="G997" s="425" t="inlineStr"/>
      <c r="H997" s="425" t="inlineStr"/>
      <c r="I997" s="425" t="inlineStr"/>
      <c r="J997" s="425" t="inlineStr"/>
      <c r="K997" s="426" t="inlineStr">
        <is>
          <t>John Quinn</t>
        </is>
      </c>
      <c r="L997" s="426" t="inlineStr">
        <is>
          <t>Contacted</t>
        </is>
      </c>
      <c r="M997" s="425" t="inlineStr">
        <is>
          <t>Space / Defense / Aerospace / Advanced Manufacturing</t>
        </is>
      </c>
      <c r="N997" s="426" t="inlineStr">
        <is>
          <t>Tier 2</t>
        </is>
      </c>
      <c r="O997" s="441" t="n">
        <v>46079</v>
      </c>
      <c r="P997" s="441" t="n">
        <v>46079</v>
      </c>
      <c r="Q997" s="425">
        <f>IF(P997="","",TODAY()-P997)</f>
        <v/>
      </c>
      <c r="R997" s="441">
        <f>IF(OR(L997="Passed",Z997=""),"",P997+Z997)</f>
        <v/>
      </c>
      <c r="S997" s="425">
        <f>IF(OR(R997="",L997="Passed"),"",IF(R997&lt;=TODAY(),"DUE",IF(R997&lt;=TODAY()+3,"Next 3 Days","Later")))</f>
        <v/>
      </c>
      <c r="T997" s="425" t="inlineStr"/>
      <c r="U997" s="426" t="inlineStr"/>
      <c r="V997" s="426" t="inlineStr"/>
      <c r="W997" s="428" t="inlineStr">
        <is>
          <t xml:space="preserve"> |  | </t>
        </is>
      </c>
      <c r="X997" s="425" t="inlineStr">
        <is>
          <t>John - Investor Contacts!968</t>
        </is>
      </c>
      <c r="Y997" s="426" t="inlineStr">
        <is>
          <t>Send 1st follow-up and ask for 20-minute call</t>
        </is>
      </c>
      <c r="Z997" s="425" t="n">
        <v>3</v>
      </c>
      <c r="AA997" s="425">
        <f>IF(AC997="Archived",0,ROUND((IF(N997="Tier 1",35,IF(N997="Tier 2",20,8))+IF(C997="Financial Investor",15,IF(C997="Intermediary / Banker",12,8))+IF(L997="Term Sheet / Proposal",25,IF(L997="Engaged",20,IF(L997="Meeting Requested",18,IF(L997="Meeting Held",14,IF(L997="Follow Up",10,5)))))+MIN(Q997,30)+IF(S997="DUE",15,IF(S997="Next 3 Days",8,0))),0))</f>
        <v/>
      </c>
      <c r="AB997" s="425">
        <f>IF(AND(AC997="Active",OR(N997="Tier 1",N997="Tier 2"),OR(S997="DUE",S997="Next 3 Days")),"YES","")</f>
        <v/>
      </c>
      <c r="AC997" s="425">
        <f>IF(L997="Passed","Archived","Active")</f>
        <v/>
      </c>
    </row>
    <row r="998">
      <c r="A998" s="425" t="inlineStr">
        <is>
          <t>EXOS-0997</t>
        </is>
      </c>
      <c r="B998" s="425" t="inlineStr">
        <is>
          <t>John - Investor Contacts</t>
        </is>
      </c>
      <c r="C998" s="425" t="inlineStr">
        <is>
          <t>Financial Investor</t>
        </is>
      </c>
      <c r="D998" s="425" t="inlineStr">
        <is>
          <t>Mana Ventures</t>
        </is>
      </c>
      <c r="E998" s="425" t="inlineStr">
        <is>
          <t>Thomas Fu</t>
        </is>
      </c>
      <c r="F998" s="425" t="inlineStr"/>
      <c r="G998" s="111" t="inlineStr">
        <is>
          <t>thomasfu0126@gmail.com</t>
        </is>
      </c>
      <c r="H998" s="425" t="inlineStr"/>
      <c r="I998" s="425" t="inlineStr"/>
      <c r="J998" s="111" t="inlineStr">
        <is>
          <t>https://www.linkedin.com/in/thomas-f-77486b58</t>
        </is>
      </c>
      <c r="K998" s="426" t="inlineStr">
        <is>
          <t>John Quinn</t>
        </is>
      </c>
      <c r="L998" s="426" t="inlineStr">
        <is>
          <t>Contacted</t>
        </is>
      </c>
      <c r="M998" s="425" t="inlineStr">
        <is>
          <t>Space / Defense / Aerospace / Advanced Manufacturing</t>
        </is>
      </c>
      <c r="N998" s="426" t="inlineStr">
        <is>
          <t>Tier 2</t>
        </is>
      </c>
      <c r="O998" s="441" t="n">
        <v>46079</v>
      </c>
      <c r="P998" s="441" t="n">
        <v>46079</v>
      </c>
      <c r="Q998" s="425">
        <f>IF(P998="","",TODAY()-P998)</f>
        <v/>
      </c>
      <c r="R998" s="441">
        <f>IF(OR(L998="Passed",Z998=""),"",P998+Z998)</f>
        <v/>
      </c>
      <c r="S998" s="425">
        <f>IF(OR(R998="",L998="Passed"),"",IF(R998&lt;=TODAY(),"DUE",IF(R998&lt;=TODAY()+3,"Next 3 Days","Later")))</f>
        <v/>
      </c>
      <c r="T998" s="425" t="inlineStr"/>
      <c r="U998" s="426" t="inlineStr">
        <is>
          <t>https://www.linkedin.com/in/thomas-f-77486b58</t>
        </is>
      </c>
      <c r="V998" s="426" t="inlineStr"/>
      <c r="W998" s="428" t="inlineStr">
        <is>
          <t xml:space="preserve"> |  | </t>
        </is>
      </c>
      <c r="X998" s="425" t="inlineStr">
        <is>
          <t>John - Investor Contacts!970</t>
        </is>
      </c>
      <c r="Y998" s="426" t="inlineStr">
        <is>
          <t>Send 1st follow-up and ask for 20-minute call</t>
        </is>
      </c>
      <c r="Z998" s="425" t="n">
        <v>3</v>
      </c>
      <c r="AA998" s="425">
        <f>IF(AC998="Archived",0,ROUND((IF(N998="Tier 1",35,IF(N998="Tier 2",20,8))+IF(C998="Financial Investor",15,IF(C998="Intermediary / Banker",12,8))+IF(L998="Term Sheet / Proposal",25,IF(L998="Engaged",20,IF(L998="Meeting Requested",18,IF(L998="Meeting Held",14,IF(L998="Follow Up",10,5)))))+MIN(Q998,30)+IF(S998="DUE",15,IF(S998="Next 3 Days",8,0))),0))</f>
        <v/>
      </c>
      <c r="AB998" s="425">
        <f>IF(AND(AC998="Active",OR(N998="Tier 1",N998="Tier 2"),OR(S998="DUE",S998="Next 3 Days")),"YES","")</f>
        <v/>
      </c>
      <c r="AC998" s="425">
        <f>IF(L998="Passed","Archived","Active")</f>
        <v/>
      </c>
    </row>
    <row r="999">
      <c r="A999" s="425" t="inlineStr">
        <is>
          <t>EXOS-0998</t>
        </is>
      </c>
      <c r="B999" s="425" t="inlineStr">
        <is>
          <t>John - Investor Contacts</t>
        </is>
      </c>
      <c r="C999" s="425" t="inlineStr">
        <is>
          <t>Financial Investor</t>
        </is>
      </c>
      <c r="D999" s="425" t="inlineStr">
        <is>
          <t>Managing Partner at SENCO Hydrogen Capital</t>
        </is>
      </c>
      <c r="E999" s="425" t="inlineStr">
        <is>
          <t>Oliver Kolbe</t>
        </is>
      </c>
      <c r="F999" s="425" t="inlineStr"/>
      <c r="G999" s="111" t="inlineStr">
        <is>
          <t>kolbe@senco-capital.com</t>
        </is>
      </c>
      <c r="H999" s="425" t="inlineStr"/>
      <c r="I999" s="425" t="inlineStr"/>
      <c r="J999" s="425" t="inlineStr"/>
      <c r="K999" s="426" t="inlineStr">
        <is>
          <t>John Quinn</t>
        </is>
      </c>
      <c r="L999" s="426" t="inlineStr">
        <is>
          <t>Contacted</t>
        </is>
      </c>
      <c r="M999" s="425" t="inlineStr">
        <is>
          <t>Space / Defense / Aerospace / Advanced Manufacturing</t>
        </is>
      </c>
      <c r="N999" s="426" t="inlineStr">
        <is>
          <t>Tier 2</t>
        </is>
      </c>
      <c r="O999" s="441" t="n">
        <v>45974</v>
      </c>
      <c r="P999" s="441" t="n">
        <v>45974</v>
      </c>
      <c r="Q999" s="425">
        <f>IF(P999="","",TODAY()-P999)</f>
        <v/>
      </c>
      <c r="R999" s="441">
        <f>IF(OR(L999="Passed",Z999=""),"",P999+Z999)</f>
        <v/>
      </c>
      <c r="S999" s="425">
        <f>IF(OR(R999="",L999="Passed"),"",IF(R999&lt;=TODAY(),"DUE",IF(R999&lt;=TODAY()+3,"Next 3 Days","Later")))</f>
        <v/>
      </c>
      <c r="T999" s="425" t="inlineStr"/>
      <c r="U999" s="426" t="inlineStr">
        <is>
          <t>linkedin.com/in/oliver-kolbe-23932b1</t>
        </is>
      </c>
      <c r="V999" s="426" t="inlineStr"/>
      <c r="W999" s="428" t="inlineStr">
        <is>
          <t xml:space="preserve"> |  | </t>
        </is>
      </c>
      <c r="X999" s="425" t="inlineStr">
        <is>
          <t>John - Investor Contacts!719</t>
        </is>
      </c>
      <c r="Y999" s="426" t="inlineStr">
        <is>
          <t>Send 1st follow-up and ask for 20-minute call</t>
        </is>
      </c>
      <c r="Z999" s="425" t="n">
        <v>3</v>
      </c>
      <c r="AA999" s="425">
        <f>IF(AC999="Archived",0,ROUND((IF(N999="Tier 1",35,IF(N999="Tier 2",20,8))+IF(C999="Financial Investor",15,IF(C999="Intermediary / Banker",12,8))+IF(L999="Term Sheet / Proposal",25,IF(L999="Engaged",20,IF(L999="Meeting Requested",18,IF(L999="Meeting Held",14,IF(L999="Follow Up",10,5)))))+MIN(Q999,30)+IF(S999="DUE",15,IF(S999="Next 3 Days",8,0))),0))</f>
        <v/>
      </c>
      <c r="AB999" s="425">
        <f>IF(AND(AC999="Active",OR(N999="Tier 1",N999="Tier 2"),OR(S999="DUE",S999="Next 3 Days")),"YES","")</f>
        <v/>
      </c>
      <c r="AC999" s="425">
        <f>IF(L999="Passed","Archived","Active")</f>
        <v/>
      </c>
    </row>
    <row r="1000">
      <c r="A1000" s="425" t="inlineStr">
        <is>
          <t>EXOS-0999</t>
        </is>
      </c>
      <c r="B1000" s="425" t="inlineStr">
        <is>
          <t>John - Investor Contacts</t>
        </is>
      </c>
      <c r="C1000" s="425" t="inlineStr">
        <is>
          <t>Financial Investor</t>
        </is>
      </c>
      <c r="D1000" s="425" t="inlineStr">
        <is>
          <t>Mirante Partners</t>
        </is>
      </c>
      <c r="E1000" s="425" t="inlineStr">
        <is>
          <t>Contact Page</t>
        </is>
      </c>
      <c r="F1000" s="425" t="inlineStr"/>
      <c r="G1000" s="425" t="inlineStr"/>
      <c r="H1000" s="425" t="inlineStr"/>
      <c r="I1000" s="425" t="inlineStr"/>
      <c r="J1000" s="425" t="inlineStr"/>
      <c r="K1000" s="426" t="inlineStr">
        <is>
          <t>John Quinn</t>
        </is>
      </c>
      <c r="L1000" s="426" t="inlineStr">
        <is>
          <t>Contacted</t>
        </is>
      </c>
      <c r="M1000" s="425" t="inlineStr">
        <is>
          <t>Space / Defense / Aerospace / Advanced Manufacturing</t>
        </is>
      </c>
      <c r="N1000" s="426" t="inlineStr">
        <is>
          <t>Tier 2</t>
        </is>
      </c>
      <c r="O1000" s="441" t="n">
        <v>45832</v>
      </c>
      <c r="P1000" s="441" t="n">
        <v>45832</v>
      </c>
      <c r="Q1000" s="425">
        <f>IF(P1000="","",TODAY()-P1000)</f>
        <v/>
      </c>
      <c r="R1000" s="441">
        <f>IF(OR(L1000="Passed",Z1000=""),"",P1000+Z1000)</f>
        <v/>
      </c>
      <c r="S1000" s="425">
        <f>IF(OR(R1000="",L1000="Passed"),"",IF(R1000&lt;=TODAY(),"DUE",IF(R1000&lt;=TODAY()+3,"Next 3 Days","Later")))</f>
        <v/>
      </c>
      <c r="T1000" s="425" t="inlineStr"/>
      <c r="U1000" s="426" t="inlineStr"/>
      <c r="V1000" s="426" t="inlineStr"/>
      <c r="W1000" s="428" t="inlineStr">
        <is>
          <t xml:space="preserve"> |  | </t>
        </is>
      </c>
      <c r="X1000" s="425" t="inlineStr">
        <is>
          <t>John - Investor Contacts!247</t>
        </is>
      </c>
      <c r="Y1000" s="426" t="inlineStr">
        <is>
          <t>Send 1st follow-up and ask for 20-minute call</t>
        </is>
      </c>
      <c r="Z1000" s="425" t="n">
        <v>3</v>
      </c>
      <c r="AA1000" s="425">
        <f>IF(AC1000="Archived",0,ROUND((IF(N1000="Tier 1",35,IF(N1000="Tier 2",20,8))+IF(C1000="Financial Investor",15,IF(C1000="Intermediary / Banker",12,8))+IF(L1000="Term Sheet / Proposal",25,IF(L1000="Engaged",20,IF(L1000="Meeting Requested",18,IF(L1000="Meeting Held",14,IF(L1000="Follow Up",10,5)))))+MIN(Q1000,30)+IF(S1000="DUE",15,IF(S1000="Next 3 Days",8,0))),0))</f>
        <v/>
      </c>
      <c r="AB1000" s="425">
        <f>IF(AND(AC1000="Active",OR(N1000="Tier 1",N1000="Tier 2"),OR(S1000="DUE",S1000="Next 3 Days")),"YES","")</f>
        <v/>
      </c>
      <c r="AC1000" s="425">
        <f>IF(L1000="Passed","Archived","Active")</f>
        <v/>
      </c>
    </row>
    <row r="1001">
      <c r="A1001" s="425" t="inlineStr">
        <is>
          <t>EXOS-1000</t>
        </is>
      </c>
      <c r="B1001" s="425" t="inlineStr">
        <is>
          <t>John - Investor Contacts</t>
        </is>
      </c>
      <c r="C1001" s="425" t="inlineStr">
        <is>
          <t>Financial Investor</t>
        </is>
      </c>
      <c r="D1001" s="425" t="inlineStr">
        <is>
          <t>Moonshots Capital</t>
        </is>
      </c>
      <c r="E1001" s="425" t="inlineStr">
        <is>
          <t>Kelly Perdew</t>
        </is>
      </c>
      <c r="F1001" s="425" t="inlineStr"/>
      <c r="G1001" s="111" t="inlineStr">
        <is>
          <t>k.perdew@moonshotscapital.com</t>
        </is>
      </c>
      <c r="H1001" s="425" t="inlineStr"/>
      <c r="I1001" s="425" t="inlineStr"/>
      <c r="J1001" s="111" t="inlineStr">
        <is>
          <t>https://www.linkedin.com/in/kellyperdew/</t>
        </is>
      </c>
      <c r="K1001" s="426" t="inlineStr">
        <is>
          <t>John Quinn</t>
        </is>
      </c>
      <c r="L1001" s="426" t="inlineStr">
        <is>
          <t>Contacted</t>
        </is>
      </c>
      <c r="M1001" s="425" t="inlineStr">
        <is>
          <t>Space / Defense / Aerospace / Advanced Manufacturing</t>
        </is>
      </c>
      <c r="N1001" s="426" t="inlineStr">
        <is>
          <t>Tier 2</t>
        </is>
      </c>
      <c r="O1001" s="441" t="n">
        <v>45793</v>
      </c>
      <c r="P1001" s="441" t="n">
        <v>45793</v>
      </c>
      <c r="Q1001" s="425">
        <f>IF(P1001="","",TODAY()-P1001)</f>
        <v/>
      </c>
      <c r="R1001" s="441">
        <f>IF(OR(L1001="Passed",Z1001=""),"",P1001+Z1001)</f>
        <v/>
      </c>
      <c r="S1001" s="425">
        <f>IF(OR(R1001="",L1001="Passed"),"",IF(R1001&lt;=TODAY(),"DUE",IF(R1001&lt;=TODAY()+3,"Next 3 Days","Later")))</f>
        <v/>
      </c>
      <c r="T1001" s="425" t="inlineStr"/>
      <c r="U1001" s="426" t="inlineStr">
        <is>
          <t>https://www.linkedin.com/in/kellyperdew/</t>
        </is>
      </c>
      <c r="V1001" s="426" t="inlineStr"/>
      <c r="W1001" s="428" t="inlineStr">
        <is>
          <t xml:space="preserve"> |  | </t>
        </is>
      </c>
      <c r="X1001" s="425" t="inlineStr">
        <is>
          <t>John - Investor Contacts!73</t>
        </is>
      </c>
      <c r="Y1001" s="426" t="inlineStr">
        <is>
          <t>Send 1st follow-up and ask for 20-minute call</t>
        </is>
      </c>
      <c r="Z1001" s="425" t="n">
        <v>3</v>
      </c>
      <c r="AA1001" s="425">
        <f>IF(AC1001="Archived",0,ROUND((IF(N1001="Tier 1",35,IF(N1001="Tier 2",20,8))+IF(C1001="Financial Investor",15,IF(C1001="Intermediary / Banker",12,8))+IF(L1001="Term Sheet / Proposal",25,IF(L1001="Engaged",20,IF(L1001="Meeting Requested",18,IF(L1001="Meeting Held",14,IF(L1001="Follow Up",10,5)))))+MIN(Q1001,30)+IF(S1001="DUE",15,IF(S1001="Next 3 Days",8,0))),0))</f>
        <v/>
      </c>
      <c r="AB1001" s="425">
        <f>IF(AND(AC1001="Active",OR(N1001="Tier 1",N1001="Tier 2"),OR(S1001="DUE",S1001="Next 3 Days")),"YES","")</f>
        <v/>
      </c>
      <c r="AC1001" s="425">
        <f>IF(L1001="Passed","Archived","Active")</f>
        <v/>
      </c>
    </row>
    <row r="1002">
      <c r="A1002" s="425" t="inlineStr">
        <is>
          <t>EXOS-1001</t>
        </is>
      </c>
      <c r="B1002" s="425" t="inlineStr">
        <is>
          <t>John - Investor Contacts</t>
        </is>
      </c>
      <c r="C1002" s="425" t="inlineStr">
        <is>
          <t>Financial Investor</t>
        </is>
      </c>
      <c r="D1002" s="425" t="inlineStr">
        <is>
          <t>Motivate Ventures</t>
        </is>
      </c>
      <c r="E1002" s="425" t="inlineStr">
        <is>
          <t>Jackson Bubala</t>
        </is>
      </c>
      <c r="F1002" s="425" t="inlineStr"/>
      <c r="G1002" s="111" t="inlineStr">
        <is>
          <t>jackson@motivate.vc</t>
        </is>
      </c>
      <c r="H1002" s="425" t="inlineStr"/>
      <c r="I1002" s="425" t="inlineStr"/>
      <c r="J1002" s="111" t="inlineStr">
        <is>
          <t>https://www.linkedin.com/in/jackson-bubala/</t>
        </is>
      </c>
      <c r="K1002" s="426" t="inlineStr">
        <is>
          <t>John Quinn</t>
        </is>
      </c>
      <c r="L1002" s="426" t="inlineStr">
        <is>
          <t>Contacted</t>
        </is>
      </c>
      <c r="M1002" s="425" t="inlineStr">
        <is>
          <t>Space / Defense / Aerospace / Advanced Manufacturing</t>
        </is>
      </c>
      <c r="N1002" s="426" t="inlineStr">
        <is>
          <t>Tier 2</t>
        </is>
      </c>
      <c r="O1002" s="441" t="n">
        <v>45903</v>
      </c>
      <c r="P1002" s="441" t="n">
        <v>45903</v>
      </c>
      <c r="Q1002" s="425">
        <f>IF(P1002="","",TODAY()-P1002)</f>
        <v/>
      </c>
      <c r="R1002" s="441">
        <f>IF(OR(L1002="Passed",Z1002=""),"",P1002+Z1002)</f>
        <v/>
      </c>
      <c r="S1002" s="425">
        <f>IF(OR(R1002="",L1002="Passed"),"",IF(R1002&lt;=TODAY(),"DUE",IF(R1002&lt;=TODAY()+3,"Next 3 Days","Later")))</f>
        <v/>
      </c>
      <c r="T1002" s="425" t="inlineStr"/>
      <c r="U1002" s="426" t="inlineStr">
        <is>
          <t>https://www.linkedin.com/in/jackson-bubala/</t>
        </is>
      </c>
      <c r="V1002" s="426" t="inlineStr"/>
      <c r="W1002" s="428" t="inlineStr">
        <is>
          <t xml:space="preserve"> |  | </t>
        </is>
      </c>
      <c r="X1002" s="425" t="inlineStr">
        <is>
          <t>John - Investor Contacts!596</t>
        </is>
      </c>
      <c r="Y1002" s="426" t="inlineStr">
        <is>
          <t>Send 1st follow-up and ask for 20-minute call</t>
        </is>
      </c>
      <c r="Z1002" s="425" t="n">
        <v>3</v>
      </c>
      <c r="AA1002" s="425">
        <f>IF(AC1002="Archived",0,ROUND((IF(N1002="Tier 1",35,IF(N1002="Tier 2",20,8))+IF(C1002="Financial Investor",15,IF(C1002="Intermediary / Banker",12,8))+IF(L1002="Term Sheet / Proposal",25,IF(L1002="Engaged",20,IF(L1002="Meeting Requested",18,IF(L1002="Meeting Held",14,IF(L1002="Follow Up",10,5)))))+MIN(Q1002,30)+IF(S1002="DUE",15,IF(S1002="Next 3 Days",8,0))),0))</f>
        <v/>
      </c>
      <c r="AB1002" s="425">
        <f>IF(AND(AC1002="Active",OR(N1002="Tier 1",N1002="Tier 2"),OR(S1002="DUE",S1002="Next 3 Days")),"YES","")</f>
        <v/>
      </c>
      <c r="AC1002" s="425">
        <f>IF(L1002="Passed","Archived","Active")</f>
        <v/>
      </c>
    </row>
    <row r="1003">
      <c r="A1003" s="425" t="inlineStr">
        <is>
          <t>EXOS-1002</t>
        </is>
      </c>
      <c r="B1003" s="425" t="inlineStr">
        <is>
          <t>John - Investor Contacts</t>
        </is>
      </c>
      <c r="C1003" s="425" t="inlineStr">
        <is>
          <t>Financial Investor</t>
        </is>
      </c>
      <c r="D1003" s="425" t="inlineStr">
        <is>
          <t>New Founding</t>
        </is>
      </c>
      <c r="E1003" s="425" t="inlineStr">
        <is>
          <t>Nate Fischer</t>
        </is>
      </c>
      <c r="F1003" s="425" t="inlineStr"/>
      <c r="G1003" s="111" t="inlineStr">
        <is>
          <t>nfischer@newfounding.com</t>
        </is>
      </c>
      <c r="H1003" s="425" t="inlineStr"/>
      <c r="I1003" s="425" t="inlineStr"/>
      <c r="J1003" s="425" t="inlineStr"/>
      <c r="K1003" s="426" t="inlineStr">
        <is>
          <t>John Quinn</t>
        </is>
      </c>
      <c r="L1003" s="426" t="inlineStr">
        <is>
          <t>Contacted</t>
        </is>
      </c>
      <c r="M1003" s="425" t="inlineStr">
        <is>
          <t>Space / Defense / Aerospace / Advanced Manufacturing</t>
        </is>
      </c>
      <c r="N1003" s="426" t="inlineStr">
        <is>
          <t>Tier 2</t>
        </is>
      </c>
      <c r="O1003" s="441" t="n">
        <v>46077</v>
      </c>
      <c r="P1003" s="441" t="n">
        <v>46077</v>
      </c>
      <c r="Q1003" s="425">
        <f>IF(P1003="","",TODAY()-P1003)</f>
        <v/>
      </c>
      <c r="R1003" s="441">
        <f>IF(OR(L1003="Passed",Z1003=""),"",P1003+Z1003)</f>
        <v/>
      </c>
      <c r="S1003" s="425">
        <f>IF(OR(R1003="",L1003="Passed"),"",IF(R1003&lt;=TODAY(),"DUE",IF(R1003&lt;=TODAY()+3,"Next 3 Days","Later")))</f>
        <v/>
      </c>
      <c r="T1003" s="425" t="inlineStr"/>
      <c r="U1003" s="426" t="inlineStr">
        <is>
          <t>Aaron Era Group Intro</t>
        </is>
      </c>
      <c r="V1003" s="426" t="inlineStr"/>
      <c r="W1003" s="428" t="inlineStr">
        <is>
          <t xml:space="preserve"> |  | </t>
        </is>
      </c>
      <c r="X1003" s="425" t="inlineStr">
        <is>
          <t>John - Investor Contacts!967</t>
        </is>
      </c>
      <c r="Y1003" s="426" t="inlineStr">
        <is>
          <t>Send 1st follow-up and ask for 20-minute call</t>
        </is>
      </c>
      <c r="Z1003" s="425" t="n">
        <v>3</v>
      </c>
      <c r="AA1003" s="425">
        <f>IF(AC1003="Archived",0,ROUND((IF(N1003="Tier 1",35,IF(N1003="Tier 2",20,8))+IF(C1003="Financial Investor",15,IF(C1003="Intermediary / Banker",12,8))+IF(L1003="Term Sheet / Proposal",25,IF(L1003="Engaged",20,IF(L1003="Meeting Requested",18,IF(L1003="Meeting Held",14,IF(L1003="Follow Up",10,5)))))+MIN(Q1003,30)+IF(S1003="DUE",15,IF(S1003="Next 3 Days",8,0))),0))</f>
        <v/>
      </c>
      <c r="AB1003" s="425">
        <f>IF(AND(AC1003="Active",OR(N1003="Tier 1",N1003="Tier 2"),OR(S1003="DUE",S1003="Next 3 Days")),"YES","")</f>
        <v/>
      </c>
      <c r="AC1003" s="425">
        <f>IF(L1003="Passed","Archived","Active")</f>
        <v/>
      </c>
    </row>
    <row r="1004">
      <c r="A1004" s="425" t="inlineStr">
        <is>
          <t>EXOS-1003</t>
        </is>
      </c>
      <c r="B1004" s="425" t="inlineStr">
        <is>
          <t>John - Investor Contacts</t>
        </is>
      </c>
      <c r="C1004" s="425" t="inlineStr">
        <is>
          <t>Financial Investor</t>
        </is>
      </c>
      <c r="D1004" s="425" t="inlineStr">
        <is>
          <t>New Private Equity</t>
        </is>
      </c>
      <c r="E1004" s="425" t="inlineStr">
        <is>
          <t>the team</t>
        </is>
      </c>
      <c r="F1004" s="425" t="inlineStr"/>
      <c r="G1004" s="111" t="inlineStr">
        <is>
          <t>info@newprivateequity.com</t>
        </is>
      </c>
      <c r="H1004" s="425" t="inlineStr"/>
      <c r="I1004" s="425" t="inlineStr"/>
      <c r="J1004" s="425" t="inlineStr"/>
      <c r="K1004" s="426" t="inlineStr">
        <is>
          <t>John Quinn</t>
        </is>
      </c>
      <c r="L1004" s="426" t="inlineStr">
        <is>
          <t>Contacted</t>
        </is>
      </c>
      <c r="M1004" s="425" t="inlineStr">
        <is>
          <t>Space / Defense / Aerospace / Advanced Manufacturing</t>
        </is>
      </c>
      <c r="N1004" s="426" t="inlineStr">
        <is>
          <t>Tier 2</t>
        </is>
      </c>
      <c r="O1004" s="441" t="n">
        <v>45832</v>
      </c>
      <c r="P1004" s="441" t="n">
        <v>45832</v>
      </c>
      <c r="Q1004" s="425">
        <f>IF(P1004="","",TODAY()-P1004)</f>
        <v/>
      </c>
      <c r="R1004" s="441">
        <f>IF(OR(L1004="Passed",Z1004=""),"",P1004+Z1004)</f>
        <v/>
      </c>
      <c r="S1004" s="425">
        <f>IF(OR(R1004="",L1004="Passed"),"",IF(R1004&lt;=TODAY(),"DUE",IF(R1004&lt;=TODAY()+3,"Next 3 Days","Later")))</f>
        <v/>
      </c>
      <c r="T1004" s="425" t="inlineStr"/>
      <c r="U1004" s="426" t="inlineStr"/>
      <c r="V1004" s="426" t="inlineStr"/>
      <c r="W1004" s="428" t="inlineStr">
        <is>
          <t xml:space="preserve"> |  | sent one pager on 6/24</t>
        </is>
      </c>
      <c r="X1004" s="425" t="inlineStr">
        <is>
          <t>John - Investor Contacts!248</t>
        </is>
      </c>
      <c r="Y1004" s="426" t="inlineStr">
        <is>
          <t>Send 1st follow-up and ask for 20-minute call</t>
        </is>
      </c>
      <c r="Z1004" s="425" t="n">
        <v>3</v>
      </c>
      <c r="AA1004" s="425">
        <f>IF(AC1004="Archived",0,ROUND((IF(N1004="Tier 1",35,IF(N1004="Tier 2",20,8))+IF(C1004="Financial Investor",15,IF(C1004="Intermediary / Banker",12,8))+IF(L1004="Term Sheet / Proposal",25,IF(L1004="Engaged",20,IF(L1004="Meeting Requested",18,IF(L1004="Meeting Held",14,IF(L1004="Follow Up",10,5)))))+MIN(Q1004,30)+IF(S1004="DUE",15,IF(S1004="Next 3 Days",8,0))),0))</f>
        <v/>
      </c>
      <c r="AB1004" s="425">
        <f>IF(AND(AC1004="Active",OR(N1004="Tier 1",N1004="Tier 2"),OR(S1004="DUE",S1004="Next 3 Days")),"YES","")</f>
        <v/>
      </c>
      <c r="AC1004" s="425">
        <f>IF(L1004="Passed","Archived","Active")</f>
        <v/>
      </c>
    </row>
    <row r="1005">
      <c r="A1005" s="425" t="inlineStr">
        <is>
          <t>EXOS-1004</t>
        </is>
      </c>
      <c r="B1005" s="425" t="inlineStr">
        <is>
          <t>John - Investor Contacts</t>
        </is>
      </c>
      <c r="C1005" s="425" t="inlineStr">
        <is>
          <t>Financial Investor</t>
        </is>
      </c>
      <c r="D1005" s="425" t="inlineStr">
        <is>
          <t>Next Coast Ventures</t>
        </is>
      </c>
      <c r="E1005" s="425" t="inlineStr">
        <is>
          <t>Adam Rogers</t>
        </is>
      </c>
      <c r="F1005" s="425" t="inlineStr"/>
      <c r="G1005" s="111" t="inlineStr">
        <is>
          <t>arogers@nextcoastventures.com</t>
        </is>
      </c>
      <c r="H1005" s="425" t="inlineStr"/>
      <c r="I1005" s="425" t="inlineStr"/>
      <c r="J1005" s="111" t="inlineStr">
        <is>
          <t>https://www.linkedin.com/in/adammrogers</t>
        </is>
      </c>
      <c r="K1005" s="426" t="inlineStr">
        <is>
          <t>John Quinn</t>
        </is>
      </c>
      <c r="L1005" s="426" t="inlineStr">
        <is>
          <t>Contacted</t>
        </is>
      </c>
      <c r="M1005" s="425" t="inlineStr">
        <is>
          <t>Space / Defense / Aerospace / Advanced Manufacturing</t>
        </is>
      </c>
      <c r="N1005" s="426" t="inlineStr">
        <is>
          <t>Tier 2</t>
        </is>
      </c>
      <c r="O1005" s="441" t="n">
        <v>46073</v>
      </c>
      <c r="P1005" s="441" t="n">
        <v>46073</v>
      </c>
      <c r="Q1005" s="425">
        <f>IF(P1005="","",TODAY()-P1005)</f>
        <v/>
      </c>
      <c r="R1005" s="441">
        <f>IF(OR(L1005="Passed",Z1005=""),"",P1005+Z1005)</f>
        <v/>
      </c>
      <c r="S1005" s="425">
        <f>IF(OR(R1005="",L1005="Passed"),"",IF(R1005&lt;=TODAY(),"DUE",IF(R1005&lt;=TODAY()+3,"Next 3 Days","Later")))</f>
        <v/>
      </c>
      <c r="T1005" s="425" t="inlineStr"/>
      <c r="U1005" s="426" t="inlineStr">
        <is>
          <t>https://www.linkedin.com/in/adammrogers</t>
        </is>
      </c>
      <c r="V1005" s="426" t="inlineStr"/>
      <c r="W1005" s="428" t="inlineStr">
        <is>
          <t xml:space="preserve"> |  | </t>
        </is>
      </c>
      <c r="X1005" s="425" t="inlineStr">
        <is>
          <t>John - Investor Contacts!946</t>
        </is>
      </c>
      <c r="Y1005" s="426" t="inlineStr">
        <is>
          <t>Send 1st follow-up and ask for 20-minute call</t>
        </is>
      </c>
      <c r="Z1005" s="425" t="n">
        <v>3</v>
      </c>
      <c r="AA1005" s="425">
        <f>IF(AC1005="Archived",0,ROUND((IF(N1005="Tier 1",35,IF(N1005="Tier 2",20,8))+IF(C1005="Financial Investor",15,IF(C1005="Intermediary / Banker",12,8))+IF(L1005="Term Sheet / Proposal",25,IF(L1005="Engaged",20,IF(L1005="Meeting Requested",18,IF(L1005="Meeting Held",14,IF(L1005="Follow Up",10,5)))))+MIN(Q1005,30)+IF(S1005="DUE",15,IF(S1005="Next 3 Days",8,0))),0))</f>
        <v/>
      </c>
      <c r="AB1005" s="425">
        <f>IF(AND(AC1005="Active",OR(N1005="Tier 1",N1005="Tier 2"),OR(S1005="DUE",S1005="Next 3 Days")),"YES","")</f>
        <v/>
      </c>
      <c r="AC1005" s="425">
        <f>IF(L1005="Passed","Archived","Active")</f>
        <v/>
      </c>
    </row>
    <row r="1006">
      <c r="A1006" s="425" t="inlineStr">
        <is>
          <t>EXOS-1005</t>
        </is>
      </c>
      <c r="B1006" s="425" t="inlineStr">
        <is>
          <t>John - Investor Contacts</t>
        </is>
      </c>
      <c r="C1006" s="425" t="inlineStr">
        <is>
          <t>Financial Investor</t>
        </is>
      </c>
      <c r="D1006" s="425" t="inlineStr">
        <is>
          <t>Next Coast Ventures</t>
        </is>
      </c>
      <c r="E1006" s="425" t="inlineStr">
        <is>
          <t>Dustin Sellers</t>
        </is>
      </c>
      <c r="F1006" s="425" t="inlineStr"/>
      <c r="G1006" s="111" t="inlineStr">
        <is>
          <t>dsellers@nextcoastventures.com</t>
        </is>
      </c>
      <c r="H1006" s="425" t="inlineStr"/>
      <c r="I1006" s="425" t="inlineStr"/>
      <c r="J1006" s="111" t="inlineStr">
        <is>
          <t>https://www.linkedin.com/in/dustin-sellers-6b9229/</t>
        </is>
      </c>
      <c r="K1006" s="426" t="inlineStr">
        <is>
          <t>John Quinn</t>
        </is>
      </c>
      <c r="L1006" s="426" t="inlineStr">
        <is>
          <t>Contacted</t>
        </is>
      </c>
      <c r="M1006" s="425" t="inlineStr">
        <is>
          <t>Space / Defense / Aerospace / Advanced Manufacturing</t>
        </is>
      </c>
      <c r="N1006" s="426" t="inlineStr">
        <is>
          <t>Tier 2</t>
        </is>
      </c>
      <c r="O1006" s="441" t="n">
        <v>46073</v>
      </c>
      <c r="P1006" s="441" t="n">
        <v>46073</v>
      </c>
      <c r="Q1006" s="425">
        <f>IF(P1006="","",TODAY()-P1006)</f>
        <v/>
      </c>
      <c r="R1006" s="441">
        <f>IF(OR(L1006="Passed",Z1006=""),"",P1006+Z1006)</f>
        <v/>
      </c>
      <c r="S1006" s="425">
        <f>IF(OR(R1006="",L1006="Passed"),"",IF(R1006&lt;=TODAY(),"DUE",IF(R1006&lt;=TODAY()+3,"Next 3 Days","Later")))</f>
        <v/>
      </c>
      <c r="T1006" s="425" t="inlineStr"/>
      <c r="U1006" s="426" t="inlineStr">
        <is>
          <t>https://www.linkedin.com/in/dustin-sellers-6b9229/</t>
        </is>
      </c>
      <c r="V1006" s="426" t="inlineStr"/>
      <c r="W1006" s="428" t="inlineStr">
        <is>
          <t xml:space="preserve"> |  | </t>
        </is>
      </c>
      <c r="X1006" s="425" t="inlineStr">
        <is>
          <t>John - Investor Contacts!948</t>
        </is>
      </c>
      <c r="Y1006" s="426" t="inlineStr">
        <is>
          <t>Send 1st follow-up and ask for 20-minute call</t>
        </is>
      </c>
      <c r="Z1006" s="425" t="n">
        <v>3</v>
      </c>
      <c r="AA1006" s="425">
        <f>IF(AC1006="Archived",0,ROUND((IF(N1006="Tier 1",35,IF(N1006="Tier 2",20,8))+IF(C1006="Financial Investor",15,IF(C1006="Intermediary / Banker",12,8))+IF(L1006="Term Sheet / Proposal",25,IF(L1006="Engaged",20,IF(L1006="Meeting Requested",18,IF(L1006="Meeting Held",14,IF(L1006="Follow Up",10,5)))))+MIN(Q1006,30)+IF(S1006="DUE",15,IF(S1006="Next 3 Days",8,0))),0))</f>
        <v/>
      </c>
      <c r="AB1006" s="425">
        <f>IF(AND(AC1006="Active",OR(N1006="Tier 1",N1006="Tier 2"),OR(S1006="DUE",S1006="Next 3 Days")),"YES","")</f>
        <v/>
      </c>
      <c r="AC1006" s="425">
        <f>IF(L1006="Passed","Archived","Active")</f>
        <v/>
      </c>
    </row>
    <row r="1007">
      <c r="A1007" s="425" t="inlineStr">
        <is>
          <t>EXOS-1006</t>
        </is>
      </c>
      <c r="B1007" s="425" t="inlineStr">
        <is>
          <t>John - Investor Contacts</t>
        </is>
      </c>
      <c r="C1007" s="425" t="inlineStr">
        <is>
          <t>Financial Investor</t>
        </is>
      </c>
      <c r="D1007" s="425" t="inlineStr">
        <is>
          <t>Next Coast Ventures</t>
        </is>
      </c>
      <c r="E1007" s="425" t="inlineStr">
        <is>
          <t>Kaitlyn DeBernardo</t>
        </is>
      </c>
      <c r="F1007" s="425" t="inlineStr"/>
      <c r="G1007" s="111" t="inlineStr">
        <is>
          <t>kdebernardo@nextcoastventures.com</t>
        </is>
      </c>
      <c r="H1007" s="425" t="inlineStr"/>
      <c r="I1007" s="425" t="inlineStr"/>
      <c r="J1007" s="111" t="inlineStr">
        <is>
          <t>https://www.linkedin.com/in/kaitlyndebernardo/</t>
        </is>
      </c>
      <c r="K1007" s="426" t="inlineStr">
        <is>
          <t>John Quinn</t>
        </is>
      </c>
      <c r="L1007" s="426" t="inlineStr">
        <is>
          <t>Contacted</t>
        </is>
      </c>
      <c r="M1007" s="425" t="inlineStr">
        <is>
          <t>Space / Defense / Aerospace / Advanced Manufacturing</t>
        </is>
      </c>
      <c r="N1007" s="426" t="inlineStr">
        <is>
          <t>Tier 2</t>
        </is>
      </c>
      <c r="O1007" s="441" t="n">
        <v>46073</v>
      </c>
      <c r="P1007" s="441" t="n">
        <v>46073</v>
      </c>
      <c r="Q1007" s="425">
        <f>IF(P1007="","",TODAY()-P1007)</f>
        <v/>
      </c>
      <c r="R1007" s="441">
        <f>IF(OR(L1007="Passed",Z1007=""),"",P1007+Z1007)</f>
        <v/>
      </c>
      <c r="S1007" s="425">
        <f>IF(OR(R1007="",L1007="Passed"),"",IF(R1007&lt;=TODAY(),"DUE",IF(R1007&lt;=TODAY()+3,"Next 3 Days","Later")))</f>
        <v/>
      </c>
      <c r="T1007" s="425" t="inlineStr"/>
      <c r="U1007" s="426" t="inlineStr">
        <is>
          <t>https://www.linkedin.com/in/kaitlyndebernardo/</t>
        </is>
      </c>
      <c r="V1007" s="426" t="inlineStr"/>
      <c r="W1007" s="428" t="inlineStr">
        <is>
          <t xml:space="preserve"> |  | </t>
        </is>
      </c>
      <c r="X1007" s="425" t="inlineStr">
        <is>
          <t>John - Investor Contacts!945</t>
        </is>
      </c>
      <c r="Y1007" s="426" t="inlineStr">
        <is>
          <t>Send 1st follow-up and ask for 20-minute call</t>
        </is>
      </c>
      <c r="Z1007" s="425" t="n">
        <v>3</v>
      </c>
      <c r="AA1007" s="425">
        <f>IF(AC1007="Archived",0,ROUND((IF(N1007="Tier 1",35,IF(N1007="Tier 2",20,8))+IF(C1007="Financial Investor",15,IF(C1007="Intermediary / Banker",12,8))+IF(L1007="Term Sheet / Proposal",25,IF(L1007="Engaged",20,IF(L1007="Meeting Requested",18,IF(L1007="Meeting Held",14,IF(L1007="Follow Up",10,5)))))+MIN(Q1007,30)+IF(S1007="DUE",15,IF(S1007="Next 3 Days",8,0))),0))</f>
        <v/>
      </c>
      <c r="AB1007" s="425">
        <f>IF(AND(AC1007="Active",OR(N1007="Tier 1",N1007="Tier 2"),OR(S1007="DUE",S1007="Next 3 Days")),"YES","")</f>
        <v/>
      </c>
      <c r="AC1007" s="425">
        <f>IF(L1007="Passed","Archived","Active")</f>
        <v/>
      </c>
    </row>
    <row r="1008">
      <c r="A1008" s="425" t="inlineStr">
        <is>
          <t>EXOS-1007</t>
        </is>
      </c>
      <c r="B1008" s="425" t="inlineStr">
        <is>
          <t>John - Investor Contacts</t>
        </is>
      </c>
      <c r="C1008" s="425" t="inlineStr">
        <is>
          <t>Financial Investor</t>
        </is>
      </c>
      <c r="D1008" s="425" t="inlineStr">
        <is>
          <t>Next Coast Ventures</t>
        </is>
      </c>
      <c r="E1008" s="425" t="inlineStr">
        <is>
          <t>Michael Smerklo</t>
        </is>
      </c>
      <c r="F1008" s="425" t="inlineStr"/>
      <c r="G1008" s="111" t="inlineStr">
        <is>
          <t>msmerklo@nextcoastventures.com</t>
        </is>
      </c>
      <c r="H1008" s="425" t="inlineStr"/>
      <c r="I1008" s="425" t="inlineStr"/>
      <c r="J1008" s="425" t="inlineStr"/>
      <c r="K1008" s="426" t="inlineStr">
        <is>
          <t>John Quinn</t>
        </is>
      </c>
      <c r="L1008" s="426" t="inlineStr">
        <is>
          <t>Contacted</t>
        </is>
      </c>
      <c r="M1008" s="425" t="inlineStr">
        <is>
          <t>Space / Defense / Aerospace / Advanced Manufacturing</t>
        </is>
      </c>
      <c r="N1008" s="426" t="inlineStr">
        <is>
          <t>Tier 2</t>
        </is>
      </c>
      <c r="O1008" s="441" t="n">
        <v>46073</v>
      </c>
      <c r="P1008" s="441" t="n">
        <v>46073</v>
      </c>
      <c r="Q1008" s="425">
        <f>IF(P1008="","",TODAY()-P1008)</f>
        <v/>
      </c>
      <c r="R1008" s="441">
        <f>IF(OR(L1008="Passed",Z1008=""),"",P1008+Z1008)</f>
        <v/>
      </c>
      <c r="S1008" s="425">
        <f>IF(OR(R1008="",L1008="Passed"),"",IF(R1008&lt;=TODAY(),"DUE",IF(R1008&lt;=TODAY()+3,"Next 3 Days","Later")))</f>
        <v/>
      </c>
      <c r="T1008" s="425" t="inlineStr"/>
      <c r="U1008" s="426" t="inlineStr">
        <is>
          <t>linkedin.com/in/mikesmerklo</t>
        </is>
      </c>
      <c r="V1008" s="426" t="inlineStr"/>
      <c r="W1008" s="428" t="inlineStr">
        <is>
          <t xml:space="preserve"> |  | </t>
        </is>
      </c>
      <c r="X1008" s="425" t="inlineStr">
        <is>
          <t>John - Investor Contacts!950</t>
        </is>
      </c>
      <c r="Y1008" s="426" t="inlineStr">
        <is>
          <t>Send 1st follow-up and ask for 20-minute call</t>
        </is>
      </c>
      <c r="Z1008" s="425" t="n">
        <v>3</v>
      </c>
      <c r="AA1008" s="425">
        <f>IF(AC1008="Archived",0,ROUND((IF(N1008="Tier 1",35,IF(N1008="Tier 2",20,8))+IF(C1008="Financial Investor",15,IF(C1008="Intermediary / Banker",12,8))+IF(L1008="Term Sheet / Proposal",25,IF(L1008="Engaged",20,IF(L1008="Meeting Requested",18,IF(L1008="Meeting Held",14,IF(L1008="Follow Up",10,5)))))+MIN(Q1008,30)+IF(S1008="DUE",15,IF(S1008="Next 3 Days",8,0))),0))</f>
        <v/>
      </c>
      <c r="AB1008" s="425">
        <f>IF(AND(AC1008="Active",OR(N1008="Tier 1",N1008="Tier 2"),OR(S1008="DUE",S1008="Next 3 Days")),"YES","")</f>
        <v/>
      </c>
      <c r="AC1008" s="425">
        <f>IF(L1008="Passed","Archived","Active")</f>
        <v/>
      </c>
    </row>
    <row r="1009">
      <c r="A1009" s="425" t="inlineStr">
        <is>
          <t>EXOS-1008</t>
        </is>
      </c>
      <c r="B1009" s="425" t="inlineStr">
        <is>
          <t>John - Investor Contacts</t>
        </is>
      </c>
      <c r="C1009" s="425" t="inlineStr">
        <is>
          <t>Financial Investor</t>
        </is>
      </c>
      <c r="D1009" s="425" t="inlineStr">
        <is>
          <t>Next Coast Ventures</t>
        </is>
      </c>
      <c r="E1009" s="425" t="inlineStr">
        <is>
          <t>Michael Tian</t>
        </is>
      </c>
      <c r="F1009" s="425" t="inlineStr"/>
      <c r="G1009" s="111" t="inlineStr">
        <is>
          <t>mtian@nextcoastventures.com</t>
        </is>
      </c>
      <c r="H1009" s="425" t="inlineStr"/>
      <c r="I1009" s="425" t="inlineStr"/>
      <c r="J1009" s="425" t="inlineStr"/>
      <c r="K1009" s="426" t="inlineStr">
        <is>
          <t>John Quinn</t>
        </is>
      </c>
      <c r="L1009" s="426" t="inlineStr">
        <is>
          <t>Contacted</t>
        </is>
      </c>
      <c r="M1009" s="425" t="inlineStr">
        <is>
          <t>Space / Defense / Aerospace / Advanced Manufacturing</t>
        </is>
      </c>
      <c r="N1009" s="426" t="inlineStr">
        <is>
          <t>Tier 2</t>
        </is>
      </c>
      <c r="O1009" s="441" t="n">
        <v>46073</v>
      </c>
      <c r="P1009" s="441" t="n">
        <v>46073</v>
      </c>
      <c r="Q1009" s="425">
        <f>IF(P1009="","",TODAY()-P1009)</f>
        <v/>
      </c>
      <c r="R1009" s="441">
        <f>IF(OR(L1009="Passed",Z1009=""),"",P1009+Z1009)</f>
        <v/>
      </c>
      <c r="S1009" s="425">
        <f>IF(OR(R1009="",L1009="Passed"),"",IF(R1009&lt;=TODAY(),"DUE",IF(R1009&lt;=TODAY()+3,"Next 3 Days","Later")))</f>
        <v/>
      </c>
      <c r="T1009" s="425" t="inlineStr"/>
      <c r="U1009" s="426" t="inlineStr">
        <is>
          <t>linkedin.com/in/michaelztian</t>
        </is>
      </c>
      <c r="V1009" s="426" t="inlineStr"/>
      <c r="W1009" s="428" t="inlineStr">
        <is>
          <t xml:space="preserve"> |  | </t>
        </is>
      </c>
      <c r="X1009" s="425" t="inlineStr">
        <is>
          <t>John - Investor Contacts!947</t>
        </is>
      </c>
      <c r="Y1009" s="426" t="inlineStr">
        <is>
          <t>Send 1st follow-up and ask for 20-minute call</t>
        </is>
      </c>
      <c r="Z1009" s="425" t="n">
        <v>3</v>
      </c>
      <c r="AA1009" s="425">
        <f>IF(AC1009="Archived",0,ROUND((IF(N1009="Tier 1",35,IF(N1009="Tier 2",20,8))+IF(C1009="Financial Investor",15,IF(C1009="Intermediary / Banker",12,8))+IF(L1009="Term Sheet / Proposal",25,IF(L1009="Engaged",20,IF(L1009="Meeting Requested",18,IF(L1009="Meeting Held",14,IF(L1009="Follow Up",10,5)))))+MIN(Q1009,30)+IF(S1009="DUE",15,IF(S1009="Next 3 Days",8,0))),0))</f>
        <v/>
      </c>
      <c r="AB1009" s="425">
        <f>IF(AND(AC1009="Active",OR(N1009="Tier 1",N1009="Tier 2"),OR(S1009="DUE",S1009="Next 3 Days")),"YES","")</f>
        <v/>
      </c>
      <c r="AC1009" s="425">
        <f>IF(L1009="Passed","Archived","Active")</f>
        <v/>
      </c>
    </row>
    <row r="1010">
      <c r="A1010" s="425" t="inlineStr">
        <is>
          <t>EXOS-1009</t>
        </is>
      </c>
      <c r="B1010" s="425" t="inlineStr">
        <is>
          <t>John - Investor Contacts</t>
        </is>
      </c>
      <c r="C1010" s="425" t="inlineStr">
        <is>
          <t>Financial Investor</t>
        </is>
      </c>
      <c r="D1010" s="425" t="inlineStr">
        <is>
          <t>Next Coast Ventures</t>
        </is>
      </c>
      <c r="E1010" s="425" t="inlineStr">
        <is>
          <t>Thomas Ball</t>
        </is>
      </c>
      <c r="F1010" s="425" t="inlineStr"/>
      <c r="G1010" s="111" t="inlineStr">
        <is>
          <t>tball@nextcoastventures.com</t>
        </is>
      </c>
      <c r="H1010" s="425" t="inlineStr"/>
      <c r="I1010" s="425" t="inlineStr"/>
      <c r="J1010" s="111" t="inlineStr">
        <is>
          <t>https://www.linkedin.com/in/cthomasball/</t>
        </is>
      </c>
      <c r="K1010" s="426" t="inlineStr">
        <is>
          <t>John Quinn</t>
        </is>
      </c>
      <c r="L1010" s="426" t="inlineStr">
        <is>
          <t>Contacted</t>
        </is>
      </c>
      <c r="M1010" s="425" t="inlineStr">
        <is>
          <t>Space / Defense / Aerospace / Advanced Manufacturing</t>
        </is>
      </c>
      <c r="N1010" s="426" t="inlineStr">
        <is>
          <t>Tier 2</t>
        </is>
      </c>
      <c r="O1010" s="441" t="n">
        <v>46073</v>
      </c>
      <c r="P1010" s="441" t="n">
        <v>46073</v>
      </c>
      <c r="Q1010" s="425">
        <f>IF(P1010="","",TODAY()-P1010)</f>
        <v/>
      </c>
      <c r="R1010" s="441">
        <f>IF(OR(L1010="Passed",Z1010=""),"",P1010+Z1010)</f>
        <v/>
      </c>
      <c r="S1010" s="425">
        <f>IF(OR(R1010="",L1010="Passed"),"",IF(R1010&lt;=TODAY(),"DUE",IF(R1010&lt;=TODAY()+3,"Next 3 Days","Later")))</f>
        <v/>
      </c>
      <c r="T1010" s="425" t="inlineStr"/>
      <c r="U1010" s="426" t="inlineStr">
        <is>
          <t>https://www.linkedin.com/in/cthomasball/</t>
        </is>
      </c>
      <c r="V1010" s="426" t="inlineStr"/>
      <c r="W1010" s="428" t="inlineStr">
        <is>
          <t xml:space="preserve"> |  | </t>
        </is>
      </c>
      <c r="X1010" s="425" t="inlineStr">
        <is>
          <t>John - Investor Contacts!949</t>
        </is>
      </c>
      <c r="Y1010" s="426" t="inlineStr">
        <is>
          <t>Send 1st follow-up and ask for 20-minute call</t>
        </is>
      </c>
      <c r="Z1010" s="425" t="n">
        <v>3</v>
      </c>
      <c r="AA1010" s="425">
        <f>IF(AC1010="Archived",0,ROUND((IF(N1010="Tier 1",35,IF(N1010="Tier 2",20,8))+IF(C1010="Financial Investor",15,IF(C1010="Intermediary / Banker",12,8))+IF(L1010="Term Sheet / Proposal",25,IF(L1010="Engaged",20,IF(L1010="Meeting Requested",18,IF(L1010="Meeting Held",14,IF(L1010="Follow Up",10,5)))))+MIN(Q1010,30)+IF(S1010="DUE",15,IF(S1010="Next 3 Days",8,0))),0))</f>
        <v/>
      </c>
      <c r="AB1010" s="425">
        <f>IF(AND(AC1010="Active",OR(N1010="Tier 1",N1010="Tier 2"),OR(S1010="DUE",S1010="Next 3 Days")),"YES","")</f>
        <v/>
      </c>
      <c r="AC1010" s="425">
        <f>IF(L1010="Passed","Archived","Active")</f>
        <v/>
      </c>
    </row>
    <row r="1011">
      <c r="A1011" s="425" t="inlineStr">
        <is>
          <t>EXOS-1010</t>
        </is>
      </c>
      <c r="B1011" s="425" t="inlineStr">
        <is>
          <t>John - Investor Contacts</t>
        </is>
      </c>
      <c r="C1011" s="425" t="inlineStr">
        <is>
          <t>Financial Investor</t>
        </is>
      </c>
      <c r="D1011" s="425" t="inlineStr">
        <is>
          <t>Next Gen Growth Partners</t>
        </is>
      </c>
      <c r="E1011" s="425" t="inlineStr">
        <is>
          <t>contact form on website</t>
        </is>
      </c>
      <c r="F1011" s="425" t="inlineStr"/>
      <c r="G1011" s="425" t="inlineStr"/>
      <c r="H1011" s="425" t="inlineStr"/>
      <c r="I1011" s="425" t="inlineStr"/>
      <c r="J1011" s="425" t="inlineStr"/>
      <c r="K1011" s="426" t="inlineStr">
        <is>
          <t>John Quinn</t>
        </is>
      </c>
      <c r="L1011" s="426" t="inlineStr">
        <is>
          <t>Contacted</t>
        </is>
      </c>
      <c r="M1011" s="425" t="inlineStr">
        <is>
          <t>Space / Defense / Aerospace / Advanced Manufacturing</t>
        </is>
      </c>
      <c r="N1011" s="426" t="inlineStr">
        <is>
          <t>Tier 2</t>
        </is>
      </c>
      <c r="O1011" s="441" t="n">
        <v>45833</v>
      </c>
      <c r="P1011" s="441" t="n">
        <v>45833</v>
      </c>
      <c r="Q1011" s="425">
        <f>IF(P1011="","",TODAY()-P1011)</f>
        <v/>
      </c>
      <c r="R1011" s="441">
        <f>IF(OR(L1011="Passed",Z1011=""),"",P1011+Z1011)</f>
        <v/>
      </c>
      <c r="S1011" s="425">
        <f>IF(OR(R1011="",L1011="Passed"),"",IF(R1011&lt;=TODAY(),"DUE",IF(R1011&lt;=TODAY()+3,"Next 3 Days","Later")))</f>
        <v/>
      </c>
      <c r="T1011" s="425" t="inlineStr"/>
      <c r="U1011" s="426" t="inlineStr"/>
      <c r="V1011" s="426" t="inlineStr"/>
      <c r="W1011" s="428" t="inlineStr">
        <is>
          <t xml:space="preserve"> |  | </t>
        </is>
      </c>
      <c r="X1011" s="425" t="inlineStr">
        <is>
          <t>John - Investor Contacts!263</t>
        </is>
      </c>
      <c r="Y1011" s="426" t="inlineStr">
        <is>
          <t>Send 1st follow-up and ask for 20-minute call</t>
        </is>
      </c>
      <c r="Z1011" s="425" t="n">
        <v>3</v>
      </c>
      <c r="AA1011" s="425">
        <f>IF(AC1011="Archived",0,ROUND((IF(N1011="Tier 1",35,IF(N1011="Tier 2",20,8))+IF(C1011="Financial Investor",15,IF(C1011="Intermediary / Banker",12,8))+IF(L1011="Term Sheet / Proposal",25,IF(L1011="Engaged",20,IF(L1011="Meeting Requested",18,IF(L1011="Meeting Held",14,IF(L1011="Follow Up",10,5)))))+MIN(Q1011,30)+IF(S1011="DUE",15,IF(S1011="Next 3 Days",8,0))),0))</f>
        <v/>
      </c>
      <c r="AB1011" s="425">
        <f>IF(AND(AC1011="Active",OR(N1011="Tier 1",N1011="Tier 2"),OR(S1011="DUE",S1011="Next 3 Days")),"YES","")</f>
        <v/>
      </c>
      <c r="AC1011" s="425">
        <f>IF(L1011="Passed","Archived","Active")</f>
        <v/>
      </c>
    </row>
    <row r="1012">
      <c r="A1012" s="425" t="inlineStr">
        <is>
          <t>EXOS-1011</t>
        </is>
      </c>
      <c r="B1012" s="425" t="inlineStr">
        <is>
          <t>Toshi Contacts</t>
        </is>
      </c>
      <c r="C1012" s="425" t="inlineStr">
        <is>
          <t>Financial Investor</t>
        </is>
      </c>
      <c r="D1012" s="425" t="inlineStr">
        <is>
          <t>Nif Fund</t>
        </is>
      </c>
      <c r="E1012" s="425" t="inlineStr">
        <is>
          <t>Ben Balmforth</t>
        </is>
      </c>
      <c r="F1012" s="425" t="inlineStr"/>
      <c r="G1012" s="111" t="inlineStr">
        <is>
          <t>ben.balmforth@nif.fund</t>
        </is>
      </c>
      <c r="H1012" s="425" t="inlineStr"/>
      <c r="I1012" s="425" t="inlineStr"/>
      <c r="J1012" s="425" t="inlineStr"/>
      <c r="K1012" s="426" t="inlineStr">
        <is>
          <t>John Quinn</t>
        </is>
      </c>
      <c r="L1012" s="426" t="inlineStr">
        <is>
          <t>Contacted</t>
        </is>
      </c>
      <c r="M1012" s="425" t="inlineStr">
        <is>
          <t>Space / Defense / Aerospace / Advanced Manufacturing</t>
        </is>
      </c>
      <c r="N1012" s="426" t="inlineStr">
        <is>
          <t>Tier 2</t>
        </is>
      </c>
      <c r="O1012" s="441" t="n">
        <v>45851</v>
      </c>
      <c r="P1012" s="441" t="n">
        <v>45851</v>
      </c>
      <c r="Q1012" s="425">
        <f>IF(P1012="","",TODAY()-P1012)</f>
        <v/>
      </c>
      <c r="R1012" s="441">
        <f>IF(OR(L1012="Passed",Z1012=""),"",P1012+Z1012)</f>
        <v/>
      </c>
      <c r="S1012" s="425">
        <f>IF(OR(R1012="",L1012="Passed"),"",IF(R1012&lt;=TODAY(),"DUE",IF(R1012&lt;=TODAY()+3,"Next 3 Days","Later")))</f>
        <v/>
      </c>
      <c r="T1012" s="425" t="inlineStr"/>
      <c r="U1012" s="426" t="inlineStr"/>
      <c r="V1012" s="426" t="inlineStr"/>
      <c r="W1012" s="428" t="inlineStr">
        <is>
          <t xml:space="preserve"> | </t>
        </is>
      </c>
      <c r="X1012" s="425" t="inlineStr">
        <is>
          <t>Toshi Contacts!4</t>
        </is>
      </c>
      <c r="Y1012" s="426" t="inlineStr">
        <is>
          <t>Send 1st follow-up and ask for 20-minute call</t>
        </is>
      </c>
      <c r="Z1012" s="425" t="n">
        <v>3</v>
      </c>
      <c r="AA1012" s="425">
        <f>IF(AC1012="Archived",0,ROUND((IF(N1012="Tier 1",35,IF(N1012="Tier 2",20,8))+IF(C1012="Financial Investor",15,IF(C1012="Intermediary / Banker",12,8))+IF(L1012="Term Sheet / Proposal",25,IF(L1012="Engaged",20,IF(L1012="Meeting Requested",18,IF(L1012="Meeting Held",14,IF(L1012="Follow Up",10,5)))))+MIN(Q1012,30)+IF(S1012="DUE",15,IF(S1012="Next 3 Days",8,0))),0))</f>
        <v/>
      </c>
      <c r="AB1012" s="425">
        <f>IF(AND(AC1012="Active",OR(N1012="Tier 1",N1012="Tier 2"),OR(S1012="DUE",S1012="Next 3 Days")),"YES","")</f>
        <v/>
      </c>
      <c r="AC1012" s="425">
        <f>IF(L1012="Passed","Archived","Active")</f>
        <v/>
      </c>
    </row>
    <row r="1013">
      <c r="A1013" s="425" t="inlineStr">
        <is>
          <t>EXOS-1012</t>
        </is>
      </c>
      <c r="B1013" s="425" t="inlineStr">
        <is>
          <t>OSC</t>
        </is>
      </c>
      <c r="C1013" s="425" t="inlineStr">
        <is>
          <t>Financial Investor</t>
        </is>
      </c>
      <c r="D1013" s="425" t="inlineStr">
        <is>
          <t>OSC</t>
        </is>
      </c>
      <c r="E1013" s="425" t="inlineStr">
        <is>
          <t>OSC Team</t>
        </is>
      </c>
      <c r="F1013" s="425" t="inlineStr"/>
      <c r="G1013" s="111" t="inlineStr">
        <is>
          <t>osc.loan.application@osc.mil</t>
        </is>
      </c>
      <c r="H1013" s="425" t="inlineStr"/>
      <c r="I1013" s="425" t="inlineStr"/>
      <c r="J1013" s="425" t="inlineStr"/>
      <c r="K1013" s="426" t="inlineStr">
        <is>
          <t>John Quinn</t>
        </is>
      </c>
      <c r="L1013" s="426" t="inlineStr">
        <is>
          <t>Contacted</t>
        </is>
      </c>
      <c r="M1013" s="425" t="inlineStr">
        <is>
          <t>Space / Defense / Aerospace / Advanced Manufacturing</t>
        </is>
      </c>
      <c r="N1013" s="426" t="inlineStr">
        <is>
          <t>Tier 2</t>
        </is>
      </c>
      <c r="O1013" s="441" t="n">
        <v>45922</v>
      </c>
      <c r="P1013" s="441" t="n">
        <v>45922</v>
      </c>
      <c r="Q1013" s="425">
        <f>IF(P1013="","",TODAY()-P1013)</f>
        <v/>
      </c>
      <c r="R1013" s="441">
        <f>IF(OR(L1013="Passed",Z1013=""),"",P1013+Z1013)</f>
        <v/>
      </c>
      <c r="S1013" s="425">
        <f>IF(OR(R1013="",L1013="Passed"),"",IF(R1013&lt;=TODAY(),"DUE",IF(R1013&lt;=TODAY()+3,"Next 3 Days","Later")))</f>
        <v/>
      </c>
      <c r="T1013" s="425" t="inlineStr"/>
      <c r="U1013" s="426" t="inlineStr"/>
      <c r="V1013" s="426" t="inlineStr"/>
      <c r="W1013" s="428" t="inlineStr"/>
      <c r="X1013" s="425" t="inlineStr">
        <is>
          <t>OSC!87</t>
        </is>
      </c>
      <c r="Y1013" s="426" t="inlineStr">
        <is>
          <t>Send 1st follow-up and ask for 20-minute call</t>
        </is>
      </c>
      <c r="Z1013" s="425" t="n">
        <v>3</v>
      </c>
      <c r="AA1013" s="425">
        <f>IF(AC1013="Archived",0,ROUND((IF(N1013="Tier 1",35,IF(N1013="Tier 2",20,8))+IF(C1013="Financial Investor",15,IF(C1013="Intermediary / Banker",12,8))+IF(L1013="Term Sheet / Proposal",25,IF(L1013="Engaged",20,IF(L1013="Meeting Requested",18,IF(L1013="Meeting Held",14,IF(L1013="Follow Up",10,5)))))+MIN(Q1013,30)+IF(S1013="DUE",15,IF(S1013="Next 3 Days",8,0))),0))</f>
        <v/>
      </c>
      <c r="AB1013" s="425">
        <f>IF(AND(AC1013="Active",OR(N1013="Tier 1",N1013="Tier 2"),OR(S1013="DUE",S1013="Next 3 Days")),"YES","")</f>
        <v/>
      </c>
      <c r="AC1013" s="425">
        <f>IF(L1013="Passed","Archived","Active")</f>
        <v/>
      </c>
    </row>
    <row r="1014">
      <c r="A1014" s="425" t="inlineStr">
        <is>
          <t>EXOS-1013</t>
        </is>
      </c>
      <c r="B1014" s="425" t="inlineStr">
        <is>
          <t>John - Investor Contacts</t>
        </is>
      </c>
      <c r="C1014" s="425" t="inlineStr">
        <is>
          <t>Financial Investor</t>
        </is>
      </c>
      <c r="D1014" s="425" t="inlineStr">
        <is>
          <t>Partner Capital</t>
        </is>
      </c>
      <c r="E1014" s="425" t="inlineStr">
        <is>
          <t>the dallas office team</t>
        </is>
      </c>
      <c r="F1014" s="425" t="inlineStr"/>
      <c r="G1014" s="425" t="inlineStr"/>
      <c r="H1014" s="425" t="inlineStr"/>
      <c r="I1014" s="425" t="inlineStr"/>
      <c r="J1014" s="425" t="inlineStr"/>
      <c r="K1014" s="426" t="inlineStr">
        <is>
          <t>John Quinn</t>
        </is>
      </c>
      <c r="L1014" s="426" t="inlineStr">
        <is>
          <t>Contacted</t>
        </is>
      </c>
      <c r="M1014" s="425" t="inlineStr">
        <is>
          <t>Space / Defense / Aerospace / Advanced Manufacturing</t>
        </is>
      </c>
      <c r="N1014" s="426" t="inlineStr">
        <is>
          <t>Tier 2</t>
        </is>
      </c>
      <c r="O1014" s="441" t="n">
        <v>45833</v>
      </c>
      <c r="P1014" s="441" t="n">
        <v>45833</v>
      </c>
      <c r="Q1014" s="425">
        <f>IF(P1014="","",TODAY()-P1014)</f>
        <v/>
      </c>
      <c r="R1014" s="441">
        <f>IF(OR(L1014="Passed",Z1014=""),"",P1014+Z1014)</f>
        <v/>
      </c>
      <c r="S1014" s="425">
        <f>IF(OR(R1014="",L1014="Passed"),"",IF(R1014&lt;=TODAY(),"DUE",IF(R1014&lt;=TODAY()+3,"Next 3 Days","Later")))</f>
        <v/>
      </c>
      <c r="T1014" s="425" t="inlineStr"/>
      <c r="U1014" s="426" t="inlineStr"/>
      <c r="V1014" s="426" t="inlineStr"/>
      <c r="W1014" s="428" t="inlineStr">
        <is>
          <t xml:space="preserve"> |  | </t>
        </is>
      </c>
      <c r="X1014" s="425" t="inlineStr">
        <is>
          <t>John - Investor Contacts!252</t>
        </is>
      </c>
      <c r="Y1014" s="426" t="inlineStr">
        <is>
          <t>Send 1st follow-up and ask for 20-minute call</t>
        </is>
      </c>
      <c r="Z1014" s="425" t="n">
        <v>3</v>
      </c>
      <c r="AA1014" s="425">
        <f>IF(AC1014="Archived",0,ROUND((IF(N1014="Tier 1",35,IF(N1014="Tier 2",20,8))+IF(C1014="Financial Investor",15,IF(C1014="Intermediary / Banker",12,8))+IF(L1014="Term Sheet / Proposal",25,IF(L1014="Engaged",20,IF(L1014="Meeting Requested",18,IF(L1014="Meeting Held",14,IF(L1014="Follow Up",10,5)))))+MIN(Q1014,30)+IF(S1014="DUE",15,IF(S1014="Next 3 Days",8,0))),0))</f>
        <v/>
      </c>
      <c r="AB1014" s="425">
        <f>IF(AND(AC1014="Active",OR(N1014="Tier 1",N1014="Tier 2"),OR(S1014="DUE",S1014="Next 3 Days")),"YES","")</f>
        <v/>
      </c>
      <c r="AC1014" s="425">
        <f>IF(L1014="Passed","Archived","Active")</f>
        <v/>
      </c>
    </row>
    <row r="1015">
      <c r="A1015" s="425" t="inlineStr">
        <is>
          <t>EXOS-1014</t>
        </is>
      </c>
      <c r="B1015" s="425" t="inlineStr">
        <is>
          <t>John - Investor Contacts</t>
        </is>
      </c>
      <c r="C1015" s="425" t="inlineStr">
        <is>
          <t>Financial Investor</t>
        </is>
      </c>
      <c r="D1015" s="425" t="inlineStr">
        <is>
          <t>Partner Capital</t>
        </is>
      </c>
      <c r="E1015" s="425" t="inlineStr">
        <is>
          <t>the team</t>
        </is>
      </c>
      <c r="F1015" s="425" t="inlineStr"/>
      <c r="G1015" s="425" t="inlineStr"/>
      <c r="H1015" s="425" t="inlineStr"/>
      <c r="I1015" s="425" t="inlineStr"/>
      <c r="J1015" s="425" t="inlineStr"/>
      <c r="K1015" s="426" t="inlineStr">
        <is>
          <t>John Quinn</t>
        </is>
      </c>
      <c r="L1015" s="426" t="inlineStr">
        <is>
          <t>Contacted</t>
        </is>
      </c>
      <c r="M1015" s="425" t="inlineStr">
        <is>
          <t>Space / Defense / Aerospace / Advanced Manufacturing</t>
        </is>
      </c>
      <c r="N1015" s="426" t="inlineStr">
        <is>
          <t>Tier 2</t>
        </is>
      </c>
      <c r="O1015" s="441" t="n">
        <v>45833</v>
      </c>
      <c r="P1015" s="441" t="n">
        <v>45833</v>
      </c>
      <c r="Q1015" s="425">
        <f>IF(P1015="","",TODAY()-P1015)</f>
        <v/>
      </c>
      <c r="R1015" s="441">
        <f>IF(OR(L1015="Passed",Z1015=""),"",P1015+Z1015)</f>
        <v/>
      </c>
      <c r="S1015" s="425">
        <f>IF(OR(R1015="",L1015="Passed"),"",IF(R1015&lt;=TODAY(),"DUE",IF(R1015&lt;=TODAY()+3,"Next 3 Days","Later")))</f>
        <v/>
      </c>
      <c r="T1015" s="425" t="inlineStr"/>
      <c r="U1015" s="426" t="inlineStr"/>
      <c r="V1015" s="426" t="inlineStr"/>
      <c r="W1015" s="428" t="inlineStr">
        <is>
          <t xml:space="preserve"> |  | </t>
        </is>
      </c>
      <c r="X1015" s="425" t="inlineStr">
        <is>
          <t>John - Investor Contacts!251</t>
        </is>
      </c>
      <c r="Y1015" s="426" t="inlineStr">
        <is>
          <t>Send 1st follow-up and ask for 20-minute call</t>
        </is>
      </c>
      <c r="Z1015" s="425" t="n">
        <v>3</v>
      </c>
      <c r="AA1015" s="425">
        <f>IF(AC1015="Archived",0,ROUND((IF(N1015="Tier 1",35,IF(N1015="Tier 2",20,8))+IF(C1015="Financial Investor",15,IF(C1015="Intermediary / Banker",12,8))+IF(L1015="Term Sheet / Proposal",25,IF(L1015="Engaged",20,IF(L1015="Meeting Requested",18,IF(L1015="Meeting Held",14,IF(L1015="Follow Up",10,5)))))+MIN(Q1015,30)+IF(S1015="DUE",15,IF(S1015="Next 3 Days",8,0))),0))</f>
        <v/>
      </c>
      <c r="AB1015" s="425">
        <f>IF(AND(AC1015="Active",OR(N1015="Tier 1",N1015="Tier 2"),OR(S1015="DUE",S1015="Next 3 Days")),"YES","")</f>
        <v/>
      </c>
      <c r="AC1015" s="425">
        <f>IF(L1015="Passed","Archived","Active")</f>
        <v/>
      </c>
    </row>
    <row r="1016">
      <c r="A1016" s="425" t="inlineStr">
        <is>
          <t>EXOS-1015</t>
        </is>
      </c>
      <c r="B1016" s="425" t="inlineStr">
        <is>
          <t>John - Investor Contacts</t>
        </is>
      </c>
      <c r="C1016" s="425" t="inlineStr">
        <is>
          <t>Financial Investor</t>
        </is>
      </c>
      <c r="D1016" s="425" t="inlineStr">
        <is>
          <t>Plug and Play</t>
        </is>
      </c>
      <c r="E1016" s="425" t="inlineStr">
        <is>
          <t>Harvey Williams</t>
        </is>
      </c>
      <c r="F1016" s="425" t="inlineStr"/>
      <c r="G1016" s="111" t="inlineStr">
        <is>
          <t>harvey@pnptc.com</t>
        </is>
      </c>
      <c r="H1016" s="425" t="inlineStr"/>
      <c r="I1016" s="425" t="inlineStr"/>
      <c r="J1016" s="111" t="inlineStr">
        <is>
          <t>https://www.linkedin.com/in/harvey-m-williams/</t>
        </is>
      </c>
      <c r="K1016" s="426" t="inlineStr">
        <is>
          <t>John Quinn</t>
        </is>
      </c>
      <c r="L1016" s="426" t="inlineStr">
        <is>
          <t>Contacted</t>
        </is>
      </c>
      <c r="M1016" s="425" t="inlineStr">
        <is>
          <t>Space / Defense / Aerospace / Advanced Manufacturing</t>
        </is>
      </c>
      <c r="N1016" s="426" t="inlineStr">
        <is>
          <t>Tier 2</t>
        </is>
      </c>
      <c r="O1016" s="441" t="n">
        <v>45807</v>
      </c>
      <c r="P1016" s="441" t="n">
        <v>45807</v>
      </c>
      <c r="Q1016" s="425">
        <f>IF(P1016="","",TODAY()-P1016)</f>
        <v/>
      </c>
      <c r="R1016" s="441">
        <f>IF(OR(L1016="Passed",Z1016=""),"",P1016+Z1016)</f>
        <v/>
      </c>
      <c r="S1016" s="425">
        <f>IF(OR(R1016="",L1016="Passed"),"",IF(R1016&lt;=TODAY(),"DUE",IF(R1016&lt;=TODAY()+3,"Next 3 Days","Later")))</f>
        <v/>
      </c>
      <c r="T1016" s="425" t="inlineStr"/>
      <c r="U1016" s="426" t="inlineStr">
        <is>
          <t>https://www.linkedin.com/in/harvey-m-williams/</t>
        </is>
      </c>
      <c r="V1016" s="426" t="inlineStr"/>
      <c r="W1016" s="428" t="inlineStr">
        <is>
          <t xml:space="preserve"> |  | </t>
        </is>
      </c>
      <c r="X1016" s="425" t="inlineStr">
        <is>
          <t>John - Investor Contacts!100</t>
        </is>
      </c>
      <c r="Y1016" s="426" t="inlineStr">
        <is>
          <t>Send 1st follow-up and ask for 20-minute call</t>
        </is>
      </c>
      <c r="Z1016" s="425" t="n">
        <v>3</v>
      </c>
      <c r="AA1016" s="425">
        <f>IF(AC1016="Archived",0,ROUND((IF(N1016="Tier 1",35,IF(N1016="Tier 2",20,8))+IF(C1016="Financial Investor",15,IF(C1016="Intermediary / Banker",12,8))+IF(L1016="Term Sheet / Proposal",25,IF(L1016="Engaged",20,IF(L1016="Meeting Requested",18,IF(L1016="Meeting Held",14,IF(L1016="Follow Up",10,5)))))+MIN(Q1016,30)+IF(S1016="DUE",15,IF(S1016="Next 3 Days",8,0))),0))</f>
        <v/>
      </c>
      <c r="AB1016" s="425">
        <f>IF(AND(AC1016="Active",OR(N1016="Tier 1",N1016="Tier 2"),OR(S1016="DUE",S1016="Next 3 Days")),"YES","")</f>
        <v/>
      </c>
      <c r="AC1016" s="425">
        <f>IF(L1016="Passed","Archived","Active")</f>
        <v/>
      </c>
    </row>
    <row r="1017">
      <c r="A1017" s="425" t="inlineStr">
        <is>
          <t>EXOS-1016</t>
        </is>
      </c>
      <c r="B1017" s="425" t="inlineStr">
        <is>
          <t>John - Investor Contacts</t>
        </is>
      </c>
      <c r="C1017" s="425" t="inlineStr">
        <is>
          <t>Financial Investor</t>
        </is>
      </c>
      <c r="D1017" s="425" t="inlineStr">
        <is>
          <t>Plug and Play</t>
        </is>
      </c>
      <c r="E1017" s="425" t="inlineStr">
        <is>
          <t>Jojo Flores</t>
        </is>
      </c>
      <c r="F1017" s="425" t="inlineStr"/>
      <c r="G1017" s="111" t="inlineStr">
        <is>
          <t>jojo@pnptc.com</t>
        </is>
      </c>
      <c r="H1017" s="425" t="inlineStr"/>
      <c r="I1017" s="425" t="inlineStr"/>
      <c r="J1017" s="111" t="inlineStr">
        <is>
          <t>https://www.linkedin.com/in/jojof/</t>
        </is>
      </c>
      <c r="K1017" s="426" t="inlineStr">
        <is>
          <t>John Quinn</t>
        </is>
      </c>
      <c r="L1017" s="426" t="inlineStr">
        <is>
          <t>Contacted</t>
        </is>
      </c>
      <c r="M1017" s="425" t="inlineStr">
        <is>
          <t>Space / Defense / Aerospace / Advanced Manufacturing</t>
        </is>
      </c>
      <c r="N1017" s="426" t="inlineStr">
        <is>
          <t>Tier 2</t>
        </is>
      </c>
      <c r="O1017" s="441" t="n">
        <v>45807</v>
      </c>
      <c r="P1017" s="441" t="n">
        <v>45807</v>
      </c>
      <c r="Q1017" s="425">
        <f>IF(P1017="","",TODAY()-P1017)</f>
        <v/>
      </c>
      <c r="R1017" s="441">
        <f>IF(OR(L1017="Passed",Z1017=""),"",P1017+Z1017)</f>
        <v/>
      </c>
      <c r="S1017" s="425">
        <f>IF(OR(R1017="",L1017="Passed"),"",IF(R1017&lt;=TODAY(),"DUE",IF(R1017&lt;=TODAY()+3,"Next 3 Days","Later")))</f>
        <v/>
      </c>
      <c r="T1017" s="425" t="inlineStr"/>
      <c r="U1017" s="426" t="inlineStr">
        <is>
          <t>https://www.linkedin.com/in/jojof/</t>
        </is>
      </c>
      <c r="V1017" s="426" t="inlineStr"/>
      <c r="W1017" s="428" t="inlineStr">
        <is>
          <t xml:space="preserve"> |  | </t>
        </is>
      </c>
      <c r="X1017" s="425" t="inlineStr">
        <is>
          <t>John - Investor Contacts!101</t>
        </is>
      </c>
      <c r="Y1017" s="426" t="inlineStr">
        <is>
          <t>Send 1st follow-up and ask for 20-minute call</t>
        </is>
      </c>
      <c r="Z1017" s="425" t="n">
        <v>3</v>
      </c>
      <c r="AA1017" s="425">
        <f>IF(AC1017="Archived",0,ROUND((IF(N1017="Tier 1",35,IF(N1017="Tier 2",20,8))+IF(C1017="Financial Investor",15,IF(C1017="Intermediary / Banker",12,8))+IF(L1017="Term Sheet / Proposal",25,IF(L1017="Engaged",20,IF(L1017="Meeting Requested",18,IF(L1017="Meeting Held",14,IF(L1017="Follow Up",10,5)))))+MIN(Q1017,30)+IF(S1017="DUE",15,IF(S1017="Next 3 Days",8,0))),0))</f>
        <v/>
      </c>
      <c r="AB1017" s="425">
        <f>IF(AND(AC1017="Active",OR(N1017="Tier 1",N1017="Tier 2"),OR(S1017="DUE",S1017="Next 3 Days")),"YES","")</f>
        <v/>
      </c>
      <c r="AC1017" s="425">
        <f>IF(L1017="Passed","Archived","Active")</f>
        <v/>
      </c>
    </row>
    <row r="1018">
      <c r="A1018" s="425" t="inlineStr">
        <is>
          <t>EXOS-1017</t>
        </is>
      </c>
      <c r="B1018" s="425" t="inlineStr">
        <is>
          <t>John - Investor Contacts</t>
        </is>
      </c>
      <c r="C1018" s="425" t="inlineStr">
        <is>
          <t>Financial Investor</t>
        </is>
      </c>
      <c r="D1018" s="425" t="inlineStr">
        <is>
          <t>Plug and Play</t>
        </is>
      </c>
      <c r="E1018" s="425" t="inlineStr">
        <is>
          <t>Saeed Amidi</t>
        </is>
      </c>
      <c r="F1018" s="425" t="inlineStr"/>
      <c r="G1018" s="111" t="inlineStr">
        <is>
          <t>saeed@pnptc.com</t>
        </is>
      </c>
      <c r="H1018" s="425" t="inlineStr"/>
      <c r="I1018" s="425" t="inlineStr"/>
      <c r="J1018" s="111" t="inlineStr">
        <is>
          <t>https://www.linkedin.com/in/saeedamidi/</t>
        </is>
      </c>
      <c r="K1018" s="426" t="inlineStr">
        <is>
          <t>John Quinn</t>
        </is>
      </c>
      <c r="L1018" s="426" t="inlineStr">
        <is>
          <t>Contacted</t>
        </is>
      </c>
      <c r="M1018" s="425" t="inlineStr">
        <is>
          <t>Space / Defense / Aerospace / Advanced Manufacturing</t>
        </is>
      </c>
      <c r="N1018" s="426" t="inlineStr">
        <is>
          <t>Tier 2</t>
        </is>
      </c>
      <c r="O1018" s="441" t="n">
        <v>45807</v>
      </c>
      <c r="P1018" s="441" t="n">
        <v>45807</v>
      </c>
      <c r="Q1018" s="425">
        <f>IF(P1018="","",TODAY()-P1018)</f>
        <v/>
      </c>
      <c r="R1018" s="441">
        <f>IF(OR(L1018="Passed",Z1018=""),"",P1018+Z1018)</f>
        <v/>
      </c>
      <c r="S1018" s="425">
        <f>IF(OR(R1018="",L1018="Passed"),"",IF(R1018&lt;=TODAY(),"DUE",IF(R1018&lt;=TODAY()+3,"Next 3 Days","Later")))</f>
        <v/>
      </c>
      <c r="T1018" s="425" t="inlineStr"/>
      <c r="U1018" s="426" t="inlineStr">
        <is>
          <t>https://www.linkedin.com/in/saeedamidi/</t>
        </is>
      </c>
      <c r="V1018" s="426" t="inlineStr"/>
      <c r="W1018" s="428" t="inlineStr">
        <is>
          <t xml:space="preserve"> |  | </t>
        </is>
      </c>
      <c r="X1018" s="425" t="inlineStr">
        <is>
          <t>John - Investor Contacts!102</t>
        </is>
      </c>
      <c r="Y1018" s="426" t="inlineStr">
        <is>
          <t>Send 1st follow-up and ask for 20-minute call</t>
        </is>
      </c>
      <c r="Z1018" s="425" t="n">
        <v>3</v>
      </c>
      <c r="AA1018" s="425">
        <f>IF(AC1018="Archived",0,ROUND((IF(N1018="Tier 1",35,IF(N1018="Tier 2",20,8))+IF(C1018="Financial Investor",15,IF(C1018="Intermediary / Banker",12,8))+IF(L1018="Term Sheet / Proposal",25,IF(L1018="Engaged",20,IF(L1018="Meeting Requested",18,IF(L1018="Meeting Held",14,IF(L1018="Follow Up",10,5)))))+MIN(Q1018,30)+IF(S1018="DUE",15,IF(S1018="Next 3 Days",8,0))),0))</f>
        <v/>
      </c>
      <c r="AB1018" s="425">
        <f>IF(AND(AC1018="Active",OR(N1018="Tier 1",N1018="Tier 2"),OR(S1018="DUE",S1018="Next 3 Days")),"YES","")</f>
        <v/>
      </c>
      <c r="AC1018" s="425">
        <f>IF(L1018="Passed","Archived","Active")</f>
        <v/>
      </c>
    </row>
    <row r="1019">
      <c r="A1019" s="425" t="inlineStr">
        <is>
          <t>EXOS-1018</t>
        </is>
      </c>
      <c r="B1019" s="425" t="inlineStr">
        <is>
          <t>John - Investor Contacts</t>
        </is>
      </c>
      <c r="C1019" s="425" t="inlineStr">
        <is>
          <t>Financial Investor</t>
        </is>
      </c>
      <c r="D1019" s="425" t="inlineStr">
        <is>
          <t>Plum Alley Ventures</t>
        </is>
      </c>
      <c r="E1019" s="425" t="inlineStr">
        <is>
          <t>the team</t>
        </is>
      </c>
      <c r="F1019" s="425" t="inlineStr"/>
      <c r="G1019" s="425" t="inlineStr"/>
      <c r="H1019" s="425" t="inlineStr"/>
      <c r="I1019" s="425" t="inlineStr"/>
      <c r="J1019" s="425" t="inlineStr"/>
      <c r="K1019" s="426" t="inlineStr">
        <is>
          <t>John Quinn</t>
        </is>
      </c>
      <c r="L1019" s="426" t="inlineStr">
        <is>
          <t>Contacted</t>
        </is>
      </c>
      <c r="M1019" s="425" t="inlineStr">
        <is>
          <t>Space / Defense / Aerospace / Advanced Manufacturing</t>
        </is>
      </c>
      <c r="N1019" s="426" t="inlineStr">
        <is>
          <t>Tier 2</t>
        </is>
      </c>
      <c r="O1019" s="441" t="n">
        <v>45929</v>
      </c>
      <c r="P1019" s="441" t="n">
        <v>45929</v>
      </c>
      <c r="Q1019" s="425">
        <f>IF(P1019="","",TODAY()-P1019)</f>
        <v/>
      </c>
      <c r="R1019" s="441">
        <f>IF(OR(L1019="Passed",Z1019=""),"",P1019+Z1019)</f>
        <v/>
      </c>
      <c r="S1019" s="425">
        <f>IF(OR(R1019="",L1019="Passed"),"",IF(R1019&lt;=TODAY(),"DUE",IF(R1019&lt;=TODAY()+3,"Next 3 Days","Later")))</f>
        <v/>
      </c>
      <c r="T1019" s="425" t="inlineStr"/>
      <c r="U1019" s="426" t="inlineStr"/>
      <c r="V1019" s="426" t="inlineStr"/>
      <c r="W1019" s="428" t="inlineStr">
        <is>
          <t xml:space="preserve"> |  | </t>
        </is>
      </c>
      <c r="X1019" s="425" t="inlineStr">
        <is>
          <t>John - Investor Contacts!739</t>
        </is>
      </c>
      <c r="Y1019" s="426" t="inlineStr">
        <is>
          <t>Send 1st follow-up and ask for 20-minute call</t>
        </is>
      </c>
      <c r="Z1019" s="425" t="n">
        <v>3</v>
      </c>
      <c r="AA1019" s="425">
        <f>IF(AC1019="Archived",0,ROUND((IF(N1019="Tier 1",35,IF(N1019="Tier 2",20,8))+IF(C1019="Financial Investor",15,IF(C1019="Intermediary / Banker",12,8))+IF(L1019="Term Sheet / Proposal",25,IF(L1019="Engaged",20,IF(L1019="Meeting Requested",18,IF(L1019="Meeting Held",14,IF(L1019="Follow Up",10,5)))))+MIN(Q1019,30)+IF(S1019="DUE",15,IF(S1019="Next 3 Days",8,0))),0))</f>
        <v/>
      </c>
      <c r="AB1019" s="425">
        <f>IF(AND(AC1019="Active",OR(N1019="Tier 1",N1019="Tier 2"),OR(S1019="DUE",S1019="Next 3 Days")),"YES","")</f>
        <v/>
      </c>
      <c r="AC1019" s="425">
        <f>IF(L1019="Passed","Archived","Active")</f>
        <v/>
      </c>
    </row>
    <row r="1020">
      <c r="A1020" s="425" t="inlineStr">
        <is>
          <t>EXOS-1019</t>
        </is>
      </c>
      <c r="B1020" s="425" t="inlineStr">
        <is>
          <t>Tank Contacts</t>
        </is>
      </c>
      <c r="C1020" s="425" t="inlineStr">
        <is>
          <t>Strategic / Corporate</t>
        </is>
      </c>
      <c r="D1020" s="425" t="inlineStr">
        <is>
          <t>President &amp; CEO Calca</t>
        </is>
      </c>
      <c r="E1020" s="425" t="inlineStr">
        <is>
          <t>Shane Jenkins</t>
        </is>
      </c>
      <c r="F1020" s="425" t="inlineStr"/>
      <c r="G1020" s="111" t="inlineStr">
        <is>
          <t>shane.jenkins@calcasolutions.com</t>
        </is>
      </c>
      <c r="H1020" s="425" t="inlineStr"/>
      <c r="I1020" s="425" t="inlineStr"/>
      <c r="J1020" s="111" t="inlineStr">
        <is>
          <t>https://www.linkedin.com/in/shane-jenkins-96507416/</t>
        </is>
      </c>
      <c r="K1020" s="426" t="inlineStr">
        <is>
          <t>John Quinn</t>
        </is>
      </c>
      <c r="L1020" s="426" t="inlineStr">
        <is>
          <t>Contacted</t>
        </is>
      </c>
      <c r="M1020" s="425" t="inlineStr">
        <is>
          <t>Strategic space / aerospace alignment</t>
        </is>
      </c>
      <c r="N1020" s="426" t="inlineStr">
        <is>
          <t>Tier 2</t>
        </is>
      </c>
      <c r="O1020" s="441" t="n">
        <v>45951</v>
      </c>
      <c r="P1020" s="441" t="n">
        <v>45951</v>
      </c>
      <c r="Q1020" s="425">
        <f>IF(P1020="","",TODAY()-P1020)</f>
        <v/>
      </c>
      <c r="R1020" s="441">
        <f>IF(OR(L1020="Passed",Z1020=""),"",P1020+Z1020)</f>
        <v/>
      </c>
      <c r="S1020" s="425">
        <f>IF(OR(R1020="",L1020="Passed"),"",IF(R1020&lt;=TODAY(),"DUE",IF(R1020&lt;=TODAY()+3,"Next 3 Days","Later")))</f>
        <v/>
      </c>
      <c r="T1020" s="425" t="inlineStr"/>
      <c r="U1020" s="426" t="inlineStr"/>
      <c r="V1020" s="426" t="inlineStr"/>
      <c r="W1020" s="428" t="inlineStr"/>
      <c r="X1020" s="425" t="inlineStr">
        <is>
          <t>Tank Contacts!20</t>
        </is>
      </c>
      <c r="Y1020" s="426" t="inlineStr">
        <is>
          <t>Send 1st follow-up and ask for 20-minute call</t>
        </is>
      </c>
      <c r="Z1020" s="425" t="n">
        <v>3</v>
      </c>
      <c r="AA1020" s="425">
        <f>IF(AC1020="Archived",0,ROUND((IF(N1020="Tier 1",35,IF(N1020="Tier 2",20,8))+IF(C1020="Financial Investor",15,IF(C1020="Intermediary / Banker",12,8))+IF(L1020="Term Sheet / Proposal",25,IF(L1020="Engaged",20,IF(L1020="Meeting Requested",18,IF(L1020="Meeting Held",14,IF(L1020="Follow Up",10,5)))))+MIN(Q1020,30)+IF(S1020="DUE",15,IF(S1020="Next 3 Days",8,0))),0))</f>
        <v/>
      </c>
      <c r="AB1020" s="425">
        <f>IF(AND(AC1020="Active",OR(N1020="Tier 1",N1020="Tier 2"),OR(S1020="DUE",S1020="Next 3 Days")),"YES","")</f>
        <v/>
      </c>
      <c r="AC1020" s="425">
        <f>IF(L1020="Passed","Archived","Active")</f>
        <v/>
      </c>
    </row>
    <row r="1021">
      <c r="A1021" s="425" t="inlineStr">
        <is>
          <t>EXOS-1020</t>
        </is>
      </c>
      <c r="B1021" s="425" t="inlineStr">
        <is>
          <t>John - Investor Contacts</t>
        </is>
      </c>
      <c r="C1021" s="425" t="inlineStr">
        <is>
          <t>Financial Investor</t>
        </is>
      </c>
      <c r="D1021" s="425" t="inlineStr">
        <is>
          <t>Rebel Fund</t>
        </is>
      </c>
      <c r="E1021" s="425" t="inlineStr">
        <is>
          <t>Jared Heyman</t>
        </is>
      </c>
      <c r="F1021" s="425" t="inlineStr"/>
      <c r="G1021" s="425" t="inlineStr"/>
      <c r="H1021" s="425" t="inlineStr"/>
      <c r="I1021" s="425" t="inlineStr"/>
      <c r="J1021" s="111" t="inlineStr">
        <is>
          <t>https://www.linkedin.com/in/jaredheyman/</t>
        </is>
      </c>
      <c r="K1021" s="426" t="inlineStr">
        <is>
          <t>John Quinn</t>
        </is>
      </c>
      <c r="L1021" s="426" t="inlineStr">
        <is>
          <t>Contacted</t>
        </is>
      </c>
      <c r="M1021" s="425" t="inlineStr">
        <is>
          <t>Space / Defense / Aerospace / Advanced Manufacturing</t>
        </is>
      </c>
      <c r="N1021" s="426" t="inlineStr">
        <is>
          <t>Tier 2</t>
        </is>
      </c>
      <c r="O1021" s="441" t="n">
        <v>46074</v>
      </c>
      <c r="P1021" s="441" t="n">
        <v>46074</v>
      </c>
      <c r="Q1021" s="425">
        <f>IF(P1021="","",TODAY()-P1021)</f>
        <v/>
      </c>
      <c r="R1021" s="441">
        <f>IF(OR(L1021="Passed",Z1021=""),"",P1021+Z1021)</f>
        <v/>
      </c>
      <c r="S1021" s="425">
        <f>IF(OR(R1021="",L1021="Passed"),"",IF(R1021&lt;=TODAY(),"DUE",IF(R1021&lt;=TODAY()+3,"Next 3 Days","Later")))</f>
        <v/>
      </c>
      <c r="T1021" s="425" t="inlineStr"/>
      <c r="U1021" s="426" t="inlineStr">
        <is>
          <t>https://www.linkedin.com/in/jaredheyman/</t>
        </is>
      </c>
      <c r="V1021" s="426" t="inlineStr"/>
      <c r="W1021" s="428" t="inlineStr">
        <is>
          <t xml:space="preserve"> |  | </t>
        </is>
      </c>
      <c r="X1021" s="425" t="inlineStr">
        <is>
          <t>John - Investor Contacts!960</t>
        </is>
      </c>
      <c r="Y1021" s="426" t="inlineStr">
        <is>
          <t>Send 1st follow-up and ask for 20-minute call</t>
        </is>
      </c>
      <c r="Z1021" s="425" t="n">
        <v>3</v>
      </c>
      <c r="AA1021" s="425">
        <f>IF(AC1021="Archived",0,ROUND((IF(N1021="Tier 1",35,IF(N1021="Tier 2",20,8))+IF(C1021="Financial Investor",15,IF(C1021="Intermediary / Banker",12,8))+IF(L1021="Term Sheet / Proposal",25,IF(L1021="Engaged",20,IF(L1021="Meeting Requested",18,IF(L1021="Meeting Held",14,IF(L1021="Follow Up",10,5)))))+MIN(Q1021,30)+IF(S1021="DUE",15,IF(S1021="Next 3 Days",8,0))),0))</f>
        <v/>
      </c>
      <c r="AB1021" s="425">
        <f>IF(AND(AC1021="Active",OR(N1021="Tier 1",N1021="Tier 2"),OR(S1021="DUE",S1021="Next 3 Days")),"YES","")</f>
        <v/>
      </c>
      <c r="AC1021" s="425">
        <f>IF(L1021="Passed","Archived","Active")</f>
        <v/>
      </c>
    </row>
    <row r="1022">
      <c r="A1022" s="425" t="inlineStr">
        <is>
          <t>EXOS-1021</t>
        </is>
      </c>
      <c r="B1022" s="425" t="inlineStr">
        <is>
          <t>John - Investor Contacts</t>
        </is>
      </c>
      <c r="C1022" s="425" t="inlineStr">
        <is>
          <t>Financial Investor</t>
        </is>
      </c>
      <c r="D1022" s="425" t="inlineStr">
        <is>
          <t>Rebel Fund</t>
        </is>
      </c>
      <c r="E1022" s="425" t="inlineStr">
        <is>
          <t>Jonathan Hirsch</t>
        </is>
      </c>
      <c r="F1022" s="425" t="inlineStr"/>
      <c r="G1022" s="111" t="inlineStr">
        <is>
          <t>jehirsch@gmail.com</t>
        </is>
      </c>
      <c r="H1022" s="425" t="inlineStr"/>
      <c r="I1022" s="425" t="inlineStr"/>
      <c r="J1022" s="111" t="inlineStr">
        <is>
          <t>https://www.linkedin.com/in/jehirsch</t>
        </is>
      </c>
      <c r="K1022" s="426" t="inlineStr">
        <is>
          <t>John Quinn</t>
        </is>
      </c>
      <c r="L1022" s="426" t="inlineStr">
        <is>
          <t>Contacted</t>
        </is>
      </c>
      <c r="M1022" s="425" t="inlineStr">
        <is>
          <t>Space / Defense / Aerospace / Advanced Manufacturing</t>
        </is>
      </c>
      <c r="N1022" s="426" t="inlineStr">
        <is>
          <t>Tier 2</t>
        </is>
      </c>
      <c r="O1022" s="441" t="n">
        <v>46074</v>
      </c>
      <c r="P1022" s="441" t="n">
        <v>46074</v>
      </c>
      <c r="Q1022" s="425">
        <f>IF(P1022="","",TODAY()-P1022)</f>
        <v/>
      </c>
      <c r="R1022" s="441">
        <f>IF(OR(L1022="Passed",Z1022=""),"",P1022+Z1022)</f>
        <v/>
      </c>
      <c r="S1022" s="425">
        <f>IF(OR(R1022="",L1022="Passed"),"",IF(R1022&lt;=TODAY(),"DUE",IF(R1022&lt;=TODAY()+3,"Next 3 Days","Later")))</f>
        <v/>
      </c>
      <c r="T1022" s="425" t="inlineStr"/>
      <c r="U1022" s="426" t="inlineStr">
        <is>
          <t>https://www.linkedin.com/in/jehirsch</t>
        </is>
      </c>
      <c r="V1022" s="426" t="inlineStr"/>
      <c r="W1022" s="428" t="inlineStr">
        <is>
          <t xml:space="preserve"> |  | </t>
        </is>
      </c>
      <c r="X1022" s="425" t="inlineStr">
        <is>
          <t>John - Investor Contacts!961</t>
        </is>
      </c>
      <c r="Y1022" s="426" t="inlineStr">
        <is>
          <t>Send 1st follow-up and ask for 20-minute call</t>
        </is>
      </c>
      <c r="Z1022" s="425" t="n">
        <v>3</v>
      </c>
      <c r="AA1022" s="425">
        <f>IF(AC1022="Archived",0,ROUND((IF(N1022="Tier 1",35,IF(N1022="Tier 2",20,8))+IF(C1022="Financial Investor",15,IF(C1022="Intermediary / Banker",12,8))+IF(L1022="Term Sheet / Proposal",25,IF(L1022="Engaged",20,IF(L1022="Meeting Requested",18,IF(L1022="Meeting Held",14,IF(L1022="Follow Up",10,5)))))+MIN(Q1022,30)+IF(S1022="DUE",15,IF(S1022="Next 3 Days",8,0))),0))</f>
        <v/>
      </c>
      <c r="AB1022" s="425">
        <f>IF(AND(AC1022="Active",OR(N1022="Tier 1",N1022="Tier 2"),OR(S1022="DUE",S1022="Next 3 Days")),"YES","")</f>
        <v/>
      </c>
      <c r="AC1022" s="425">
        <f>IF(L1022="Passed","Archived","Active")</f>
        <v/>
      </c>
    </row>
    <row r="1023">
      <c r="A1023" s="425" t="inlineStr">
        <is>
          <t>EXOS-1022</t>
        </is>
      </c>
      <c r="B1023" s="425" t="inlineStr">
        <is>
          <t>John - Investor Contacts</t>
        </is>
      </c>
      <c r="C1023" s="425" t="inlineStr">
        <is>
          <t>Financial Investor</t>
        </is>
      </c>
      <c r="D1023" s="425" t="inlineStr">
        <is>
          <t>Rebel Fund</t>
        </is>
      </c>
      <c r="E1023" s="425" t="inlineStr">
        <is>
          <t>Matt Quinn</t>
        </is>
      </c>
      <c r="F1023" s="425" t="inlineStr"/>
      <c r="G1023" s="111" t="inlineStr">
        <is>
          <t>caquinn5@yahoo.com</t>
        </is>
      </c>
      <c r="H1023" s="425" t="inlineStr"/>
      <c r="I1023" s="425" t="inlineStr"/>
      <c r="J1023" s="111" t="inlineStr">
        <is>
          <t>https://www.linkedin.com/in/matthewthomasquinn</t>
        </is>
      </c>
      <c r="K1023" s="426" t="inlineStr">
        <is>
          <t>John Quinn</t>
        </is>
      </c>
      <c r="L1023" s="426" t="inlineStr">
        <is>
          <t>Contacted</t>
        </is>
      </c>
      <c r="M1023" s="425" t="inlineStr">
        <is>
          <t>Space / Defense / Aerospace / Advanced Manufacturing</t>
        </is>
      </c>
      <c r="N1023" s="426" t="inlineStr">
        <is>
          <t>Tier 2</t>
        </is>
      </c>
      <c r="O1023" s="441" t="n">
        <v>46074</v>
      </c>
      <c r="P1023" s="441" t="n">
        <v>46074</v>
      </c>
      <c r="Q1023" s="425">
        <f>IF(P1023="","",TODAY()-P1023)</f>
        <v/>
      </c>
      <c r="R1023" s="441">
        <f>IF(OR(L1023="Passed",Z1023=""),"",P1023+Z1023)</f>
        <v/>
      </c>
      <c r="S1023" s="425">
        <f>IF(OR(R1023="",L1023="Passed"),"",IF(R1023&lt;=TODAY(),"DUE",IF(R1023&lt;=TODAY()+3,"Next 3 Days","Later")))</f>
        <v/>
      </c>
      <c r="T1023" s="425" t="inlineStr"/>
      <c r="U1023" s="426" t="inlineStr">
        <is>
          <t>https://www.linkedin.com/in/matthewthomasquinn</t>
        </is>
      </c>
      <c r="V1023" s="426" t="inlineStr"/>
      <c r="W1023" s="428" t="inlineStr">
        <is>
          <t xml:space="preserve"> |  | </t>
        </is>
      </c>
      <c r="X1023" s="425" t="inlineStr">
        <is>
          <t>John - Investor Contacts!962</t>
        </is>
      </c>
      <c r="Y1023" s="426" t="inlineStr">
        <is>
          <t>Send 1st follow-up and ask for 20-minute call</t>
        </is>
      </c>
      <c r="Z1023" s="425" t="n">
        <v>3</v>
      </c>
      <c r="AA1023" s="425">
        <f>IF(AC1023="Archived",0,ROUND((IF(N1023="Tier 1",35,IF(N1023="Tier 2",20,8))+IF(C1023="Financial Investor",15,IF(C1023="Intermediary / Banker",12,8))+IF(L1023="Term Sheet / Proposal",25,IF(L1023="Engaged",20,IF(L1023="Meeting Requested",18,IF(L1023="Meeting Held",14,IF(L1023="Follow Up",10,5)))))+MIN(Q1023,30)+IF(S1023="DUE",15,IF(S1023="Next 3 Days",8,0))),0))</f>
        <v/>
      </c>
      <c r="AB1023" s="425">
        <f>IF(AND(AC1023="Active",OR(N1023="Tier 1",N1023="Tier 2"),OR(S1023="DUE",S1023="Next 3 Days")),"YES","")</f>
        <v/>
      </c>
      <c r="AC1023" s="425">
        <f>IF(L1023="Passed","Archived","Active")</f>
        <v/>
      </c>
    </row>
    <row r="1024">
      <c r="A1024" s="425" t="inlineStr">
        <is>
          <t>EXOS-1023</t>
        </is>
      </c>
      <c r="B1024" s="425" t="inlineStr">
        <is>
          <t>John - Investor Contacts</t>
        </is>
      </c>
      <c r="C1024" s="425" t="inlineStr">
        <is>
          <t>Financial Investor</t>
        </is>
      </c>
      <c r="D1024" s="425" t="inlineStr">
        <is>
          <t>Reditus Space</t>
        </is>
      </c>
      <c r="E1024" s="425" t="inlineStr">
        <is>
          <t>Mark Ortega</t>
        </is>
      </c>
      <c r="F1024" s="425" t="inlineStr"/>
      <c r="G1024" s="111" t="inlineStr">
        <is>
          <t>mark.ortega@reditus.space</t>
        </is>
      </c>
      <c r="H1024" s="425" t="inlineStr"/>
      <c r="I1024" s="425" t="inlineStr"/>
      <c r="J1024" s="111" t="inlineStr">
        <is>
          <t>https://www.linkedin.com/in/markortega1/</t>
        </is>
      </c>
      <c r="K1024" s="426" t="inlineStr">
        <is>
          <t>John Quinn</t>
        </is>
      </c>
      <c r="L1024" s="426" t="inlineStr">
        <is>
          <t>Contacted</t>
        </is>
      </c>
      <c r="M1024" s="425" t="inlineStr">
        <is>
          <t>Space / Defense / Aerospace / Advanced Manufacturing</t>
        </is>
      </c>
      <c r="N1024" s="426" t="inlineStr">
        <is>
          <t>Tier 2</t>
        </is>
      </c>
      <c r="O1024" s="441" t="n">
        <v>46030</v>
      </c>
      <c r="P1024" s="441" t="n">
        <v>46030</v>
      </c>
      <c r="Q1024" s="425">
        <f>IF(P1024="","",TODAY()-P1024)</f>
        <v/>
      </c>
      <c r="R1024" s="441">
        <f>IF(OR(L1024="Passed",Z1024=""),"",P1024+Z1024)</f>
        <v/>
      </c>
      <c r="S1024" s="425">
        <f>IF(OR(R1024="",L1024="Passed"),"",IF(R1024&lt;=TODAY(),"DUE",IF(R1024&lt;=TODAY()+3,"Next 3 Days","Later")))</f>
        <v/>
      </c>
      <c r="T1024" s="425" t="inlineStr"/>
      <c r="U1024" s="426" t="inlineStr">
        <is>
          <t>https://www.linkedin.com/in/markortega1/</t>
        </is>
      </c>
      <c r="V1024" s="426" t="inlineStr"/>
      <c r="W1024" s="428" t="inlineStr">
        <is>
          <t xml:space="preserve"> | 02/26/2026 | </t>
        </is>
      </c>
      <c r="X1024" s="425" t="inlineStr">
        <is>
          <t>John - Investor Contacts!905</t>
        </is>
      </c>
      <c r="Y1024" s="426" t="inlineStr">
        <is>
          <t>Send 1st follow-up and ask for 20-minute call</t>
        </is>
      </c>
      <c r="Z1024" s="425" t="n">
        <v>3</v>
      </c>
      <c r="AA1024" s="425">
        <f>IF(AC1024="Archived",0,ROUND((IF(N1024="Tier 1",35,IF(N1024="Tier 2",20,8))+IF(C1024="Financial Investor",15,IF(C1024="Intermediary / Banker",12,8))+IF(L1024="Term Sheet / Proposal",25,IF(L1024="Engaged",20,IF(L1024="Meeting Requested",18,IF(L1024="Meeting Held",14,IF(L1024="Follow Up",10,5)))))+MIN(Q1024,30)+IF(S1024="DUE",15,IF(S1024="Next 3 Days",8,0))),0))</f>
        <v/>
      </c>
      <c r="AB1024" s="425">
        <f>IF(AND(AC1024="Active",OR(N1024="Tier 1",N1024="Tier 2"),OR(S1024="DUE",S1024="Next 3 Days")),"YES","")</f>
        <v/>
      </c>
      <c r="AC1024" s="425">
        <f>IF(L1024="Passed","Archived","Active")</f>
        <v/>
      </c>
    </row>
    <row r="1025">
      <c r="A1025" s="425" t="inlineStr">
        <is>
          <t>EXOS-1024</t>
        </is>
      </c>
      <c r="B1025" s="425" t="inlineStr">
        <is>
          <t>John - Investor Contacts</t>
        </is>
      </c>
      <c r="C1025" s="425" t="inlineStr">
        <is>
          <t>Financial Investor</t>
        </is>
      </c>
      <c r="D1025" s="425" t="inlineStr">
        <is>
          <t>Reditus Space</t>
        </is>
      </c>
      <c r="E1025" s="425" t="inlineStr">
        <is>
          <t>Stef Crum</t>
        </is>
      </c>
      <c r="F1025" s="425" t="inlineStr"/>
      <c r="G1025" s="111" t="inlineStr">
        <is>
          <t>stef.crum@reditus.space</t>
        </is>
      </c>
      <c r="H1025" s="425" t="inlineStr"/>
      <c r="I1025" s="425" t="inlineStr"/>
      <c r="J1025" s="111" t="inlineStr">
        <is>
          <t>https://www.linkedin.com/in/spcrum</t>
        </is>
      </c>
      <c r="K1025" s="426" t="inlineStr">
        <is>
          <t>John Quinn</t>
        </is>
      </c>
      <c r="L1025" s="426" t="inlineStr">
        <is>
          <t>Contacted</t>
        </is>
      </c>
      <c r="M1025" s="425" t="inlineStr">
        <is>
          <t>Space / Defense / Aerospace / Advanced Manufacturing</t>
        </is>
      </c>
      <c r="N1025" s="426" t="inlineStr">
        <is>
          <t>Tier 2</t>
        </is>
      </c>
      <c r="O1025" s="441" t="n">
        <v>46030</v>
      </c>
      <c r="P1025" s="441" t="n">
        <v>46030</v>
      </c>
      <c r="Q1025" s="425">
        <f>IF(P1025="","",TODAY()-P1025)</f>
        <v/>
      </c>
      <c r="R1025" s="441">
        <f>IF(OR(L1025="Passed",Z1025=""),"",P1025+Z1025)</f>
        <v/>
      </c>
      <c r="S1025" s="425">
        <f>IF(OR(R1025="",L1025="Passed"),"",IF(R1025&lt;=TODAY(),"DUE",IF(R1025&lt;=TODAY()+3,"Next 3 Days","Later")))</f>
        <v/>
      </c>
      <c r="T1025" s="425" t="inlineStr"/>
      <c r="U1025" s="426" t="inlineStr">
        <is>
          <t>https://www.linkedin.com/in/spcrum</t>
        </is>
      </c>
      <c r="V1025" s="426" t="inlineStr"/>
      <c r="W1025" s="428" t="inlineStr">
        <is>
          <t xml:space="preserve"> | 02/26/2026 | </t>
        </is>
      </c>
      <c r="X1025" s="425" t="inlineStr">
        <is>
          <t>John - Investor Contacts!904</t>
        </is>
      </c>
      <c r="Y1025" s="426" t="inlineStr">
        <is>
          <t>Send 1st follow-up and ask for 20-minute call</t>
        </is>
      </c>
      <c r="Z1025" s="425" t="n">
        <v>3</v>
      </c>
      <c r="AA1025" s="425">
        <f>IF(AC1025="Archived",0,ROUND((IF(N1025="Tier 1",35,IF(N1025="Tier 2",20,8))+IF(C1025="Financial Investor",15,IF(C1025="Intermediary / Banker",12,8))+IF(L1025="Term Sheet / Proposal",25,IF(L1025="Engaged",20,IF(L1025="Meeting Requested",18,IF(L1025="Meeting Held",14,IF(L1025="Follow Up",10,5)))))+MIN(Q1025,30)+IF(S1025="DUE",15,IF(S1025="Next 3 Days",8,0))),0))</f>
        <v/>
      </c>
      <c r="AB1025" s="425">
        <f>IF(AND(AC1025="Active",OR(N1025="Tier 1",N1025="Tier 2"),OR(S1025="DUE",S1025="Next 3 Days")),"YES","")</f>
        <v/>
      </c>
      <c r="AC1025" s="425">
        <f>IF(L1025="Passed","Archived","Active")</f>
        <v/>
      </c>
    </row>
    <row r="1026">
      <c r="A1026" s="425" t="inlineStr">
        <is>
          <t>EXOS-1025</t>
        </is>
      </c>
      <c r="B1026" s="425" t="inlineStr">
        <is>
          <t>John - Investor Contacts</t>
        </is>
      </c>
      <c r="C1026" s="425" t="inlineStr">
        <is>
          <t>Financial Investor</t>
        </is>
      </c>
      <c r="D1026" s="425" t="inlineStr">
        <is>
          <t>Reditus Space</t>
        </is>
      </c>
      <c r="E1026" s="425" t="inlineStr">
        <is>
          <t>Will Sherman</t>
        </is>
      </c>
      <c r="F1026" s="425" t="inlineStr"/>
      <c r="G1026" s="111" t="inlineStr">
        <is>
          <t>will.sherman@reditus.space</t>
        </is>
      </c>
      <c r="H1026" s="425" t="inlineStr"/>
      <c r="I1026" s="425" t="inlineStr"/>
      <c r="J1026" s="425" t="inlineStr"/>
      <c r="K1026" s="426" t="inlineStr">
        <is>
          <t>John Quinn</t>
        </is>
      </c>
      <c r="L1026" s="426" t="inlineStr">
        <is>
          <t>Contacted</t>
        </is>
      </c>
      <c r="M1026" s="425" t="inlineStr">
        <is>
          <t>Space / Defense / Aerospace / Advanced Manufacturing</t>
        </is>
      </c>
      <c r="N1026" s="426" t="inlineStr">
        <is>
          <t>Tier 2</t>
        </is>
      </c>
      <c r="O1026" s="441" t="n">
        <v>46030</v>
      </c>
      <c r="P1026" s="441" t="n">
        <v>46030</v>
      </c>
      <c r="Q1026" s="425">
        <f>IF(P1026="","",TODAY()-P1026)</f>
        <v/>
      </c>
      <c r="R1026" s="441">
        <f>IF(OR(L1026="Passed",Z1026=""),"",P1026+Z1026)</f>
        <v/>
      </c>
      <c r="S1026" s="425">
        <f>IF(OR(R1026="",L1026="Passed"),"",IF(R1026&lt;=TODAY(),"DUE",IF(R1026&lt;=TODAY()+3,"Next 3 Days","Later")))</f>
        <v/>
      </c>
      <c r="T1026" s="425" t="inlineStr"/>
      <c r="U1026" s="426" t="inlineStr">
        <is>
          <t>linkedin.com/in/willamasherman</t>
        </is>
      </c>
      <c r="V1026" s="426" t="inlineStr"/>
      <c r="W1026" s="428" t="inlineStr">
        <is>
          <t xml:space="preserve"> | 02/26/2026 | </t>
        </is>
      </c>
      <c r="X1026" s="425" t="inlineStr">
        <is>
          <t>John - Investor Contacts!903</t>
        </is>
      </c>
      <c r="Y1026" s="426" t="inlineStr">
        <is>
          <t>Send 1st follow-up and ask for 20-minute call</t>
        </is>
      </c>
      <c r="Z1026" s="425" t="n">
        <v>3</v>
      </c>
      <c r="AA1026" s="425">
        <f>IF(AC1026="Archived",0,ROUND((IF(N1026="Tier 1",35,IF(N1026="Tier 2",20,8))+IF(C1026="Financial Investor",15,IF(C1026="Intermediary / Banker",12,8))+IF(L1026="Term Sheet / Proposal",25,IF(L1026="Engaged",20,IF(L1026="Meeting Requested",18,IF(L1026="Meeting Held",14,IF(L1026="Follow Up",10,5)))))+MIN(Q1026,30)+IF(S1026="DUE",15,IF(S1026="Next 3 Days",8,0))),0))</f>
        <v/>
      </c>
      <c r="AB1026" s="425">
        <f>IF(AND(AC1026="Active",OR(N1026="Tier 1",N1026="Tier 2"),OR(S1026="DUE",S1026="Next 3 Days")),"YES","")</f>
        <v/>
      </c>
      <c r="AC1026" s="425">
        <f>IF(L1026="Passed","Archived","Active")</f>
        <v/>
      </c>
    </row>
    <row r="1027">
      <c r="A1027" s="425" t="inlineStr">
        <is>
          <t>EXOS-1026</t>
        </is>
      </c>
      <c r="B1027" s="425" t="inlineStr">
        <is>
          <t>Tank Contacts</t>
        </is>
      </c>
      <c r="C1027" s="425" t="inlineStr">
        <is>
          <t>Strategic / Corporate</t>
        </is>
      </c>
      <c r="D1027" s="425" t="inlineStr">
        <is>
          <t>Redwire</t>
        </is>
      </c>
      <c r="E1027" s="425" t="inlineStr">
        <is>
          <t>Al Tadros</t>
        </is>
      </c>
      <c r="F1027" s="425" t="inlineStr"/>
      <c r="G1027" s="111" t="inlineStr">
        <is>
          <t>al.tadros@redwirespace.com</t>
        </is>
      </c>
      <c r="H1027" s="425" t="inlineStr"/>
      <c r="I1027" s="425" t="inlineStr"/>
      <c r="J1027" s="425" t="inlineStr"/>
      <c r="K1027" s="426" t="inlineStr">
        <is>
          <t>John Quinn</t>
        </is>
      </c>
      <c r="L1027" s="426" t="inlineStr">
        <is>
          <t>Contacted</t>
        </is>
      </c>
      <c r="M1027" s="425" t="inlineStr">
        <is>
          <t>Strategic space / aerospace alignment</t>
        </is>
      </c>
      <c r="N1027" s="426" t="inlineStr">
        <is>
          <t>Tier 2</t>
        </is>
      </c>
      <c r="O1027" s="441" t="n">
        <v>45950</v>
      </c>
      <c r="P1027" s="441" t="n">
        <v>45950</v>
      </c>
      <c r="Q1027" s="425">
        <f>IF(P1027="","",TODAY()-P1027)</f>
        <v/>
      </c>
      <c r="R1027" s="441">
        <f>IF(OR(L1027="Passed",Z1027=""),"",P1027+Z1027)</f>
        <v/>
      </c>
      <c r="S1027" s="425">
        <f>IF(OR(R1027="",L1027="Passed"),"",IF(R1027&lt;=TODAY(),"DUE",IF(R1027&lt;=TODAY()+3,"Next 3 Days","Later")))</f>
        <v/>
      </c>
      <c r="T1027" s="425" t="inlineStr"/>
      <c r="U1027" s="426" t="inlineStr"/>
      <c r="V1027" s="426" t="inlineStr"/>
      <c r="W1027" s="428" t="inlineStr"/>
      <c r="X1027" s="425" t="inlineStr">
        <is>
          <t>Tank Contacts!38</t>
        </is>
      </c>
      <c r="Y1027" s="426" t="inlineStr">
        <is>
          <t>Send 1st follow-up and ask for 20-minute call</t>
        </is>
      </c>
      <c r="Z1027" s="425" t="n">
        <v>3</v>
      </c>
      <c r="AA1027" s="425">
        <f>IF(AC1027="Archived",0,ROUND((IF(N1027="Tier 1",35,IF(N1027="Tier 2",20,8))+IF(C1027="Financial Investor",15,IF(C1027="Intermediary / Banker",12,8))+IF(L1027="Term Sheet / Proposal",25,IF(L1027="Engaged",20,IF(L1027="Meeting Requested",18,IF(L1027="Meeting Held",14,IF(L1027="Follow Up",10,5)))))+MIN(Q1027,30)+IF(S1027="DUE",15,IF(S1027="Next 3 Days",8,0))),0))</f>
        <v/>
      </c>
      <c r="AB1027" s="425">
        <f>IF(AND(AC1027="Active",OR(N1027="Tier 1",N1027="Tier 2"),OR(S1027="DUE",S1027="Next 3 Days")),"YES","")</f>
        <v/>
      </c>
      <c r="AC1027" s="425">
        <f>IF(L1027="Passed","Archived","Active")</f>
        <v/>
      </c>
    </row>
    <row r="1028">
      <c r="A1028" s="425" t="inlineStr">
        <is>
          <t>EXOS-1027</t>
        </is>
      </c>
      <c r="B1028" s="425" t="inlineStr">
        <is>
          <t>Tank Contacts</t>
        </is>
      </c>
      <c r="C1028" s="425" t="inlineStr">
        <is>
          <t>Strategic / Corporate</t>
        </is>
      </c>
      <c r="D1028" s="425" t="inlineStr">
        <is>
          <t>Redwire</t>
        </is>
      </c>
      <c r="E1028" s="425" t="inlineStr">
        <is>
          <t>Alex Chayres</t>
        </is>
      </c>
      <c r="F1028" s="425" t="inlineStr"/>
      <c r="G1028" s="111" t="inlineStr">
        <is>
          <t>alex.chayres@redwirespace.com</t>
        </is>
      </c>
      <c r="H1028" s="425" t="inlineStr"/>
      <c r="I1028" s="425" t="inlineStr"/>
      <c r="J1028" s="425" t="inlineStr"/>
      <c r="K1028" s="426" t="inlineStr">
        <is>
          <t>John Quinn</t>
        </is>
      </c>
      <c r="L1028" s="426" t="inlineStr">
        <is>
          <t>Contacted</t>
        </is>
      </c>
      <c r="M1028" s="425" t="inlineStr">
        <is>
          <t>Strategic space / aerospace alignment</t>
        </is>
      </c>
      <c r="N1028" s="426" t="inlineStr">
        <is>
          <t>Tier 2</t>
        </is>
      </c>
      <c r="O1028" s="441" t="n">
        <v>45950</v>
      </c>
      <c r="P1028" s="441" t="n">
        <v>45950</v>
      </c>
      <c r="Q1028" s="425">
        <f>IF(P1028="","",TODAY()-P1028)</f>
        <v/>
      </c>
      <c r="R1028" s="441">
        <f>IF(OR(L1028="Passed",Z1028=""),"",P1028+Z1028)</f>
        <v/>
      </c>
      <c r="S1028" s="425">
        <f>IF(OR(R1028="",L1028="Passed"),"",IF(R1028&lt;=TODAY(),"DUE",IF(R1028&lt;=TODAY()+3,"Next 3 Days","Later")))</f>
        <v/>
      </c>
      <c r="T1028" s="425" t="inlineStr"/>
      <c r="U1028" s="426" t="inlineStr"/>
      <c r="V1028" s="426" t="inlineStr"/>
      <c r="W1028" s="428" t="inlineStr"/>
      <c r="X1028" s="425" t="inlineStr">
        <is>
          <t>Tank Contacts!40</t>
        </is>
      </c>
      <c r="Y1028" s="426" t="inlineStr">
        <is>
          <t>Send 1st follow-up and ask for 20-minute call</t>
        </is>
      </c>
      <c r="Z1028" s="425" t="n">
        <v>3</v>
      </c>
      <c r="AA1028" s="425">
        <f>IF(AC1028="Archived",0,ROUND((IF(N1028="Tier 1",35,IF(N1028="Tier 2",20,8))+IF(C1028="Financial Investor",15,IF(C1028="Intermediary / Banker",12,8))+IF(L1028="Term Sheet / Proposal",25,IF(L1028="Engaged",20,IF(L1028="Meeting Requested",18,IF(L1028="Meeting Held",14,IF(L1028="Follow Up",10,5)))))+MIN(Q1028,30)+IF(S1028="DUE",15,IF(S1028="Next 3 Days",8,0))),0))</f>
        <v/>
      </c>
      <c r="AB1028" s="425">
        <f>IF(AND(AC1028="Active",OR(N1028="Tier 1",N1028="Tier 2"),OR(S1028="DUE",S1028="Next 3 Days")),"YES","")</f>
        <v/>
      </c>
      <c r="AC1028" s="425">
        <f>IF(L1028="Passed","Archived","Active")</f>
        <v/>
      </c>
    </row>
    <row r="1029">
      <c r="A1029" s="425" t="inlineStr">
        <is>
          <t>EXOS-1028</t>
        </is>
      </c>
      <c r="B1029" s="425" t="inlineStr">
        <is>
          <t>Tank Contacts</t>
        </is>
      </c>
      <c r="C1029" s="425" t="inlineStr">
        <is>
          <t>Strategic / Corporate</t>
        </is>
      </c>
      <c r="D1029" s="425" t="inlineStr">
        <is>
          <t>Redwire</t>
        </is>
      </c>
      <c r="E1029" s="425" t="inlineStr">
        <is>
          <t>Jonathan Baliff</t>
        </is>
      </c>
      <c r="F1029" s="425" t="inlineStr"/>
      <c r="G1029" s="111" t="inlineStr">
        <is>
          <t>jonathan.baliff@redwirespace.com</t>
        </is>
      </c>
      <c r="H1029" s="425" t="inlineStr"/>
      <c r="I1029" s="425" t="inlineStr"/>
      <c r="J1029" s="425" t="inlineStr"/>
      <c r="K1029" s="426" t="inlineStr">
        <is>
          <t>John Quinn</t>
        </is>
      </c>
      <c r="L1029" s="426" t="inlineStr">
        <is>
          <t>Contacted</t>
        </is>
      </c>
      <c r="M1029" s="425" t="inlineStr">
        <is>
          <t>Strategic space / aerospace alignment</t>
        </is>
      </c>
      <c r="N1029" s="426" t="inlineStr">
        <is>
          <t>Tier 2</t>
        </is>
      </c>
      <c r="O1029" s="441" t="n">
        <v>45950</v>
      </c>
      <c r="P1029" s="441" t="n">
        <v>45950</v>
      </c>
      <c r="Q1029" s="425">
        <f>IF(P1029="","",TODAY()-P1029)</f>
        <v/>
      </c>
      <c r="R1029" s="441">
        <f>IF(OR(L1029="Passed",Z1029=""),"",P1029+Z1029)</f>
        <v/>
      </c>
      <c r="S1029" s="425">
        <f>IF(OR(R1029="",L1029="Passed"),"",IF(R1029&lt;=TODAY(),"DUE",IF(R1029&lt;=TODAY()+3,"Next 3 Days","Later")))</f>
        <v/>
      </c>
      <c r="T1029" s="425" t="inlineStr"/>
      <c r="U1029" s="426" t="inlineStr"/>
      <c r="V1029" s="426" t="inlineStr"/>
      <c r="W1029" s="428" t="inlineStr"/>
      <c r="X1029" s="425" t="inlineStr">
        <is>
          <t>Tank Contacts!39</t>
        </is>
      </c>
      <c r="Y1029" s="426" t="inlineStr">
        <is>
          <t>Send 1st follow-up and ask for 20-minute call</t>
        </is>
      </c>
      <c r="Z1029" s="425" t="n">
        <v>3</v>
      </c>
      <c r="AA1029" s="425">
        <f>IF(AC1029="Archived",0,ROUND((IF(N1029="Tier 1",35,IF(N1029="Tier 2",20,8))+IF(C1029="Financial Investor",15,IF(C1029="Intermediary / Banker",12,8))+IF(L1029="Term Sheet / Proposal",25,IF(L1029="Engaged",20,IF(L1029="Meeting Requested",18,IF(L1029="Meeting Held",14,IF(L1029="Follow Up",10,5)))))+MIN(Q1029,30)+IF(S1029="DUE",15,IF(S1029="Next 3 Days",8,0))),0))</f>
        <v/>
      </c>
      <c r="AB1029" s="425">
        <f>IF(AND(AC1029="Active",OR(N1029="Tier 1",N1029="Tier 2"),OR(S1029="DUE",S1029="Next 3 Days")),"YES","")</f>
        <v/>
      </c>
      <c r="AC1029" s="425">
        <f>IF(L1029="Passed","Archived","Active")</f>
        <v/>
      </c>
    </row>
    <row r="1030">
      <c r="A1030" s="425" t="inlineStr">
        <is>
          <t>EXOS-1029</t>
        </is>
      </c>
      <c r="B1030" s="425" t="inlineStr">
        <is>
          <t>Tank Contacts</t>
        </is>
      </c>
      <c r="C1030" s="425" t="inlineStr">
        <is>
          <t>Strategic / Corporate</t>
        </is>
      </c>
      <c r="D1030" s="425" t="inlineStr">
        <is>
          <t>Redwire</t>
        </is>
      </c>
      <c r="E1030" s="425" t="inlineStr">
        <is>
          <t>Mike Winters</t>
        </is>
      </c>
      <c r="F1030" s="425" t="inlineStr"/>
      <c r="G1030" s="111" t="inlineStr">
        <is>
          <t>mike.winters@redwirespace.com</t>
        </is>
      </c>
      <c r="H1030" s="425" t="inlineStr"/>
      <c r="I1030" s="425" t="inlineStr"/>
      <c r="J1030" s="425" t="inlineStr"/>
      <c r="K1030" s="426" t="inlineStr">
        <is>
          <t>John Quinn</t>
        </is>
      </c>
      <c r="L1030" s="426" t="inlineStr">
        <is>
          <t>Contacted</t>
        </is>
      </c>
      <c r="M1030" s="425" t="inlineStr">
        <is>
          <t>Strategic space / aerospace alignment</t>
        </is>
      </c>
      <c r="N1030" s="426" t="inlineStr">
        <is>
          <t>Tier 2</t>
        </is>
      </c>
      <c r="O1030" s="441" t="n">
        <v>45950</v>
      </c>
      <c r="P1030" s="441" t="n">
        <v>45950</v>
      </c>
      <c r="Q1030" s="425">
        <f>IF(P1030="","",TODAY()-P1030)</f>
        <v/>
      </c>
      <c r="R1030" s="441">
        <f>IF(OR(L1030="Passed",Z1030=""),"",P1030+Z1030)</f>
        <v/>
      </c>
      <c r="S1030" s="425">
        <f>IF(OR(R1030="",L1030="Passed"),"",IF(R1030&lt;=TODAY(),"DUE",IF(R1030&lt;=TODAY()+3,"Next 3 Days","Later")))</f>
        <v/>
      </c>
      <c r="T1030" s="425" t="inlineStr"/>
      <c r="U1030" s="426" t="inlineStr"/>
      <c r="V1030" s="426" t="inlineStr"/>
      <c r="W1030" s="428" t="inlineStr"/>
      <c r="X1030" s="425" t="inlineStr">
        <is>
          <t>Tank Contacts!41</t>
        </is>
      </c>
      <c r="Y1030" s="426" t="inlineStr">
        <is>
          <t>Send 1st follow-up and ask for 20-minute call</t>
        </is>
      </c>
      <c r="Z1030" s="425" t="n">
        <v>3</v>
      </c>
      <c r="AA1030" s="425">
        <f>IF(AC1030="Archived",0,ROUND((IF(N1030="Tier 1",35,IF(N1030="Tier 2",20,8))+IF(C1030="Financial Investor",15,IF(C1030="Intermediary / Banker",12,8))+IF(L1030="Term Sheet / Proposal",25,IF(L1030="Engaged",20,IF(L1030="Meeting Requested",18,IF(L1030="Meeting Held",14,IF(L1030="Follow Up",10,5)))))+MIN(Q1030,30)+IF(S1030="DUE",15,IF(S1030="Next 3 Days",8,0))),0))</f>
        <v/>
      </c>
      <c r="AB1030" s="425">
        <f>IF(AND(AC1030="Active",OR(N1030="Tier 1",N1030="Tier 2"),OR(S1030="DUE",S1030="Next 3 Days")),"YES","")</f>
        <v/>
      </c>
      <c r="AC1030" s="425">
        <f>IF(L1030="Passed","Archived","Active")</f>
        <v/>
      </c>
    </row>
    <row r="1031">
      <c r="A1031" s="425" t="inlineStr">
        <is>
          <t>EXOS-1030</t>
        </is>
      </c>
      <c r="B1031" s="425" t="inlineStr">
        <is>
          <t>John - Investor Contacts</t>
        </is>
      </c>
      <c r="C1031" s="425" t="inlineStr">
        <is>
          <t>Financial Investor</t>
        </is>
      </c>
      <c r="D1031" s="425" t="inlineStr">
        <is>
          <t>Ridge Ventures</t>
        </is>
      </c>
      <c r="E1031" s="425" t="inlineStr">
        <is>
          <t>Wendy Phillips</t>
        </is>
      </c>
      <c r="F1031" s="425" t="inlineStr"/>
      <c r="G1031" s="111" t="inlineStr">
        <is>
          <t>wendy@ridge.vc</t>
        </is>
      </c>
      <c r="H1031" s="425" t="inlineStr"/>
      <c r="I1031" s="425" t="inlineStr"/>
      <c r="J1031" s="111" t="inlineStr">
        <is>
          <t>https://www.linkedin.com/in/wendy-phillips-6234a96/</t>
        </is>
      </c>
      <c r="K1031" s="426" t="inlineStr">
        <is>
          <t>John Quinn</t>
        </is>
      </c>
      <c r="L1031" s="426" t="inlineStr">
        <is>
          <t>Contacted</t>
        </is>
      </c>
      <c r="M1031" s="425" t="inlineStr">
        <is>
          <t>Space / Defense / Aerospace / Advanced Manufacturing</t>
        </is>
      </c>
      <c r="N1031" s="426" t="inlineStr">
        <is>
          <t>Tier 2</t>
        </is>
      </c>
      <c r="O1031" s="441" t="n">
        <v>45839</v>
      </c>
      <c r="P1031" s="441" t="n">
        <v>45839</v>
      </c>
      <c r="Q1031" s="425">
        <f>IF(P1031="","",TODAY()-P1031)</f>
        <v/>
      </c>
      <c r="R1031" s="441">
        <f>IF(OR(L1031="Passed",Z1031=""),"",P1031+Z1031)</f>
        <v/>
      </c>
      <c r="S1031" s="425">
        <f>IF(OR(R1031="",L1031="Passed"),"",IF(R1031&lt;=TODAY(),"DUE",IF(R1031&lt;=TODAY()+3,"Next 3 Days","Later")))</f>
        <v/>
      </c>
      <c r="T1031" s="425" t="inlineStr"/>
      <c r="U1031" s="426" t="inlineStr">
        <is>
          <t>https://www.linkedin.com/in/wendy-phillips-6234a96/</t>
        </is>
      </c>
      <c r="V1031" s="426" t="inlineStr"/>
      <c r="W1031" s="428" t="inlineStr">
        <is>
          <t xml:space="preserve"> | 12/26/2025 | </t>
        </is>
      </c>
      <c r="X1031" s="425" t="inlineStr">
        <is>
          <t>John - Investor Contacts!312</t>
        </is>
      </c>
      <c r="Y1031" s="426" t="inlineStr">
        <is>
          <t>Send 1st follow-up and ask for 20-minute call</t>
        </is>
      </c>
      <c r="Z1031" s="425" t="n">
        <v>3</v>
      </c>
      <c r="AA1031" s="425">
        <f>IF(AC1031="Archived",0,ROUND((IF(N1031="Tier 1",35,IF(N1031="Tier 2",20,8))+IF(C1031="Financial Investor",15,IF(C1031="Intermediary / Banker",12,8))+IF(L1031="Term Sheet / Proposal",25,IF(L1031="Engaged",20,IF(L1031="Meeting Requested",18,IF(L1031="Meeting Held",14,IF(L1031="Follow Up",10,5)))))+MIN(Q1031,30)+IF(S1031="DUE",15,IF(S1031="Next 3 Days",8,0))),0))</f>
        <v/>
      </c>
      <c r="AB1031" s="425">
        <f>IF(AND(AC1031="Active",OR(N1031="Tier 1",N1031="Tier 2"),OR(S1031="DUE",S1031="Next 3 Days")),"YES","")</f>
        <v/>
      </c>
      <c r="AC1031" s="425">
        <f>IF(L1031="Passed","Archived","Active")</f>
        <v/>
      </c>
    </row>
    <row r="1032">
      <c r="A1032" s="425" t="inlineStr">
        <is>
          <t>EXOS-1031</t>
        </is>
      </c>
      <c r="B1032" s="425" t="inlineStr">
        <is>
          <t>John - Investor Contacts</t>
        </is>
      </c>
      <c r="C1032" s="425" t="inlineStr">
        <is>
          <t>Financial Investor</t>
        </is>
      </c>
      <c r="D1032" s="425" t="inlineStr">
        <is>
          <t>Ridge Ventures</t>
        </is>
      </c>
      <c r="E1032" s="425" t="inlineStr">
        <is>
          <t>Yousuf Khan</t>
        </is>
      </c>
      <c r="F1032" s="425" t="inlineStr"/>
      <c r="G1032" s="111" t="inlineStr">
        <is>
          <t>yousuf@ridge.vc</t>
        </is>
      </c>
      <c r="H1032" s="425" t="inlineStr"/>
      <c r="I1032" s="425" t="inlineStr"/>
      <c r="J1032" s="111" t="inlineStr">
        <is>
          <t>https://www.linkedin.com/in/yousufakhan/</t>
        </is>
      </c>
      <c r="K1032" s="426" t="inlineStr">
        <is>
          <t>John Quinn</t>
        </is>
      </c>
      <c r="L1032" s="426" t="inlineStr">
        <is>
          <t>Contacted</t>
        </is>
      </c>
      <c r="M1032" s="425" t="inlineStr">
        <is>
          <t>Space / Defense / Aerospace / Advanced Manufacturing</t>
        </is>
      </c>
      <c r="N1032" s="426" t="inlineStr">
        <is>
          <t>Tier 2</t>
        </is>
      </c>
      <c r="O1032" s="441" t="n">
        <v>45839</v>
      </c>
      <c r="P1032" s="441" t="n">
        <v>45839</v>
      </c>
      <c r="Q1032" s="425">
        <f>IF(P1032="","",TODAY()-P1032)</f>
        <v/>
      </c>
      <c r="R1032" s="441">
        <f>IF(OR(L1032="Passed",Z1032=""),"",P1032+Z1032)</f>
        <v/>
      </c>
      <c r="S1032" s="425">
        <f>IF(OR(R1032="",L1032="Passed"),"",IF(R1032&lt;=TODAY(),"DUE",IF(R1032&lt;=TODAY()+3,"Next 3 Days","Later")))</f>
        <v/>
      </c>
      <c r="T1032" s="425" t="inlineStr"/>
      <c r="U1032" s="426" t="inlineStr">
        <is>
          <t>https://www.linkedin.com/in/yousufakhan/</t>
        </is>
      </c>
      <c r="V1032" s="426" t="inlineStr"/>
      <c r="W1032" s="428" t="inlineStr">
        <is>
          <t xml:space="preserve"> |  | </t>
        </is>
      </c>
      <c r="X1032" s="425" t="inlineStr">
        <is>
          <t>John - Investor Contacts!311</t>
        </is>
      </c>
      <c r="Y1032" s="426" t="inlineStr">
        <is>
          <t>Send 1st follow-up and ask for 20-minute call</t>
        </is>
      </c>
      <c r="Z1032" s="425" t="n">
        <v>3</v>
      </c>
      <c r="AA1032" s="425">
        <f>IF(AC1032="Archived",0,ROUND((IF(N1032="Tier 1",35,IF(N1032="Tier 2",20,8))+IF(C1032="Financial Investor",15,IF(C1032="Intermediary / Banker",12,8))+IF(L1032="Term Sheet / Proposal",25,IF(L1032="Engaged",20,IF(L1032="Meeting Requested",18,IF(L1032="Meeting Held",14,IF(L1032="Follow Up",10,5)))))+MIN(Q1032,30)+IF(S1032="DUE",15,IF(S1032="Next 3 Days",8,0))),0))</f>
        <v/>
      </c>
      <c r="AB1032" s="425">
        <f>IF(AND(AC1032="Active",OR(N1032="Tier 1",N1032="Tier 2"),OR(S1032="DUE",S1032="Next 3 Days")),"YES","")</f>
        <v/>
      </c>
      <c r="AC1032" s="425">
        <f>IF(L1032="Passed","Archived","Active")</f>
        <v/>
      </c>
    </row>
    <row r="1033">
      <c r="A1033" s="425" t="inlineStr">
        <is>
          <t>EXOS-1032</t>
        </is>
      </c>
      <c r="B1033" s="425" t="inlineStr">
        <is>
          <t>John - Investor Contacts</t>
        </is>
      </c>
      <c r="C1033" s="425" t="inlineStr">
        <is>
          <t>Financial Investor</t>
        </is>
      </c>
      <c r="D1033" s="425" t="inlineStr">
        <is>
          <t>Ridge Ventures</t>
        </is>
      </c>
      <c r="E1033" s="425" t="inlineStr">
        <is>
          <t>the team</t>
        </is>
      </c>
      <c r="F1033" s="425" t="inlineStr"/>
      <c r="G1033" s="111" t="inlineStr">
        <is>
          <t>info@ridge.vc</t>
        </is>
      </c>
      <c r="H1033" s="425" t="inlineStr"/>
      <c r="I1033" s="425" t="inlineStr"/>
      <c r="J1033" s="425" t="inlineStr"/>
      <c r="K1033" s="426" t="inlineStr">
        <is>
          <t>John Quinn</t>
        </is>
      </c>
      <c r="L1033" s="426" t="inlineStr">
        <is>
          <t>Contacted</t>
        </is>
      </c>
      <c r="M1033" s="425" t="inlineStr">
        <is>
          <t>Space / Defense / Aerospace / Advanced Manufacturing</t>
        </is>
      </c>
      <c r="N1033" s="426" t="inlineStr">
        <is>
          <t>Tier 2</t>
        </is>
      </c>
      <c r="O1033" s="441" t="n">
        <v>45839</v>
      </c>
      <c r="P1033" s="441" t="n">
        <v>45839</v>
      </c>
      <c r="Q1033" s="425">
        <f>IF(P1033="","",TODAY()-P1033)</f>
        <v/>
      </c>
      <c r="R1033" s="441">
        <f>IF(OR(L1033="Passed",Z1033=""),"",P1033+Z1033)</f>
        <v/>
      </c>
      <c r="S1033" s="425">
        <f>IF(OR(R1033="",L1033="Passed"),"",IF(R1033&lt;=TODAY(),"DUE",IF(R1033&lt;=TODAY()+3,"Next 3 Days","Later")))</f>
        <v/>
      </c>
      <c r="T1033" s="425" t="inlineStr"/>
      <c r="U1033" s="426" t="inlineStr"/>
      <c r="V1033" s="426" t="inlineStr"/>
      <c r="W1033" s="428" t="inlineStr">
        <is>
          <t xml:space="preserve"> | 12/26/2025 | </t>
        </is>
      </c>
      <c r="X1033" s="425" t="inlineStr">
        <is>
          <t>John - Investor Contacts!310</t>
        </is>
      </c>
      <c r="Y1033" s="426" t="inlineStr">
        <is>
          <t>Send 1st follow-up and ask for 20-minute call</t>
        </is>
      </c>
      <c r="Z1033" s="425" t="n">
        <v>3</v>
      </c>
      <c r="AA1033" s="425">
        <f>IF(AC1033="Archived",0,ROUND((IF(N1033="Tier 1",35,IF(N1033="Tier 2",20,8))+IF(C1033="Financial Investor",15,IF(C1033="Intermediary / Banker",12,8))+IF(L1033="Term Sheet / Proposal",25,IF(L1033="Engaged",20,IF(L1033="Meeting Requested",18,IF(L1033="Meeting Held",14,IF(L1033="Follow Up",10,5)))))+MIN(Q1033,30)+IF(S1033="DUE",15,IF(S1033="Next 3 Days",8,0))),0))</f>
        <v/>
      </c>
      <c r="AB1033" s="425">
        <f>IF(AND(AC1033="Active",OR(N1033="Tier 1",N1033="Tier 2"),OR(S1033="DUE",S1033="Next 3 Days")),"YES","")</f>
        <v/>
      </c>
      <c r="AC1033" s="425">
        <f>IF(L1033="Passed","Archived","Active")</f>
        <v/>
      </c>
    </row>
    <row r="1034">
      <c r="A1034" s="425" t="inlineStr">
        <is>
          <t>EXOS-1033</t>
        </is>
      </c>
      <c r="B1034" s="425" t="inlineStr">
        <is>
          <t>John - Investor Contacts</t>
        </is>
      </c>
      <c r="C1034" s="425" t="inlineStr">
        <is>
          <t>Financial Investor</t>
        </is>
      </c>
      <c r="D1034" s="425" t="inlineStr">
        <is>
          <t>Rockfleet Financial</t>
        </is>
      </c>
      <c r="E1034" s="425" t="inlineStr">
        <is>
          <t>Catherine Corrigan</t>
        </is>
      </c>
      <c r="F1034" s="425" t="inlineStr"/>
      <c r="G1034" s="111" t="inlineStr">
        <is>
          <t>catherine.corrigan@rockfleetfinancial.com</t>
        </is>
      </c>
      <c r="H1034" s="425" t="inlineStr"/>
      <c r="I1034" s="425" t="inlineStr"/>
      <c r="J1034" s="111" t="inlineStr">
        <is>
          <t>https://www.linkedin.com/in/catherine-corrigan-18992b12/</t>
        </is>
      </c>
      <c r="K1034" s="426" t="inlineStr">
        <is>
          <t>John Quinn</t>
        </is>
      </c>
      <c r="L1034" s="426" t="inlineStr">
        <is>
          <t>Contacted</t>
        </is>
      </c>
      <c r="M1034" s="425" t="inlineStr">
        <is>
          <t>Space / Defense / Aerospace / Advanced Manufacturing</t>
        </is>
      </c>
      <c r="N1034" s="426" t="inlineStr">
        <is>
          <t>Tier 2</t>
        </is>
      </c>
      <c r="O1034" s="441" t="n">
        <v>45831</v>
      </c>
      <c r="P1034" s="441" t="n">
        <v>45831</v>
      </c>
      <c r="Q1034" s="425">
        <f>IF(P1034="","",TODAY()-P1034)</f>
        <v/>
      </c>
      <c r="R1034" s="441">
        <f>IF(OR(L1034="Passed",Z1034=""),"",P1034+Z1034)</f>
        <v/>
      </c>
      <c r="S1034" s="425">
        <f>IF(OR(R1034="",L1034="Passed"),"",IF(R1034&lt;=TODAY(),"DUE",IF(R1034&lt;=TODAY()+3,"Next 3 Days","Later")))</f>
        <v/>
      </c>
      <c r="T1034" s="425" t="inlineStr"/>
      <c r="U1034" s="426" t="inlineStr">
        <is>
          <t>https://www.linkedin.com/in/catherine-corrigan-18992b12/</t>
        </is>
      </c>
      <c r="V1034" s="426" t="inlineStr"/>
      <c r="W1034" s="428" t="inlineStr">
        <is>
          <t xml:space="preserve"> |  | </t>
        </is>
      </c>
      <c r="X1034" s="425" t="inlineStr">
        <is>
          <t>John - Investor Contacts!237</t>
        </is>
      </c>
      <c r="Y1034" s="426" t="inlineStr">
        <is>
          <t>Send 1st follow-up and ask for 20-minute call</t>
        </is>
      </c>
      <c r="Z1034" s="425" t="n">
        <v>3</v>
      </c>
      <c r="AA1034" s="425">
        <f>IF(AC1034="Archived",0,ROUND((IF(N1034="Tier 1",35,IF(N1034="Tier 2",20,8))+IF(C1034="Financial Investor",15,IF(C1034="Intermediary / Banker",12,8))+IF(L1034="Term Sheet / Proposal",25,IF(L1034="Engaged",20,IF(L1034="Meeting Requested",18,IF(L1034="Meeting Held",14,IF(L1034="Follow Up",10,5)))))+MIN(Q1034,30)+IF(S1034="DUE",15,IF(S1034="Next 3 Days",8,0))),0))</f>
        <v/>
      </c>
      <c r="AB1034" s="425">
        <f>IF(AND(AC1034="Active",OR(N1034="Tier 1",N1034="Tier 2"),OR(S1034="DUE",S1034="Next 3 Days")),"YES","")</f>
        <v/>
      </c>
      <c r="AC1034" s="425">
        <f>IF(L1034="Passed","Archived","Active")</f>
        <v/>
      </c>
    </row>
    <row r="1035">
      <c r="A1035" s="425" t="inlineStr">
        <is>
          <t>EXOS-1034</t>
        </is>
      </c>
      <c r="B1035" s="425" t="inlineStr">
        <is>
          <t>Tank Contacts</t>
        </is>
      </c>
      <c r="C1035" s="425" t="inlineStr">
        <is>
          <t>Strategic / Corporate</t>
        </is>
      </c>
      <c r="D1035" s="425" t="inlineStr">
        <is>
          <t>SSTL</t>
        </is>
      </c>
      <c r="E1035" s="425" t="inlineStr">
        <is>
          <t>Andrew Cawthorne</t>
        </is>
      </c>
      <c r="F1035" s="425" t="inlineStr"/>
      <c r="G1035" s="111" t="inlineStr">
        <is>
          <t>a.cawthorne@sstl.co.uk</t>
        </is>
      </c>
      <c r="H1035" s="425" t="inlineStr"/>
      <c r="I1035" s="425" t="inlineStr"/>
      <c r="J1035" s="111" t="inlineStr">
        <is>
          <t>https://www.linkedin.com/in/andrew-cawthorne-a4972a107/</t>
        </is>
      </c>
      <c r="K1035" s="426" t="inlineStr">
        <is>
          <t>John Quinn</t>
        </is>
      </c>
      <c r="L1035" s="426" t="inlineStr">
        <is>
          <t>Contacted</t>
        </is>
      </c>
      <c r="M1035" s="425" t="inlineStr">
        <is>
          <t>Strategic space / aerospace alignment</t>
        </is>
      </c>
      <c r="N1035" s="426" t="inlineStr">
        <is>
          <t>Tier 2</t>
        </is>
      </c>
      <c r="O1035" s="441" t="n">
        <v>45951</v>
      </c>
      <c r="P1035" s="441" t="n">
        <v>45951</v>
      </c>
      <c r="Q1035" s="425">
        <f>IF(P1035="","",TODAY()-P1035)</f>
        <v/>
      </c>
      <c r="R1035" s="441">
        <f>IF(OR(L1035="Passed",Z1035=""),"",P1035+Z1035)</f>
        <v/>
      </c>
      <c r="S1035" s="425">
        <f>IF(OR(R1035="",L1035="Passed"),"",IF(R1035&lt;=TODAY(),"DUE",IF(R1035&lt;=TODAY()+3,"Next 3 Days","Later")))</f>
        <v/>
      </c>
      <c r="T1035" s="425" t="inlineStr"/>
      <c r="U1035" s="426" t="inlineStr"/>
      <c r="V1035" s="426" t="inlineStr"/>
      <c r="W1035" s="428" t="inlineStr"/>
      <c r="X1035" s="425" t="inlineStr">
        <is>
          <t>Tank Contacts!26</t>
        </is>
      </c>
      <c r="Y1035" s="426" t="inlineStr">
        <is>
          <t>Send 1st follow-up and ask for 20-minute call</t>
        </is>
      </c>
      <c r="Z1035" s="425" t="n">
        <v>3</v>
      </c>
      <c r="AA1035" s="425">
        <f>IF(AC1035="Archived",0,ROUND((IF(N1035="Tier 1",35,IF(N1035="Tier 2",20,8))+IF(C1035="Financial Investor",15,IF(C1035="Intermediary / Banker",12,8))+IF(L1035="Term Sheet / Proposal",25,IF(L1035="Engaged",20,IF(L1035="Meeting Requested",18,IF(L1035="Meeting Held",14,IF(L1035="Follow Up",10,5)))))+MIN(Q1035,30)+IF(S1035="DUE",15,IF(S1035="Next 3 Days",8,0))),0))</f>
        <v/>
      </c>
      <c r="AB1035" s="425">
        <f>IF(AND(AC1035="Active",OR(N1035="Tier 1",N1035="Tier 2"),OR(S1035="DUE",S1035="Next 3 Days")),"YES","")</f>
        <v/>
      </c>
      <c r="AC1035" s="425">
        <f>IF(L1035="Passed","Archived","Active")</f>
        <v/>
      </c>
    </row>
    <row r="1036">
      <c r="A1036" s="425" t="inlineStr">
        <is>
          <t>EXOS-1035</t>
        </is>
      </c>
      <c r="B1036" s="425" t="inlineStr">
        <is>
          <t>Tank Contacts</t>
        </is>
      </c>
      <c r="C1036" s="425" t="inlineStr">
        <is>
          <t>Strategic / Corporate</t>
        </is>
      </c>
      <c r="D1036" s="425" t="inlineStr">
        <is>
          <t>SSTL</t>
        </is>
      </c>
      <c r="E1036" s="425" t="inlineStr">
        <is>
          <t>Andrew Haslehurst</t>
        </is>
      </c>
      <c r="F1036" s="425" t="inlineStr"/>
      <c r="G1036" s="111" t="inlineStr">
        <is>
          <t>a.haslehurst@sstl.co.uk</t>
        </is>
      </c>
      <c r="H1036" s="425" t="inlineStr"/>
      <c r="I1036" s="425" t="inlineStr"/>
      <c r="J1036" s="111" t="inlineStr">
        <is>
          <t>https://www.linkedin.com/in/andrew-haslehurst-b9963157/</t>
        </is>
      </c>
      <c r="K1036" s="426" t="inlineStr">
        <is>
          <t>John Quinn</t>
        </is>
      </c>
      <c r="L1036" s="426" t="inlineStr">
        <is>
          <t>Contacted</t>
        </is>
      </c>
      <c r="M1036" s="425" t="inlineStr">
        <is>
          <t>Strategic space / aerospace alignment</t>
        </is>
      </c>
      <c r="N1036" s="426" t="inlineStr">
        <is>
          <t>Tier 2</t>
        </is>
      </c>
      <c r="O1036" s="441" t="n">
        <v>45951</v>
      </c>
      <c r="P1036" s="441" t="n">
        <v>45951</v>
      </c>
      <c r="Q1036" s="425">
        <f>IF(P1036="","",TODAY()-P1036)</f>
        <v/>
      </c>
      <c r="R1036" s="441">
        <f>IF(OR(L1036="Passed",Z1036=""),"",P1036+Z1036)</f>
        <v/>
      </c>
      <c r="S1036" s="425">
        <f>IF(OR(R1036="",L1036="Passed"),"",IF(R1036&lt;=TODAY(),"DUE",IF(R1036&lt;=TODAY()+3,"Next 3 Days","Later")))</f>
        <v/>
      </c>
      <c r="T1036" s="425" t="inlineStr"/>
      <c r="U1036" s="426" t="inlineStr"/>
      <c r="V1036" s="426" t="inlineStr"/>
      <c r="W1036" s="428" t="inlineStr"/>
      <c r="X1036" s="425" t="inlineStr">
        <is>
          <t>Tank Contacts!24</t>
        </is>
      </c>
      <c r="Y1036" s="426" t="inlineStr">
        <is>
          <t>Send 1st follow-up and ask for 20-minute call</t>
        </is>
      </c>
      <c r="Z1036" s="425" t="n">
        <v>3</v>
      </c>
      <c r="AA1036" s="425">
        <f>IF(AC1036="Archived",0,ROUND((IF(N1036="Tier 1",35,IF(N1036="Tier 2",20,8))+IF(C1036="Financial Investor",15,IF(C1036="Intermediary / Banker",12,8))+IF(L1036="Term Sheet / Proposal",25,IF(L1036="Engaged",20,IF(L1036="Meeting Requested",18,IF(L1036="Meeting Held",14,IF(L1036="Follow Up",10,5)))))+MIN(Q1036,30)+IF(S1036="DUE",15,IF(S1036="Next 3 Days",8,0))),0))</f>
        <v/>
      </c>
      <c r="AB1036" s="425">
        <f>IF(AND(AC1036="Active",OR(N1036="Tier 1",N1036="Tier 2"),OR(S1036="DUE",S1036="Next 3 Days")),"YES","")</f>
        <v/>
      </c>
      <c r="AC1036" s="425">
        <f>IF(L1036="Passed","Archived","Active")</f>
        <v/>
      </c>
    </row>
    <row r="1037">
      <c r="A1037" s="425" t="inlineStr">
        <is>
          <t>EXOS-1036</t>
        </is>
      </c>
      <c r="B1037" s="425" t="inlineStr">
        <is>
          <t>Tank Contacts</t>
        </is>
      </c>
      <c r="C1037" s="425" t="inlineStr">
        <is>
          <t>Strategic / Corporate</t>
        </is>
      </c>
      <c r="D1037" s="425" t="inlineStr">
        <is>
          <t>SSTL</t>
        </is>
      </c>
      <c r="E1037" s="425" t="inlineStr">
        <is>
          <t>Benjamin Hooper</t>
        </is>
      </c>
      <c r="F1037" s="425" t="inlineStr"/>
      <c r="G1037" s="111" t="inlineStr">
        <is>
          <t>bhooper@sstl.co.uk</t>
        </is>
      </c>
      <c r="H1037" s="425" t="inlineStr"/>
      <c r="I1037" s="425" t="inlineStr"/>
      <c r="J1037" s="111" t="inlineStr">
        <is>
          <t>https://www.linkedin.com/in/benjamin-hooper-aba23439/</t>
        </is>
      </c>
      <c r="K1037" s="426" t="inlineStr">
        <is>
          <t>John Quinn</t>
        </is>
      </c>
      <c r="L1037" s="426" t="inlineStr">
        <is>
          <t>Contacted</t>
        </is>
      </c>
      <c r="M1037" s="425" t="inlineStr">
        <is>
          <t>Strategic space / aerospace alignment</t>
        </is>
      </c>
      <c r="N1037" s="426" t="inlineStr">
        <is>
          <t>Tier 2</t>
        </is>
      </c>
      <c r="O1037" s="441" t="n">
        <v>45951</v>
      </c>
      <c r="P1037" s="441" t="n">
        <v>45951</v>
      </c>
      <c r="Q1037" s="425">
        <f>IF(P1037="","",TODAY()-P1037)</f>
        <v/>
      </c>
      <c r="R1037" s="441">
        <f>IF(OR(L1037="Passed",Z1037=""),"",P1037+Z1037)</f>
        <v/>
      </c>
      <c r="S1037" s="425">
        <f>IF(OR(R1037="",L1037="Passed"),"",IF(R1037&lt;=TODAY(),"DUE",IF(R1037&lt;=TODAY()+3,"Next 3 Days","Later")))</f>
        <v/>
      </c>
      <c r="T1037" s="425" t="inlineStr"/>
      <c r="U1037" s="426" t="inlineStr"/>
      <c r="V1037" s="426" t="inlineStr"/>
      <c r="W1037" s="428" t="inlineStr"/>
      <c r="X1037" s="425" t="inlineStr">
        <is>
          <t>Tank Contacts!30</t>
        </is>
      </c>
      <c r="Y1037" s="426" t="inlineStr">
        <is>
          <t>Send 1st follow-up and ask for 20-minute call</t>
        </is>
      </c>
      <c r="Z1037" s="425" t="n">
        <v>3</v>
      </c>
      <c r="AA1037" s="425">
        <f>IF(AC1037="Archived",0,ROUND((IF(N1037="Tier 1",35,IF(N1037="Tier 2",20,8))+IF(C1037="Financial Investor",15,IF(C1037="Intermediary / Banker",12,8))+IF(L1037="Term Sheet / Proposal",25,IF(L1037="Engaged",20,IF(L1037="Meeting Requested",18,IF(L1037="Meeting Held",14,IF(L1037="Follow Up",10,5)))))+MIN(Q1037,30)+IF(S1037="DUE",15,IF(S1037="Next 3 Days",8,0))),0))</f>
        <v/>
      </c>
      <c r="AB1037" s="425">
        <f>IF(AND(AC1037="Active",OR(N1037="Tier 1",N1037="Tier 2"),OR(S1037="DUE",S1037="Next 3 Days")),"YES","")</f>
        <v/>
      </c>
      <c r="AC1037" s="425">
        <f>IF(L1037="Passed","Archived","Active")</f>
        <v/>
      </c>
    </row>
    <row r="1038">
      <c r="A1038" s="425" t="inlineStr">
        <is>
          <t>EXOS-1037</t>
        </is>
      </c>
      <c r="B1038" s="425" t="inlineStr">
        <is>
          <t>Tank Contacts</t>
        </is>
      </c>
      <c r="C1038" s="425" t="inlineStr">
        <is>
          <t>Strategic / Corporate</t>
        </is>
      </c>
      <c r="D1038" s="425" t="inlineStr">
        <is>
          <t>SSTL</t>
        </is>
      </c>
      <c r="E1038" s="425" t="inlineStr">
        <is>
          <t>Duncan Kerins</t>
        </is>
      </c>
      <c r="F1038" s="425" t="inlineStr"/>
      <c r="G1038" s="111" t="inlineStr">
        <is>
          <t>d.kerins@sstl.co.uk</t>
        </is>
      </c>
      <c r="H1038" s="425" t="inlineStr"/>
      <c r="I1038" s="425" t="inlineStr"/>
      <c r="J1038" s="111" t="inlineStr">
        <is>
          <t>https://www.linkedin.com/in/duncan-kerins-0a34a22a/</t>
        </is>
      </c>
      <c r="K1038" s="426" t="inlineStr">
        <is>
          <t>John Quinn</t>
        </is>
      </c>
      <c r="L1038" s="426" t="inlineStr">
        <is>
          <t>Contacted</t>
        </is>
      </c>
      <c r="M1038" s="425" t="inlineStr">
        <is>
          <t>Strategic space / aerospace alignment</t>
        </is>
      </c>
      <c r="N1038" s="426" t="inlineStr">
        <is>
          <t>Tier 2</t>
        </is>
      </c>
      <c r="O1038" s="441" t="n">
        <v>45951</v>
      </c>
      <c r="P1038" s="441" t="n">
        <v>45951</v>
      </c>
      <c r="Q1038" s="425">
        <f>IF(P1038="","",TODAY()-P1038)</f>
        <v/>
      </c>
      <c r="R1038" s="441">
        <f>IF(OR(L1038="Passed",Z1038=""),"",P1038+Z1038)</f>
        <v/>
      </c>
      <c r="S1038" s="425">
        <f>IF(OR(R1038="",L1038="Passed"),"",IF(R1038&lt;=TODAY(),"DUE",IF(R1038&lt;=TODAY()+3,"Next 3 Days","Later")))</f>
        <v/>
      </c>
      <c r="T1038" s="425" t="inlineStr"/>
      <c r="U1038" s="426" t="inlineStr"/>
      <c r="V1038" s="426" t="inlineStr"/>
      <c r="W1038" s="428" t="inlineStr"/>
      <c r="X1038" s="425" t="inlineStr">
        <is>
          <t>Tank Contacts!29</t>
        </is>
      </c>
      <c r="Y1038" s="426" t="inlineStr">
        <is>
          <t>Send 1st follow-up and ask for 20-minute call</t>
        </is>
      </c>
      <c r="Z1038" s="425" t="n">
        <v>3</v>
      </c>
      <c r="AA1038" s="425">
        <f>IF(AC1038="Archived",0,ROUND((IF(N1038="Tier 1",35,IF(N1038="Tier 2",20,8))+IF(C1038="Financial Investor",15,IF(C1038="Intermediary / Banker",12,8))+IF(L1038="Term Sheet / Proposal",25,IF(L1038="Engaged",20,IF(L1038="Meeting Requested",18,IF(L1038="Meeting Held",14,IF(L1038="Follow Up",10,5)))))+MIN(Q1038,30)+IF(S1038="DUE",15,IF(S1038="Next 3 Days",8,0))),0))</f>
        <v/>
      </c>
      <c r="AB1038" s="425">
        <f>IF(AND(AC1038="Active",OR(N1038="Tier 1",N1038="Tier 2"),OR(S1038="DUE",S1038="Next 3 Days")),"YES","")</f>
        <v/>
      </c>
      <c r="AC1038" s="425">
        <f>IF(L1038="Passed","Archived","Active")</f>
        <v/>
      </c>
    </row>
    <row r="1039">
      <c r="A1039" s="425" t="inlineStr">
        <is>
          <t>EXOS-1038</t>
        </is>
      </c>
      <c r="B1039" s="425" t="inlineStr">
        <is>
          <t>Tank Contacts</t>
        </is>
      </c>
      <c r="C1039" s="425" t="inlineStr">
        <is>
          <t>Strategic / Corporate</t>
        </is>
      </c>
      <c r="D1039" s="425" t="inlineStr">
        <is>
          <t>SSTL</t>
        </is>
      </c>
      <c r="E1039" s="425" t="inlineStr">
        <is>
          <t>Kuo Wong</t>
        </is>
      </c>
      <c r="F1039" s="425" t="inlineStr"/>
      <c r="G1039" s="111" t="inlineStr">
        <is>
          <t>k.wong@sstl.co.uk</t>
        </is>
      </c>
      <c r="H1039" s="425" t="inlineStr"/>
      <c r="I1039" s="425" t="inlineStr"/>
      <c r="J1039" s="111" t="inlineStr">
        <is>
          <t>https://www.linkedin.com/in/kuo-wong-4aa98126/</t>
        </is>
      </c>
      <c r="K1039" s="426" t="inlineStr">
        <is>
          <t>John Quinn</t>
        </is>
      </c>
      <c r="L1039" s="426" t="inlineStr">
        <is>
          <t>Contacted</t>
        </is>
      </c>
      <c r="M1039" s="425" t="inlineStr">
        <is>
          <t>Strategic space / aerospace alignment</t>
        </is>
      </c>
      <c r="N1039" s="426" t="inlineStr">
        <is>
          <t>Tier 2</t>
        </is>
      </c>
      <c r="O1039" s="441" t="n">
        <v>45951</v>
      </c>
      <c r="P1039" s="441" t="n">
        <v>45951</v>
      </c>
      <c r="Q1039" s="425">
        <f>IF(P1039="","",TODAY()-P1039)</f>
        <v/>
      </c>
      <c r="R1039" s="441">
        <f>IF(OR(L1039="Passed",Z1039=""),"",P1039+Z1039)</f>
        <v/>
      </c>
      <c r="S1039" s="425">
        <f>IF(OR(R1039="",L1039="Passed"),"",IF(R1039&lt;=TODAY(),"DUE",IF(R1039&lt;=TODAY()+3,"Next 3 Days","Later")))</f>
        <v/>
      </c>
      <c r="T1039" s="425" t="inlineStr"/>
      <c r="U1039" s="426" t="inlineStr"/>
      <c r="V1039" s="426" t="inlineStr"/>
      <c r="W1039" s="428" t="inlineStr"/>
      <c r="X1039" s="425" t="inlineStr">
        <is>
          <t>Tank Contacts!25</t>
        </is>
      </c>
      <c r="Y1039" s="426" t="inlineStr">
        <is>
          <t>Send 1st follow-up and ask for 20-minute call</t>
        </is>
      </c>
      <c r="Z1039" s="425" t="n">
        <v>3</v>
      </c>
      <c r="AA1039" s="425">
        <f>IF(AC1039="Archived",0,ROUND((IF(N1039="Tier 1",35,IF(N1039="Tier 2",20,8))+IF(C1039="Financial Investor",15,IF(C1039="Intermediary / Banker",12,8))+IF(L1039="Term Sheet / Proposal",25,IF(L1039="Engaged",20,IF(L1039="Meeting Requested",18,IF(L1039="Meeting Held",14,IF(L1039="Follow Up",10,5)))))+MIN(Q1039,30)+IF(S1039="DUE",15,IF(S1039="Next 3 Days",8,0))),0))</f>
        <v/>
      </c>
      <c r="AB1039" s="425">
        <f>IF(AND(AC1039="Active",OR(N1039="Tier 1",N1039="Tier 2"),OR(S1039="DUE",S1039="Next 3 Days")),"YES","")</f>
        <v/>
      </c>
      <c r="AC1039" s="425">
        <f>IF(L1039="Passed","Archived","Active")</f>
        <v/>
      </c>
    </row>
    <row r="1040">
      <c r="A1040" s="425" t="inlineStr">
        <is>
          <t>EXOS-1039</t>
        </is>
      </c>
      <c r="B1040" s="425" t="inlineStr">
        <is>
          <t>Tank Contacts</t>
        </is>
      </c>
      <c r="C1040" s="425" t="inlineStr">
        <is>
          <t>Strategic / Corporate</t>
        </is>
      </c>
      <c r="D1040" s="425" t="inlineStr">
        <is>
          <t>SSTL</t>
        </is>
      </c>
      <c r="E1040" s="425" t="inlineStr">
        <is>
          <t>Mark Ferris</t>
        </is>
      </c>
      <c r="F1040" s="425" t="inlineStr"/>
      <c r="G1040" s="111" t="inlineStr">
        <is>
          <t>mferris@sstl.co.uk</t>
        </is>
      </c>
      <c r="H1040" s="425" t="inlineStr"/>
      <c r="I1040" s="425" t="inlineStr"/>
      <c r="J1040" s="425" t="inlineStr"/>
      <c r="K1040" s="426" t="inlineStr">
        <is>
          <t>John Quinn</t>
        </is>
      </c>
      <c r="L1040" s="426" t="inlineStr">
        <is>
          <t>Contacted</t>
        </is>
      </c>
      <c r="M1040" s="425" t="inlineStr">
        <is>
          <t>Strategic space / aerospace alignment</t>
        </is>
      </c>
      <c r="N1040" s="426" t="inlineStr">
        <is>
          <t>Tier 2</t>
        </is>
      </c>
      <c r="O1040" s="441" t="n">
        <v>45951</v>
      </c>
      <c r="P1040" s="441" t="n">
        <v>45951</v>
      </c>
      <c r="Q1040" s="425">
        <f>IF(P1040="","",TODAY()-P1040)</f>
        <v/>
      </c>
      <c r="R1040" s="441">
        <f>IF(OR(L1040="Passed",Z1040=""),"",P1040+Z1040)</f>
        <v/>
      </c>
      <c r="S1040" s="425">
        <f>IF(OR(R1040="",L1040="Passed"),"",IF(R1040&lt;=TODAY(),"DUE",IF(R1040&lt;=TODAY()+3,"Next 3 Days","Later")))</f>
        <v/>
      </c>
      <c r="T1040" s="425" t="inlineStr"/>
      <c r="U1040" s="426" t="inlineStr"/>
      <c r="V1040" s="426" t="inlineStr"/>
      <c r="W1040" s="428" t="inlineStr"/>
      <c r="X1040" s="425" t="inlineStr">
        <is>
          <t>Tank Contacts!28</t>
        </is>
      </c>
      <c r="Y1040" s="426" t="inlineStr">
        <is>
          <t>Send 1st follow-up and ask for 20-minute call</t>
        </is>
      </c>
      <c r="Z1040" s="425" t="n">
        <v>3</v>
      </c>
      <c r="AA1040" s="425">
        <f>IF(AC1040="Archived",0,ROUND((IF(N1040="Tier 1",35,IF(N1040="Tier 2",20,8))+IF(C1040="Financial Investor",15,IF(C1040="Intermediary / Banker",12,8))+IF(L1040="Term Sheet / Proposal",25,IF(L1040="Engaged",20,IF(L1040="Meeting Requested",18,IF(L1040="Meeting Held",14,IF(L1040="Follow Up",10,5)))))+MIN(Q1040,30)+IF(S1040="DUE",15,IF(S1040="Next 3 Days",8,0))),0))</f>
        <v/>
      </c>
      <c r="AB1040" s="425">
        <f>IF(AND(AC1040="Active",OR(N1040="Tier 1",N1040="Tier 2"),OR(S1040="DUE",S1040="Next 3 Days")),"YES","")</f>
        <v/>
      </c>
      <c r="AC1040" s="425">
        <f>IF(L1040="Passed","Archived","Active")</f>
        <v/>
      </c>
    </row>
    <row r="1041">
      <c r="A1041" s="425" t="inlineStr">
        <is>
          <t>EXOS-1040</t>
        </is>
      </c>
      <c r="B1041" s="425" t="inlineStr">
        <is>
          <t>Tank Contacts</t>
        </is>
      </c>
      <c r="C1041" s="425" t="inlineStr">
        <is>
          <t>Strategic / Corporate</t>
        </is>
      </c>
      <c r="D1041" s="425" t="inlineStr">
        <is>
          <t>SSTL</t>
        </is>
      </c>
      <c r="E1041" s="425" t="inlineStr">
        <is>
          <t>Richard Hebden</t>
        </is>
      </c>
      <c r="F1041" s="425" t="inlineStr"/>
      <c r="G1041" s="111" t="inlineStr">
        <is>
          <t>r.hebden@sstl.co.uk</t>
        </is>
      </c>
      <c r="H1041" s="425" t="inlineStr"/>
      <c r="I1041" s="425" t="inlineStr"/>
      <c r="J1041" s="111" t="inlineStr">
        <is>
          <t>https://www.linkedin.com/in/richard-hebden-9b911045/</t>
        </is>
      </c>
      <c r="K1041" s="426" t="inlineStr">
        <is>
          <t>John Quinn</t>
        </is>
      </c>
      <c r="L1041" s="426" t="inlineStr">
        <is>
          <t>Contacted</t>
        </is>
      </c>
      <c r="M1041" s="425" t="inlineStr">
        <is>
          <t>Strategic space / aerospace alignment</t>
        </is>
      </c>
      <c r="N1041" s="426" t="inlineStr">
        <is>
          <t>Tier 2</t>
        </is>
      </c>
      <c r="O1041" s="441" t="n">
        <v>45951</v>
      </c>
      <c r="P1041" s="441" t="n">
        <v>45951</v>
      </c>
      <c r="Q1041" s="425">
        <f>IF(P1041="","",TODAY()-P1041)</f>
        <v/>
      </c>
      <c r="R1041" s="441">
        <f>IF(OR(L1041="Passed",Z1041=""),"",P1041+Z1041)</f>
        <v/>
      </c>
      <c r="S1041" s="425">
        <f>IF(OR(R1041="",L1041="Passed"),"",IF(R1041&lt;=TODAY(),"DUE",IF(R1041&lt;=TODAY()+3,"Next 3 Days","Later")))</f>
        <v/>
      </c>
      <c r="T1041" s="425" t="inlineStr"/>
      <c r="U1041" s="426" t="inlineStr"/>
      <c r="V1041" s="426" t="inlineStr"/>
      <c r="W1041" s="428" t="inlineStr"/>
      <c r="X1041" s="425" t="inlineStr">
        <is>
          <t>Tank Contacts!23</t>
        </is>
      </c>
      <c r="Y1041" s="426" t="inlineStr">
        <is>
          <t>Send 1st follow-up and ask for 20-minute call</t>
        </is>
      </c>
      <c r="Z1041" s="425" t="n">
        <v>3</v>
      </c>
      <c r="AA1041" s="425">
        <f>IF(AC1041="Archived",0,ROUND((IF(N1041="Tier 1",35,IF(N1041="Tier 2",20,8))+IF(C1041="Financial Investor",15,IF(C1041="Intermediary / Banker",12,8))+IF(L1041="Term Sheet / Proposal",25,IF(L1041="Engaged",20,IF(L1041="Meeting Requested",18,IF(L1041="Meeting Held",14,IF(L1041="Follow Up",10,5)))))+MIN(Q1041,30)+IF(S1041="DUE",15,IF(S1041="Next 3 Days",8,0))),0))</f>
        <v/>
      </c>
      <c r="AB1041" s="425">
        <f>IF(AND(AC1041="Active",OR(N1041="Tier 1",N1041="Tier 2"),OR(S1041="DUE",S1041="Next 3 Days")),"YES","")</f>
        <v/>
      </c>
      <c r="AC1041" s="425">
        <f>IF(L1041="Passed","Archived","Active")</f>
        <v/>
      </c>
    </row>
    <row r="1042">
      <c r="A1042" s="425" t="inlineStr">
        <is>
          <t>EXOS-1041</t>
        </is>
      </c>
      <c r="B1042" s="425" t="inlineStr">
        <is>
          <t>Tank Contacts</t>
        </is>
      </c>
      <c r="C1042" s="425" t="inlineStr">
        <is>
          <t>Strategic / Corporate</t>
        </is>
      </c>
      <c r="D1042" s="425" t="inlineStr">
        <is>
          <t>SSTL</t>
        </is>
      </c>
      <c r="E1042" s="425" t="inlineStr">
        <is>
          <t>Robert Elliott</t>
        </is>
      </c>
      <c r="F1042" s="425" t="inlineStr"/>
      <c r="G1042" s="111" t="inlineStr">
        <is>
          <t>relliott@sstl.co.uk</t>
        </is>
      </c>
      <c r="H1042" s="425" t="inlineStr"/>
      <c r="I1042" s="425" t="inlineStr"/>
      <c r="J1042" s="111" t="inlineStr">
        <is>
          <t>https://www.linkedin.com/in/robertelliottinspace/</t>
        </is>
      </c>
      <c r="K1042" s="426" t="inlineStr">
        <is>
          <t>John Quinn</t>
        </is>
      </c>
      <c r="L1042" s="426" t="inlineStr">
        <is>
          <t>Contacted</t>
        </is>
      </c>
      <c r="M1042" s="425" t="inlineStr">
        <is>
          <t>Strategic space / aerospace alignment</t>
        </is>
      </c>
      <c r="N1042" s="426" t="inlineStr">
        <is>
          <t>Tier 2</t>
        </is>
      </c>
      <c r="O1042" s="441" t="n">
        <v>45951</v>
      </c>
      <c r="P1042" s="441" t="n">
        <v>45951</v>
      </c>
      <c r="Q1042" s="425">
        <f>IF(P1042="","",TODAY()-P1042)</f>
        <v/>
      </c>
      <c r="R1042" s="441">
        <f>IF(OR(L1042="Passed",Z1042=""),"",P1042+Z1042)</f>
        <v/>
      </c>
      <c r="S1042" s="425">
        <f>IF(OR(R1042="",L1042="Passed"),"",IF(R1042&lt;=TODAY(),"DUE",IF(R1042&lt;=TODAY()+3,"Next 3 Days","Later")))</f>
        <v/>
      </c>
      <c r="T1042" s="425" t="inlineStr"/>
      <c r="U1042" s="426" t="inlineStr"/>
      <c r="V1042" s="426" t="inlineStr"/>
      <c r="W1042" s="428" t="inlineStr"/>
      <c r="X1042" s="425" t="inlineStr">
        <is>
          <t>Tank Contacts!27</t>
        </is>
      </c>
      <c r="Y1042" s="426" t="inlineStr">
        <is>
          <t>Send 1st follow-up and ask for 20-minute call</t>
        </is>
      </c>
      <c r="Z1042" s="425" t="n">
        <v>3</v>
      </c>
      <c r="AA1042" s="425">
        <f>IF(AC1042="Archived",0,ROUND((IF(N1042="Tier 1",35,IF(N1042="Tier 2",20,8))+IF(C1042="Financial Investor",15,IF(C1042="Intermediary / Banker",12,8))+IF(L1042="Term Sheet / Proposal",25,IF(L1042="Engaged",20,IF(L1042="Meeting Requested",18,IF(L1042="Meeting Held",14,IF(L1042="Follow Up",10,5)))))+MIN(Q1042,30)+IF(S1042="DUE",15,IF(S1042="Next 3 Days",8,0))),0))</f>
        <v/>
      </c>
      <c r="AB1042" s="425">
        <f>IF(AND(AC1042="Active",OR(N1042="Tier 1",N1042="Tier 2"),OR(S1042="DUE",S1042="Next 3 Days")),"YES","")</f>
        <v/>
      </c>
      <c r="AC1042" s="425">
        <f>IF(L1042="Passed","Archived","Active")</f>
        <v/>
      </c>
    </row>
    <row r="1043">
      <c r="A1043" s="425" t="inlineStr">
        <is>
          <t>EXOS-1042</t>
        </is>
      </c>
      <c r="B1043" s="425" t="inlineStr">
        <is>
          <t>John - Investor Contacts</t>
        </is>
      </c>
      <c r="C1043" s="425" t="inlineStr">
        <is>
          <t>Financial Investor</t>
        </is>
      </c>
      <c r="D1043" s="425" t="inlineStr">
        <is>
          <t>Samsung Catalyst Fund</t>
        </is>
      </c>
      <c r="E1043" s="425" t="inlineStr">
        <is>
          <t>Ray Schuder</t>
        </is>
      </c>
      <c r="F1043" s="425" t="inlineStr"/>
      <c r="G1043" s="111" t="inlineStr">
        <is>
          <t>ray.schuder@harman.com</t>
        </is>
      </c>
      <c r="H1043" s="425" t="inlineStr"/>
      <c r="I1043" s="425" t="inlineStr"/>
      <c r="J1043" s="425" t="inlineStr"/>
      <c r="K1043" s="426" t="inlineStr">
        <is>
          <t>John Quinn</t>
        </is>
      </c>
      <c r="L1043" s="426" t="inlineStr">
        <is>
          <t>Contacted</t>
        </is>
      </c>
      <c r="M1043" s="425" t="inlineStr">
        <is>
          <t>Space / Defense / Aerospace / Advanced Manufacturing</t>
        </is>
      </c>
      <c r="N1043" s="426" t="inlineStr">
        <is>
          <t>Tier 2</t>
        </is>
      </c>
      <c r="O1043" s="441" t="n">
        <v>45994</v>
      </c>
      <c r="P1043" s="441" t="n">
        <v>45994</v>
      </c>
      <c r="Q1043" s="425">
        <f>IF(P1043="","",TODAY()-P1043)</f>
        <v/>
      </c>
      <c r="R1043" s="441">
        <f>IF(OR(L1043="Passed",Z1043=""),"",P1043+Z1043)</f>
        <v/>
      </c>
      <c r="S1043" s="425">
        <f>IF(OR(R1043="",L1043="Passed"),"",IF(R1043&lt;=TODAY(),"DUE",IF(R1043&lt;=TODAY()+3,"Next 3 Days","Later")))</f>
        <v/>
      </c>
      <c r="T1043" s="425" t="inlineStr"/>
      <c r="U1043" s="426" t="inlineStr">
        <is>
          <t>linkedin.com/in/ray-schuder</t>
        </is>
      </c>
      <c r="V1043" s="426" t="inlineStr"/>
      <c r="W1043" s="428" t="inlineStr">
        <is>
          <t xml:space="preserve"> |  | </t>
        </is>
      </c>
      <c r="X1043" s="425" t="inlineStr">
        <is>
          <t>John - Investor Contacts!703</t>
        </is>
      </c>
      <c r="Y1043" s="426" t="inlineStr">
        <is>
          <t>Send 1st follow-up and ask for 20-minute call</t>
        </is>
      </c>
      <c r="Z1043" s="425" t="n">
        <v>3</v>
      </c>
      <c r="AA1043" s="425">
        <f>IF(AC1043="Archived",0,ROUND((IF(N1043="Tier 1",35,IF(N1043="Tier 2",20,8))+IF(C1043="Financial Investor",15,IF(C1043="Intermediary / Banker",12,8))+IF(L1043="Term Sheet / Proposal",25,IF(L1043="Engaged",20,IF(L1043="Meeting Requested",18,IF(L1043="Meeting Held",14,IF(L1043="Follow Up",10,5)))))+MIN(Q1043,30)+IF(S1043="DUE",15,IF(S1043="Next 3 Days",8,0))),0))</f>
        <v/>
      </c>
      <c r="AB1043" s="425">
        <f>IF(AND(AC1043="Active",OR(N1043="Tier 1",N1043="Tier 2"),OR(S1043="DUE",S1043="Next 3 Days")),"YES","")</f>
        <v/>
      </c>
      <c r="AC1043" s="425">
        <f>IF(L1043="Passed","Archived","Active")</f>
        <v/>
      </c>
    </row>
    <row r="1044">
      <c r="A1044" s="425" t="inlineStr">
        <is>
          <t>EXOS-1043</t>
        </is>
      </c>
      <c r="B1044" s="425" t="inlineStr">
        <is>
          <t>John - Investor Contacts</t>
        </is>
      </c>
      <c r="C1044" s="425" t="inlineStr">
        <is>
          <t>Financial Investor</t>
        </is>
      </c>
      <c r="D1044" s="425" t="inlineStr">
        <is>
          <t>Sanders Morris</t>
        </is>
      </c>
      <c r="E1044" s="425" t="inlineStr">
        <is>
          <t>Steve Mangold</t>
        </is>
      </c>
      <c r="F1044" s="425" t="inlineStr"/>
      <c r="G1044" s="111" t="inlineStr">
        <is>
          <t>steve.mangold@smhgroup.com</t>
        </is>
      </c>
      <c r="H1044" s="425" t="inlineStr"/>
      <c r="I1044" s="425" t="inlineStr"/>
      <c r="J1044" s="425" t="inlineStr"/>
      <c r="K1044" s="426" t="inlineStr">
        <is>
          <t>John Quinn</t>
        </is>
      </c>
      <c r="L1044" s="426" t="inlineStr">
        <is>
          <t>Contacted</t>
        </is>
      </c>
      <c r="M1044" s="425" t="inlineStr">
        <is>
          <t>Space / Defense / Aerospace / Advanced Manufacturing</t>
        </is>
      </c>
      <c r="N1044" s="426" t="inlineStr">
        <is>
          <t>Tier 2</t>
        </is>
      </c>
      <c r="O1044" s="441" t="n">
        <v>45989</v>
      </c>
      <c r="P1044" s="441" t="n">
        <v>45989</v>
      </c>
      <c r="Q1044" s="425">
        <f>IF(P1044="","",TODAY()-P1044)</f>
        <v/>
      </c>
      <c r="R1044" s="441">
        <f>IF(OR(L1044="Passed",Z1044=""),"",P1044+Z1044)</f>
        <v/>
      </c>
      <c r="S1044" s="425">
        <f>IF(OR(R1044="",L1044="Passed"),"",IF(R1044&lt;=TODAY(),"DUE",IF(R1044&lt;=TODAY()+3,"Next 3 Days","Later")))</f>
        <v/>
      </c>
      <c r="T1044" s="425" t="inlineStr"/>
      <c r="U1044" s="426" t="inlineStr">
        <is>
          <t>CEO</t>
        </is>
      </c>
      <c r="V1044" s="426" t="inlineStr"/>
      <c r="W1044" s="428" t="inlineStr">
        <is>
          <t xml:space="preserve"> |  | </t>
        </is>
      </c>
      <c r="X1044" s="425" t="inlineStr">
        <is>
          <t>John - Investor Contacts!888</t>
        </is>
      </c>
      <c r="Y1044" s="426" t="inlineStr">
        <is>
          <t>Send 1st follow-up and ask for 20-minute call</t>
        </is>
      </c>
      <c r="Z1044" s="425" t="n">
        <v>3</v>
      </c>
      <c r="AA1044" s="425">
        <f>IF(AC1044="Archived",0,ROUND((IF(N1044="Tier 1",35,IF(N1044="Tier 2",20,8))+IF(C1044="Financial Investor",15,IF(C1044="Intermediary / Banker",12,8))+IF(L1044="Term Sheet / Proposal",25,IF(L1044="Engaged",20,IF(L1044="Meeting Requested",18,IF(L1044="Meeting Held",14,IF(L1044="Follow Up",10,5)))))+MIN(Q1044,30)+IF(S1044="DUE",15,IF(S1044="Next 3 Days",8,0))),0))</f>
        <v/>
      </c>
      <c r="AB1044" s="425">
        <f>IF(AND(AC1044="Active",OR(N1044="Tier 1",N1044="Tier 2"),OR(S1044="DUE",S1044="Next 3 Days")),"YES","")</f>
        <v/>
      </c>
      <c r="AC1044" s="425">
        <f>IF(L1044="Passed","Archived","Active")</f>
        <v/>
      </c>
    </row>
    <row r="1045">
      <c r="A1045" s="425" t="inlineStr">
        <is>
          <t>EXOS-1044</t>
        </is>
      </c>
      <c r="B1045" s="425" t="inlineStr">
        <is>
          <t>John - Investor Contacts</t>
        </is>
      </c>
      <c r="C1045" s="425" t="inlineStr">
        <is>
          <t>Financial Investor</t>
        </is>
      </c>
      <c r="D1045" s="425" t="inlineStr">
        <is>
          <t>Scientia Ventures</t>
        </is>
      </c>
      <c r="E1045" s="425" t="inlineStr">
        <is>
          <t>Richard Warburg</t>
        </is>
      </c>
      <c r="F1045" s="425" t="inlineStr"/>
      <c r="G1045" s="111" t="inlineStr">
        <is>
          <t>r.warburg@scientiavc.com</t>
        </is>
      </c>
      <c r="H1045" s="425" t="inlineStr"/>
      <c r="I1045" s="425" t="inlineStr"/>
      <c r="J1045" s="425" t="inlineStr"/>
      <c r="K1045" s="426" t="inlineStr">
        <is>
          <t>John Quinn</t>
        </is>
      </c>
      <c r="L1045" s="426" t="inlineStr">
        <is>
          <t>Contacted</t>
        </is>
      </c>
      <c r="M1045" s="425" t="inlineStr">
        <is>
          <t>Space / Defense / Aerospace / Advanced Manufacturing</t>
        </is>
      </c>
      <c r="N1045" s="426" t="inlineStr">
        <is>
          <t>Tier 2</t>
        </is>
      </c>
      <c r="O1045" s="441" t="n">
        <v>45896</v>
      </c>
      <c r="P1045" s="441" t="n">
        <v>45896</v>
      </c>
      <c r="Q1045" s="425">
        <f>IF(P1045="","",TODAY()-P1045)</f>
        <v/>
      </c>
      <c r="R1045" s="441">
        <f>IF(OR(L1045="Passed",Z1045=""),"",P1045+Z1045)</f>
        <v/>
      </c>
      <c r="S1045" s="425">
        <f>IF(OR(R1045="",L1045="Passed"),"",IF(R1045&lt;=TODAY(),"DUE",IF(R1045&lt;=TODAY()+3,"Next 3 Days","Later")))</f>
        <v/>
      </c>
      <c r="T1045" s="425" t="inlineStr"/>
      <c r="U1045" s="426" t="inlineStr"/>
      <c r="V1045" s="426" t="inlineStr"/>
      <c r="W1045" s="428" t="inlineStr">
        <is>
          <t xml:space="preserve"> |  | </t>
        </is>
      </c>
      <c r="X1045" s="425" t="inlineStr">
        <is>
          <t>John - Investor Contacts!554</t>
        </is>
      </c>
      <c r="Y1045" s="426" t="inlineStr">
        <is>
          <t>Send 1st follow-up and ask for 20-minute call</t>
        </is>
      </c>
      <c r="Z1045" s="425" t="n">
        <v>3</v>
      </c>
      <c r="AA1045" s="425">
        <f>IF(AC1045="Archived",0,ROUND((IF(N1045="Tier 1",35,IF(N1045="Tier 2",20,8))+IF(C1045="Financial Investor",15,IF(C1045="Intermediary / Banker",12,8))+IF(L1045="Term Sheet / Proposal",25,IF(L1045="Engaged",20,IF(L1045="Meeting Requested",18,IF(L1045="Meeting Held",14,IF(L1045="Follow Up",10,5)))))+MIN(Q1045,30)+IF(S1045="DUE",15,IF(S1045="Next 3 Days",8,0))),0))</f>
        <v/>
      </c>
      <c r="AB1045" s="425">
        <f>IF(AND(AC1045="Active",OR(N1045="Tier 1",N1045="Tier 2"),OR(S1045="DUE",S1045="Next 3 Days")),"YES","")</f>
        <v/>
      </c>
      <c r="AC1045" s="425">
        <f>IF(L1045="Passed","Archived","Active")</f>
        <v/>
      </c>
    </row>
    <row r="1046">
      <c r="A1046" s="425" t="inlineStr">
        <is>
          <t>EXOS-1045</t>
        </is>
      </c>
      <c r="B1046" s="425" t="inlineStr">
        <is>
          <t>John - Investor Contacts</t>
        </is>
      </c>
      <c r="C1046" s="425" t="inlineStr">
        <is>
          <t>Financial Investor</t>
        </is>
      </c>
      <c r="D1046" s="425" t="inlineStr">
        <is>
          <t>Sequoia Capital</t>
        </is>
      </c>
      <c r="E1046" s="425" t="inlineStr">
        <is>
          <t>Douglas Leone</t>
        </is>
      </c>
      <c r="F1046" s="425" t="inlineStr"/>
      <c r="G1046" s="111" t="inlineStr">
        <is>
          <t>leone@sequoiacap.com</t>
        </is>
      </c>
      <c r="H1046" s="425" t="inlineStr"/>
      <c r="I1046" s="425" t="inlineStr"/>
      <c r="J1046" s="111" t="inlineStr">
        <is>
          <t>https://www.linkedin.com/in/douglas-leone-a2714/</t>
        </is>
      </c>
      <c r="K1046" s="426" t="inlineStr">
        <is>
          <t>John Quinn</t>
        </is>
      </c>
      <c r="L1046" s="426" t="inlineStr">
        <is>
          <t>Contacted</t>
        </is>
      </c>
      <c r="M1046" s="425" t="inlineStr">
        <is>
          <t>Space / Defense / Aerospace / Advanced Manufacturing</t>
        </is>
      </c>
      <c r="N1046" s="426" t="inlineStr">
        <is>
          <t>Tier 2</t>
        </is>
      </c>
      <c r="O1046" s="441" t="n">
        <v>45790</v>
      </c>
      <c r="P1046" s="441" t="n">
        <v>45790</v>
      </c>
      <c r="Q1046" s="425">
        <f>IF(P1046="","",TODAY()-P1046)</f>
        <v/>
      </c>
      <c r="R1046" s="441">
        <f>IF(OR(L1046="Passed",Z1046=""),"",P1046+Z1046)</f>
        <v/>
      </c>
      <c r="S1046" s="425">
        <f>IF(OR(R1046="",L1046="Passed"),"",IF(R1046&lt;=TODAY(),"DUE",IF(R1046&lt;=TODAY()+3,"Next 3 Days","Later")))</f>
        <v/>
      </c>
      <c r="T1046" s="425" t="inlineStr"/>
      <c r="U1046" s="426" t="inlineStr">
        <is>
          <t>https://www.linkedin.com/in/douglas-leone-a2714/</t>
        </is>
      </c>
      <c r="V1046" s="426" t="inlineStr"/>
      <c r="W1046" s="428" t="inlineStr">
        <is>
          <t xml:space="preserve"> |  | </t>
        </is>
      </c>
      <c r="X1046" s="425" t="inlineStr">
        <is>
          <t>John - Investor Contacts!17</t>
        </is>
      </c>
      <c r="Y1046" s="426" t="inlineStr">
        <is>
          <t>Send 1st follow-up and ask for 20-minute call</t>
        </is>
      </c>
      <c r="Z1046" s="425" t="n">
        <v>3</v>
      </c>
      <c r="AA1046" s="425">
        <f>IF(AC1046="Archived",0,ROUND((IF(N1046="Tier 1",35,IF(N1046="Tier 2",20,8))+IF(C1046="Financial Investor",15,IF(C1046="Intermediary / Banker",12,8))+IF(L1046="Term Sheet / Proposal",25,IF(L1046="Engaged",20,IF(L1046="Meeting Requested",18,IF(L1046="Meeting Held",14,IF(L1046="Follow Up",10,5)))))+MIN(Q1046,30)+IF(S1046="DUE",15,IF(S1046="Next 3 Days",8,0))),0))</f>
        <v/>
      </c>
      <c r="AB1046" s="425">
        <f>IF(AND(AC1046="Active",OR(N1046="Tier 1",N1046="Tier 2"),OR(S1046="DUE",S1046="Next 3 Days")),"YES","")</f>
        <v/>
      </c>
      <c r="AC1046" s="425">
        <f>IF(L1046="Passed","Archived","Active")</f>
        <v/>
      </c>
    </row>
    <row r="1047">
      <c r="A1047" s="425" t="inlineStr">
        <is>
          <t>EXOS-1046</t>
        </is>
      </c>
      <c r="B1047" s="425" t="inlineStr">
        <is>
          <t>John - Investor Contacts</t>
        </is>
      </c>
      <c r="C1047" s="425" t="inlineStr">
        <is>
          <t>Financial Investor</t>
        </is>
      </c>
      <c r="D1047" s="425" t="inlineStr">
        <is>
          <t>Sequoia Capital</t>
        </is>
      </c>
      <c r="E1047" s="425" t="inlineStr">
        <is>
          <t>Jess Lee</t>
        </is>
      </c>
      <c r="F1047" s="425" t="inlineStr"/>
      <c r="G1047" s="111" t="inlineStr">
        <is>
          <t>jess@sequoiacap.com</t>
        </is>
      </c>
      <c r="H1047" s="425" t="inlineStr"/>
      <c r="I1047" s="425" t="inlineStr"/>
      <c r="J1047" s="111" t="inlineStr">
        <is>
          <t>https://www.linkedin.com/in/jesskah/</t>
        </is>
      </c>
      <c r="K1047" s="426" t="inlineStr">
        <is>
          <t>John Quinn</t>
        </is>
      </c>
      <c r="L1047" s="426" t="inlineStr">
        <is>
          <t>Contacted</t>
        </is>
      </c>
      <c r="M1047" s="425" t="inlineStr">
        <is>
          <t>Space / Defense / Aerospace / Advanced Manufacturing</t>
        </is>
      </c>
      <c r="N1047" s="426" t="inlineStr">
        <is>
          <t>Tier 2</t>
        </is>
      </c>
      <c r="O1047" s="441" t="n">
        <v>45790</v>
      </c>
      <c r="P1047" s="441" t="n">
        <v>45790</v>
      </c>
      <c r="Q1047" s="425">
        <f>IF(P1047="","",TODAY()-P1047)</f>
        <v/>
      </c>
      <c r="R1047" s="441">
        <f>IF(OR(L1047="Passed",Z1047=""),"",P1047+Z1047)</f>
        <v/>
      </c>
      <c r="S1047" s="425">
        <f>IF(OR(R1047="",L1047="Passed"),"",IF(R1047&lt;=TODAY(),"DUE",IF(R1047&lt;=TODAY()+3,"Next 3 Days","Later")))</f>
        <v/>
      </c>
      <c r="T1047" s="425" t="inlineStr"/>
      <c r="U1047" s="426" t="inlineStr">
        <is>
          <t>https://www.linkedin.com/in/jesskah/</t>
        </is>
      </c>
      <c r="V1047" s="426" t="inlineStr"/>
      <c r="W1047" s="428" t="inlineStr">
        <is>
          <t xml:space="preserve"> |  | </t>
        </is>
      </c>
      <c r="X1047" s="425" t="inlineStr">
        <is>
          <t>John - Investor Contacts!14</t>
        </is>
      </c>
      <c r="Y1047" s="426" t="inlineStr">
        <is>
          <t>Send 1st follow-up and ask for 20-minute call</t>
        </is>
      </c>
      <c r="Z1047" s="425" t="n">
        <v>3</v>
      </c>
      <c r="AA1047" s="425">
        <f>IF(AC1047="Archived",0,ROUND((IF(N1047="Tier 1",35,IF(N1047="Tier 2",20,8))+IF(C1047="Financial Investor",15,IF(C1047="Intermediary / Banker",12,8))+IF(L1047="Term Sheet / Proposal",25,IF(L1047="Engaged",20,IF(L1047="Meeting Requested",18,IF(L1047="Meeting Held",14,IF(L1047="Follow Up",10,5)))))+MIN(Q1047,30)+IF(S1047="DUE",15,IF(S1047="Next 3 Days",8,0))),0))</f>
        <v/>
      </c>
      <c r="AB1047" s="425">
        <f>IF(AND(AC1047="Active",OR(N1047="Tier 1",N1047="Tier 2"),OR(S1047="DUE",S1047="Next 3 Days")),"YES","")</f>
        <v/>
      </c>
      <c r="AC1047" s="425">
        <f>IF(L1047="Passed","Archived","Active")</f>
        <v/>
      </c>
    </row>
    <row r="1048">
      <c r="A1048" s="425" t="inlineStr">
        <is>
          <t>EXOS-1047</t>
        </is>
      </c>
      <c r="B1048" s="425" t="inlineStr">
        <is>
          <t>John - Investor Contacts</t>
        </is>
      </c>
      <c r="C1048" s="425" t="inlineStr">
        <is>
          <t>Financial Investor</t>
        </is>
      </c>
      <c r="D1048" s="425" t="inlineStr">
        <is>
          <t>Sequoia Capital</t>
        </is>
      </c>
      <c r="E1048" s="425" t="inlineStr">
        <is>
          <t>Jim Goetz</t>
        </is>
      </c>
      <c r="F1048" s="425" t="inlineStr"/>
      <c r="G1048" s="111" t="inlineStr">
        <is>
          <t>goetz@sequoiacap.com</t>
        </is>
      </c>
      <c r="H1048" s="425" t="inlineStr"/>
      <c r="I1048" s="425" t="inlineStr"/>
      <c r="J1048" s="111" t="inlineStr">
        <is>
          <t>https://www.linkedin.com/in/goetzjim/</t>
        </is>
      </c>
      <c r="K1048" s="426" t="inlineStr">
        <is>
          <t>John Quinn</t>
        </is>
      </c>
      <c r="L1048" s="426" t="inlineStr">
        <is>
          <t>Contacted</t>
        </is>
      </c>
      <c r="M1048" s="425" t="inlineStr">
        <is>
          <t>Space / Defense / Aerospace / Advanced Manufacturing</t>
        </is>
      </c>
      <c r="N1048" s="426" t="inlineStr">
        <is>
          <t>Tier 2</t>
        </is>
      </c>
      <c r="O1048" s="441" t="n">
        <v>45790</v>
      </c>
      <c r="P1048" s="441" t="n">
        <v>45790</v>
      </c>
      <c r="Q1048" s="425">
        <f>IF(P1048="","",TODAY()-P1048)</f>
        <v/>
      </c>
      <c r="R1048" s="441">
        <f>IF(OR(L1048="Passed",Z1048=""),"",P1048+Z1048)</f>
        <v/>
      </c>
      <c r="S1048" s="425">
        <f>IF(OR(R1048="",L1048="Passed"),"",IF(R1048&lt;=TODAY(),"DUE",IF(R1048&lt;=TODAY()+3,"Next 3 Days","Later")))</f>
        <v/>
      </c>
      <c r="T1048" s="425" t="inlineStr"/>
      <c r="U1048" s="426" t="inlineStr">
        <is>
          <t>https://www.linkedin.com/in/goetzjim/</t>
        </is>
      </c>
      <c r="V1048" s="426" t="inlineStr"/>
      <c r="W1048" s="428" t="inlineStr">
        <is>
          <t xml:space="preserve"> |  | </t>
        </is>
      </c>
      <c r="X1048" s="425" t="inlineStr">
        <is>
          <t>John - Investor Contacts!15</t>
        </is>
      </c>
      <c r="Y1048" s="426" t="inlineStr">
        <is>
          <t>Send 1st follow-up and ask for 20-minute call</t>
        </is>
      </c>
      <c r="Z1048" s="425" t="n">
        <v>3</v>
      </c>
      <c r="AA1048" s="425">
        <f>IF(AC1048="Archived",0,ROUND((IF(N1048="Tier 1",35,IF(N1048="Tier 2",20,8))+IF(C1048="Financial Investor",15,IF(C1048="Intermediary / Banker",12,8))+IF(L1048="Term Sheet / Proposal",25,IF(L1048="Engaged",20,IF(L1048="Meeting Requested",18,IF(L1048="Meeting Held",14,IF(L1048="Follow Up",10,5)))))+MIN(Q1048,30)+IF(S1048="DUE",15,IF(S1048="Next 3 Days",8,0))),0))</f>
        <v/>
      </c>
      <c r="AB1048" s="425">
        <f>IF(AND(AC1048="Active",OR(N1048="Tier 1",N1048="Tier 2"),OR(S1048="DUE",S1048="Next 3 Days")),"YES","")</f>
        <v/>
      </c>
      <c r="AC1048" s="425">
        <f>IF(L1048="Passed","Archived","Active")</f>
        <v/>
      </c>
    </row>
    <row r="1049">
      <c r="A1049" s="425" t="inlineStr">
        <is>
          <t>EXOS-1048</t>
        </is>
      </c>
      <c r="B1049" s="425" t="inlineStr">
        <is>
          <t>John - Investor Contacts</t>
        </is>
      </c>
      <c r="C1049" s="425" t="inlineStr">
        <is>
          <t>Financial Investor</t>
        </is>
      </c>
      <c r="D1049" s="425" t="inlineStr">
        <is>
          <t>Sequoia Capital</t>
        </is>
      </c>
      <c r="E1049" s="425" t="inlineStr">
        <is>
          <t>Konstantine Buhler</t>
        </is>
      </c>
      <c r="F1049" s="425" t="inlineStr"/>
      <c r="G1049" s="111" t="inlineStr">
        <is>
          <t>konstantine@sequoiacap.com</t>
        </is>
      </c>
      <c r="H1049" s="425" t="inlineStr"/>
      <c r="I1049" s="425" t="inlineStr"/>
      <c r="J1049" s="111" t="inlineStr">
        <is>
          <t>https://www.linkedin.com/in/konstantinebuhler/</t>
        </is>
      </c>
      <c r="K1049" s="426" t="inlineStr">
        <is>
          <t>John Quinn</t>
        </is>
      </c>
      <c r="L1049" s="426" t="inlineStr">
        <is>
          <t>Contacted</t>
        </is>
      </c>
      <c r="M1049" s="425" t="inlineStr">
        <is>
          <t>Space / Defense / Aerospace / Advanced Manufacturing</t>
        </is>
      </c>
      <c r="N1049" s="426" t="inlineStr">
        <is>
          <t>Tier 2</t>
        </is>
      </c>
      <c r="O1049" s="441" t="n">
        <v>45790</v>
      </c>
      <c r="P1049" s="441" t="n">
        <v>45790</v>
      </c>
      <c r="Q1049" s="425">
        <f>IF(P1049="","",TODAY()-P1049)</f>
        <v/>
      </c>
      <c r="R1049" s="441">
        <f>IF(OR(L1049="Passed",Z1049=""),"",P1049+Z1049)</f>
        <v/>
      </c>
      <c r="S1049" s="425">
        <f>IF(OR(R1049="",L1049="Passed"),"",IF(R1049&lt;=TODAY(),"DUE",IF(R1049&lt;=TODAY()+3,"Next 3 Days","Later")))</f>
        <v/>
      </c>
      <c r="T1049" s="425" t="inlineStr"/>
      <c r="U1049" s="426" t="inlineStr">
        <is>
          <t>https://www.linkedin.com/in/konstantinebuhler/</t>
        </is>
      </c>
      <c r="V1049" s="426" t="inlineStr"/>
      <c r="W1049" s="428" t="inlineStr">
        <is>
          <t xml:space="preserve">says he is working on other things right now |  | </t>
        </is>
      </c>
      <c r="X1049" s="425" t="inlineStr">
        <is>
          <t>John - Investor Contacts!18</t>
        </is>
      </c>
      <c r="Y1049" s="426" t="inlineStr">
        <is>
          <t>Send 1st follow-up and ask for 20-minute call</t>
        </is>
      </c>
      <c r="Z1049" s="425" t="n">
        <v>3</v>
      </c>
      <c r="AA1049" s="425">
        <f>IF(AC1049="Archived",0,ROUND((IF(N1049="Tier 1",35,IF(N1049="Tier 2",20,8))+IF(C1049="Financial Investor",15,IF(C1049="Intermediary / Banker",12,8))+IF(L1049="Term Sheet / Proposal",25,IF(L1049="Engaged",20,IF(L1049="Meeting Requested",18,IF(L1049="Meeting Held",14,IF(L1049="Follow Up",10,5)))))+MIN(Q1049,30)+IF(S1049="DUE",15,IF(S1049="Next 3 Days",8,0))),0))</f>
        <v/>
      </c>
      <c r="AB1049" s="425">
        <f>IF(AND(AC1049="Active",OR(N1049="Tier 1",N1049="Tier 2"),OR(S1049="DUE",S1049="Next 3 Days")),"YES","")</f>
        <v/>
      </c>
      <c r="AC1049" s="425">
        <f>IF(L1049="Passed","Archived","Active")</f>
        <v/>
      </c>
    </row>
    <row r="1050">
      <c r="A1050" s="425" t="inlineStr">
        <is>
          <t>EXOS-1049</t>
        </is>
      </c>
      <c r="B1050" s="425" t="inlineStr">
        <is>
          <t>John - Investor Contacts</t>
        </is>
      </c>
      <c r="C1050" s="425" t="inlineStr">
        <is>
          <t>Financial Investor</t>
        </is>
      </c>
      <c r="D1050" s="425" t="inlineStr">
        <is>
          <t>Sequoia Capital</t>
        </is>
      </c>
      <c r="E1050" s="425" t="inlineStr">
        <is>
          <t>Roelof Botha</t>
        </is>
      </c>
      <c r="F1050" s="425" t="inlineStr"/>
      <c r="G1050" s="111" t="inlineStr">
        <is>
          <t>botha@sequoiacap.com</t>
        </is>
      </c>
      <c r="H1050" s="425" t="inlineStr"/>
      <c r="I1050" s="425" t="inlineStr"/>
      <c r="J1050" s="111" t="inlineStr">
        <is>
          <t>https://www.linkedin.com/in/roelofbotha/</t>
        </is>
      </c>
      <c r="K1050" s="426" t="inlineStr">
        <is>
          <t>John Quinn</t>
        </is>
      </c>
      <c r="L1050" s="426" t="inlineStr">
        <is>
          <t>Contacted</t>
        </is>
      </c>
      <c r="M1050" s="425" t="inlineStr">
        <is>
          <t>Space / Defense / Aerospace / Advanced Manufacturing</t>
        </is>
      </c>
      <c r="N1050" s="426" t="inlineStr">
        <is>
          <t>Tier 2</t>
        </is>
      </c>
      <c r="O1050" s="441" t="n">
        <v>45790</v>
      </c>
      <c r="P1050" s="441" t="n">
        <v>45790</v>
      </c>
      <c r="Q1050" s="425">
        <f>IF(P1050="","",TODAY()-P1050)</f>
        <v/>
      </c>
      <c r="R1050" s="441">
        <f>IF(OR(L1050="Passed",Z1050=""),"",P1050+Z1050)</f>
        <v/>
      </c>
      <c r="S1050" s="425">
        <f>IF(OR(R1050="",L1050="Passed"),"",IF(R1050&lt;=TODAY(),"DUE",IF(R1050&lt;=TODAY()+3,"Next 3 Days","Later")))</f>
        <v/>
      </c>
      <c r="T1050" s="425" t="inlineStr"/>
      <c r="U1050" s="426" t="inlineStr">
        <is>
          <t>https://www.linkedin.com/in/roelofbotha/</t>
        </is>
      </c>
      <c r="V1050" s="426" t="inlineStr"/>
      <c r="W1050" s="428" t="inlineStr">
        <is>
          <t xml:space="preserve"> |  | </t>
        </is>
      </c>
      <c r="X1050" s="425" t="inlineStr">
        <is>
          <t>John - Investor Contacts!16</t>
        </is>
      </c>
      <c r="Y1050" s="426" t="inlineStr">
        <is>
          <t>Send 1st follow-up and ask for 20-minute call</t>
        </is>
      </c>
      <c r="Z1050" s="425" t="n">
        <v>3</v>
      </c>
      <c r="AA1050" s="425">
        <f>IF(AC1050="Archived",0,ROUND((IF(N1050="Tier 1",35,IF(N1050="Tier 2",20,8))+IF(C1050="Financial Investor",15,IF(C1050="Intermediary / Banker",12,8))+IF(L1050="Term Sheet / Proposal",25,IF(L1050="Engaged",20,IF(L1050="Meeting Requested",18,IF(L1050="Meeting Held",14,IF(L1050="Follow Up",10,5)))))+MIN(Q1050,30)+IF(S1050="DUE",15,IF(S1050="Next 3 Days",8,0))),0))</f>
        <v/>
      </c>
      <c r="AB1050" s="425">
        <f>IF(AND(AC1050="Active",OR(N1050="Tier 1",N1050="Tier 2"),OR(S1050="DUE",S1050="Next 3 Days")),"YES","")</f>
        <v/>
      </c>
      <c r="AC1050" s="425">
        <f>IF(L1050="Passed","Archived","Active")</f>
        <v/>
      </c>
    </row>
    <row r="1051">
      <c r="A1051" s="425" t="inlineStr">
        <is>
          <t>EXOS-1050</t>
        </is>
      </c>
      <c r="B1051" s="425" t="inlineStr">
        <is>
          <t>John - Investor Contacts</t>
        </is>
      </c>
      <c r="C1051" s="425" t="inlineStr">
        <is>
          <t>Financial Investor</t>
        </is>
      </c>
      <c r="D1051" s="425" t="inlineStr">
        <is>
          <t>Sequoia Capital</t>
        </is>
      </c>
      <c r="E1051" s="425" t="inlineStr">
        <is>
          <t>Stephanie Zhan</t>
        </is>
      </c>
      <c r="F1051" s="425" t="inlineStr"/>
      <c r="G1051" s="111" t="inlineStr">
        <is>
          <t>szhan@sequoiacap.com</t>
        </is>
      </c>
      <c r="H1051" s="425" t="inlineStr"/>
      <c r="I1051" s="425" t="inlineStr"/>
      <c r="J1051" s="111" t="inlineStr">
        <is>
          <t>https://www.linkedin.com/in/stephaniezhan/</t>
        </is>
      </c>
      <c r="K1051" s="426" t="inlineStr">
        <is>
          <t>John Quinn</t>
        </is>
      </c>
      <c r="L1051" s="426" t="inlineStr">
        <is>
          <t>Contacted</t>
        </is>
      </c>
      <c r="M1051" s="425" t="inlineStr">
        <is>
          <t>Space / Defense / Aerospace / Advanced Manufacturing</t>
        </is>
      </c>
      <c r="N1051" s="426" t="inlineStr">
        <is>
          <t>Tier 2</t>
        </is>
      </c>
      <c r="O1051" s="441" t="n">
        <v>45790</v>
      </c>
      <c r="P1051" s="441" t="n">
        <v>45790</v>
      </c>
      <c r="Q1051" s="425">
        <f>IF(P1051="","",TODAY()-P1051)</f>
        <v/>
      </c>
      <c r="R1051" s="441">
        <f>IF(OR(L1051="Passed",Z1051=""),"",P1051+Z1051)</f>
        <v/>
      </c>
      <c r="S1051" s="425">
        <f>IF(OR(R1051="",L1051="Passed"),"",IF(R1051&lt;=TODAY(),"DUE",IF(R1051&lt;=TODAY()+3,"Next 3 Days","Later")))</f>
        <v/>
      </c>
      <c r="T1051" s="425" t="inlineStr"/>
      <c r="U1051" s="426" t="inlineStr">
        <is>
          <t>https://www.linkedin.com/in/stephaniezhan/</t>
        </is>
      </c>
      <c r="V1051" s="426" t="inlineStr"/>
      <c r="W1051" s="428" t="inlineStr">
        <is>
          <t xml:space="preserve"> |  | </t>
        </is>
      </c>
      <c r="X1051" s="425" t="inlineStr">
        <is>
          <t>John - Investor Contacts!13</t>
        </is>
      </c>
      <c r="Y1051" s="426" t="inlineStr">
        <is>
          <t>Send 1st follow-up and ask for 20-minute call</t>
        </is>
      </c>
      <c r="Z1051" s="425" t="n">
        <v>3</v>
      </c>
      <c r="AA1051" s="425">
        <f>IF(AC1051="Archived",0,ROUND((IF(N1051="Tier 1",35,IF(N1051="Tier 2",20,8))+IF(C1051="Financial Investor",15,IF(C1051="Intermediary / Banker",12,8))+IF(L1051="Term Sheet / Proposal",25,IF(L1051="Engaged",20,IF(L1051="Meeting Requested",18,IF(L1051="Meeting Held",14,IF(L1051="Follow Up",10,5)))))+MIN(Q1051,30)+IF(S1051="DUE",15,IF(S1051="Next 3 Days",8,0))),0))</f>
        <v/>
      </c>
      <c r="AB1051" s="425">
        <f>IF(AND(AC1051="Active",OR(N1051="Tier 1",N1051="Tier 2"),OR(S1051="DUE",S1051="Next 3 Days")),"YES","")</f>
        <v/>
      </c>
      <c r="AC1051" s="425">
        <f>IF(L1051="Passed","Archived","Active")</f>
        <v/>
      </c>
    </row>
    <row r="1052">
      <c r="A1052" s="425" t="inlineStr">
        <is>
          <t>EXOS-1051</t>
        </is>
      </c>
      <c r="B1052" s="425" t="inlineStr">
        <is>
          <t>John - Investor Contacts</t>
        </is>
      </c>
      <c r="C1052" s="425" t="inlineStr">
        <is>
          <t>Financial Investor</t>
        </is>
      </c>
      <c r="D1052" s="425" t="inlineStr">
        <is>
          <t>Seraphim VC</t>
        </is>
      </c>
      <c r="E1052" s="425" t="inlineStr">
        <is>
          <t>Andre Ronsoehr</t>
        </is>
      </c>
      <c r="F1052" s="425" t="inlineStr"/>
      <c r="G1052" s="111" t="inlineStr">
        <is>
          <t>andre@seraphim.vc</t>
        </is>
      </c>
      <c r="H1052" s="425" t="inlineStr"/>
      <c r="I1052" s="425" t="inlineStr"/>
      <c r="J1052" s="111" t="inlineStr">
        <is>
          <t>https://www.linkedin.com/in/andreronsoehr/</t>
        </is>
      </c>
      <c r="K1052" s="426" t="inlineStr">
        <is>
          <t>John Quinn</t>
        </is>
      </c>
      <c r="L1052" s="426" t="inlineStr">
        <is>
          <t>Contacted</t>
        </is>
      </c>
      <c r="M1052" s="425" t="inlineStr">
        <is>
          <t>Space / Defense / Aerospace / Advanced Manufacturing</t>
        </is>
      </c>
      <c r="N1052" s="426" t="inlineStr">
        <is>
          <t>Tier 2</t>
        </is>
      </c>
      <c r="O1052" s="441" t="n">
        <v>45965</v>
      </c>
      <c r="P1052" s="441" t="n">
        <v>45965</v>
      </c>
      <c r="Q1052" s="425">
        <f>IF(P1052="","",TODAY()-P1052)</f>
        <v/>
      </c>
      <c r="R1052" s="441">
        <f>IF(OR(L1052="Passed",Z1052=""),"",P1052+Z1052)</f>
        <v/>
      </c>
      <c r="S1052" s="425">
        <f>IF(OR(R1052="",L1052="Passed"),"",IF(R1052&lt;=TODAY(),"DUE",IF(R1052&lt;=TODAY()+3,"Next 3 Days","Later")))</f>
        <v/>
      </c>
      <c r="T1052" s="425" t="inlineStr"/>
      <c r="U1052" s="426" t="inlineStr">
        <is>
          <t>https://www.linkedin.com/in/andreronsoehr/</t>
        </is>
      </c>
      <c r="V1052" s="426" t="inlineStr"/>
      <c r="W1052" s="428" t="inlineStr">
        <is>
          <t xml:space="preserve"> |  | </t>
        </is>
      </c>
      <c r="X1052" s="425" t="inlineStr">
        <is>
          <t>John - Investor Contacts!818</t>
        </is>
      </c>
      <c r="Y1052" s="426" t="inlineStr">
        <is>
          <t>Send 1st follow-up and ask for 20-minute call</t>
        </is>
      </c>
      <c r="Z1052" s="425" t="n">
        <v>3</v>
      </c>
      <c r="AA1052" s="425">
        <f>IF(AC1052="Archived",0,ROUND((IF(N1052="Tier 1",35,IF(N1052="Tier 2",20,8))+IF(C1052="Financial Investor",15,IF(C1052="Intermediary / Banker",12,8))+IF(L1052="Term Sheet / Proposal",25,IF(L1052="Engaged",20,IF(L1052="Meeting Requested",18,IF(L1052="Meeting Held",14,IF(L1052="Follow Up",10,5)))))+MIN(Q1052,30)+IF(S1052="DUE",15,IF(S1052="Next 3 Days",8,0))),0))</f>
        <v/>
      </c>
      <c r="AB1052" s="425">
        <f>IF(AND(AC1052="Active",OR(N1052="Tier 1",N1052="Tier 2"),OR(S1052="DUE",S1052="Next 3 Days")),"YES","")</f>
        <v/>
      </c>
      <c r="AC1052" s="425">
        <f>IF(L1052="Passed","Archived","Active")</f>
        <v/>
      </c>
    </row>
    <row r="1053">
      <c r="A1053" s="425" t="inlineStr">
        <is>
          <t>EXOS-1052</t>
        </is>
      </c>
      <c r="B1053" s="425" t="inlineStr">
        <is>
          <t>John - Investor Contacts</t>
        </is>
      </c>
      <c r="C1053" s="425" t="inlineStr">
        <is>
          <t>Financial Investor</t>
        </is>
      </c>
      <c r="D1053" s="425" t="inlineStr">
        <is>
          <t>Seraphim VC</t>
        </is>
      </c>
      <c r="E1053" s="425" t="inlineStr">
        <is>
          <t>James Bruegger</t>
        </is>
      </c>
      <c r="F1053" s="425" t="inlineStr"/>
      <c r="G1053" s="111" t="inlineStr">
        <is>
          <t>james@seraphim.vc</t>
        </is>
      </c>
      <c r="H1053" s="425" t="inlineStr"/>
      <c r="I1053" s="425" t="inlineStr"/>
      <c r="J1053" s="111" t="inlineStr">
        <is>
          <t>https://www.linkedin.com/in/james-bruegger-9961633/</t>
        </is>
      </c>
      <c r="K1053" s="426" t="inlineStr">
        <is>
          <t>John Quinn</t>
        </is>
      </c>
      <c r="L1053" s="426" t="inlineStr">
        <is>
          <t>Contacted</t>
        </is>
      </c>
      <c r="M1053" s="425" t="inlineStr">
        <is>
          <t>Space / Defense / Aerospace / Advanced Manufacturing</t>
        </is>
      </c>
      <c r="N1053" s="426" t="inlineStr">
        <is>
          <t>Tier 2</t>
        </is>
      </c>
      <c r="O1053" s="441" t="n">
        <v>45965</v>
      </c>
      <c r="P1053" s="441" t="n">
        <v>45965</v>
      </c>
      <c r="Q1053" s="425">
        <f>IF(P1053="","",TODAY()-P1053)</f>
        <v/>
      </c>
      <c r="R1053" s="441">
        <f>IF(OR(L1053="Passed",Z1053=""),"",P1053+Z1053)</f>
        <v/>
      </c>
      <c r="S1053" s="425">
        <f>IF(OR(R1053="",L1053="Passed"),"",IF(R1053&lt;=TODAY(),"DUE",IF(R1053&lt;=TODAY()+3,"Next 3 Days","Later")))</f>
        <v/>
      </c>
      <c r="T1053" s="425" t="inlineStr"/>
      <c r="U1053" s="426" t="inlineStr">
        <is>
          <t>https://www.linkedin.com/in/james-bruegger-9961633/</t>
        </is>
      </c>
      <c r="V1053" s="426" t="inlineStr"/>
      <c r="W1053" s="428" t="inlineStr">
        <is>
          <t xml:space="preserve"> |  | </t>
        </is>
      </c>
      <c r="X1053" s="425" t="inlineStr">
        <is>
          <t>John - Investor Contacts!816</t>
        </is>
      </c>
      <c r="Y1053" s="426" t="inlineStr">
        <is>
          <t>Send 1st follow-up and ask for 20-minute call</t>
        </is>
      </c>
      <c r="Z1053" s="425" t="n">
        <v>3</v>
      </c>
      <c r="AA1053" s="425">
        <f>IF(AC1053="Archived",0,ROUND((IF(N1053="Tier 1",35,IF(N1053="Tier 2",20,8))+IF(C1053="Financial Investor",15,IF(C1053="Intermediary / Banker",12,8))+IF(L1053="Term Sheet / Proposal",25,IF(L1053="Engaged",20,IF(L1053="Meeting Requested",18,IF(L1053="Meeting Held",14,IF(L1053="Follow Up",10,5)))))+MIN(Q1053,30)+IF(S1053="DUE",15,IF(S1053="Next 3 Days",8,0))),0))</f>
        <v/>
      </c>
      <c r="AB1053" s="425">
        <f>IF(AND(AC1053="Active",OR(N1053="Tier 1",N1053="Tier 2"),OR(S1053="DUE",S1053="Next 3 Days")),"YES","")</f>
        <v/>
      </c>
      <c r="AC1053" s="425">
        <f>IF(L1053="Passed","Archived","Active")</f>
        <v/>
      </c>
    </row>
    <row r="1054">
      <c r="A1054" s="425" t="inlineStr">
        <is>
          <t>EXOS-1053</t>
        </is>
      </c>
      <c r="B1054" s="425" t="inlineStr">
        <is>
          <t>John - Investor Contacts</t>
        </is>
      </c>
      <c r="C1054" s="425" t="inlineStr">
        <is>
          <t>Financial Investor</t>
        </is>
      </c>
      <c r="D1054" s="425" t="inlineStr">
        <is>
          <t>Seraphim VC</t>
        </is>
      </c>
      <c r="E1054" s="425" t="inlineStr">
        <is>
          <t>Rob Desborough</t>
        </is>
      </c>
      <c r="F1054" s="425" t="inlineStr"/>
      <c r="G1054" s="111" t="inlineStr">
        <is>
          <t>rob@seraphim.vc</t>
        </is>
      </c>
      <c r="H1054" s="425" t="inlineStr"/>
      <c r="I1054" s="425" t="inlineStr"/>
      <c r="J1054" s="111" t="inlineStr">
        <is>
          <t>https://www.linkedin.com/in/robdesborough/</t>
        </is>
      </c>
      <c r="K1054" s="426" t="inlineStr">
        <is>
          <t>John Quinn</t>
        </is>
      </c>
      <c r="L1054" s="426" t="inlineStr">
        <is>
          <t>Contacted</t>
        </is>
      </c>
      <c r="M1054" s="425" t="inlineStr">
        <is>
          <t>Space / Defense / Aerospace / Advanced Manufacturing</t>
        </is>
      </c>
      <c r="N1054" s="426" t="inlineStr">
        <is>
          <t>Tier 2</t>
        </is>
      </c>
      <c r="O1054" s="441" t="n">
        <v>45965</v>
      </c>
      <c r="P1054" s="441" t="n">
        <v>45965</v>
      </c>
      <c r="Q1054" s="425">
        <f>IF(P1054="","",TODAY()-P1054)</f>
        <v/>
      </c>
      <c r="R1054" s="441">
        <f>IF(OR(L1054="Passed",Z1054=""),"",P1054+Z1054)</f>
        <v/>
      </c>
      <c r="S1054" s="425">
        <f>IF(OR(R1054="",L1054="Passed"),"",IF(R1054&lt;=TODAY(),"DUE",IF(R1054&lt;=TODAY()+3,"Next 3 Days","Later")))</f>
        <v/>
      </c>
      <c r="T1054" s="425" t="inlineStr"/>
      <c r="U1054" s="426" t="inlineStr">
        <is>
          <t>https://www.linkedin.com/in/robdesborough/</t>
        </is>
      </c>
      <c r="V1054" s="426" t="inlineStr"/>
      <c r="W1054" s="428" t="inlineStr">
        <is>
          <t xml:space="preserve"> |  | </t>
        </is>
      </c>
      <c r="X1054" s="425" t="inlineStr">
        <is>
          <t>John - Investor Contacts!817</t>
        </is>
      </c>
      <c r="Y1054" s="426" t="inlineStr">
        <is>
          <t>Send 1st follow-up and ask for 20-minute call</t>
        </is>
      </c>
      <c r="Z1054" s="425" t="n">
        <v>3</v>
      </c>
      <c r="AA1054" s="425">
        <f>IF(AC1054="Archived",0,ROUND((IF(N1054="Tier 1",35,IF(N1054="Tier 2",20,8))+IF(C1054="Financial Investor",15,IF(C1054="Intermediary / Banker",12,8))+IF(L1054="Term Sheet / Proposal",25,IF(L1054="Engaged",20,IF(L1054="Meeting Requested",18,IF(L1054="Meeting Held",14,IF(L1054="Follow Up",10,5)))))+MIN(Q1054,30)+IF(S1054="DUE",15,IF(S1054="Next 3 Days",8,0))),0))</f>
        <v/>
      </c>
      <c r="AB1054" s="425">
        <f>IF(AND(AC1054="Active",OR(N1054="Tier 1",N1054="Tier 2"),OR(S1054="DUE",S1054="Next 3 Days")),"YES","")</f>
        <v/>
      </c>
      <c r="AC1054" s="425">
        <f>IF(L1054="Passed","Archived","Active")</f>
        <v/>
      </c>
    </row>
    <row r="1055">
      <c r="A1055" s="425" t="inlineStr">
        <is>
          <t>EXOS-1054</t>
        </is>
      </c>
      <c r="B1055" s="425" t="inlineStr">
        <is>
          <t>John - Investor Contacts</t>
        </is>
      </c>
      <c r="C1055" s="425" t="inlineStr">
        <is>
          <t>Financial Investor</t>
        </is>
      </c>
      <c r="D1055" s="425" t="inlineStr">
        <is>
          <t>Shield Capital</t>
        </is>
      </c>
      <c r="E1055" s="425" t="inlineStr">
        <is>
          <t>John Serafini</t>
        </is>
      </c>
      <c r="F1055" s="425" t="inlineStr"/>
      <c r="G1055" s="111" t="inlineStr">
        <is>
          <t>jserafini@shieldcap.com</t>
        </is>
      </c>
      <c r="H1055" s="425" t="inlineStr"/>
      <c r="I1055" s="425" t="inlineStr"/>
      <c r="J1055" s="111" t="inlineStr">
        <is>
          <t>https://www.linkedin.com/in/john-serafini-950793a/</t>
        </is>
      </c>
      <c r="K1055" s="426" t="inlineStr">
        <is>
          <t>John Quinn</t>
        </is>
      </c>
      <c r="L1055" s="426" t="inlineStr">
        <is>
          <t>Contacted</t>
        </is>
      </c>
      <c r="M1055" s="425" t="inlineStr">
        <is>
          <t>Space / Defense / Aerospace / Advanced Manufacturing</t>
        </is>
      </c>
      <c r="N1055" s="426" t="inlineStr">
        <is>
          <t>Tier 2</t>
        </is>
      </c>
      <c r="O1055" s="441" t="n">
        <v>45828</v>
      </c>
      <c r="P1055" s="441" t="n">
        <v>45828</v>
      </c>
      <c r="Q1055" s="425">
        <f>IF(P1055="","",TODAY()-P1055)</f>
        <v/>
      </c>
      <c r="R1055" s="441">
        <f>IF(OR(L1055="Passed",Z1055=""),"",P1055+Z1055)</f>
        <v/>
      </c>
      <c r="S1055" s="425">
        <f>IF(OR(R1055="",L1055="Passed"),"",IF(R1055&lt;=TODAY(),"DUE",IF(R1055&lt;=TODAY()+3,"Next 3 Days","Later")))</f>
        <v/>
      </c>
      <c r="T1055" s="425" t="inlineStr"/>
      <c r="U1055" s="426" t="inlineStr">
        <is>
          <t>https://www.linkedin.com/in/john-serafini-950793a/</t>
        </is>
      </c>
      <c r="V1055" s="426" t="inlineStr"/>
      <c r="W1055" s="428" t="inlineStr">
        <is>
          <t xml:space="preserve"> | online application (easy): https://shieldcap.com/contact | </t>
        </is>
      </c>
      <c r="X1055" s="425" t="inlineStr">
        <is>
          <t>John - Investor Contacts!230</t>
        </is>
      </c>
      <c r="Y1055" s="426" t="inlineStr">
        <is>
          <t>Send 1st follow-up and ask for 20-minute call</t>
        </is>
      </c>
      <c r="Z1055" s="425" t="n">
        <v>3</v>
      </c>
      <c r="AA1055" s="425">
        <f>IF(AC1055="Archived",0,ROUND((IF(N1055="Tier 1",35,IF(N1055="Tier 2",20,8))+IF(C1055="Financial Investor",15,IF(C1055="Intermediary / Banker",12,8))+IF(L1055="Term Sheet / Proposal",25,IF(L1055="Engaged",20,IF(L1055="Meeting Requested",18,IF(L1055="Meeting Held",14,IF(L1055="Follow Up",10,5)))))+MIN(Q1055,30)+IF(S1055="DUE",15,IF(S1055="Next 3 Days",8,0))),0))</f>
        <v/>
      </c>
      <c r="AB1055" s="425">
        <f>IF(AND(AC1055="Active",OR(N1055="Tier 1",N1055="Tier 2"),OR(S1055="DUE",S1055="Next 3 Days")),"YES","")</f>
        <v/>
      </c>
      <c r="AC1055" s="425">
        <f>IF(L1055="Passed","Archived","Active")</f>
        <v/>
      </c>
    </row>
    <row r="1056">
      <c r="A1056" s="425" t="inlineStr">
        <is>
          <t>EXOS-1055</t>
        </is>
      </c>
      <c r="B1056" s="425" t="inlineStr">
        <is>
          <t>John - Investor Contacts</t>
        </is>
      </c>
      <c r="C1056" s="425" t="inlineStr">
        <is>
          <t>Financial Investor</t>
        </is>
      </c>
      <c r="D1056" s="425" t="inlineStr">
        <is>
          <t>Shield Capital</t>
        </is>
      </c>
      <c r="E1056" s="425" t="inlineStr">
        <is>
          <t>Michael Brown</t>
        </is>
      </c>
      <c r="F1056" s="425" t="inlineStr"/>
      <c r="G1056" s="111" t="inlineStr">
        <is>
          <t>mbrown@shieldcap.com</t>
        </is>
      </c>
      <c r="H1056" s="425" t="inlineStr"/>
      <c r="I1056" s="425" t="inlineStr"/>
      <c r="J1056" s="111" t="inlineStr">
        <is>
          <t>https://www.linkedin.com/in/michaelabrownceo/</t>
        </is>
      </c>
      <c r="K1056" s="426" t="inlineStr">
        <is>
          <t>John Quinn</t>
        </is>
      </c>
      <c r="L1056" s="426" t="inlineStr">
        <is>
          <t>Contacted</t>
        </is>
      </c>
      <c r="M1056" s="425" t="inlineStr">
        <is>
          <t>Space / Defense / Aerospace / Advanced Manufacturing</t>
        </is>
      </c>
      <c r="N1056" s="426" t="inlineStr">
        <is>
          <t>Tier 2</t>
        </is>
      </c>
      <c r="O1056" s="441" t="n">
        <v>45828</v>
      </c>
      <c r="P1056" s="441" t="n">
        <v>45828</v>
      </c>
      <c r="Q1056" s="425">
        <f>IF(P1056="","",TODAY()-P1056)</f>
        <v/>
      </c>
      <c r="R1056" s="441">
        <f>IF(OR(L1056="Passed",Z1056=""),"",P1056+Z1056)</f>
        <v/>
      </c>
      <c r="S1056" s="425">
        <f>IF(OR(R1056="",L1056="Passed"),"",IF(R1056&lt;=TODAY(),"DUE",IF(R1056&lt;=TODAY()+3,"Next 3 Days","Later")))</f>
        <v/>
      </c>
      <c r="T1056" s="425" t="inlineStr"/>
      <c r="U1056" s="426" t="inlineStr">
        <is>
          <t>https://www.linkedin.com/in/michaelabrownceo/</t>
        </is>
      </c>
      <c r="V1056" s="426" t="inlineStr"/>
      <c r="W1056" s="428" t="inlineStr">
        <is>
          <t xml:space="preserve"> | referred to David // David says outside Shield Thesis | </t>
        </is>
      </c>
      <c r="X1056" s="425" t="inlineStr">
        <is>
          <t>John - Investor Contacts!231</t>
        </is>
      </c>
      <c r="Y1056" s="426" t="inlineStr">
        <is>
          <t>Send 1st follow-up and ask for 20-minute call</t>
        </is>
      </c>
      <c r="Z1056" s="425" t="n">
        <v>3</v>
      </c>
      <c r="AA1056" s="425">
        <f>IF(AC1056="Archived",0,ROUND((IF(N1056="Tier 1",35,IF(N1056="Tier 2",20,8))+IF(C1056="Financial Investor",15,IF(C1056="Intermediary / Banker",12,8))+IF(L1056="Term Sheet / Proposal",25,IF(L1056="Engaged",20,IF(L1056="Meeting Requested",18,IF(L1056="Meeting Held",14,IF(L1056="Follow Up",10,5)))))+MIN(Q1056,30)+IF(S1056="DUE",15,IF(S1056="Next 3 Days",8,0))),0))</f>
        <v/>
      </c>
      <c r="AB1056" s="425">
        <f>IF(AND(AC1056="Active",OR(N1056="Tier 1",N1056="Tier 2"),OR(S1056="DUE",S1056="Next 3 Days")),"YES","")</f>
        <v/>
      </c>
      <c r="AC1056" s="425">
        <f>IF(L1056="Passed","Archived","Active")</f>
        <v/>
      </c>
    </row>
    <row r="1057">
      <c r="A1057" s="425" t="inlineStr">
        <is>
          <t>EXOS-1056</t>
        </is>
      </c>
      <c r="B1057" s="425" t="inlineStr">
        <is>
          <t>John - Investor Contacts</t>
        </is>
      </c>
      <c r="C1057" s="425" t="inlineStr">
        <is>
          <t>Financial Investor</t>
        </is>
      </c>
      <c r="D1057" s="425" t="inlineStr">
        <is>
          <t>Shield Capital</t>
        </is>
      </c>
      <c r="E1057" s="425" t="inlineStr">
        <is>
          <t>Philip Bilden</t>
        </is>
      </c>
      <c r="F1057" s="425" t="inlineStr"/>
      <c r="G1057" s="111" t="inlineStr">
        <is>
          <t>pbilden@shieldcap.com</t>
        </is>
      </c>
      <c r="H1057" s="425" t="inlineStr"/>
      <c r="I1057" s="425" t="inlineStr"/>
      <c r="J1057" s="111" t="inlineStr">
        <is>
          <t>https://www.linkedin.com/in/philip-m-bilden-38918320a/</t>
        </is>
      </c>
      <c r="K1057" s="426" t="inlineStr">
        <is>
          <t>John Quinn</t>
        </is>
      </c>
      <c r="L1057" s="426" t="inlineStr">
        <is>
          <t>Contacted</t>
        </is>
      </c>
      <c r="M1057" s="425" t="inlineStr">
        <is>
          <t>Space / Defense / Aerospace / Advanced Manufacturing</t>
        </is>
      </c>
      <c r="N1057" s="426" t="inlineStr">
        <is>
          <t>Tier 2</t>
        </is>
      </c>
      <c r="O1057" s="441" t="n">
        <v>45828</v>
      </c>
      <c r="P1057" s="441" t="n">
        <v>45828</v>
      </c>
      <c r="Q1057" s="425">
        <f>IF(P1057="","",TODAY()-P1057)</f>
        <v/>
      </c>
      <c r="R1057" s="441">
        <f>IF(OR(L1057="Passed",Z1057=""),"",P1057+Z1057)</f>
        <v/>
      </c>
      <c r="S1057" s="425">
        <f>IF(OR(R1057="",L1057="Passed"),"",IF(R1057&lt;=TODAY(),"DUE",IF(R1057&lt;=TODAY()+3,"Next 3 Days","Later")))</f>
        <v/>
      </c>
      <c r="T1057" s="425" t="inlineStr"/>
      <c r="U1057" s="426" t="inlineStr">
        <is>
          <t>https://www.linkedin.com/in/philip-m-bilden-38918320a/</t>
        </is>
      </c>
      <c r="V1057" s="426" t="inlineStr"/>
      <c r="W1057" s="428" t="inlineStr">
        <is>
          <t xml:space="preserve"> |  | </t>
        </is>
      </c>
      <c r="X1057" s="425" t="inlineStr">
        <is>
          <t>John - Investor Contacts!233</t>
        </is>
      </c>
      <c r="Y1057" s="426" t="inlineStr">
        <is>
          <t>Send 1st follow-up and ask for 20-minute call</t>
        </is>
      </c>
      <c r="Z1057" s="425" t="n">
        <v>3</v>
      </c>
      <c r="AA1057" s="425">
        <f>IF(AC1057="Archived",0,ROUND((IF(N1057="Tier 1",35,IF(N1057="Tier 2",20,8))+IF(C1057="Financial Investor",15,IF(C1057="Intermediary / Banker",12,8))+IF(L1057="Term Sheet / Proposal",25,IF(L1057="Engaged",20,IF(L1057="Meeting Requested",18,IF(L1057="Meeting Held",14,IF(L1057="Follow Up",10,5)))))+MIN(Q1057,30)+IF(S1057="DUE",15,IF(S1057="Next 3 Days",8,0))),0))</f>
        <v/>
      </c>
      <c r="AB1057" s="425">
        <f>IF(AND(AC1057="Active",OR(N1057="Tier 1",N1057="Tier 2"),OR(S1057="DUE",S1057="Next 3 Days")),"YES","")</f>
        <v/>
      </c>
      <c r="AC1057" s="425">
        <f>IF(L1057="Passed","Archived","Active")</f>
        <v/>
      </c>
    </row>
    <row r="1058">
      <c r="A1058" s="425" t="inlineStr">
        <is>
          <t>EXOS-1057</t>
        </is>
      </c>
      <c r="B1058" s="425" t="inlineStr">
        <is>
          <t>John - Investor Contacts</t>
        </is>
      </c>
      <c r="C1058" s="425" t="inlineStr">
        <is>
          <t>Financial Investor</t>
        </is>
      </c>
      <c r="D1058" s="425" t="inlineStr">
        <is>
          <t>Shield Capital</t>
        </is>
      </c>
      <c r="E1058" s="425" t="inlineStr">
        <is>
          <t>Raj Shah</t>
        </is>
      </c>
      <c r="F1058" s="425" t="inlineStr"/>
      <c r="G1058" s="111" t="inlineStr">
        <is>
          <t>rshah@shieldcap.com</t>
        </is>
      </c>
      <c r="H1058" s="425" t="inlineStr"/>
      <c r="I1058" s="425" t="inlineStr"/>
      <c r="J1058" s="111" t="inlineStr">
        <is>
          <t>https://www.linkedin.com/in/rajshah3/</t>
        </is>
      </c>
      <c r="K1058" s="426" t="inlineStr">
        <is>
          <t>John Quinn</t>
        </is>
      </c>
      <c r="L1058" s="426" t="inlineStr">
        <is>
          <t>Contacted</t>
        </is>
      </c>
      <c r="M1058" s="425" t="inlineStr">
        <is>
          <t>Space / Defense / Aerospace / Advanced Manufacturing</t>
        </is>
      </c>
      <c r="N1058" s="426" t="inlineStr">
        <is>
          <t>Tier 2</t>
        </is>
      </c>
      <c r="O1058" s="441" t="n">
        <v>45828</v>
      </c>
      <c r="P1058" s="441" t="n">
        <v>45828</v>
      </c>
      <c r="Q1058" s="425">
        <f>IF(P1058="","",TODAY()-P1058)</f>
        <v/>
      </c>
      <c r="R1058" s="441">
        <f>IF(OR(L1058="Passed",Z1058=""),"",P1058+Z1058)</f>
        <v/>
      </c>
      <c r="S1058" s="425">
        <f>IF(OR(R1058="",L1058="Passed"),"",IF(R1058&lt;=TODAY(),"DUE",IF(R1058&lt;=TODAY()+3,"Next 3 Days","Later")))</f>
        <v/>
      </c>
      <c r="T1058" s="425" t="inlineStr"/>
      <c r="U1058" s="426" t="inlineStr">
        <is>
          <t>https://www.linkedin.com/in/rajshah3/</t>
        </is>
      </c>
      <c r="V1058" s="426" t="inlineStr"/>
      <c r="W1058" s="428" t="inlineStr">
        <is>
          <t xml:space="preserve"> |  | </t>
        </is>
      </c>
      <c r="X1058" s="425" t="inlineStr">
        <is>
          <t>John - Investor Contacts!232</t>
        </is>
      </c>
      <c r="Y1058" s="426" t="inlineStr">
        <is>
          <t>Send 1st follow-up and ask for 20-minute call</t>
        </is>
      </c>
      <c r="Z1058" s="425" t="n">
        <v>3</v>
      </c>
      <c r="AA1058" s="425">
        <f>IF(AC1058="Archived",0,ROUND((IF(N1058="Tier 1",35,IF(N1058="Tier 2",20,8))+IF(C1058="Financial Investor",15,IF(C1058="Intermediary / Banker",12,8))+IF(L1058="Term Sheet / Proposal",25,IF(L1058="Engaged",20,IF(L1058="Meeting Requested",18,IF(L1058="Meeting Held",14,IF(L1058="Follow Up",10,5)))))+MIN(Q1058,30)+IF(S1058="DUE",15,IF(S1058="Next 3 Days",8,0))),0))</f>
        <v/>
      </c>
      <c r="AB1058" s="425">
        <f>IF(AND(AC1058="Active",OR(N1058="Tier 1",N1058="Tier 2"),OR(S1058="DUE",S1058="Next 3 Days")),"YES","")</f>
        <v/>
      </c>
      <c r="AC1058" s="425">
        <f>IF(L1058="Passed","Archived","Active")</f>
        <v/>
      </c>
    </row>
    <row r="1059">
      <c r="A1059" s="425" t="inlineStr">
        <is>
          <t>EXOS-1058</t>
        </is>
      </c>
      <c r="B1059" s="425" t="inlineStr">
        <is>
          <t>John - Investor Contacts</t>
        </is>
      </c>
      <c r="C1059" s="425" t="inlineStr">
        <is>
          <t>Financial Investor</t>
        </is>
      </c>
      <c r="D1059" s="425" t="inlineStr">
        <is>
          <t>Silverstein Capital</t>
        </is>
      </c>
      <c r="E1059" s="425" t="inlineStr">
        <is>
          <t>The team</t>
        </is>
      </c>
      <c r="F1059" s="425" t="inlineStr"/>
      <c r="G1059" s="111" t="inlineStr">
        <is>
          <t>reception@silvprop.com</t>
        </is>
      </c>
      <c r="H1059" s="425" t="inlineStr"/>
      <c r="I1059" s="425" t="inlineStr"/>
      <c r="J1059" s="425" t="inlineStr"/>
      <c r="K1059" s="426" t="inlineStr">
        <is>
          <t>John Quinn</t>
        </is>
      </c>
      <c r="L1059" s="426" t="inlineStr">
        <is>
          <t>Contacted</t>
        </is>
      </c>
      <c r="M1059" s="425" t="inlineStr">
        <is>
          <t>Space / Defense / Aerospace / Advanced Manufacturing</t>
        </is>
      </c>
      <c r="N1059" s="426" t="inlineStr">
        <is>
          <t>Tier 2</t>
        </is>
      </c>
      <c r="O1059" s="441" t="n">
        <v>46045</v>
      </c>
      <c r="P1059" s="441" t="n">
        <v>46045</v>
      </c>
      <c r="Q1059" s="425">
        <f>IF(P1059="","",TODAY()-P1059)</f>
        <v/>
      </c>
      <c r="R1059" s="441">
        <f>IF(OR(L1059="Passed",Z1059=""),"",P1059+Z1059)</f>
        <v/>
      </c>
      <c r="S1059" s="425">
        <f>IF(OR(R1059="",L1059="Passed"),"",IF(R1059&lt;=TODAY(),"DUE",IF(R1059&lt;=TODAY()+3,"Next 3 Days","Later")))</f>
        <v/>
      </c>
      <c r="T1059" s="425" t="inlineStr"/>
      <c r="U1059" s="426" t="inlineStr"/>
      <c r="V1059" s="426" t="inlineStr"/>
      <c r="W1059" s="428" t="inlineStr">
        <is>
          <t xml:space="preserve"> |  | </t>
        </is>
      </c>
      <c r="X1059" s="425" t="inlineStr">
        <is>
          <t>John - Investor Contacts!936</t>
        </is>
      </c>
      <c r="Y1059" s="426" t="inlineStr">
        <is>
          <t>Send 1st follow-up and ask for 20-minute call</t>
        </is>
      </c>
      <c r="Z1059" s="425" t="n">
        <v>3</v>
      </c>
      <c r="AA1059" s="425">
        <f>IF(AC1059="Archived",0,ROUND((IF(N1059="Tier 1",35,IF(N1059="Tier 2",20,8))+IF(C1059="Financial Investor",15,IF(C1059="Intermediary / Banker",12,8))+IF(L1059="Term Sheet / Proposal",25,IF(L1059="Engaged",20,IF(L1059="Meeting Requested",18,IF(L1059="Meeting Held",14,IF(L1059="Follow Up",10,5)))))+MIN(Q1059,30)+IF(S1059="DUE",15,IF(S1059="Next 3 Days",8,0))),0))</f>
        <v/>
      </c>
      <c r="AB1059" s="425">
        <f>IF(AND(AC1059="Active",OR(N1059="Tier 1",N1059="Tier 2"),OR(S1059="DUE",S1059="Next 3 Days")),"YES","")</f>
        <v/>
      </c>
      <c r="AC1059" s="425">
        <f>IF(L1059="Passed","Archived","Active")</f>
        <v/>
      </c>
    </row>
    <row r="1060">
      <c r="A1060" s="425" t="inlineStr">
        <is>
          <t>EXOS-1059</t>
        </is>
      </c>
      <c r="B1060" s="425" t="inlineStr">
        <is>
          <t>John - Investor Contacts</t>
        </is>
      </c>
      <c r="C1060" s="425" t="inlineStr">
        <is>
          <t>Financial Investor</t>
        </is>
      </c>
      <c r="D1060" s="425" t="inlineStr">
        <is>
          <t>Silverton Partners</t>
        </is>
      </c>
      <c r="E1060" s="425" t="inlineStr">
        <is>
          <t>Silverton Partners Group</t>
        </is>
      </c>
      <c r="F1060" s="425" t="inlineStr"/>
      <c r="G1060" s="111" t="inlineStr">
        <is>
          <t>businessplans@silvertonpartners.com</t>
        </is>
      </c>
      <c r="H1060" s="425" t="inlineStr"/>
      <c r="I1060" s="425" t="inlineStr"/>
      <c r="J1060" s="425" t="inlineStr"/>
      <c r="K1060" s="426" t="inlineStr">
        <is>
          <t>John Quinn</t>
        </is>
      </c>
      <c r="L1060" s="426" t="inlineStr">
        <is>
          <t>Contacted</t>
        </is>
      </c>
      <c r="M1060" s="425" t="inlineStr">
        <is>
          <t>Space / Defense / Aerospace / Advanced Manufacturing</t>
        </is>
      </c>
      <c r="N1060" s="426" t="inlineStr">
        <is>
          <t>Tier 2</t>
        </is>
      </c>
      <c r="O1060" s="441" t="n">
        <v>45807</v>
      </c>
      <c r="P1060" s="441" t="n">
        <v>45807</v>
      </c>
      <c r="Q1060" s="425">
        <f>IF(P1060="","",TODAY()-P1060)</f>
        <v/>
      </c>
      <c r="R1060" s="441">
        <f>IF(OR(L1060="Passed",Z1060=""),"",P1060+Z1060)</f>
        <v/>
      </c>
      <c r="S1060" s="425">
        <f>IF(OR(R1060="",L1060="Passed"),"",IF(R1060&lt;=TODAY(),"DUE",IF(R1060&lt;=TODAY()+3,"Next 3 Days","Later")))</f>
        <v/>
      </c>
      <c r="T1060" s="425" t="inlineStr"/>
      <c r="U1060" s="426" t="inlineStr"/>
      <c r="V1060" s="426" t="inlineStr"/>
      <c r="W1060" s="428" t="inlineStr">
        <is>
          <t xml:space="preserve"> |  | </t>
        </is>
      </c>
      <c r="X1060" s="425" t="inlineStr">
        <is>
          <t>John - Investor Contacts!96</t>
        </is>
      </c>
      <c r="Y1060" s="426" t="inlineStr">
        <is>
          <t>Send 1st follow-up and ask for 20-minute call</t>
        </is>
      </c>
      <c r="Z1060" s="425" t="n">
        <v>3</v>
      </c>
      <c r="AA1060" s="425">
        <f>IF(AC1060="Archived",0,ROUND((IF(N1060="Tier 1",35,IF(N1060="Tier 2",20,8))+IF(C1060="Financial Investor",15,IF(C1060="Intermediary / Banker",12,8))+IF(L1060="Term Sheet / Proposal",25,IF(L1060="Engaged",20,IF(L1060="Meeting Requested",18,IF(L1060="Meeting Held",14,IF(L1060="Follow Up",10,5)))))+MIN(Q1060,30)+IF(S1060="DUE",15,IF(S1060="Next 3 Days",8,0))),0))</f>
        <v/>
      </c>
      <c r="AB1060" s="425">
        <f>IF(AND(AC1060="Active",OR(N1060="Tier 1",N1060="Tier 2"),OR(S1060="DUE",S1060="Next 3 Days")),"YES","")</f>
        <v/>
      </c>
      <c r="AC1060" s="425">
        <f>IF(L1060="Passed","Archived","Active")</f>
        <v/>
      </c>
    </row>
    <row r="1061">
      <c r="A1061" s="425" t="inlineStr">
        <is>
          <t>EXOS-1060</t>
        </is>
      </c>
      <c r="B1061" s="425" t="inlineStr">
        <is>
          <t>John - Investor Contacts</t>
        </is>
      </c>
      <c r="C1061" s="425" t="inlineStr">
        <is>
          <t>Financial Investor</t>
        </is>
      </c>
      <c r="D1061" s="425" t="inlineStr">
        <is>
          <t>Sky Bridge</t>
        </is>
      </c>
      <c r="E1061" s="425" t="inlineStr">
        <is>
          <t>Anthony Scaramucci</t>
        </is>
      </c>
      <c r="F1061" s="425" t="inlineStr"/>
      <c r="G1061" s="111" t="inlineStr">
        <is>
          <t>ascaramucci@skybridge.com</t>
        </is>
      </c>
      <c r="H1061" s="425" t="inlineStr"/>
      <c r="I1061" s="425" t="inlineStr"/>
      <c r="J1061" s="111" t="inlineStr">
        <is>
          <t>https://www.linkedin.com/in/anscaramucci</t>
        </is>
      </c>
      <c r="K1061" s="426" t="inlineStr">
        <is>
          <t>John Quinn</t>
        </is>
      </c>
      <c r="L1061" s="426" t="inlineStr">
        <is>
          <t>Contacted</t>
        </is>
      </c>
      <c r="M1061" s="425" t="inlineStr">
        <is>
          <t>Space / Defense / Aerospace / Advanced Manufacturing</t>
        </is>
      </c>
      <c r="N1061" s="426" t="inlineStr">
        <is>
          <t>Tier 2</t>
        </is>
      </c>
      <c r="O1061" s="441" t="n">
        <v>46046</v>
      </c>
      <c r="P1061" s="441" t="n">
        <v>46046</v>
      </c>
      <c r="Q1061" s="425">
        <f>IF(P1061="","",TODAY()-P1061)</f>
        <v/>
      </c>
      <c r="R1061" s="441">
        <f>IF(OR(L1061="Passed",Z1061=""),"",P1061+Z1061)</f>
        <v/>
      </c>
      <c r="S1061" s="425">
        <f>IF(OR(R1061="",L1061="Passed"),"",IF(R1061&lt;=TODAY(),"DUE",IF(R1061&lt;=TODAY()+3,"Next 3 Days","Later")))</f>
        <v/>
      </c>
      <c r="T1061" s="425" t="inlineStr"/>
      <c r="U1061" s="426" t="inlineStr">
        <is>
          <t>https://www.linkedin.com/in/anscaramucci</t>
        </is>
      </c>
      <c r="V1061" s="426" t="inlineStr"/>
      <c r="W1061" s="428" t="inlineStr">
        <is>
          <t xml:space="preserve"> |  | </t>
        </is>
      </c>
      <c r="X1061" s="425" t="inlineStr">
        <is>
          <t>John - Investor Contacts!941</t>
        </is>
      </c>
      <c r="Y1061" s="426" t="inlineStr">
        <is>
          <t>Send 1st follow-up and ask for 20-minute call</t>
        </is>
      </c>
      <c r="Z1061" s="425" t="n">
        <v>3</v>
      </c>
      <c r="AA1061" s="425">
        <f>IF(AC1061="Archived",0,ROUND((IF(N1061="Tier 1",35,IF(N1061="Tier 2",20,8))+IF(C1061="Financial Investor",15,IF(C1061="Intermediary / Banker",12,8))+IF(L1061="Term Sheet / Proposal",25,IF(L1061="Engaged",20,IF(L1061="Meeting Requested",18,IF(L1061="Meeting Held",14,IF(L1061="Follow Up",10,5)))))+MIN(Q1061,30)+IF(S1061="DUE",15,IF(S1061="Next 3 Days",8,0))),0))</f>
        <v/>
      </c>
      <c r="AB1061" s="425">
        <f>IF(AND(AC1061="Active",OR(N1061="Tier 1",N1061="Tier 2"),OR(S1061="DUE",S1061="Next 3 Days")),"YES","")</f>
        <v/>
      </c>
      <c r="AC1061" s="425">
        <f>IF(L1061="Passed","Archived","Active")</f>
        <v/>
      </c>
    </row>
    <row r="1062">
      <c r="A1062" s="425" t="inlineStr">
        <is>
          <t>EXOS-1061</t>
        </is>
      </c>
      <c r="B1062" s="425" t="inlineStr">
        <is>
          <t>John - Investor Contacts</t>
        </is>
      </c>
      <c r="C1062" s="425" t="inlineStr">
        <is>
          <t>Financial Investor</t>
        </is>
      </c>
      <c r="D1062" s="425" t="inlineStr">
        <is>
          <t>Sky Bridge</t>
        </is>
      </c>
      <c r="E1062" s="425" t="inlineStr">
        <is>
          <t>Daniel Barile</t>
        </is>
      </c>
      <c r="F1062" s="425" t="inlineStr"/>
      <c r="G1062" s="111" t="inlineStr">
        <is>
          <t>dbarile@skybridge.com</t>
        </is>
      </c>
      <c r="H1062" s="425" t="inlineStr"/>
      <c r="I1062" s="425" t="inlineStr"/>
      <c r="J1062" s="111" t="inlineStr">
        <is>
          <t>https://www.linkedin.com/in/daniel-barile/</t>
        </is>
      </c>
      <c r="K1062" s="426" t="inlineStr">
        <is>
          <t>John Quinn</t>
        </is>
      </c>
      <c r="L1062" s="426" t="inlineStr">
        <is>
          <t>Contacted</t>
        </is>
      </c>
      <c r="M1062" s="425" t="inlineStr">
        <is>
          <t>Space / Defense / Aerospace / Advanced Manufacturing</t>
        </is>
      </c>
      <c r="N1062" s="426" t="inlineStr">
        <is>
          <t>Tier 2</t>
        </is>
      </c>
      <c r="O1062" s="441" t="n">
        <v>46046</v>
      </c>
      <c r="P1062" s="441" t="n">
        <v>46046</v>
      </c>
      <c r="Q1062" s="425">
        <f>IF(P1062="","",TODAY()-P1062)</f>
        <v/>
      </c>
      <c r="R1062" s="441">
        <f>IF(OR(L1062="Passed",Z1062=""),"",P1062+Z1062)</f>
        <v/>
      </c>
      <c r="S1062" s="425">
        <f>IF(OR(R1062="",L1062="Passed"),"",IF(R1062&lt;=TODAY(),"DUE",IF(R1062&lt;=TODAY()+3,"Next 3 Days","Later")))</f>
        <v/>
      </c>
      <c r="T1062" s="425" t="inlineStr"/>
      <c r="U1062" s="426" t="inlineStr">
        <is>
          <t>https://www.linkedin.com/in/daniel-barile/</t>
        </is>
      </c>
      <c r="V1062" s="426" t="inlineStr"/>
      <c r="W1062" s="428" t="inlineStr">
        <is>
          <t xml:space="preserve"> |  | </t>
        </is>
      </c>
      <c r="X1062" s="425" t="inlineStr">
        <is>
          <t>John - Investor Contacts!938</t>
        </is>
      </c>
      <c r="Y1062" s="426" t="inlineStr">
        <is>
          <t>Send 1st follow-up and ask for 20-minute call</t>
        </is>
      </c>
      <c r="Z1062" s="425" t="n">
        <v>3</v>
      </c>
      <c r="AA1062" s="425">
        <f>IF(AC1062="Archived",0,ROUND((IF(N1062="Tier 1",35,IF(N1062="Tier 2",20,8))+IF(C1062="Financial Investor",15,IF(C1062="Intermediary / Banker",12,8))+IF(L1062="Term Sheet / Proposal",25,IF(L1062="Engaged",20,IF(L1062="Meeting Requested",18,IF(L1062="Meeting Held",14,IF(L1062="Follow Up",10,5)))))+MIN(Q1062,30)+IF(S1062="DUE",15,IF(S1062="Next 3 Days",8,0))),0))</f>
        <v/>
      </c>
      <c r="AB1062" s="425">
        <f>IF(AND(AC1062="Active",OR(N1062="Tier 1",N1062="Tier 2"),OR(S1062="DUE",S1062="Next 3 Days")),"YES","")</f>
        <v/>
      </c>
      <c r="AC1062" s="425">
        <f>IF(L1062="Passed","Archived","Active")</f>
        <v/>
      </c>
    </row>
    <row r="1063">
      <c r="A1063" s="425" t="inlineStr">
        <is>
          <t>EXOS-1062</t>
        </is>
      </c>
      <c r="B1063" s="425" t="inlineStr">
        <is>
          <t>John - Investor Contacts</t>
        </is>
      </c>
      <c r="C1063" s="425" t="inlineStr">
        <is>
          <t>Financial Investor</t>
        </is>
      </c>
      <c r="D1063" s="425" t="inlineStr">
        <is>
          <t>Sky Bridge</t>
        </is>
      </c>
      <c r="E1063" s="425" t="inlineStr">
        <is>
          <t>John Darsie</t>
        </is>
      </c>
      <c r="F1063" s="425" t="inlineStr"/>
      <c r="G1063" s="111" t="inlineStr">
        <is>
          <t>jdarsie@skybridge.com</t>
        </is>
      </c>
      <c r="H1063" s="425" t="inlineStr"/>
      <c r="I1063" s="425" t="inlineStr"/>
      <c r="J1063" s="111" t="inlineStr">
        <is>
          <t>https://www.linkedin.com/in/john-darsie/</t>
        </is>
      </c>
      <c r="K1063" s="426" t="inlineStr">
        <is>
          <t>John Quinn</t>
        </is>
      </c>
      <c r="L1063" s="426" t="inlineStr">
        <is>
          <t>Contacted</t>
        </is>
      </c>
      <c r="M1063" s="425" t="inlineStr">
        <is>
          <t>Space / Defense / Aerospace / Advanced Manufacturing</t>
        </is>
      </c>
      <c r="N1063" s="426" t="inlineStr">
        <is>
          <t>Tier 2</t>
        </is>
      </c>
      <c r="O1063" s="441" t="n">
        <v>46046</v>
      </c>
      <c r="P1063" s="441" t="n">
        <v>46046</v>
      </c>
      <c r="Q1063" s="425">
        <f>IF(P1063="","",TODAY()-P1063)</f>
        <v/>
      </c>
      <c r="R1063" s="441">
        <f>IF(OR(L1063="Passed",Z1063=""),"",P1063+Z1063)</f>
        <v/>
      </c>
      <c r="S1063" s="425">
        <f>IF(OR(R1063="",L1063="Passed"),"",IF(R1063&lt;=TODAY(),"DUE",IF(R1063&lt;=TODAY()+3,"Next 3 Days","Later")))</f>
        <v/>
      </c>
      <c r="T1063" s="425" t="inlineStr"/>
      <c r="U1063" s="426" t="inlineStr">
        <is>
          <t>https://www.linkedin.com/in/john-darsie/</t>
        </is>
      </c>
      <c r="V1063" s="426" t="inlineStr"/>
      <c r="W1063" s="428" t="inlineStr">
        <is>
          <t xml:space="preserve"> |  | </t>
        </is>
      </c>
      <c r="X1063" s="425" t="inlineStr">
        <is>
          <t>John - Investor Contacts!940</t>
        </is>
      </c>
      <c r="Y1063" s="426" t="inlineStr">
        <is>
          <t>Send 1st follow-up and ask for 20-minute call</t>
        </is>
      </c>
      <c r="Z1063" s="425" t="n">
        <v>3</v>
      </c>
      <c r="AA1063" s="425">
        <f>IF(AC1063="Archived",0,ROUND((IF(N1063="Tier 1",35,IF(N1063="Tier 2",20,8))+IF(C1063="Financial Investor",15,IF(C1063="Intermediary / Banker",12,8))+IF(L1063="Term Sheet / Proposal",25,IF(L1063="Engaged",20,IF(L1063="Meeting Requested",18,IF(L1063="Meeting Held",14,IF(L1063="Follow Up",10,5)))))+MIN(Q1063,30)+IF(S1063="DUE",15,IF(S1063="Next 3 Days",8,0))),0))</f>
        <v/>
      </c>
      <c r="AB1063" s="425">
        <f>IF(AND(AC1063="Active",OR(N1063="Tier 1",N1063="Tier 2"),OR(S1063="DUE",S1063="Next 3 Days")),"YES","")</f>
        <v/>
      </c>
      <c r="AC1063" s="425">
        <f>IF(L1063="Passed","Archived","Active")</f>
        <v/>
      </c>
    </row>
    <row r="1064">
      <c r="A1064" s="425" t="inlineStr">
        <is>
          <t>EXOS-1063</t>
        </is>
      </c>
      <c r="B1064" s="425" t="inlineStr">
        <is>
          <t>John - Investor Contacts</t>
        </is>
      </c>
      <c r="C1064" s="425" t="inlineStr">
        <is>
          <t>Financial Investor</t>
        </is>
      </c>
      <c r="D1064" s="425" t="inlineStr">
        <is>
          <t>Sky Bridge</t>
        </is>
      </c>
      <c r="E1064" s="425" t="inlineStr">
        <is>
          <t>Ray Nolte</t>
        </is>
      </c>
      <c r="F1064" s="425" t="inlineStr"/>
      <c r="G1064" s="111" t="inlineStr">
        <is>
          <t>rnolte@skybridge.com</t>
        </is>
      </c>
      <c r="H1064" s="425" t="inlineStr"/>
      <c r="I1064" s="425" t="inlineStr"/>
      <c r="J1064" s="111" t="inlineStr">
        <is>
          <t>https://www.linkedin.com/in/ray-nolte-945b4a23</t>
        </is>
      </c>
      <c r="K1064" s="426" t="inlineStr">
        <is>
          <t>John Quinn</t>
        </is>
      </c>
      <c r="L1064" s="426" t="inlineStr">
        <is>
          <t>Contacted</t>
        </is>
      </c>
      <c r="M1064" s="425" t="inlineStr">
        <is>
          <t>Space / Defense / Aerospace / Advanced Manufacturing</t>
        </is>
      </c>
      <c r="N1064" s="426" t="inlineStr">
        <is>
          <t>Tier 2</t>
        </is>
      </c>
      <c r="O1064" s="441" t="n">
        <v>46046</v>
      </c>
      <c r="P1064" s="441" t="n">
        <v>46046</v>
      </c>
      <c r="Q1064" s="425">
        <f>IF(P1064="","",TODAY()-P1064)</f>
        <v/>
      </c>
      <c r="R1064" s="441">
        <f>IF(OR(L1064="Passed",Z1064=""),"",P1064+Z1064)</f>
        <v/>
      </c>
      <c r="S1064" s="425">
        <f>IF(OR(R1064="",L1064="Passed"),"",IF(R1064&lt;=TODAY(),"DUE",IF(R1064&lt;=TODAY()+3,"Next 3 Days","Later")))</f>
        <v/>
      </c>
      <c r="T1064" s="425" t="inlineStr"/>
      <c r="U1064" s="426" t="inlineStr">
        <is>
          <t>https://www.linkedin.com/in/ray-nolte-945b4a23</t>
        </is>
      </c>
      <c r="V1064" s="426" t="inlineStr"/>
      <c r="W1064" s="428" t="inlineStr">
        <is>
          <t xml:space="preserve"> |  | </t>
        </is>
      </c>
      <c r="X1064" s="425" t="inlineStr">
        <is>
          <t>John - Investor Contacts!939</t>
        </is>
      </c>
      <c r="Y1064" s="426" t="inlineStr">
        <is>
          <t>Send 1st follow-up and ask for 20-minute call</t>
        </is>
      </c>
      <c r="Z1064" s="425" t="n">
        <v>3</v>
      </c>
      <c r="AA1064" s="425">
        <f>IF(AC1064="Archived",0,ROUND((IF(N1064="Tier 1",35,IF(N1064="Tier 2",20,8))+IF(C1064="Financial Investor",15,IF(C1064="Intermediary / Banker",12,8))+IF(L1064="Term Sheet / Proposal",25,IF(L1064="Engaged",20,IF(L1064="Meeting Requested",18,IF(L1064="Meeting Held",14,IF(L1064="Follow Up",10,5)))))+MIN(Q1064,30)+IF(S1064="DUE",15,IF(S1064="Next 3 Days",8,0))),0))</f>
        <v/>
      </c>
      <c r="AB1064" s="425">
        <f>IF(AND(AC1064="Active",OR(N1064="Tier 1",N1064="Tier 2"),OR(S1064="DUE",S1064="Next 3 Days")),"YES","")</f>
        <v/>
      </c>
      <c r="AC1064" s="425">
        <f>IF(L1064="Passed","Archived","Active")</f>
        <v/>
      </c>
    </row>
    <row r="1065">
      <c r="A1065" s="425" t="inlineStr">
        <is>
          <t>EXOS-1064</t>
        </is>
      </c>
      <c r="B1065" s="425" t="inlineStr">
        <is>
          <t>John - Investor Contacts</t>
        </is>
      </c>
      <c r="C1065" s="425" t="inlineStr">
        <is>
          <t>Financial Investor</t>
        </is>
      </c>
      <c r="D1065" s="425" t="inlineStr">
        <is>
          <t>Space Technology Holdings</t>
        </is>
      </c>
      <c r="E1065" s="425" t="inlineStr">
        <is>
          <t>Richard Godwin</t>
        </is>
      </c>
      <c r="F1065" s="425" t="inlineStr"/>
      <c r="G1065" s="111" t="inlineStr">
        <is>
          <t>richard@starbridgevc.com</t>
        </is>
      </c>
      <c r="H1065" s="425" t="inlineStr"/>
      <c r="I1065" s="425" t="inlineStr"/>
      <c r="J1065" s="425" t="inlineStr"/>
      <c r="K1065" s="426" t="inlineStr">
        <is>
          <t>John Quinn</t>
        </is>
      </c>
      <c r="L1065" s="426" t="inlineStr">
        <is>
          <t>Contacted</t>
        </is>
      </c>
      <c r="M1065" s="425" t="inlineStr">
        <is>
          <t>Space / Defense / Aerospace / Advanced Manufacturing</t>
        </is>
      </c>
      <c r="N1065" s="426" t="inlineStr">
        <is>
          <t>Tier 2</t>
        </is>
      </c>
      <c r="O1065" s="441" t="n">
        <v>45951</v>
      </c>
      <c r="P1065" s="441" t="n">
        <v>45951</v>
      </c>
      <c r="Q1065" s="425">
        <f>IF(P1065="","",TODAY()-P1065)</f>
        <v/>
      </c>
      <c r="R1065" s="441">
        <f>IF(OR(L1065="Passed",Z1065=""),"",P1065+Z1065)</f>
        <v/>
      </c>
      <c r="S1065" s="425">
        <f>IF(OR(R1065="",L1065="Passed"),"",IF(R1065&lt;=TODAY(),"DUE",IF(R1065&lt;=TODAY()+3,"Next 3 Days","Later")))</f>
        <v/>
      </c>
      <c r="T1065" s="425" t="inlineStr"/>
      <c r="U1065" s="426" t="inlineStr"/>
      <c r="V1065" s="426" t="inlineStr"/>
      <c r="W1065" s="428" t="inlineStr">
        <is>
          <t xml:space="preserve"> | 12/30/2025 | </t>
        </is>
      </c>
      <c r="X1065" s="425" t="inlineStr">
        <is>
          <t>John - Investor Contacts!784</t>
        </is>
      </c>
      <c r="Y1065" s="426" t="inlineStr">
        <is>
          <t>Send 1st follow-up and ask for 20-minute call</t>
        </is>
      </c>
      <c r="Z1065" s="425" t="n">
        <v>3</v>
      </c>
      <c r="AA1065" s="425">
        <f>IF(AC1065="Archived",0,ROUND((IF(N1065="Tier 1",35,IF(N1065="Tier 2",20,8))+IF(C1065="Financial Investor",15,IF(C1065="Intermediary / Banker",12,8))+IF(L1065="Term Sheet / Proposal",25,IF(L1065="Engaged",20,IF(L1065="Meeting Requested",18,IF(L1065="Meeting Held",14,IF(L1065="Follow Up",10,5)))))+MIN(Q1065,30)+IF(S1065="DUE",15,IF(S1065="Next 3 Days",8,0))),0))</f>
        <v/>
      </c>
      <c r="AB1065" s="425">
        <f>IF(AND(AC1065="Active",OR(N1065="Tier 1",N1065="Tier 2"),OR(S1065="DUE",S1065="Next 3 Days")),"YES","")</f>
        <v/>
      </c>
      <c r="AC1065" s="425">
        <f>IF(L1065="Passed","Archived","Active")</f>
        <v/>
      </c>
    </row>
    <row r="1066">
      <c r="A1066" s="425" t="inlineStr">
        <is>
          <t>EXOS-1065</t>
        </is>
      </c>
      <c r="B1066" s="425" t="inlineStr">
        <is>
          <t>Tank Contacts</t>
        </is>
      </c>
      <c r="C1066" s="425" t="inlineStr">
        <is>
          <t>Strategic / Corporate</t>
        </is>
      </c>
      <c r="D1066" s="425" t="inlineStr">
        <is>
          <t>Sr Operations Consultant</t>
        </is>
      </c>
      <c r="E1066" s="425" t="inlineStr">
        <is>
          <t>Mark Kern</t>
        </is>
      </c>
      <c r="F1066" s="425" t="inlineStr"/>
      <c r="G1066" s="111" t="inlineStr">
        <is>
          <t>mark.kern@calcasolutions.com</t>
        </is>
      </c>
      <c r="H1066" s="425" t="inlineStr"/>
      <c r="I1066" s="425" t="inlineStr"/>
      <c r="J1066" s="111" t="inlineStr">
        <is>
          <t>https://www.linkedin.com/in/mark-kern-15446b13/</t>
        </is>
      </c>
      <c r="K1066" s="426" t="inlineStr">
        <is>
          <t>John Quinn</t>
        </is>
      </c>
      <c r="L1066" s="426" t="inlineStr">
        <is>
          <t>Contacted</t>
        </is>
      </c>
      <c r="M1066" s="425" t="inlineStr">
        <is>
          <t>Strategic space / aerospace alignment</t>
        </is>
      </c>
      <c r="N1066" s="426" t="inlineStr">
        <is>
          <t>Tier 2</t>
        </is>
      </c>
      <c r="O1066" s="441" t="n">
        <v>45951</v>
      </c>
      <c r="P1066" s="441" t="n">
        <v>45951</v>
      </c>
      <c r="Q1066" s="425">
        <f>IF(P1066="","",TODAY()-P1066)</f>
        <v/>
      </c>
      <c r="R1066" s="441">
        <f>IF(OR(L1066="Passed",Z1066=""),"",P1066+Z1066)</f>
        <v/>
      </c>
      <c r="S1066" s="425">
        <f>IF(OR(R1066="",L1066="Passed"),"",IF(R1066&lt;=TODAY(),"DUE",IF(R1066&lt;=TODAY()+3,"Next 3 Days","Later")))</f>
        <v/>
      </c>
      <c r="T1066" s="425" t="inlineStr"/>
      <c r="U1066" s="426" t="inlineStr"/>
      <c r="V1066" s="426" t="inlineStr"/>
      <c r="W1066" s="428" t="inlineStr"/>
      <c r="X1066" s="425" t="inlineStr">
        <is>
          <t>Tank Contacts!21</t>
        </is>
      </c>
      <c r="Y1066" s="426" t="inlineStr">
        <is>
          <t>Send 1st follow-up and ask for 20-minute call</t>
        </is>
      </c>
      <c r="Z1066" s="425" t="n">
        <v>3</v>
      </c>
      <c r="AA1066" s="425">
        <f>IF(AC1066="Archived",0,ROUND((IF(N1066="Tier 1",35,IF(N1066="Tier 2",20,8))+IF(C1066="Financial Investor",15,IF(C1066="Intermediary / Banker",12,8))+IF(L1066="Term Sheet / Proposal",25,IF(L1066="Engaged",20,IF(L1066="Meeting Requested",18,IF(L1066="Meeting Held",14,IF(L1066="Follow Up",10,5)))))+MIN(Q1066,30)+IF(S1066="DUE",15,IF(S1066="Next 3 Days",8,0))),0))</f>
        <v/>
      </c>
      <c r="AB1066" s="425">
        <f>IF(AND(AC1066="Active",OR(N1066="Tier 1",N1066="Tier 2"),OR(S1066="DUE",S1066="Next 3 Days")),"YES","")</f>
        <v/>
      </c>
      <c r="AC1066" s="425">
        <f>IF(L1066="Passed","Archived","Active")</f>
        <v/>
      </c>
    </row>
    <row r="1067">
      <c r="A1067" s="425" t="inlineStr">
        <is>
          <t>EXOS-1066</t>
        </is>
      </c>
      <c r="B1067" s="425" t="inlineStr">
        <is>
          <t>John - Investor Contacts</t>
        </is>
      </c>
      <c r="C1067" s="425" t="inlineStr">
        <is>
          <t>Financial Investor</t>
        </is>
      </c>
      <c r="D1067" s="425" t="inlineStr">
        <is>
          <t>StartFast Ventures</t>
        </is>
      </c>
      <c r="E1067" s="425" t="inlineStr">
        <is>
          <t>the team</t>
        </is>
      </c>
      <c r="F1067" s="425" t="inlineStr"/>
      <c r="G1067" s="111" t="inlineStr">
        <is>
          <t>myco@startfastventures.com</t>
        </is>
      </c>
      <c r="H1067" s="425" t="inlineStr"/>
      <c r="I1067" s="425" t="inlineStr"/>
      <c r="J1067" s="425" t="inlineStr"/>
      <c r="K1067" s="426" t="inlineStr">
        <is>
          <t>John Quinn</t>
        </is>
      </c>
      <c r="L1067" s="426" t="inlineStr">
        <is>
          <t>Contacted</t>
        </is>
      </c>
      <c r="M1067" s="425" t="inlineStr">
        <is>
          <t>Space / Defense / Aerospace / Advanced Manufacturing</t>
        </is>
      </c>
      <c r="N1067" s="426" t="inlineStr">
        <is>
          <t>Tier 2</t>
        </is>
      </c>
      <c r="O1067" s="441" t="n">
        <v>45861</v>
      </c>
      <c r="P1067" s="441" t="n">
        <v>45861</v>
      </c>
      <c r="Q1067" s="425">
        <f>IF(P1067="","",TODAY()-P1067)</f>
        <v/>
      </c>
      <c r="R1067" s="441">
        <f>IF(OR(L1067="Passed",Z1067=""),"",P1067+Z1067)</f>
        <v/>
      </c>
      <c r="S1067" s="425">
        <f>IF(OR(R1067="",L1067="Passed"),"",IF(R1067&lt;=TODAY(),"DUE",IF(R1067&lt;=TODAY()+3,"Next 3 Days","Later")))</f>
        <v/>
      </c>
      <c r="T1067" s="425" t="inlineStr"/>
      <c r="U1067" s="426" t="inlineStr"/>
      <c r="V1067" s="426" t="inlineStr"/>
      <c r="W1067" s="428" t="inlineStr">
        <is>
          <t xml:space="preserve"> | 12/26/2025 | </t>
        </is>
      </c>
      <c r="X1067" s="425" t="inlineStr">
        <is>
          <t>John - Investor Contacts!348</t>
        </is>
      </c>
      <c r="Y1067" s="426" t="inlineStr">
        <is>
          <t>Send 1st follow-up and ask for 20-minute call</t>
        </is>
      </c>
      <c r="Z1067" s="425" t="n">
        <v>3</v>
      </c>
      <c r="AA1067" s="425">
        <f>IF(AC1067="Archived",0,ROUND((IF(N1067="Tier 1",35,IF(N1067="Tier 2",20,8))+IF(C1067="Financial Investor",15,IF(C1067="Intermediary / Banker",12,8))+IF(L1067="Term Sheet / Proposal",25,IF(L1067="Engaged",20,IF(L1067="Meeting Requested",18,IF(L1067="Meeting Held",14,IF(L1067="Follow Up",10,5)))))+MIN(Q1067,30)+IF(S1067="DUE",15,IF(S1067="Next 3 Days",8,0))),0))</f>
        <v/>
      </c>
      <c r="AB1067" s="425">
        <f>IF(AND(AC1067="Active",OR(N1067="Tier 1",N1067="Tier 2"),OR(S1067="DUE",S1067="Next 3 Days")),"YES","")</f>
        <v/>
      </c>
      <c r="AC1067" s="425">
        <f>IF(L1067="Passed","Archived","Active")</f>
        <v/>
      </c>
    </row>
    <row r="1068">
      <c r="A1068" s="425" t="inlineStr">
        <is>
          <t>EXOS-1067</t>
        </is>
      </c>
      <c r="B1068" s="425" t="inlineStr">
        <is>
          <t>John - Investor Contacts</t>
        </is>
      </c>
      <c r="C1068" s="425" t="inlineStr">
        <is>
          <t>Financial Investor</t>
        </is>
      </c>
      <c r="D1068" s="425" t="inlineStr">
        <is>
          <t>Stifel Financial</t>
        </is>
      </c>
      <c r="E1068" s="425" t="inlineStr">
        <is>
          <t>Mark Morrissette</t>
        </is>
      </c>
      <c r="F1068" s="425" t="inlineStr"/>
      <c r="G1068" s="111" t="inlineStr">
        <is>
          <t>mmorrissette@stifel.com</t>
        </is>
      </c>
      <c r="H1068" s="425" t="inlineStr"/>
      <c r="I1068" s="425" t="inlineStr"/>
      <c r="J1068" s="111" t="inlineStr">
        <is>
          <t>https://www.linkedin.com/in/markmorrissette/</t>
        </is>
      </c>
      <c r="K1068" s="426" t="inlineStr">
        <is>
          <t>John Quinn</t>
        </is>
      </c>
      <c r="L1068" s="426" t="inlineStr">
        <is>
          <t>Contacted</t>
        </is>
      </c>
      <c r="M1068" s="425" t="inlineStr">
        <is>
          <t>Space / Defense / Aerospace / Advanced Manufacturing</t>
        </is>
      </c>
      <c r="N1068" s="426" t="inlineStr">
        <is>
          <t>Tier 2</t>
        </is>
      </c>
      <c r="O1068" s="441" t="n">
        <v>45814</v>
      </c>
      <c r="P1068" s="441" t="n">
        <v>45814</v>
      </c>
      <c r="Q1068" s="425">
        <f>IF(P1068="","",TODAY()-P1068)</f>
        <v/>
      </c>
      <c r="R1068" s="441">
        <f>IF(OR(L1068="Passed",Z1068=""),"",P1068+Z1068)</f>
        <v/>
      </c>
      <c r="S1068" s="425">
        <f>IF(OR(R1068="",L1068="Passed"),"",IF(R1068&lt;=TODAY(),"DUE",IF(R1068&lt;=TODAY()+3,"Next 3 Days","Later")))</f>
        <v/>
      </c>
      <c r="T1068" s="425" t="inlineStr"/>
      <c r="U1068" s="426" t="inlineStr">
        <is>
          <t>https://www.linkedin.com/in/markmorrissette/</t>
        </is>
      </c>
      <c r="V1068" s="426" t="inlineStr"/>
      <c r="W1068" s="428" t="inlineStr">
        <is>
          <t xml:space="preserve"> | outside of their scope | </t>
        </is>
      </c>
      <c r="X1068" s="425" t="inlineStr">
        <is>
          <t>John - Investor Contacts!145</t>
        </is>
      </c>
      <c r="Y1068" s="426" t="inlineStr">
        <is>
          <t>Send 1st follow-up and ask for 20-minute call</t>
        </is>
      </c>
      <c r="Z1068" s="425" t="n">
        <v>3</v>
      </c>
      <c r="AA1068" s="425">
        <f>IF(AC1068="Archived",0,ROUND((IF(N1068="Tier 1",35,IF(N1068="Tier 2",20,8))+IF(C1068="Financial Investor",15,IF(C1068="Intermediary / Banker",12,8))+IF(L1068="Term Sheet / Proposal",25,IF(L1068="Engaged",20,IF(L1068="Meeting Requested",18,IF(L1068="Meeting Held",14,IF(L1068="Follow Up",10,5)))))+MIN(Q1068,30)+IF(S1068="DUE",15,IF(S1068="Next 3 Days",8,0))),0))</f>
        <v/>
      </c>
      <c r="AB1068" s="425">
        <f>IF(AND(AC1068="Active",OR(N1068="Tier 1",N1068="Tier 2"),OR(S1068="DUE",S1068="Next 3 Days")),"YES","")</f>
        <v/>
      </c>
      <c r="AC1068" s="425">
        <f>IF(L1068="Passed","Archived","Active")</f>
        <v/>
      </c>
    </row>
    <row r="1069">
      <c r="A1069" s="425" t="inlineStr">
        <is>
          <t>EXOS-1068</t>
        </is>
      </c>
      <c r="B1069" s="425" t="inlineStr">
        <is>
          <t>John - Investor Contacts</t>
        </is>
      </c>
      <c r="C1069" s="425" t="inlineStr">
        <is>
          <t>Financial Investor</t>
        </is>
      </c>
      <c r="D1069" s="425" t="inlineStr">
        <is>
          <t>Stride Capital</t>
        </is>
      </c>
      <c r="E1069" s="425" t="inlineStr">
        <is>
          <t>Don Rogers</t>
        </is>
      </c>
      <c r="F1069" s="425" t="inlineStr"/>
      <c r="G1069" s="111" t="inlineStr">
        <is>
          <t>drogers@stridecapital.com</t>
        </is>
      </c>
      <c r="H1069" s="425" t="inlineStr"/>
      <c r="I1069" s="425" t="inlineStr"/>
      <c r="J1069" s="425" t="inlineStr"/>
      <c r="K1069" s="426" t="inlineStr">
        <is>
          <t>John Quinn</t>
        </is>
      </c>
      <c r="L1069" s="426" t="inlineStr">
        <is>
          <t>Contacted</t>
        </is>
      </c>
      <c r="M1069" s="425" t="inlineStr">
        <is>
          <t>Space / Defense / Aerospace / Advanced Manufacturing</t>
        </is>
      </c>
      <c r="N1069" s="426" t="inlineStr">
        <is>
          <t>Tier 2</t>
        </is>
      </c>
      <c r="O1069" s="441" t="n">
        <v>46035</v>
      </c>
      <c r="P1069" s="441" t="n">
        <v>46035</v>
      </c>
      <c r="Q1069" s="425">
        <f>IF(P1069="","",TODAY()-P1069)</f>
        <v/>
      </c>
      <c r="R1069" s="441">
        <f>IF(OR(L1069="Passed",Z1069=""),"",P1069+Z1069)</f>
        <v/>
      </c>
      <c r="S1069" s="425">
        <f>IF(OR(R1069="",L1069="Passed"),"",IF(R1069&lt;=TODAY(),"DUE",IF(R1069&lt;=TODAY()+3,"Next 3 Days","Later")))</f>
        <v/>
      </c>
      <c r="T1069" s="425" t="inlineStr"/>
      <c r="U1069" s="426" t="inlineStr">
        <is>
          <t>linkedin.com/in/don-rogers-2364193a</t>
        </is>
      </c>
      <c r="V1069" s="426" t="inlineStr"/>
      <c r="W1069" s="428" t="inlineStr">
        <is>
          <t xml:space="preserve"> |  | </t>
        </is>
      </c>
      <c r="X1069" s="425" t="inlineStr">
        <is>
          <t>John - Investor Contacts!922</t>
        </is>
      </c>
      <c r="Y1069" s="426" t="inlineStr">
        <is>
          <t>Send 1st follow-up and ask for 20-minute call</t>
        </is>
      </c>
      <c r="Z1069" s="425" t="n">
        <v>3</v>
      </c>
      <c r="AA1069" s="425">
        <f>IF(AC1069="Archived",0,ROUND((IF(N1069="Tier 1",35,IF(N1069="Tier 2",20,8))+IF(C1069="Financial Investor",15,IF(C1069="Intermediary / Banker",12,8))+IF(L1069="Term Sheet / Proposal",25,IF(L1069="Engaged",20,IF(L1069="Meeting Requested",18,IF(L1069="Meeting Held",14,IF(L1069="Follow Up",10,5)))))+MIN(Q1069,30)+IF(S1069="DUE",15,IF(S1069="Next 3 Days",8,0))),0))</f>
        <v/>
      </c>
      <c r="AB1069" s="425">
        <f>IF(AND(AC1069="Active",OR(N1069="Tier 1",N1069="Tier 2"),OR(S1069="DUE",S1069="Next 3 Days")),"YES","")</f>
        <v/>
      </c>
      <c r="AC1069" s="425">
        <f>IF(L1069="Passed","Archived","Active")</f>
        <v/>
      </c>
    </row>
    <row r="1070">
      <c r="A1070" s="425" t="inlineStr">
        <is>
          <t>EXOS-1069</t>
        </is>
      </c>
      <c r="B1070" s="425" t="inlineStr">
        <is>
          <t>John - Investor Contacts</t>
        </is>
      </c>
      <c r="C1070" s="425" t="inlineStr">
        <is>
          <t>Financial Investor</t>
        </is>
      </c>
      <c r="D1070" s="425" t="inlineStr">
        <is>
          <t>Stride Capital</t>
        </is>
      </c>
      <c r="E1070" s="425" t="inlineStr">
        <is>
          <t>Jessica Tavarez</t>
        </is>
      </c>
      <c r="F1070" s="425" t="inlineStr"/>
      <c r="G1070" s="111" t="inlineStr">
        <is>
          <t>jtavarez@stridecapital.com</t>
        </is>
      </c>
      <c r="H1070" s="425" t="inlineStr"/>
      <c r="I1070" s="425" t="inlineStr"/>
      <c r="J1070" s="425" t="inlineStr"/>
      <c r="K1070" s="426" t="inlineStr">
        <is>
          <t>John Quinn</t>
        </is>
      </c>
      <c r="L1070" s="426" t="inlineStr">
        <is>
          <t>Contacted</t>
        </is>
      </c>
      <c r="M1070" s="425" t="inlineStr">
        <is>
          <t>Space / Defense / Aerospace / Advanced Manufacturing</t>
        </is>
      </c>
      <c r="N1070" s="426" t="inlineStr">
        <is>
          <t>Tier 2</t>
        </is>
      </c>
      <c r="O1070" s="441" t="n">
        <v>46035</v>
      </c>
      <c r="P1070" s="441" t="n">
        <v>46035</v>
      </c>
      <c r="Q1070" s="425">
        <f>IF(P1070="","",TODAY()-P1070)</f>
        <v/>
      </c>
      <c r="R1070" s="441">
        <f>IF(OR(L1070="Passed",Z1070=""),"",P1070+Z1070)</f>
        <v/>
      </c>
      <c r="S1070" s="425">
        <f>IF(OR(R1070="",L1070="Passed"),"",IF(R1070&lt;=TODAY(),"DUE",IF(R1070&lt;=TODAY()+3,"Next 3 Days","Later")))</f>
        <v/>
      </c>
      <c r="T1070" s="425" t="inlineStr"/>
      <c r="U1070" s="426" t="inlineStr">
        <is>
          <t>linkedin.com/in/tavarezj</t>
        </is>
      </c>
      <c r="V1070" s="426" t="inlineStr"/>
      <c r="W1070" s="428" t="inlineStr">
        <is>
          <t xml:space="preserve"> |  | </t>
        </is>
      </c>
      <c r="X1070" s="425" t="inlineStr">
        <is>
          <t>John - Investor Contacts!923</t>
        </is>
      </c>
      <c r="Y1070" s="426" t="inlineStr">
        <is>
          <t>Send 1st follow-up and ask for 20-minute call</t>
        </is>
      </c>
      <c r="Z1070" s="425" t="n">
        <v>3</v>
      </c>
      <c r="AA1070" s="425">
        <f>IF(AC1070="Archived",0,ROUND((IF(N1070="Tier 1",35,IF(N1070="Tier 2",20,8))+IF(C1070="Financial Investor",15,IF(C1070="Intermediary / Banker",12,8))+IF(L1070="Term Sheet / Proposal",25,IF(L1070="Engaged",20,IF(L1070="Meeting Requested",18,IF(L1070="Meeting Held",14,IF(L1070="Follow Up",10,5)))))+MIN(Q1070,30)+IF(S1070="DUE",15,IF(S1070="Next 3 Days",8,0))),0))</f>
        <v/>
      </c>
      <c r="AB1070" s="425">
        <f>IF(AND(AC1070="Active",OR(N1070="Tier 1",N1070="Tier 2"),OR(S1070="DUE",S1070="Next 3 Days")),"YES","")</f>
        <v/>
      </c>
      <c r="AC1070" s="425">
        <f>IF(L1070="Passed","Archived","Active")</f>
        <v/>
      </c>
    </row>
    <row r="1071">
      <c r="A1071" s="425" t="inlineStr">
        <is>
          <t>EXOS-1070</t>
        </is>
      </c>
      <c r="B1071" s="425" t="inlineStr">
        <is>
          <t>John - Investor Contacts</t>
        </is>
      </c>
      <c r="C1071" s="425" t="inlineStr">
        <is>
          <t>Financial Investor</t>
        </is>
      </c>
      <c r="D1071" s="425" t="inlineStr">
        <is>
          <t>TVV Capital</t>
        </is>
      </c>
      <c r="E1071" s="425" t="inlineStr">
        <is>
          <t>Andrew Byrd</t>
        </is>
      </c>
      <c r="F1071" s="425" t="inlineStr"/>
      <c r="G1071" s="111" t="inlineStr">
        <is>
          <t>andrew@tvvcapital.com</t>
        </is>
      </c>
      <c r="H1071" s="425" t="inlineStr"/>
      <c r="I1071" s="425" t="inlineStr"/>
      <c r="J1071" s="425" t="inlineStr"/>
      <c r="K1071" s="426" t="inlineStr">
        <is>
          <t>John Quinn</t>
        </is>
      </c>
      <c r="L1071" s="426" t="inlineStr">
        <is>
          <t>Contacted</t>
        </is>
      </c>
      <c r="M1071" s="425" t="inlineStr">
        <is>
          <t>Space / Defense / Aerospace / Advanced Manufacturing</t>
        </is>
      </c>
      <c r="N1071" s="426" t="inlineStr">
        <is>
          <t>Tier 2</t>
        </is>
      </c>
      <c r="O1071" s="441" t="n">
        <v>46036</v>
      </c>
      <c r="P1071" s="441" t="n">
        <v>46036</v>
      </c>
      <c r="Q1071" s="425">
        <f>IF(P1071="","",TODAY()-P1071)</f>
        <v/>
      </c>
      <c r="R1071" s="441">
        <f>IF(OR(L1071="Passed",Z1071=""),"",P1071+Z1071)</f>
        <v/>
      </c>
      <c r="S1071" s="425">
        <f>IF(OR(R1071="",L1071="Passed"),"",IF(R1071&lt;=TODAY(),"DUE",IF(R1071&lt;=TODAY()+3,"Next 3 Days","Later")))</f>
        <v/>
      </c>
      <c r="T1071" s="425" t="inlineStr"/>
      <c r="U1071" s="426" t="inlineStr">
        <is>
          <t>linkedin.com/in/andrew-byrd-3a021993</t>
        </is>
      </c>
      <c r="V1071" s="426" t="inlineStr"/>
      <c r="W1071" s="428" t="inlineStr">
        <is>
          <t xml:space="preserve"> |  | </t>
        </is>
      </c>
      <c r="X1071" s="425" t="inlineStr">
        <is>
          <t>John - Investor Contacts!924</t>
        </is>
      </c>
      <c r="Y1071" s="426" t="inlineStr">
        <is>
          <t>Send 1st follow-up and ask for 20-minute call</t>
        </is>
      </c>
      <c r="Z1071" s="425" t="n">
        <v>3</v>
      </c>
      <c r="AA1071" s="425">
        <f>IF(AC1071="Archived",0,ROUND((IF(N1071="Tier 1",35,IF(N1071="Tier 2",20,8))+IF(C1071="Financial Investor",15,IF(C1071="Intermediary / Banker",12,8))+IF(L1071="Term Sheet / Proposal",25,IF(L1071="Engaged",20,IF(L1071="Meeting Requested",18,IF(L1071="Meeting Held",14,IF(L1071="Follow Up",10,5)))))+MIN(Q1071,30)+IF(S1071="DUE",15,IF(S1071="Next 3 Days",8,0))),0))</f>
        <v/>
      </c>
      <c r="AB1071" s="425">
        <f>IF(AND(AC1071="Active",OR(N1071="Tier 1",N1071="Tier 2"),OR(S1071="DUE",S1071="Next 3 Days")),"YES","")</f>
        <v/>
      </c>
      <c r="AC1071" s="425">
        <f>IF(L1071="Passed","Archived","Active")</f>
        <v/>
      </c>
    </row>
    <row r="1072">
      <c r="A1072" s="425" t="inlineStr">
        <is>
          <t>EXOS-1071</t>
        </is>
      </c>
      <c r="B1072" s="425" t="inlineStr">
        <is>
          <t>John - Investor Contacts</t>
        </is>
      </c>
      <c r="C1072" s="425" t="inlineStr">
        <is>
          <t>Financial Investor</t>
        </is>
      </c>
      <c r="D1072" s="425" t="inlineStr">
        <is>
          <t>TVV Capital</t>
        </is>
      </c>
      <c r="E1072" s="425" t="inlineStr">
        <is>
          <t>Jim Cooper</t>
        </is>
      </c>
      <c r="F1072" s="425" t="inlineStr"/>
      <c r="G1072" s="111" t="inlineStr">
        <is>
          <t>jim@tvvcapital.com</t>
        </is>
      </c>
      <c r="H1072" s="425" t="inlineStr"/>
      <c r="I1072" s="425" t="inlineStr"/>
      <c r="J1072" s="111" t="inlineStr">
        <is>
          <t>https://www.linkedin.com/in/jim-cooper-b73b39276/</t>
        </is>
      </c>
      <c r="K1072" s="426" t="inlineStr">
        <is>
          <t>John Quinn</t>
        </is>
      </c>
      <c r="L1072" s="426" t="inlineStr">
        <is>
          <t>Contacted</t>
        </is>
      </c>
      <c r="M1072" s="425" t="inlineStr">
        <is>
          <t>Space / Defense / Aerospace / Advanced Manufacturing</t>
        </is>
      </c>
      <c r="N1072" s="426" t="inlineStr">
        <is>
          <t>Tier 2</t>
        </is>
      </c>
      <c r="O1072" s="441" t="n">
        <v>46036</v>
      </c>
      <c r="P1072" s="441" t="n">
        <v>46036</v>
      </c>
      <c r="Q1072" s="425">
        <f>IF(P1072="","",TODAY()-P1072)</f>
        <v/>
      </c>
      <c r="R1072" s="441">
        <f>IF(OR(L1072="Passed",Z1072=""),"",P1072+Z1072)</f>
        <v/>
      </c>
      <c r="S1072" s="425">
        <f>IF(OR(R1072="",L1072="Passed"),"",IF(R1072&lt;=TODAY(),"DUE",IF(R1072&lt;=TODAY()+3,"Next 3 Days","Later")))</f>
        <v/>
      </c>
      <c r="T1072" s="425" t="inlineStr"/>
      <c r="U1072" s="426" t="inlineStr">
        <is>
          <t>https://www.linkedin.com/in/jim-cooper-b73b39276/</t>
        </is>
      </c>
      <c r="V1072" s="426" t="inlineStr"/>
      <c r="W1072" s="428" t="inlineStr">
        <is>
          <t xml:space="preserve"> |  | </t>
        </is>
      </c>
      <c r="X1072" s="425" t="inlineStr">
        <is>
          <t>John - Investor Contacts!925</t>
        </is>
      </c>
      <c r="Y1072" s="426" t="inlineStr">
        <is>
          <t>Send 1st follow-up and ask for 20-minute call</t>
        </is>
      </c>
      <c r="Z1072" s="425" t="n">
        <v>3</v>
      </c>
      <c r="AA1072" s="425">
        <f>IF(AC1072="Archived",0,ROUND((IF(N1072="Tier 1",35,IF(N1072="Tier 2",20,8))+IF(C1072="Financial Investor",15,IF(C1072="Intermediary / Banker",12,8))+IF(L1072="Term Sheet / Proposal",25,IF(L1072="Engaged",20,IF(L1072="Meeting Requested",18,IF(L1072="Meeting Held",14,IF(L1072="Follow Up",10,5)))))+MIN(Q1072,30)+IF(S1072="DUE",15,IF(S1072="Next 3 Days",8,0))),0))</f>
        <v/>
      </c>
      <c r="AB1072" s="425">
        <f>IF(AND(AC1072="Active",OR(N1072="Tier 1",N1072="Tier 2"),OR(S1072="DUE",S1072="Next 3 Days")),"YES","")</f>
        <v/>
      </c>
      <c r="AC1072" s="425">
        <f>IF(L1072="Passed","Archived","Active")</f>
        <v/>
      </c>
    </row>
    <row r="1073">
      <c r="A1073" s="425" t="inlineStr">
        <is>
          <t>EXOS-1072</t>
        </is>
      </c>
      <c r="B1073" s="425" t="inlineStr">
        <is>
          <t>John - Investor Contacts</t>
        </is>
      </c>
      <c r="C1073" s="425" t="inlineStr">
        <is>
          <t>Financial Investor</t>
        </is>
      </c>
      <c r="D1073" s="425" t="inlineStr">
        <is>
          <t>TVV Capital</t>
        </is>
      </c>
      <c r="E1073" s="425" t="inlineStr">
        <is>
          <t>Stone Norton</t>
        </is>
      </c>
      <c r="F1073" s="425" t="inlineStr"/>
      <c r="G1073" s="111" t="inlineStr">
        <is>
          <t>stone@tvvcapital.com</t>
        </is>
      </c>
      <c r="H1073" s="425" t="inlineStr"/>
      <c r="I1073" s="425" t="inlineStr"/>
      <c r="J1073" s="111" t="inlineStr">
        <is>
          <t>https://www.linkedin.com/in/stone-norton</t>
        </is>
      </c>
      <c r="K1073" s="426" t="inlineStr">
        <is>
          <t>John Quinn</t>
        </is>
      </c>
      <c r="L1073" s="426" t="inlineStr">
        <is>
          <t>Contacted</t>
        </is>
      </c>
      <c r="M1073" s="425" t="inlineStr">
        <is>
          <t>Space / Defense / Aerospace / Advanced Manufacturing</t>
        </is>
      </c>
      <c r="N1073" s="426" t="inlineStr">
        <is>
          <t>Tier 2</t>
        </is>
      </c>
      <c r="O1073" s="441" t="n">
        <v>46036</v>
      </c>
      <c r="P1073" s="441" t="n">
        <v>46036</v>
      </c>
      <c r="Q1073" s="425">
        <f>IF(P1073="","",TODAY()-P1073)</f>
        <v/>
      </c>
      <c r="R1073" s="441">
        <f>IF(OR(L1073="Passed",Z1073=""),"",P1073+Z1073)</f>
        <v/>
      </c>
      <c r="S1073" s="425">
        <f>IF(OR(R1073="",L1073="Passed"),"",IF(R1073&lt;=TODAY(),"DUE",IF(R1073&lt;=TODAY()+3,"Next 3 Days","Later")))</f>
        <v/>
      </c>
      <c r="T1073" s="425" t="inlineStr"/>
      <c r="U1073" s="426" t="inlineStr">
        <is>
          <t>https://www.linkedin.com/in/stone-norton</t>
        </is>
      </c>
      <c r="V1073" s="426" t="inlineStr"/>
      <c r="W1073" s="428" t="inlineStr">
        <is>
          <t xml:space="preserve"> |  | </t>
        </is>
      </c>
      <c r="X1073" s="425" t="inlineStr">
        <is>
          <t>John - Investor Contacts!927</t>
        </is>
      </c>
      <c r="Y1073" s="426" t="inlineStr">
        <is>
          <t>Send 1st follow-up and ask for 20-minute call</t>
        </is>
      </c>
      <c r="Z1073" s="425" t="n">
        <v>3</v>
      </c>
      <c r="AA1073" s="425">
        <f>IF(AC1073="Archived",0,ROUND((IF(N1073="Tier 1",35,IF(N1073="Tier 2",20,8))+IF(C1073="Financial Investor",15,IF(C1073="Intermediary / Banker",12,8))+IF(L1073="Term Sheet / Proposal",25,IF(L1073="Engaged",20,IF(L1073="Meeting Requested",18,IF(L1073="Meeting Held",14,IF(L1073="Follow Up",10,5)))))+MIN(Q1073,30)+IF(S1073="DUE",15,IF(S1073="Next 3 Days",8,0))),0))</f>
        <v/>
      </c>
      <c r="AB1073" s="425">
        <f>IF(AND(AC1073="Active",OR(N1073="Tier 1",N1073="Tier 2"),OR(S1073="DUE",S1073="Next 3 Days")),"YES","")</f>
        <v/>
      </c>
      <c r="AC1073" s="425">
        <f>IF(L1073="Passed","Archived","Active")</f>
        <v/>
      </c>
    </row>
    <row r="1074">
      <c r="A1074" s="425" t="inlineStr">
        <is>
          <t>EXOS-1073</t>
        </is>
      </c>
      <c r="B1074" s="425" t="inlineStr">
        <is>
          <t>John - Investor Contacts</t>
        </is>
      </c>
      <c r="C1074" s="425" t="inlineStr">
        <is>
          <t>Financial Investor</t>
        </is>
      </c>
      <c r="D1074" s="425" t="inlineStr">
        <is>
          <t>TVV Capital</t>
        </is>
      </c>
      <c r="E1074" s="425" t="inlineStr">
        <is>
          <t>Troy Geuther</t>
        </is>
      </c>
      <c r="F1074" s="425" t="inlineStr"/>
      <c r="G1074" s="111" t="inlineStr">
        <is>
          <t>troy@tvvcapital.com</t>
        </is>
      </c>
      <c r="H1074" s="425" t="inlineStr"/>
      <c r="I1074" s="425" t="inlineStr"/>
      <c r="J1074" s="425" t="inlineStr"/>
      <c r="K1074" s="426" t="inlineStr">
        <is>
          <t>John Quinn</t>
        </is>
      </c>
      <c r="L1074" s="426" t="inlineStr">
        <is>
          <t>Contacted</t>
        </is>
      </c>
      <c r="M1074" s="425" t="inlineStr">
        <is>
          <t>Space / Defense / Aerospace / Advanced Manufacturing</t>
        </is>
      </c>
      <c r="N1074" s="426" t="inlineStr">
        <is>
          <t>Tier 2</t>
        </is>
      </c>
      <c r="O1074" s="441" t="n">
        <v>46036</v>
      </c>
      <c r="P1074" s="441" t="n">
        <v>46036</v>
      </c>
      <c r="Q1074" s="425">
        <f>IF(P1074="","",TODAY()-P1074)</f>
        <v/>
      </c>
      <c r="R1074" s="441">
        <f>IF(OR(L1074="Passed",Z1074=""),"",P1074+Z1074)</f>
        <v/>
      </c>
      <c r="S1074" s="425">
        <f>IF(OR(R1074="",L1074="Passed"),"",IF(R1074&lt;=TODAY(),"DUE",IF(R1074&lt;=TODAY()+3,"Next 3 Days","Later")))</f>
        <v/>
      </c>
      <c r="T1074" s="425" t="inlineStr"/>
      <c r="U1074" s="426" t="inlineStr">
        <is>
          <t>linkedin.com/in/troygeuther</t>
        </is>
      </c>
      <c r="V1074" s="426" t="inlineStr"/>
      <c r="W1074" s="428" t="inlineStr">
        <is>
          <t xml:space="preserve"> |  | </t>
        </is>
      </c>
      <c r="X1074" s="425" t="inlineStr">
        <is>
          <t>John - Investor Contacts!926</t>
        </is>
      </c>
      <c r="Y1074" s="426" t="inlineStr">
        <is>
          <t>Send 1st follow-up and ask for 20-minute call</t>
        </is>
      </c>
      <c r="Z1074" s="425" t="n">
        <v>3</v>
      </c>
      <c r="AA1074" s="425">
        <f>IF(AC1074="Archived",0,ROUND((IF(N1074="Tier 1",35,IF(N1074="Tier 2",20,8))+IF(C1074="Financial Investor",15,IF(C1074="Intermediary / Banker",12,8))+IF(L1074="Term Sheet / Proposal",25,IF(L1074="Engaged",20,IF(L1074="Meeting Requested",18,IF(L1074="Meeting Held",14,IF(L1074="Follow Up",10,5)))))+MIN(Q1074,30)+IF(S1074="DUE",15,IF(S1074="Next 3 Days",8,0))),0))</f>
        <v/>
      </c>
      <c r="AB1074" s="425">
        <f>IF(AND(AC1074="Active",OR(N1074="Tier 1",N1074="Tier 2"),OR(S1074="DUE",S1074="Next 3 Days")),"YES","")</f>
        <v/>
      </c>
      <c r="AC1074" s="425">
        <f>IF(L1074="Passed","Archived","Active")</f>
        <v/>
      </c>
    </row>
    <row r="1075">
      <c r="A1075" s="425" t="inlineStr">
        <is>
          <t>EXOS-1074</t>
        </is>
      </c>
      <c r="B1075" s="425" t="inlineStr">
        <is>
          <t>John - Investor Contacts</t>
        </is>
      </c>
      <c r="C1075" s="425" t="inlineStr">
        <is>
          <t>Financial Investor</t>
        </is>
      </c>
      <c r="D1075" s="425" t="inlineStr">
        <is>
          <t>Team 8</t>
        </is>
      </c>
      <c r="E1075" s="425" t="inlineStr">
        <is>
          <t>Liran Grinberg</t>
        </is>
      </c>
      <c r="F1075" s="425" t="inlineStr"/>
      <c r="G1075" s="111" t="inlineStr">
        <is>
          <t>liran@team8.vc</t>
        </is>
      </c>
      <c r="H1075" s="425" t="inlineStr"/>
      <c r="I1075" s="425" t="inlineStr"/>
      <c r="J1075" s="111" t="inlineStr">
        <is>
          <t>https://www.linkedin.com/in/lirangr</t>
        </is>
      </c>
      <c r="K1075" s="426" t="inlineStr">
        <is>
          <t>John Quinn</t>
        </is>
      </c>
      <c r="L1075" s="426" t="inlineStr">
        <is>
          <t>Contacted</t>
        </is>
      </c>
      <c r="M1075" s="425" t="inlineStr">
        <is>
          <t>Space / Defense / Aerospace / Advanced Manufacturing</t>
        </is>
      </c>
      <c r="N1075" s="426" t="inlineStr">
        <is>
          <t>Tier 2</t>
        </is>
      </c>
      <c r="O1075" s="441" t="n">
        <v>46045</v>
      </c>
      <c r="P1075" s="441" t="n">
        <v>46045</v>
      </c>
      <c r="Q1075" s="425">
        <f>IF(P1075="","",TODAY()-P1075)</f>
        <v/>
      </c>
      <c r="R1075" s="441">
        <f>IF(OR(L1075="Passed",Z1075=""),"",P1075+Z1075)</f>
        <v/>
      </c>
      <c r="S1075" s="425">
        <f>IF(OR(R1075="",L1075="Passed"),"",IF(R1075&lt;=TODAY(),"DUE",IF(R1075&lt;=TODAY()+3,"Next 3 Days","Later")))</f>
        <v/>
      </c>
      <c r="T1075" s="425" t="inlineStr"/>
      <c r="U1075" s="426" t="inlineStr">
        <is>
          <t>https://www.linkedin.com/in/lirangr</t>
        </is>
      </c>
      <c r="V1075" s="426" t="inlineStr"/>
      <c r="W1075" s="428" t="inlineStr">
        <is>
          <t xml:space="preserve"> |  | </t>
        </is>
      </c>
      <c r="X1075" s="425" t="inlineStr">
        <is>
          <t>John - Investor Contacts!933</t>
        </is>
      </c>
      <c r="Y1075" s="426" t="inlineStr">
        <is>
          <t>Send 1st follow-up and ask for 20-minute call</t>
        </is>
      </c>
      <c r="Z1075" s="425" t="n">
        <v>3</v>
      </c>
      <c r="AA1075" s="425">
        <f>IF(AC1075="Archived",0,ROUND((IF(N1075="Tier 1",35,IF(N1075="Tier 2",20,8))+IF(C1075="Financial Investor",15,IF(C1075="Intermediary / Banker",12,8))+IF(L1075="Term Sheet / Proposal",25,IF(L1075="Engaged",20,IF(L1075="Meeting Requested",18,IF(L1075="Meeting Held",14,IF(L1075="Follow Up",10,5)))))+MIN(Q1075,30)+IF(S1075="DUE",15,IF(S1075="Next 3 Days",8,0))),0))</f>
        <v/>
      </c>
      <c r="AB1075" s="425">
        <f>IF(AND(AC1075="Active",OR(N1075="Tier 1",N1075="Tier 2"),OR(S1075="DUE",S1075="Next 3 Days")),"YES","")</f>
        <v/>
      </c>
      <c r="AC1075" s="425">
        <f>IF(L1075="Passed","Archived","Active")</f>
        <v/>
      </c>
    </row>
    <row r="1076">
      <c r="A1076" s="425" t="inlineStr">
        <is>
          <t>EXOS-1075</t>
        </is>
      </c>
      <c r="B1076" s="425" t="inlineStr">
        <is>
          <t>John - Investor Contacts</t>
        </is>
      </c>
      <c r="C1076" s="425" t="inlineStr">
        <is>
          <t>Financial Investor</t>
        </is>
      </c>
      <c r="D1076" s="425" t="inlineStr">
        <is>
          <t>Team 8</t>
        </is>
      </c>
      <c r="E1076" s="425" t="inlineStr">
        <is>
          <t>Rakefet Russak-Aminoach</t>
        </is>
      </c>
      <c r="F1076" s="425" t="inlineStr"/>
      <c r="G1076" s="111" t="inlineStr">
        <is>
          <t>rakefet@team8.vc</t>
        </is>
      </c>
      <c r="H1076" s="425" t="inlineStr"/>
      <c r="I1076" s="425" t="inlineStr"/>
      <c r="J1076" s="111" t="inlineStr">
        <is>
          <t>https://www.linkedin.com/in/rakefet-russak-aminoach</t>
        </is>
      </c>
      <c r="K1076" s="426" t="inlineStr">
        <is>
          <t>John Quinn</t>
        </is>
      </c>
      <c r="L1076" s="426" t="inlineStr">
        <is>
          <t>Contacted</t>
        </is>
      </c>
      <c r="M1076" s="425" t="inlineStr">
        <is>
          <t>Space / Defense / Aerospace / Advanced Manufacturing</t>
        </is>
      </c>
      <c r="N1076" s="426" t="inlineStr">
        <is>
          <t>Tier 2</t>
        </is>
      </c>
      <c r="O1076" s="441" t="n">
        <v>46045</v>
      </c>
      <c r="P1076" s="441" t="n">
        <v>46045</v>
      </c>
      <c r="Q1076" s="425">
        <f>IF(P1076="","",TODAY()-P1076)</f>
        <v/>
      </c>
      <c r="R1076" s="441">
        <f>IF(OR(L1076="Passed",Z1076=""),"",P1076+Z1076)</f>
        <v/>
      </c>
      <c r="S1076" s="425">
        <f>IF(OR(R1076="",L1076="Passed"),"",IF(R1076&lt;=TODAY(),"DUE",IF(R1076&lt;=TODAY()+3,"Next 3 Days","Later")))</f>
        <v/>
      </c>
      <c r="T1076" s="425" t="inlineStr"/>
      <c r="U1076" s="426" t="inlineStr">
        <is>
          <t>https://www.linkedin.com/in/rakefet-russak-aminoach</t>
        </is>
      </c>
      <c r="V1076" s="426" t="inlineStr"/>
      <c r="W1076" s="428" t="inlineStr">
        <is>
          <t xml:space="preserve"> |  | </t>
        </is>
      </c>
      <c r="X1076" s="425" t="inlineStr">
        <is>
          <t>John - Investor Contacts!935</t>
        </is>
      </c>
      <c r="Y1076" s="426" t="inlineStr">
        <is>
          <t>Send 1st follow-up and ask for 20-minute call</t>
        </is>
      </c>
      <c r="Z1076" s="425" t="n">
        <v>3</v>
      </c>
      <c r="AA1076" s="425">
        <f>IF(AC1076="Archived",0,ROUND((IF(N1076="Tier 1",35,IF(N1076="Tier 2",20,8))+IF(C1076="Financial Investor",15,IF(C1076="Intermediary / Banker",12,8))+IF(L1076="Term Sheet / Proposal",25,IF(L1076="Engaged",20,IF(L1076="Meeting Requested",18,IF(L1076="Meeting Held",14,IF(L1076="Follow Up",10,5)))))+MIN(Q1076,30)+IF(S1076="DUE",15,IF(S1076="Next 3 Days",8,0))),0))</f>
        <v/>
      </c>
      <c r="AB1076" s="425">
        <f>IF(AND(AC1076="Active",OR(N1076="Tier 1",N1076="Tier 2"),OR(S1076="DUE",S1076="Next 3 Days")),"YES","")</f>
        <v/>
      </c>
      <c r="AC1076" s="425">
        <f>IF(L1076="Passed","Archived","Active")</f>
        <v/>
      </c>
    </row>
    <row r="1077">
      <c r="A1077" s="425" t="inlineStr">
        <is>
          <t>EXOS-1076</t>
        </is>
      </c>
      <c r="B1077" s="425" t="inlineStr">
        <is>
          <t>John - Investor Contacts</t>
        </is>
      </c>
      <c r="C1077" s="425" t="inlineStr">
        <is>
          <t>Financial Investor</t>
        </is>
      </c>
      <c r="D1077" s="425" t="inlineStr">
        <is>
          <t>Team 8</t>
        </is>
      </c>
      <c r="E1077" s="425" t="inlineStr">
        <is>
          <t>Ronen Assia</t>
        </is>
      </c>
      <c r="F1077" s="425" t="inlineStr"/>
      <c r="G1077" s="111" t="inlineStr">
        <is>
          <t>ronen@team8.vc</t>
        </is>
      </c>
      <c r="H1077" s="425" t="inlineStr"/>
      <c r="I1077" s="425" t="inlineStr"/>
      <c r="J1077" s="111" t="inlineStr">
        <is>
          <t>https://www.linkedin.com/in/ronenassia</t>
        </is>
      </c>
      <c r="K1077" s="426" t="inlineStr">
        <is>
          <t>John Quinn</t>
        </is>
      </c>
      <c r="L1077" s="426" t="inlineStr">
        <is>
          <t>Contacted</t>
        </is>
      </c>
      <c r="M1077" s="425" t="inlineStr">
        <is>
          <t>Space / Defense / Aerospace / Advanced Manufacturing</t>
        </is>
      </c>
      <c r="N1077" s="426" t="inlineStr">
        <is>
          <t>Tier 2</t>
        </is>
      </c>
      <c r="O1077" s="441" t="n">
        <v>46045</v>
      </c>
      <c r="P1077" s="441" t="n">
        <v>46045</v>
      </c>
      <c r="Q1077" s="425">
        <f>IF(P1077="","",TODAY()-P1077)</f>
        <v/>
      </c>
      <c r="R1077" s="441">
        <f>IF(OR(L1077="Passed",Z1077=""),"",P1077+Z1077)</f>
        <v/>
      </c>
      <c r="S1077" s="425">
        <f>IF(OR(R1077="",L1077="Passed"),"",IF(R1077&lt;=TODAY(),"DUE",IF(R1077&lt;=TODAY()+3,"Next 3 Days","Later")))</f>
        <v/>
      </c>
      <c r="T1077" s="425" t="inlineStr"/>
      <c r="U1077" s="426" t="inlineStr">
        <is>
          <t>https://www.linkedin.com/in/ronenassia</t>
        </is>
      </c>
      <c r="V1077" s="426" t="inlineStr"/>
      <c r="W1077" s="428" t="inlineStr">
        <is>
          <t xml:space="preserve"> |  | </t>
        </is>
      </c>
      <c r="X1077" s="425" t="inlineStr">
        <is>
          <t>John - Investor Contacts!932</t>
        </is>
      </c>
      <c r="Y1077" s="426" t="inlineStr">
        <is>
          <t>Send 1st follow-up and ask for 20-minute call</t>
        </is>
      </c>
      <c r="Z1077" s="425" t="n">
        <v>3</v>
      </c>
      <c r="AA1077" s="425">
        <f>IF(AC1077="Archived",0,ROUND((IF(N1077="Tier 1",35,IF(N1077="Tier 2",20,8))+IF(C1077="Financial Investor",15,IF(C1077="Intermediary / Banker",12,8))+IF(L1077="Term Sheet / Proposal",25,IF(L1077="Engaged",20,IF(L1077="Meeting Requested",18,IF(L1077="Meeting Held",14,IF(L1077="Follow Up",10,5)))))+MIN(Q1077,30)+IF(S1077="DUE",15,IF(S1077="Next 3 Days",8,0))),0))</f>
        <v/>
      </c>
      <c r="AB1077" s="425">
        <f>IF(AND(AC1077="Active",OR(N1077="Tier 1",N1077="Tier 2"),OR(S1077="DUE",S1077="Next 3 Days")),"YES","")</f>
        <v/>
      </c>
      <c r="AC1077" s="425">
        <f>IF(L1077="Passed","Archived","Active")</f>
        <v/>
      </c>
    </row>
    <row r="1078">
      <c r="A1078" s="425" t="inlineStr">
        <is>
          <t>EXOS-1077</t>
        </is>
      </c>
      <c r="B1078" s="425" t="inlineStr">
        <is>
          <t>John - Investor Contacts</t>
        </is>
      </c>
      <c r="C1078" s="425" t="inlineStr">
        <is>
          <t>Financial Investor</t>
        </is>
      </c>
      <c r="D1078" s="425" t="inlineStr">
        <is>
          <t>Team 8</t>
        </is>
      </c>
      <c r="E1078" s="425" t="inlineStr">
        <is>
          <t>Yuval Shachar</t>
        </is>
      </c>
      <c r="F1078" s="425" t="inlineStr"/>
      <c r="G1078" s="111" t="inlineStr">
        <is>
          <t>yuval@team8.vc</t>
        </is>
      </c>
      <c r="H1078" s="425" t="inlineStr"/>
      <c r="I1078" s="425" t="inlineStr"/>
      <c r="J1078" s="111" t="inlineStr">
        <is>
          <t>https://www.linkedin.com/in/yuval-shachar-14a6476</t>
        </is>
      </c>
      <c r="K1078" s="426" t="inlineStr">
        <is>
          <t>John Quinn</t>
        </is>
      </c>
      <c r="L1078" s="426" t="inlineStr">
        <is>
          <t>Contacted</t>
        </is>
      </c>
      <c r="M1078" s="425" t="inlineStr">
        <is>
          <t>Space / Defense / Aerospace / Advanced Manufacturing</t>
        </is>
      </c>
      <c r="N1078" s="426" t="inlineStr">
        <is>
          <t>Tier 2</t>
        </is>
      </c>
      <c r="O1078" s="441" t="n">
        <v>46045</v>
      </c>
      <c r="P1078" s="441" t="n">
        <v>46045</v>
      </c>
      <c r="Q1078" s="425">
        <f>IF(P1078="","",TODAY()-P1078)</f>
        <v/>
      </c>
      <c r="R1078" s="441">
        <f>IF(OR(L1078="Passed",Z1078=""),"",P1078+Z1078)</f>
        <v/>
      </c>
      <c r="S1078" s="425">
        <f>IF(OR(R1078="",L1078="Passed"),"",IF(R1078&lt;=TODAY(),"DUE",IF(R1078&lt;=TODAY()+3,"Next 3 Days","Later")))</f>
        <v/>
      </c>
      <c r="T1078" s="425" t="inlineStr"/>
      <c r="U1078" s="426" t="inlineStr">
        <is>
          <t>https://www.linkedin.com/in/yuval-shachar-14a6476</t>
        </is>
      </c>
      <c r="V1078" s="426" t="inlineStr"/>
      <c r="W1078" s="428" t="inlineStr">
        <is>
          <t xml:space="preserve"> |  | </t>
        </is>
      </c>
      <c r="X1078" s="425" t="inlineStr">
        <is>
          <t>John - Investor Contacts!934</t>
        </is>
      </c>
      <c r="Y1078" s="426" t="inlineStr">
        <is>
          <t>Send 1st follow-up and ask for 20-minute call</t>
        </is>
      </c>
      <c r="Z1078" s="425" t="n">
        <v>3</v>
      </c>
      <c r="AA1078" s="425">
        <f>IF(AC1078="Archived",0,ROUND((IF(N1078="Tier 1",35,IF(N1078="Tier 2",20,8))+IF(C1078="Financial Investor",15,IF(C1078="Intermediary / Banker",12,8))+IF(L1078="Term Sheet / Proposal",25,IF(L1078="Engaged",20,IF(L1078="Meeting Requested",18,IF(L1078="Meeting Held",14,IF(L1078="Follow Up",10,5)))))+MIN(Q1078,30)+IF(S1078="DUE",15,IF(S1078="Next 3 Days",8,0))),0))</f>
        <v/>
      </c>
      <c r="AB1078" s="425">
        <f>IF(AND(AC1078="Active",OR(N1078="Tier 1",N1078="Tier 2"),OR(S1078="DUE",S1078="Next 3 Days")),"YES","")</f>
        <v/>
      </c>
      <c r="AC1078" s="425">
        <f>IF(L1078="Passed","Archived","Active")</f>
        <v/>
      </c>
    </row>
    <row r="1079">
      <c r="A1079" s="425" t="inlineStr">
        <is>
          <t>EXOS-1078</t>
        </is>
      </c>
      <c r="B1079" s="425" t="inlineStr">
        <is>
          <t>John - Investor Contacts</t>
        </is>
      </c>
      <c r="C1079" s="425" t="inlineStr">
        <is>
          <t>Financial Investor</t>
        </is>
      </c>
      <c r="D1079" s="425" t="inlineStr">
        <is>
          <t>Team Ignite Ventures</t>
        </is>
      </c>
      <c r="E1079" s="425" t="inlineStr">
        <is>
          <t>Brian Bell</t>
        </is>
      </c>
      <c r="F1079" s="425" t="inlineStr"/>
      <c r="G1079" s="111" t="inlineStr">
        <is>
          <t>brian@teamignite.ventures</t>
        </is>
      </c>
      <c r="H1079" s="425" t="inlineStr"/>
      <c r="I1079" s="425" t="inlineStr"/>
      <c r="J1079" s="111" t="inlineStr">
        <is>
          <t>https://www.linkedin.com/in/bblinkedin/</t>
        </is>
      </c>
      <c r="K1079" s="426" t="inlineStr">
        <is>
          <t>John Quinn</t>
        </is>
      </c>
      <c r="L1079" s="426" t="inlineStr">
        <is>
          <t>Contacted</t>
        </is>
      </c>
      <c r="M1079" s="425" t="inlineStr">
        <is>
          <t>Space / Defense / Aerospace / Advanced Manufacturing</t>
        </is>
      </c>
      <c r="N1079" s="426" t="inlineStr">
        <is>
          <t>Tier 2</t>
        </is>
      </c>
      <c r="O1079" s="441" t="n">
        <v>45912</v>
      </c>
      <c r="P1079" s="441" t="n">
        <v>45912</v>
      </c>
      <c r="Q1079" s="425">
        <f>IF(P1079="","",TODAY()-P1079)</f>
        <v/>
      </c>
      <c r="R1079" s="441">
        <f>IF(OR(L1079="Passed",Z1079=""),"",P1079+Z1079)</f>
        <v/>
      </c>
      <c r="S1079" s="425">
        <f>IF(OR(R1079="",L1079="Passed"),"",IF(R1079&lt;=TODAY(),"DUE",IF(R1079&lt;=TODAY()+3,"Next 3 Days","Later")))</f>
        <v/>
      </c>
      <c r="T1079" s="425" t="inlineStr"/>
      <c r="U1079" s="426" t="inlineStr">
        <is>
          <t>https://www.linkedin.com/in/bblinkedin/</t>
        </is>
      </c>
      <c r="V1079" s="426" t="inlineStr"/>
      <c r="W1079" s="428" t="inlineStr">
        <is>
          <t xml:space="preserve"> | 9/12 - requested to see a deck | </t>
        </is>
      </c>
      <c r="X1079" s="425" t="inlineStr">
        <is>
          <t>John - Investor Contacts!673</t>
        </is>
      </c>
      <c r="Y1079" s="426" t="inlineStr">
        <is>
          <t>Send 1st follow-up and ask for 20-minute call</t>
        </is>
      </c>
      <c r="Z1079" s="425" t="n">
        <v>3</v>
      </c>
      <c r="AA1079" s="425">
        <f>IF(AC1079="Archived",0,ROUND((IF(N1079="Tier 1",35,IF(N1079="Tier 2",20,8))+IF(C1079="Financial Investor",15,IF(C1079="Intermediary / Banker",12,8))+IF(L1079="Term Sheet / Proposal",25,IF(L1079="Engaged",20,IF(L1079="Meeting Requested",18,IF(L1079="Meeting Held",14,IF(L1079="Follow Up",10,5)))))+MIN(Q1079,30)+IF(S1079="DUE",15,IF(S1079="Next 3 Days",8,0))),0))</f>
        <v/>
      </c>
      <c r="AB1079" s="425">
        <f>IF(AND(AC1079="Active",OR(N1079="Tier 1",N1079="Tier 2"),OR(S1079="DUE",S1079="Next 3 Days")),"YES","")</f>
        <v/>
      </c>
      <c r="AC1079" s="425">
        <f>IF(L1079="Passed","Archived","Active")</f>
        <v/>
      </c>
    </row>
    <row r="1080">
      <c r="A1080" s="425" t="inlineStr">
        <is>
          <t>EXOS-1079</t>
        </is>
      </c>
      <c r="B1080" s="425" t="inlineStr">
        <is>
          <t>John - Investor Contacts</t>
        </is>
      </c>
      <c r="C1080" s="425" t="inlineStr">
        <is>
          <t>Financial Investor</t>
        </is>
      </c>
      <c r="D1080" s="425" t="inlineStr">
        <is>
          <t>Technexus Venture Collaborative</t>
        </is>
      </c>
      <c r="E1080" s="425" t="inlineStr">
        <is>
          <t>Fred Hoch</t>
        </is>
      </c>
      <c r="F1080" s="425" t="inlineStr"/>
      <c r="G1080" s="111" t="inlineStr">
        <is>
          <t>fred@technexus.com</t>
        </is>
      </c>
      <c r="H1080" s="425" t="inlineStr"/>
      <c r="I1080" s="425" t="inlineStr"/>
      <c r="J1080" s="111" t="inlineStr">
        <is>
          <t>https://www.linkedin.com/in/fredhoch/</t>
        </is>
      </c>
      <c r="K1080" s="426" t="inlineStr">
        <is>
          <t>John Quinn</t>
        </is>
      </c>
      <c r="L1080" s="426" t="inlineStr">
        <is>
          <t>Contacted</t>
        </is>
      </c>
      <c r="M1080" s="425" t="inlineStr">
        <is>
          <t>Space / Defense / Aerospace / Advanced Manufacturing</t>
        </is>
      </c>
      <c r="N1080" s="426" t="inlineStr">
        <is>
          <t>Tier 2</t>
        </is>
      </c>
      <c r="O1080" s="441" t="n">
        <v>45903</v>
      </c>
      <c r="P1080" s="441" t="n">
        <v>45903</v>
      </c>
      <c r="Q1080" s="425">
        <f>IF(P1080="","",TODAY()-P1080)</f>
        <v/>
      </c>
      <c r="R1080" s="441">
        <f>IF(OR(L1080="Passed",Z1080=""),"",P1080+Z1080)</f>
        <v/>
      </c>
      <c r="S1080" s="425">
        <f>IF(OR(R1080="",L1080="Passed"),"",IF(R1080&lt;=TODAY(),"DUE",IF(R1080&lt;=TODAY()+3,"Next 3 Days","Later")))</f>
        <v/>
      </c>
      <c r="T1080" s="425" t="inlineStr"/>
      <c r="U1080" s="426" t="inlineStr">
        <is>
          <t>https://www.linkedin.com/in/fredhoch/</t>
        </is>
      </c>
      <c r="V1080" s="426" t="inlineStr"/>
      <c r="W1080" s="428" t="inlineStr">
        <is>
          <t xml:space="preserve"> | setting up a call with joey@technexus.com | </t>
        </is>
      </c>
      <c r="X1080" s="425" t="inlineStr">
        <is>
          <t>John - Investor Contacts!606</t>
        </is>
      </c>
      <c r="Y1080" s="426" t="inlineStr">
        <is>
          <t>Send 1st follow-up and ask for 20-minute call</t>
        </is>
      </c>
      <c r="Z1080" s="425" t="n">
        <v>3</v>
      </c>
      <c r="AA1080" s="425">
        <f>IF(AC1080="Archived",0,ROUND((IF(N1080="Tier 1",35,IF(N1080="Tier 2",20,8))+IF(C1080="Financial Investor",15,IF(C1080="Intermediary / Banker",12,8))+IF(L1080="Term Sheet / Proposal",25,IF(L1080="Engaged",20,IF(L1080="Meeting Requested",18,IF(L1080="Meeting Held",14,IF(L1080="Follow Up",10,5)))))+MIN(Q1080,30)+IF(S1080="DUE",15,IF(S1080="Next 3 Days",8,0))),0))</f>
        <v/>
      </c>
      <c r="AB1080" s="425">
        <f>IF(AND(AC1080="Active",OR(N1080="Tier 1",N1080="Tier 2"),OR(S1080="DUE",S1080="Next 3 Days")),"YES","")</f>
        <v/>
      </c>
      <c r="AC1080" s="425">
        <f>IF(L1080="Passed","Archived","Active")</f>
        <v/>
      </c>
    </row>
    <row r="1081">
      <c r="A1081" s="425" t="inlineStr">
        <is>
          <t>EXOS-1080</t>
        </is>
      </c>
      <c r="B1081" s="425" t="inlineStr">
        <is>
          <t>Tank Contacts</t>
        </is>
      </c>
      <c r="C1081" s="425" t="inlineStr">
        <is>
          <t>Strategic / Corporate</t>
        </is>
      </c>
      <c r="D1081" s="425" t="inlineStr">
        <is>
          <t>Technical Manager</t>
        </is>
      </c>
      <c r="E1081" s="425" t="inlineStr">
        <is>
          <t>Jeff Lamper KaleCharles</t>
        </is>
      </c>
      <c r="F1081" s="425" t="inlineStr"/>
      <c r="G1081" s="111" t="inlineStr">
        <is>
          <t>jeffrey.lamper@calcasolutions.com</t>
        </is>
      </c>
      <c r="H1081" s="425" t="inlineStr"/>
      <c r="I1081" s="425" t="inlineStr"/>
      <c r="J1081" s="111" t="inlineStr">
        <is>
          <t>https://www.linkedin.com/in/jeff-lamper-lakecharles-855b756a/</t>
        </is>
      </c>
      <c r="K1081" s="426" t="inlineStr">
        <is>
          <t>John Quinn</t>
        </is>
      </c>
      <c r="L1081" s="426" t="inlineStr">
        <is>
          <t>Contacted</t>
        </is>
      </c>
      <c r="M1081" s="425" t="inlineStr">
        <is>
          <t>Strategic space / aerospace alignment</t>
        </is>
      </c>
      <c r="N1081" s="426" t="inlineStr">
        <is>
          <t>Tier 2</t>
        </is>
      </c>
      <c r="O1081" s="441" t="n">
        <v>45951</v>
      </c>
      <c r="P1081" s="441" t="n">
        <v>45951</v>
      </c>
      <c r="Q1081" s="425">
        <f>IF(P1081="","",TODAY()-P1081)</f>
        <v/>
      </c>
      <c r="R1081" s="441">
        <f>IF(OR(L1081="Passed",Z1081=""),"",P1081+Z1081)</f>
        <v/>
      </c>
      <c r="S1081" s="425">
        <f>IF(OR(R1081="",L1081="Passed"),"",IF(R1081&lt;=TODAY(),"DUE",IF(R1081&lt;=TODAY()+3,"Next 3 Days","Later")))</f>
        <v/>
      </c>
      <c r="T1081" s="425" t="inlineStr"/>
      <c r="U1081" s="426" t="inlineStr"/>
      <c r="V1081" s="426" t="inlineStr"/>
      <c r="W1081" s="428" t="inlineStr"/>
      <c r="X1081" s="425" t="inlineStr">
        <is>
          <t>Tank Contacts!22</t>
        </is>
      </c>
      <c r="Y1081" s="426" t="inlineStr">
        <is>
          <t>Send 1st follow-up and ask for 20-minute call</t>
        </is>
      </c>
      <c r="Z1081" s="425" t="n">
        <v>3</v>
      </c>
      <c r="AA1081" s="425">
        <f>IF(AC1081="Archived",0,ROUND((IF(N1081="Tier 1",35,IF(N1081="Tier 2",20,8))+IF(C1081="Financial Investor",15,IF(C1081="Intermediary / Banker",12,8))+IF(L1081="Term Sheet / Proposal",25,IF(L1081="Engaged",20,IF(L1081="Meeting Requested",18,IF(L1081="Meeting Held",14,IF(L1081="Follow Up",10,5)))))+MIN(Q1081,30)+IF(S1081="DUE",15,IF(S1081="Next 3 Days",8,0))),0))</f>
        <v/>
      </c>
      <c r="AB1081" s="425">
        <f>IF(AND(AC1081="Active",OR(N1081="Tier 1",N1081="Tier 2"),OR(S1081="DUE",S1081="Next 3 Days")),"YES","")</f>
        <v/>
      </c>
      <c r="AC1081" s="425">
        <f>IF(L1081="Passed","Archived","Active")</f>
        <v/>
      </c>
    </row>
    <row r="1082">
      <c r="A1082" s="425" t="inlineStr">
        <is>
          <t>EXOS-1081</t>
        </is>
      </c>
      <c r="B1082" s="425" t="inlineStr">
        <is>
          <t>Lizi - Investor Contacts</t>
        </is>
      </c>
      <c r="C1082" s="425" t="inlineStr">
        <is>
          <t>Financial Investor</t>
        </is>
      </c>
      <c r="D1082" s="425" t="inlineStr">
        <is>
          <t>Thunder VC</t>
        </is>
      </c>
      <c r="E1082" s="425" t="inlineStr">
        <is>
          <t>Oliver</t>
        </is>
      </c>
      <c r="F1082" s="425" t="inlineStr"/>
      <c r="G1082" s="111" t="inlineStr">
        <is>
          <t>oliver@thunder.vc</t>
        </is>
      </c>
      <c r="H1082" s="425" t="inlineStr"/>
      <c r="I1082" s="425" t="inlineStr"/>
      <c r="J1082" s="425" t="inlineStr"/>
      <c r="K1082" s="426" t="inlineStr">
        <is>
          <t>John Quinn</t>
        </is>
      </c>
      <c r="L1082" s="426" t="inlineStr">
        <is>
          <t>Contacted</t>
        </is>
      </c>
      <c r="M1082" s="425" t="inlineStr">
        <is>
          <t>Space / Defense / Aerospace / Advanced Manufacturing</t>
        </is>
      </c>
      <c r="N1082" s="426" t="inlineStr">
        <is>
          <t>Tier 2</t>
        </is>
      </c>
      <c r="O1082" s="441" t="n">
        <v>45789</v>
      </c>
      <c r="P1082" s="441" t="n">
        <v>45789</v>
      </c>
      <c r="Q1082" s="425">
        <f>IF(P1082="","",TODAY()-P1082)</f>
        <v/>
      </c>
      <c r="R1082" s="441">
        <f>IF(OR(L1082="Passed",Z1082=""),"",P1082+Z1082)</f>
        <v/>
      </c>
      <c r="S1082" s="425">
        <f>IF(OR(R1082="",L1082="Passed"),"",IF(R1082&lt;=TODAY(),"DUE",IF(R1082&lt;=TODAY()+3,"Next 3 Days","Later")))</f>
        <v/>
      </c>
      <c r="T1082" s="425" t="inlineStr"/>
      <c r="U1082" s="426" t="inlineStr"/>
      <c r="V1082" s="426" t="inlineStr"/>
      <c r="W1082" s="428" t="inlineStr">
        <is>
          <t xml:space="preserve">deck sent | </t>
        </is>
      </c>
      <c r="X1082" s="425" t="inlineStr">
        <is>
          <t>Lizi - Investor Contacts!20</t>
        </is>
      </c>
      <c r="Y1082" s="426" t="inlineStr">
        <is>
          <t>Send 1st follow-up and ask for 20-minute call</t>
        </is>
      </c>
      <c r="Z1082" s="425" t="n">
        <v>3</v>
      </c>
      <c r="AA1082" s="425">
        <f>IF(AC1082="Archived",0,ROUND((IF(N1082="Tier 1",35,IF(N1082="Tier 2",20,8))+IF(C1082="Financial Investor",15,IF(C1082="Intermediary / Banker",12,8))+IF(L1082="Term Sheet / Proposal",25,IF(L1082="Engaged",20,IF(L1082="Meeting Requested",18,IF(L1082="Meeting Held",14,IF(L1082="Follow Up",10,5)))))+MIN(Q1082,30)+IF(S1082="DUE",15,IF(S1082="Next 3 Days",8,0))),0))</f>
        <v/>
      </c>
      <c r="AB1082" s="425">
        <f>IF(AND(AC1082="Active",OR(N1082="Tier 1",N1082="Tier 2"),OR(S1082="DUE",S1082="Next 3 Days")),"YES","")</f>
        <v/>
      </c>
      <c r="AC1082" s="425">
        <f>IF(L1082="Passed","Archived","Active")</f>
        <v/>
      </c>
    </row>
    <row r="1083">
      <c r="A1083" s="425" t="inlineStr">
        <is>
          <t>EXOS-1082</t>
        </is>
      </c>
      <c r="B1083" s="425" t="inlineStr">
        <is>
          <t>John - Investor Contacts</t>
        </is>
      </c>
      <c r="C1083" s="425" t="inlineStr">
        <is>
          <t>Financial Investor</t>
        </is>
      </c>
      <c r="D1083" s="425" t="inlineStr">
        <is>
          <t>Touchdown Ventures / Cerity Partner Ventures</t>
        </is>
      </c>
      <c r="E1083" s="425" t="inlineStr">
        <is>
          <t>the team</t>
        </is>
      </c>
      <c r="F1083" s="425" t="inlineStr"/>
      <c r="G1083" s="425" t="inlineStr"/>
      <c r="H1083" s="425" t="inlineStr"/>
      <c r="I1083" s="425" t="inlineStr"/>
      <c r="J1083" s="425" t="inlineStr"/>
      <c r="K1083" s="426" t="inlineStr">
        <is>
          <t>John Quinn</t>
        </is>
      </c>
      <c r="L1083" s="426" t="inlineStr">
        <is>
          <t>Contacted</t>
        </is>
      </c>
      <c r="M1083" s="425" t="inlineStr">
        <is>
          <t>Space / Defense / Aerospace / Advanced Manufacturing</t>
        </is>
      </c>
      <c r="N1083" s="426" t="inlineStr">
        <is>
          <t>Tier 2</t>
        </is>
      </c>
      <c r="O1083" s="441" t="n">
        <v>45846</v>
      </c>
      <c r="P1083" s="441" t="n">
        <v>45846</v>
      </c>
      <c r="Q1083" s="425">
        <f>IF(P1083="","",TODAY()-P1083)</f>
        <v/>
      </c>
      <c r="R1083" s="441">
        <f>IF(OR(L1083="Passed",Z1083=""),"",P1083+Z1083)</f>
        <v/>
      </c>
      <c r="S1083" s="425">
        <f>IF(OR(R1083="",L1083="Passed"),"",IF(R1083&lt;=TODAY(),"DUE",IF(R1083&lt;=TODAY()+3,"Next 3 Days","Later")))</f>
        <v/>
      </c>
      <c r="T1083" s="425" t="inlineStr"/>
      <c r="U1083" s="426" t="inlineStr"/>
      <c r="V1083" s="426" t="inlineStr"/>
      <c r="W1083" s="428" t="inlineStr">
        <is>
          <t xml:space="preserve">I sent in request on contact page |  | </t>
        </is>
      </c>
      <c r="X1083" s="425" t="inlineStr">
        <is>
          <t>John - Investor Contacts!365</t>
        </is>
      </c>
      <c r="Y1083" s="426" t="inlineStr">
        <is>
          <t>Send 1st follow-up and ask for 20-minute call</t>
        </is>
      </c>
      <c r="Z1083" s="425" t="n">
        <v>3</v>
      </c>
      <c r="AA1083" s="425">
        <f>IF(AC1083="Archived",0,ROUND((IF(N1083="Tier 1",35,IF(N1083="Tier 2",20,8))+IF(C1083="Financial Investor",15,IF(C1083="Intermediary / Banker",12,8))+IF(L1083="Term Sheet / Proposal",25,IF(L1083="Engaged",20,IF(L1083="Meeting Requested",18,IF(L1083="Meeting Held",14,IF(L1083="Follow Up",10,5)))))+MIN(Q1083,30)+IF(S1083="DUE",15,IF(S1083="Next 3 Days",8,0))),0))</f>
        <v/>
      </c>
      <c r="AB1083" s="425">
        <f>IF(AND(AC1083="Active",OR(N1083="Tier 1",N1083="Tier 2"),OR(S1083="DUE",S1083="Next 3 Days")),"YES","")</f>
        <v/>
      </c>
      <c r="AC1083" s="425">
        <f>IF(L1083="Passed","Archived","Active")</f>
        <v/>
      </c>
    </row>
    <row r="1084">
      <c r="A1084" s="425" t="inlineStr">
        <is>
          <t>EXOS-1083</t>
        </is>
      </c>
      <c r="B1084" s="425" t="inlineStr">
        <is>
          <t>John - Investor Contacts</t>
        </is>
      </c>
      <c r="C1084" s="425" t="inlineStr">
        <is>
          <t>Financial Investor</t>
        </is>
      </c>
      <c r="D1084" s="425" t="inlineStr">
        <is>
          <t>Trac VC</t>
        </is>
      </c>
      <c r="E1084" s="425" t="inlineStr">
        <is>
          <t>Brant Meyer</t>
        </is>
      </c>
      <c r="F1084" s="425" t="inlineStr"/>
      <c r="G1084" s="111" t="inlineStr">
        <is>
          <t>brant@tracvc.com</t>
        </is>
      </c>
      <c r="H1084" s="425" t="inlineStr"/>
      <c r="I1084" s="425" t="inlineStr"/>
      <c r="J1084" s="111" t="inlineStr">
        <is>
          <t>https://www.linkedin.com/in/brant-meyer-27846221b/</t>
        </is>
      </c>
      <c r="K1084" s="426" t="inlineStr">
        <is>
          <t>John Quinn</t>
        </is>
      </c>
      <c r="L1084" s="426" t="inlineStr">
        <is>
          <t>Contacted</t>
        </is>
      </c>
      <c r="M1084" s="425" t="inlineStr">
        <is>
          <t>Space / Defense / Aerospace / Advanced Manufacturing</t>
        </is>
      </c>
      <c r="N1084" s="426" t="inlineStr">
        <is>
          <t>Tier 2</t>
        </is>
      </c>
      <c r="O1084" s="441" t="n">
        <v>45822</v>
      </c>
      <c r="P1084" s="441" t="n">
        <v>45822</v>
      </c>
      <c r="Q1084" s="425">
        <f>IF(P1084="","",TODAY()-P1084)</f>
        <v/>
      </c>
      <c r="R1084" s="441">
        <f>IF(OR(L1084="Passed",Z1084=""),"",P1084+Z1084)</f>
        <v/>
      </c>
      <c r="S1084" s="425">
        <f>IF(OR(R1084="",L1084="Passed"),"",IF(R1084&lt;=TODAY(),"DUE",IF(R1084&lt;=TODAY()+3,"Next 3 Days","Later")))</f>
        <v/>
      </c>
      <c r="T1084" s="425" t="inlineStr"/>
      <c r="U1084" s="426" t="inlineStr">
        <is>
          <t>https://www.linkedin.com/in/brant-meyer-27846221b/</t>
        </is>
      </c>
      <c r="V1084" s="426" t="inlineStr"/>
      <c r="W1084" s="428" t="inlineStr">
        <is>
          <t xml:space="preserve"> | intake form: https://www.cognitoforms.com/TRACLLC1/_10Questions5Minutes | </t>
        </is>
      </c>
      <c r="X1084" s="425" t="inlineStr">
        <is>
          <t>John - Investor Contacts!208</t>
        </is>
      </c>
      <c r="Y1084" s="426" t="inlineStr">
        <is>
          <t>Send 1st follow-up and ask for 20-minute call</t>
        </is>
      </c>
      <c r="Z1084" s="425" t="n">
        <v>3</v>
      </c>
      <c r="AA1084" s="425">
        <f>IF(AC1084="Archived",0,ROUND((IF(N1084="Tier 1",35,IF(N1084="Tier 2",20,8))+IF(C1084="Financial Investor",15,IF(C1084="Intermediary / Banker",12,8))+IF(L1084="Term Sheet / Proposal",25,IF(L1084="Engaged",20,IF(L1084="Meeting Requested",18,IF(L1084="Meeting Held",14,IF(L1084="Follow Up",10,5)))))+MIN(Q1084,30)+IF(S1084="DUE",15,IF(S1084="Next 3 Days",8,0))),0))</f>
        <v/>
      </c>
      <c r="AB1084" s="425">
        <f>IF(AND(AC1084="Active",OR(N1084="Tier 1",N1084="Tier 2"),OR(S1084="DUE",S1084="Next 3 Days")),"YES","")</f>
        <v/>
      </c>
      <c r="AC1084" s="425">
        <f>IF(L1084="Passed","Archived","Active")</f>
        <v/>
      </c>
    </row>
    <row r="1085">
      <c r="A1085" s="425" t="inlineStr">
        <is>
          <t>EXOS-1084</t>
        </is>
      </c>
      <c r="B1085" s="425" t="inlineStr">
        <is>
          <t>John - Investor Contacts</t>
        </is>
      </c>
      <c r="C1085" s="425" t="inlineStr">
        <is>
          <t>Financial Investor</t>
        </is>
      </c>
      <c r="D1085" s="425" t="inlineStr">
        <is>
          <t>Trac VC</t>
        </is>
      </c>
      <c r="E1085" s="425" t="inlineStr">
        <is>
          <t>Joseph Aaron</t>
        </is>
      </c>
      <c r="F1085" s="425" t="inlineStr"/>
      <c r="G1085" s="111" t="inlineStr">
        <is>
          <t>joe@tracvc.com</t>
        </is>
      </c>
      <c r="H1085" s="425" t="inlineStr"/>
      <c r="I1085" s="425" t="inlineStr"/>
      <c r="J1085" s="425" t="inlineStr"/>
      <c r="K1085" s="426" t="inlineStr">
        <is>
          <t>John Quinn</t>
        </is>
      </c>
      <c r="L1085" s="426" t="inlineStr">
        <is>
          <t>Contacted</t>
        </is>
      </c>
      <c r="M1085" s="425" t="inlineStr">
        <is>
          <t>Space / Defense / Aerospace / Advanced Manufacturing</t>
        </is>
      </c>
      <c r="N1085" s="426" t="inlineStr">
        <is>
          <t>Tier 2</t>
        </is>
      </c>
      <c r="O1085" s="441" t="n">
        <v>45822</v>
      </c>
      <c r="P1085" s="441" t="n">
        <v>45822</v>
      </c>
      <c r="Q1085" s="425">
        <f>IF(P1085="","",TODAY()-P1085)</f>
        <v/>
      </c>
      <c r="R1085" s="441">
        <f>IF(OR(L1085="Passed",Z1085=""),"",P1085+Z1085)</f>
        <v/>
      </c>
      <c r="S1085" s="425">
        <f>IF(OR(R1085="",L1085="Passed"),"",IF(R1085&lt;=TODAY(),"DUE",IF(R1085&lt;=TODAY()+3,"Next 3 Days","Later")))</f>
        <v/>
      </c>
      <c r="T1085" s="425" t="inlineStr"/>
      <c r="U1085" s="426" t="inlineStr">
        <is>
          <t>linkedin.com/in/josephaaron1</t>
        </is>
      </c>
      <c r="V1085" s="426" t="inlineStr"/>
      <c r="W1085" s="428" t="inlineStr">
        <is>
          <t xml:space="preserve"> |  | </t>
        </is>
      </c>
      <c r="X1085" s="425" t="inlineStr">
        <is>
          <t>John - Investor Contacts!211</t>
        </is>
      </c>
      <c r="Y1085" s="426" t="inlineStr">
        <is>
          <t>Send 1st follow-up and ask for 20-minute call</t>
        </is>
      </c>
      <c r="Z1085" s="425" t="n">
        <v>3</v>
      </c>
      <c r="AA1085" s="425">
        <f>IF(AC1085="Archived",0,ROUND((IF(N1085="Tier 1",35,IF(N1085="Tier 2",20,8))+IF(C1085="Financial Investor",15,IF(C1085="Intermediary / Banker",12,8))+IF(L1085="Term Sheet / Proposal",25,IF(L1085="Engaged",20,IF(L1085="Meeting Requested",18,IF(L1085="Meeting Held",14,IF(L1085="Follow Up",10,5)))))+MIN(Q1085,30)+IF(S1085="DUE",15,IF(S1085="Next 3 Days",8,0))),0))</f>
        <v/>
      </c>
      <c r="AB1085" s="425">
        <f>IF(AND(AC1085="Active",OR(N1085="Tier 1",N1085="Tier 2"),OR(S1085="DUE",S1085="Next 3 Days")),"YES","")</f>
        <v/>
      </c>
      <c r="AC1085" s="425">
        <f>IF(L1085="Passed","Archived","Active")</f>
        <v/>
      </c>
    </row>
    <row r="1086">
      <c r="A1086" s="425" t="inlineStr">
        <is>
          <t>EXOS-1085</t>
        </is>
      </c>
      <c r="B1086" s="425" t="inlineStr">
        <is>
          <t>John - Investor Contacts</t>
        </is>
      </c>
      <c r="C1086" s="425" t="inlineStr">
        <is>
          <t>Financial Investor</t>
        </is>
      </c>
      <c r="D1086" s="425" t="inlineStr">
        <is>
          <t>Trac VC</t>
        </is>
      </c>
      <c r="E1086" s="425" t="inlineStr">
        <is>
          <t>Scott Pyne</t>
        </is>
      </c>
      <c r="F1086" s="425" t="inlineStr"/>
      <c r="G1086" s="111" t="inlineStr">
        <is>
          <t>scott@tracvc.com</t>
        </is>
      </c>
      <c r="H1086" s="425" t="inlineStr"/>
      <c r="I1086" s="425" t="inlineStr"/>
      <c r="J1086" s="111" t="inlineStr">
        <is>
          <t>https://www.linkedin.com/in/scottpyne/</t>
        </is>
      </c>
      <c r="K1086" s="426" t="inlineStr">
        <is>
          <t>John Quinn</t>
        </is>
      </c>
      <c r="L1086" s="426" t="inlineStr">
        <is>
          <t>Contacted</t>
        </is>
      </c>
      <c r="M1086" s="425" t="inlineStr">
        <is>
          <t>Space / Defense / Aerospace / Advanced Manufacturing</t>
        </is>
      </c>
      <c r="N1086" s="426" t="inlineStr">
        <is>
          <t>Tier 2</t>
        </is>
      </c>
      <c r="O1086" s="441" t="n">
        <v>45822</v>
      </c>
      <c r="P1086" s="441" t="n">
        <v>45822</v>
      </c>
      <c r="Q1086" s="425">
        <f>IF(P1086="","",TODAY()-P1086)</f>
        <v/>
      </c>
      <c r="R1086" s="441">
        <f>IF(OR(L1086="Passed",Z1086=""),"",P1086+Z1086)</f>
        <v/>
      </c>
      <c r="S1086" s="425">
        <f>IF(OR(R1086="",L1086="Passed"),"",IF(R1086&lt;=TODAY(),"DUE",IF(R1086&lt;=TODAY()+3,"Next 3 Days","Later")))</f>
        <v/>
      </c>
      <c r="T1086" s="425" t="inlineStr"/>
      <c r="U1086" s="426" t="inlineStr">
        <is>
          <t>https://www.linkedin.com/in/scottpyne/</t>
        </is>
      </c>
      <c r="V1086" s="426" t="inlineStr"/>
      <c r="W1086" s="428" t="inlineStr">
        <is>
          <t xml:space="preserve"> |  | </t>
        </is>
      </c>
      <c r="X1086" s="425" t="inlineStr">
        <is>
          <t>John - Investor Contacts!209</t>
        </is>
      </c>
      <c r="Y1086" s="426" t="inlineStr">
        <is>
          <t>Send 1st follow-up and ask for 20-minute call</t>
        </is>
      </c>
      <c r="Z1086" s="425" t="n">
        <v>3</v>
      </c>
      <c r="AA1086" s="425">
        <f>IF(AC1086="Archived",0,ROUND((IF(N1086="Tier 1",35,IF(N1086="Tier 2",20,8))+IF(C1086="Financial Investor",15,IF(C1086="Intermediary / Banker",12,8))+IF(L1086="Term Sheet / Proposal",25,IF(L1086="Engaged",20,IF(L1086="Meeting Requested",18,IF(L1086="Meeting Held",14,IF(L1086="Follow Up",10,5)))))+MIN(Q1086,30)+IF(S1086="DUE",15,IF(S1086="Next 3 Days",8,0))),0))</f>
        <v/>
      </c>
      <c r="AB1086" s="425">
        <f>IF(AND(AC1086="Active",OR(N1086="Tier 1",N1086="Tier 2"),OR(S1086="DUE",S1086="Next 3 Days")),"YES","")</f>
        <v/>
      </c>
      <c r="AC1086" s="425">
        <f>IF(L1086="Passed","Archived","Active")</f>
        <v/>
      </c>
    </row>
    <row r="1087">
      <c r="A1087" s="425" t="inlineStr">
        <is>
          <t>EXOS-1086</t>
        </is>
      </c>
      <c r="B1087" s="425" t="inlineStr">
        <is>
          <t>John - Investor Contacts</t>
        </is>
      </c>
      <c r="C1087" s="425" t="inlineStr">
        <is>
          <t>Financial Investor</t>
        </is>
      </c>
      <c r="D1087" s="425" t="inlineStr">
        <is>
          <t>Tribe Capital</t>
        </is>
      </c>
      <c r="E1087" s="425" t="inlineStr">
        <is>
          <t>Alex Chee</t>
        </is>
      </c>
      <c r="F1087" s="425" t="inlineStr"/>
      <c r="G1087" s="111" t="inlineStr">
        <is>
          <t>alex@tribecap.co</t>
        </is>
      </c>
      <c r="H1087" s="425" t="inlineStr"/>
      <c r="I1087" s="425" t="inlineStr"/>
      <c r="J1087" s="425" t="inlineStr"/>
      <c r="K1087" s="426" t="inlineStr">
        <is>
          <t>John Quinn</t>
        </is>
      </c>
      <c r="L1087" s="426" t="inlineStr">
        <is>
          <t>Contacted</t>
        </is>
      </c>
      <c r="M1087" s="425" t="inlineStr">
        <is>
          <t>Space / Defense / Aerospace / Advanced Manufacturing</t>
        </is>
      </c>
      <c r="N1087" s="426" t="inlineStr">
        <is>
          <t>Tier 2</t>
        </is>
      </c>
      <c r="O1087" s="441" t="n">
        <v>46035</v>
      </c>
      <c r="P1087" s="441" t="n">
        <v>46035</v>
      </c>
      <c r="Q1087" s="425">
        <f>IF(P1087="","",TODAY()-P1087)</f>
        <v/>
      </c>
      <c r="R1087" s="441">
        <f>IF(OR(L1087="Passed",Z1087=""),"",P1087+Z1087)</f>
        <v/>
      </c>
      <c r="S1087" s="425">
        <f>IF(OR(R1087="",L1087="Passed"),"",IF(R1087&lt;=TODAY(),"DUE",IF(R1087&lt;=TODAY()+3,"Next 3 Days","Later")))</f>
        <v/>
      </c>
      <c r="T1087" s="425" t="inlineStr"/>
      <c r="U1087" s="426" t="inlineStr">
        <is>
          <t>linkedin.com/in/alexchee</t>
        </is>
      </c>
      <c r="V1087" s="426" t="inlineStr"/>
      <c r="W1087" s="428" t="inlineStr">
        <is>
          <t xml:space="preserve"> |  | </t>
        </is>
      </c>
      <c r="X1087" s="425" t="inlineStr">
        <is>
          <t>John - Investor Contacts!915</t>
        </is>
      </c>
      <c r="Y1087" s="426" t="inlineStr">
        <is>
          <t>Send 1st follow-up and ask for 20-minute call</t>
        </is>
      </c>
      <c r="Z1087" s="425" t="n">
        <v>3</v>
      </c>
      <c r="AA1087" s="425">
        <f>IF(AC1087="Archived",0,ROUND((IF(N1087="Tier 1",35,IF(N1087="Tier 2",20,8))+IF(C1087="Financial Investor",15,IF(C1087="Intermediary / Banker",12,8))+IF(L1087="Term Sheet / Proposal",25,IF(L1087="Engaged",20,IF(L1087="Meeting Requested",18,IF(L1087="Meeting Held",14,IF(L1087="Follow Up",10,5)))))+MIN(Q1087,30)+IF(S1087="DUE",15,IF(S1087="Next 3 Days",8,0))),0))</f>
        <v/>
      </c>
      <c r="AB1087" s="425">
        <f>IF(AND(AC1087="Active",OR(N1087="Tier 1",N1087="Tier 2"),OR(S1087="DUE",S1087="Next 3 Days")),"YES","")</f>
        <v/>
      </c>
      <c r="AC1087" s="425">
        <f>IF(L1087="Passed","Archived","Active")</f>
        <v/>
      </c>
    </row>
    <row r="1088">
      <c r="A1088" s="425" t="inlineStr">
        <is>
          <t>EXOS-1087</t>
        </is>
      </c>
      <c r="B1088" s="425" t="inlineStr">
        <is>
          <t>John - Investor Contacts</t>
        </is>
      </c>
      <c r="C1088" s="425" t="inlineStr">
        <is>
          <t>Financial Investor</t>
        </is>
      </c>
      <c r="D1088" s="425" t="inlineStr">
        <is>
          <t>Tribe Capital</t>
        </is>
      </c>
      <c r="E1088" s="425" t="inlineStr">
        <is>
          <t>Jonathan Hsu</t>
        </is>
      </c>
      <c r="F1088" s="425" t="inlineStr"/>
      <c r="G1088" s="111" t="inlineStr">
        <is>
          <t>jonathan@tribecap.co</t>
        </is>
      </c>
      <c r="H1088" s="425" t="inlineStr"/>
      <c r="I1088" s="425" t="inlineStr"/>
      <c r="J1088" s="425" t="inlineStr"/>
      <c r="K1088" s="426" t="inlineStr">
        <is>
          <t>John Quinn</t>
        </is>
      </c>
      <c r="L1088" s="426" t="inlineStr">
        <is>
          <t>Contacted</t>
        </is>
      </c>
      <c r="M1088" s="425" t="inlineStr">
        <is>
          <t>Space / Defense / Aerospace / Advanced Manufacturing</t>
        </is>
      </c>
      <c r="N1088" s="426" t="inlineStr">
        <is>
          <t>Tier 2</t>
        </is>
      </c>
      <c r="O1088" s="441" t="n">
        <v>46035</v>
      </c>
      <c r="P1088" s="441" t="n">
        <v>46035</v>
      </c>
      <c r="Q1088" s="425">
        <f>IF(P1088="","",TODAY()-P1088)</f>
        <v/>
      </c>
      <c r="R1088" s="441">
        <f>IF(OR(L1088="Passed",Z1088=""),"",P1088+Z1088)</f>
        <v/>
      </c>
      <c r="S1088" s="425">
        <f>IF(OR(R1088="",L1088="Passed"),"",IF(R1088&lt;=TODAY(),"DUE",IF(R1088&lt;=TODAY()+3,"Next 3 Days","Later")))</f>
        <v/>
      </c>
      <c r="T1088" s="425" t="inlineStr"/>
      <c r="U1088" s="426" t="inlineStr">
        <is>
          <t>linkedin.com/in/jonathanphsu</t>
        </is>
      </c>
      <c r="V1088" s="426" t="inlineStr"/>
      <c r="W1088" s="428" t="inlineStr">
        <is>
          <t xml:space="preserve"> |  | </t>
        </is>
      </c>
      <c r="X1088" s="425" t="inlineStr">
        <is>
          <t>John - Investor Contacts!914</t>
        </is>
      </c>
      <c r="Y1088" s="426" t="inlineStr">
        <is>
          <t>Send 1st follow-up and ask for 20-minute call</t>
        </is>
      </c>
      <c r="Z1088" s="425" t="n">
        <v>3</v>
      </c>
      <c r="AA1088" s="425">
        <f>IF(AC1088="Archived",0,ROUND((IF(N1088="Tier 1",35,IF(N1088="Tier 2",20,8))+IF(C1088="Financial Investor",15,IF(C1088="Intermediary / Banker",12,8))+IF(L1088="Term Sheet / Proposal",25,IF(L1088="Engaged",20,IF(L1088="Meeting Requested",18,IF(L1088="Meeting Held",14,IF(L1088="Follow Up",10,5)))))+MIN(Q1088,30)+IF(S1088="DUE",15,IF(S1088="Next 3 Days",8,0))),0))</f>
        <v/>
      </c>
      <c r="AB1088" s="425">
        <f>IF(AND(AC1088="Active",OR(N1088="Tier 1",N1088="Tier 2"),OR(S1088="DUE",S1088="Next 3 Days")),"YES","")</f>
        <v/>
      </c>
      <c r="AC1088" s="425">
        <f>IF(L1088="Passed","Archived","Active")</f>
        <v/>
      </c>
    </row>
    <row r="1089">
      <c r="A1089" s="425" t="inlineStr">
        <is>
          <t>EXOS-1088</t>
        </is>
      </c>
      <c r="B1089" s="425" t="inlineStr">
        <is>
          <t>John - Investor Contacts</t>
        </is>
      </c>
      <c r="C1089" s="425" t="inlineStr">
        <is>
          <t>Financial Investor</t>
        </is>
      </c>
      <c r="D1089" s="425" t="inlineStr">
        <is>
          <t>Tribe Capital</t>
        </is>
      </c>
      <c r="E1089" s="425" t="inlineStr">
        <is>
          <t>Kavin Stewart</t>
        </is>
      </c>
      <c r="F1089" s="425" t="inlineStr"/>
      <c r="G1089" s="111" t="inlineStr">
        <is>
          <t>kavin@tribecap.co</t>
        </is>
      </c>
      <c r="H1089" s="425" t="inlineStr"/>
      <c r="I1089" s="425" t="inlineStr"/>
      <c r="J1089" s="425" t="inlineStr"/>
      <c r="K1089" s="426" t="inlineStr">
        <is>
          <t>John Quinn</t>
        </is>
      </c>
      <c r="L1089" s="426" t="inlineStr">
        <is>
          <t>Contacted</t>
        </is>
      </c>
      <c r="M1089" s="425" t="inlineStr">
        <is>
          <t>Space / Defense / Aerospace / Advanced Manufacturing</t>
        </is>
      </c>
      <c r="N1089" s="426" t="inlineStr">
        <is>
          <t>Tier 2</t>
        </is>
      </c>
      <c r="O1089" s="441" t="n">
        <v>46035</v>
      </c>
      <c r="P1089" s="441" t="n">
        <v>46035</v>
      </c>
      <c r="Q1089" s="425">
        <f>IF(P1089="","",TODAY()-P1089)</f>
        <v/>
      </c>
      <c r="R1089" s="441">
        <f>IF(OR(L1089="Passed",Z1089=""),"",P1089+Z1089)</f>
        <v/>
      </c>
      <c r="S1089" s="425">
        <f>IF(OR(R1089="",L1089="Passed"),"",IF(R1089&lt;=TODAY(),"DUE",IF(R1089&lt;=TODAY()+3,"Next 3 Days","Later")))</f>
        <v/>
      </c>
      <c r="T1089" s="425" t="inlineStr"/>
      <c r="U1089" s="426" t="inlineStr">
        <is>
          <t>linkedin.com/in/kavin</t>
        </is>
      </c>
      <c r="V1089" s="426" t="inlineStr"/>
      <c r="W1089" s="428" t="inlineStr">
        <is>
          <t xml:space="preserve"> |  | </t>
        </is>
      </c>
      <c r="X1089" s="425" t="inlineStr">
        <is>
          <t>John - Investor Contacts!913</t>
        </is>
      </c>
      <c r="Y1089" s="426" t="inlineStr">
        <is>
          <t>Send 1st follow-up and ask for 20-minute call</t>
        </is>
      </c>
      <c r="Z1089" s="425" t="n">
        <v>3</v>
      </c>
      <c r="AA1089" s="425">
        <f>IF(AC1089="Archived",0,ROUND((IF(N1089="Tier 1",35,IF(N1089="Tier 2",20,8))+IF(C1089="Financial Investor",15,IF(C1089="Intermediary / Banker",12,8))+IF(L1089="Term Sheet / Proposal",25,IF(L1089="Engaged",20,IF(L1089="Meeting Requested",18,IF(L1089="Meeting Held",14,IF(L1089="Follow Up",10,5)))))+MIN(Q1089,30)+IF(S1089="DUE",15,IF(S1089="Next 3 Days",8,0))),0))</f>
        <v/>
      </c>
      <c r="AB1089" s="425">
        <f>IF(AND(AC1089="Active",OR(N1089="Tier 1",N1089="Tier 2"),OR(S1089="DUE",S1089="Next 3 Days")),"YES","")</f>
        <v/>
      </c>
      <c r="AC1089" s="425">
        <f>IF(L1089="Passed","Archived","Active")</f>
        <v/>
      </c>
    </row>
    <row r="1090">
      <c r="A1090" s="425" t="inlineStr">
        <is>
          <t>EXOS-1089</t>
        </is>
      </c>
      <c r="B1090" s="425" t="inlineStr">
        <is>
          <t>John - Investor Contacts</t>
        </is>
      </c>
      <c r="C1090" s="425" t="inlineStr">
        <is>
          <t>Financial Investor</t>
        </is>
      </c>
      <c r="D1090" s="425" t="inlineStr">
        <is>
          <t>Tribe Capital</t>
        </is>
      </c>
      <c r="E1090" s="425" t="inlineStr">
        <is>
          <t>Raaid Hossain</t>
        </is>
      </c>
      <c r="F1090" s="425" t="inlineStr"/>
      <c r="G1090" s="111" t="inlineStr">
        <is>
          <t>raaid@tribecap.co</t>
        </is>
      </c>
      <c r="H1090" s="425" t="inlineStr"/>
      <c r="I1090" s="425" t="inlineStr"/>
      <c r="J1090" s="111" t="inlineStr">
        <is>
          <t>https://www.linkedin.com/in/raaid/</t>
        </is>
      </c>
      <c r="K1090" s="426" t="inlineStr">
        <is>
          <t>John Quinn</t>
        </is>
      </c>
      <c r="L1090" s="426" t="inlineStr">
        <is>
          <t>Contacted</t>
        </is>
      </c>
      <c r="M1090" s="425" t="inlineStr">
        <is>
          <t>Space / Defense / Aerospace / Advanced Manufacturing</t>
        </is>
      </c>
      <c r="N1090" s="426" t="inlineStr">
        <is>
          <t>Tier 2</t>
        </is>
      </c>
      <c r="O1090" s="441" t="n">
        <v>46035</v>
      </c>
      <c r="P1090" s="441" t="n">
        <v>46035</v>
      </c>
      <c r="Q1090" s="425">
        <f>IF(P1090="","",TODAY()-P1090)</f>
        <v/>
      </c>
      <c r="R1090" s="441">
        <f>IF(OR(L1090="Passed",Z1090=""),"",P1090+Z1090)</f>
        <v/>
      </c>
      <c r="S1090" s="425">
        <f>IF(OR(R1090="",L1090="Passed"),"",IF(R1090&lt;=TODAY(),"DUE",IF(R1090&lt;=TODAY()+3,"Next 3 Days","Later")))</f>
        <v/>
      </c>
      <c r="T1090" s="425" t="inlineStr"/>
      <c r="U1090" s="426" t="inlineStr">
        <is>
          <t>https://www.linkedin.com/in/raaid/</t>
        </is>
      </c>
      <c r="V1090" s="426" t="inlineStr"/>
      <c r="W1090" s="428" t="inlineStr">
        <is>
          <t xml:space="preserve"> |  | </t>
        </is>
      </c>
      <c r="X1090" s="425" t="inlineStr">
        <is>
          <t>John - Investor Contacts!912</t>
        </is>
      </c>
      <c r="Y1090" s="426" t="inlineStr">
        <is>
          <t>Send 1st follow-up and ask for 20-minute call</t>
        </is>
      </c>
      <c r="Z1090" s="425" t="n">
        <v>3</v>
      </c>
      <c r="AA1090" s="425">
        <f>IF(AC1090="Archived",0,ROUND((IF(N1090="Tier 1",35,IF(N1090="Tier 2",20,8))+IF(C1090="Financial Investor",15,IF(C1090="Intermediary / Banker",12,8))+IF(L1090="Term Sheet / Proposal",25,IF(L1090="Engaged",20,IF(L1090="Meeting Requested",18,IF(L1090="Meeting Held",14,IF(L1090="Follow Up",10,5)))))+MIN(Q1090,30)+IF(S1090="DUE",15,IF(S1090="Next 3 Days",8,0))),0))</f>
        <v/>
      </c>
      <c r="AB1090" s="425">
        <f>IF(AND(AC1090="Active",OR(N1090="Tier 1",N1090="Tier 2"),OR(S1090="DUE",S1090="Next 3 Days")),"YES","")</f>
        <v/>
      </c>
      <c r="AC1090" s="425">
        <f>IF(L1090="Passed","Archived","Active")</f>
        <v/>
      </c>
    </row>
    <row r="1091">
      <c r="A1091" s="425" t="inlineStr">
        <is>
          <t>EXOS-1090</t>
        </is>
      </c>
      <c r="B1091" s="425" t="inlineStr">
        <is>
          <t>John - Investor Contacts</t>
        </is>
      </c>
      <c r="C1091" s="425" t="inlineStr">
        <is>
          <t>Financial Investor</t>
        </is>
      </c>
      <c r="D1091" s="425" t="inlineStr">
        <is>
          <t>Ultratech Capital</t>
        </is>
      </c>
      <c r="E1091" s="425" t="inlineStr">
        <is>
          <t>Carter Callaway</t>
        </is>
      </c>
      <c r="F1091" s="425" t="inlineStr"/>
      <c r="G1091" s="111" t="inlineStr">
        <is>
          <t>carter.callaway@ultratech.capital</t>
        </is>
      </c>
      <c r="H1091" s="425" t="inlineStr"/>
      <c r="I1091" s="425" t="inlineStr"/>
      <c r="J1091" s="111" t="inlineStr">
        <is>
          <t>https://www.linkedin.com/in/carter-callaway/</t>
        </is>
      </c>
      <c r="K1091" s="426" t="inlineStr">
        <is>
          <t>John Quinn</t>
        </is>
      </c>
      <c r="L1091" s="426" t="inlineStr">
        <is>
          <t>Contacted</t>
        </is>
      </c>
      <c r="M1091" s="425" t="inlineStr">
        <is>
          <t>Space / Defense / Aerospace / Advanced Manufacturing</t>
        </is>
      </c>
      <c r="N1091" s="426" t="inlineStr">
        <is>
          <t>Tier 2</t>
        </is>
      </c>
      <c r="O1091" s="441" t="n">
        <v>45953</v>
      </c>
      <c r="P1091" s="441" t="n">
        <v>45953</v>
      </c>
      <c r="Q1091" s="425">
        <f>IF(P1091="","",TODAY()-P1091)</f>
        <v/>
      </c>
      <c r="R1091" s="441">
        <f>IF(OR(L1091="Passed",Z1091=""),"",P1091+Z1091)</f>
        <v/>
      </c>
      <c r="S1091" s="425">
        <f>IF(OR(R1091="",L1091="Passed"),"",IF(R1091&lt;=TODAY(),"DUE",IF(R1091&lt;=TODAY()+3,"Next 3 Days","Later")))</f>
        <v/>
      </c>
      <c r="T1091" s="425" t="inlineStr"/>
      <c r="U1091" s="426" t="inlineStr">
        <is>
          <t>https://www.linkedin.com/in/carter-callaway/</t>
        </is>
      </c>
      <c r="V1091" s="426" t="inlineStr"/>
      <c r="W1091" s="428" t="inlineStr">
        <is>
          <t xml:space="preserve"> |  | </t>
        </is>
      </c>
      <c r="X1091" s="425" t="inlineStr">
        <is>
          <t>John - Investor Contacts!805</t>
        </is>
      </c>
      <c r="Y1091" s="426" t="inlineStr">
        <is>
          <t>Send 1st follow-up and ask for 20-minute call</t>
        </is>
      </c>
      <c r="Z1091" s="425" t="n">
        <v>3</v>
      </c>
      <c r="AA1091" s="425">
        <f>IF(AC1091="Archived",0,ROUND((IF(N1091="Tier 1",35,IF(N1091="Tier 2",20,8))+IF(C1091="Financial Investor",15,IF(C1091="Intermediary / Banker",12,8))+IF(L1091="Term Sheet / Proposal",25,IF(L1091="Engaged",20,IF(L1091="Meeting Requested",18,IF(L1091="Meeting Held",14,IF(L1091="Follow Up",10,5)))))+MIN(Q1091,30)+IF(S1091="DUE",15,IF(S1091="Next 3 Days",8,0))),0))</f>
        <v/>
      </c>
      <c r="AB1091" s="425">
        <f>IF(AND(AC1091="Active",OR(N1091="Tier 1",N1091="Tier 2"),OR(S1091="DUE",S1091="Next 3 Days")),"YES","")</f>
        <v/>
      </c>
      <c r="AC1091" s="425">
        <f>IF(L1091="Passed","Archived","Active")</f>
        <v/>
      </c>
    </row>
    <row r="1092">
      <c r="A1092" s="425" t="inlineStr">
        <is>
          <t>EXOS-1091</t>
        </is>
      </c>
      <c r="B1092" s="425" t="inlineStr">
        <is>
          <t>John - Investor Contacts</t>
        </is>
      </c>
      <c r="C1092" s="425" t="inlineStr">
        <is>
          <t>Financial Investor</t>
        </is>
      </c>
      <c r="D1092" s="425" t="inlineStr">
        <is>
          <t>Unovis</t>
        </is>
      </c>
      <c r="E1092" s="425" t="inlineStr">
        <is>
          <t>Kim Odhner</t>
        </is>
      </c>
      <c r="F1092" s="425" t="inlineStr"/>
      <c r="G1092" s="111" t="inlineStr">
        <is>
          <t>ko@unovis.vc</t>
        </is>
      </c>
      <c r="H1092" s="425" t="inlineStr"/>
      <c r="I1092" s="425" t="inlineStr"/>
      <c r="J1092" s="111" t="inlineStr">
        <is>
          <t>https://www.linkedin.com/in/kim-anders-odhner/</t>
        </is>
      </c>
      <c r="K1092" s="426" t="inlineStr">
        <is>
          <t>John Quinn</t>
        </is>
      </c>
      <c r="L1092" s="426" t="inlineStr">
        <is>
          <t>Contacted</t>
        </is>
      </c>
      <c r="M1092" s="425" t="inlineStr">
        <is>
          <t>Space / Defense / Aerospace / Advanced Manufacturing</t>
        </is>
      </c>
      <c r="N1092" s="426" t="inlineStr">
        <is>
          <t>Tier 2</t>
        </is>
      </c>
      <c r="O1092" s="441" t="n">
        <v>45835</v>
      </c>
      <c r="P1092" s="441" t="n">
        <v>45835</v>
      </c>
      <c r="Q1092" s="425">
        <f>IF(P1092="","",TODAY()-P1092)</f>
        <v/>
      </c>
      <c r="R1092" s="441">
        <f>IF(OR(L1092="Passed",Z1092=""),"",P1092+Z1092)</f>
        <v/>
      </c>
      <c r="S1092" s="425">
        <f>IF(OR(R1092="",L1092="Passed"),"",IF(R1092&lt;=TODAY(),"DUE",IF(R1092&lt;=TODAY()+3,"Next 3 Days","Later")))</f>
        <v/>
      </c>
      <c r="T1092" s="425" t="inlineStr"/>
      <c r="U1092" s="426" t="inlineStr">
        <is>
          <t>https://www.linkedin.com/in/kim-anders-odhner/</t>
        </is>
      </c>
      <c r="V1092" s="426" t="inlineStr"/>
      <c r="W1092" s="428" t="inlineStr">
        <is>
          <t xml:space="preserve"> |  | </t>
        </is>
      </c>
      <c r="X1092" s="425" t="inlineStr">
        <is>
          <t>John - Investor Contacts!171</t>
        </is>
      </c>
      <c r="Y1092" s="426" t="inlineStr">
        <is>
          <t>Send 1st follow-up and ask for 20-minute call</t>
        </is>
      </c>
      <c r="Z1092" s="425" t="n">
        <v>3</v>
      </c>
      <c r="AA1092" s="425">
        <f>IF(AC1092="Archived",0,ROUND((IF(N1092="Tier 1",35,IF(N1092="Tier 2",20,8))+IF(C1092="Financial Investor",15,IF(C1092="Intermediary / Banker",12,8))+IF(L1092="Term Sheet / Proposal",25,IF(L1092="Engaged",20,IF(L1092="Meeting Requested",18,IF(L1092="Meeting Held",14,IF(L1092="Follow Up",10,5)))))+MIN(Q1092,30)+IF(S1092="DUE",15,IF(S1092="Next 3 Days",8,0))),0))</f>
        <v/>
      </c>
      <c r="AB1092" s="425">
        <f>IF(AND(AC1092="Active",OR(N1092="Tier 1",N1092="Tier 2"),OR(S1092="DUE",S1092="Next 3 Days")),"YES","")</f>
        <v/>
      </c>
      <c r="AC1092" s="425">
        <f>IF(L1092="Passed","Archived","Active")</f>
        <v/>
      </c>
    </row>
    <row r="1093">
      <c r="A1093" s="425" t="inlineStr">
        <is>
          <t>EXOS-1092</t>
        </is>
      </c>
      <c r="B1093" s="425" t="inlineStr">
        <is>
          <t>John - Investor Contacts</t>
        </is>
      </c>
      <c r="C1093" s="425" t="inlineStr">
        <is>
          <t>Financial Investor</t>
        </is>
      </c>
      <c r="D1093" s="425" t="inlineStr">
        <is>
          <t>Venture Associate</t>
        </is>
      </c>
      <c r="E1093" s="425" t="inlineStr">
        <is>
          <t>Max Werney</t>
        </is>
      </c>
      <c r="F1093" s="425" t="inlineStr"/>
      <c r="G1093" s="111" t="inlineStr">
        <is>
          <t>max@zerocarbon.capital</t>
        </is>
      </c>
      <c r="H1093" s="425" t="inlineStr"/>
      <c r="I1093" s="425" t="inlineStr"/>
      <c r="J1093" s="111" t="inlineStr">
        <is>
          <t>https://www.linkedin.com/in/max-werny-phd-293118128/</t>
        </is>
      </c>
      <c r="K1093" s="426" t="inlineStr">
        <is>
          <t>John Quinn</t>
        </is>
      </c>
      <c r="L1093" s="426" t="inlineStr">
        <is>
          <t>Contacted</t>
        </is>
      </c>
      <c r="M1093" s="425" t="inlineStr">
        <is>
          <t>Space / Defense / Aerospace / Advanced Manufacturing</t>
        </is>
      </c>
      <c r="N1093" s="426" t="inlineStr">
        <is>
          <t>Tier 2</t>
        </is>
      </c>
      <c r="O1093" s="441" t="n">
        <v>45974</v>
      </c>
      <c r="P1093" s="441" t="n">
        <v>45974</v>
      </c>
      <c r="Q1093" s="425">
        <f>IF(P1093="","",TODAY()-P1093)</f>
        <v/>
      </c>
      <c r="R1093" s="441">
        <f>IF(OR(L1093="Passed",Z1093=""),"",P1093+Z1093)</f>
        <v/>
      </c>
      <c r="S1093" s="425">
        <f>IF(OR(R1093="",L1093="Passed"),"",IF(R1093&lt;=TODAY(),"DUE",IF(R1093&lt;=TODAY()+3,"Next 3 Days","Later")))</f>
        <v/>
      </c>
      <c r="T1093" s="425" t="inlineStr"/>
      <c r="U1093" s="426" t="inlineStr">
        <is>
          <t>https://www.linkedin.com/in/max-werny-phd-293118128/</t>
        </is>
      </c>
      <c r="V1093" s="426" t="inlineStr"/>
      <c r="W1093" s="428" t="inlineStr">
        <is>
          <t xml:space="preserve"> |  | </t>
        </is>
      </c>
      <c r="X1093" s="425" t="inlineStr">
        <is>
          <t>John - Investor Contacts!736</t>
        </is>
      </c>
      <c r="Y1093" s="426" t="inlineStr">
        <is>
          <t>Send 1st follow-up and ask for 20-minute call</t>
        </is>
      </c>
      <c r="Z1093" s="425" t="n">
        <v>3</v>
      </c>
      <c r="AA1093" s="425">
        <f>IF(AC1093="Archived",0,ROUND((IF(N1093="Tier 1",35,IF(N1093="Tier 2",20,8))+IF(C1093="Financial Investor",15,IF(C1093="Intermediary / Banker",12,8))+IF(L1093="Term Sheet / Proposal",25,IF(L1093="Engaged",20,IF(L1093="Meeting Requested",18,IF(L1093="Meeting Held",14,IF(L1093="Follow Up",10,5)))))+MIN(Q1093,30)+IF(S1093="DUE",15,IF(S1093="Next 3 Days",8,0))),0))</f>
        <v/>
      </c>
      <c r="AB1093" s="425">
        <f>IF(AND(AC1093="Active",OR(N1093="Tier 1",N1093="Tier 2"),OR(S1093="DUE",S1093="Next 3 Days")),"YES","")</f>
        <v/>
      </c>
      <c r="AC1093" s="425">
        <f>IF(L1093="Passed","Archived","Active")</f>
        <v/>
      </c>
    </row>
    <row r="1094">
      <c r="A1094" s="425" t="inlineStr">
        <is>
          <t>EXOS-1093</t>
        </is>
      </c>
      <c r="B1094" s="425" t="inlineStr">
        <is>
          <t>Tank Contacts</t>
        </is>
      </c>
      <c r="C1094" s="425" t="inlineStr">
        <is>
          <t>Strategic / Corporate</t>
        </is>
      </c>
      <c r="D1094" s="425" t="inlineStr">
        <is>
          <t>York Space Systems</t>
        </is>
      </c>
      <c r="E1094" s="425" t="inlineStr">
        <is>
          <t>Angelina Smith</t>
        </is>
      </c>
      <c r="F1094" s="425" t="inlineStr"/>
      <c r="G1094" s="111" t="inlineStr">
        <is>
          <t>angelina.smith@yorkspacesystems.com</t>
        </is>
      </c>
      <c r="H1094" s="425" t="inlineStr"/>
      <c r="I1094" s="425" t="inlineStr"/>
      <c r="J1094" s="111" t="inlineStr">
        <is>
          <t>https://www.linkedin.com/in/angelinasmithmba/</t>
        </is>
      </c>
      <c r="K1094" s="426" t="inlineStr">
        <is>
          <t>John Quinn</t>
        </is>
      </c>
      <c r="L1094" s="426" t="inlineStr">
        <is>
          <t>Contacted</t>
        </is>
      </c>
      <c r="M1094" s="425" t="inlineStr">
        <is>
          <t>Strategic space / aerospace alignment</t>
        </is>
      </c>
      <c r="N1094" s="426" t="inlineStr">
        <is>
          <t>Tier 2</t>
        </is>
      </c>
      <c r="O1094" s="441" t="n">
        <v>45950</v>
      </c>
      <c r="P1094" s="441" t="n">
        <v>45950</v>
      </c>
      <c r="Q1094" s="425">
        <f>IF(P1094="","",TODAY()-P1094)</f>
        <v/>
      </c>
      <c r="R1094" s="441">
        <f>IF(OR(L1094="Passed",Z1094=""),"",P1094+Z1094)</f>
        <v/>
      </c>
      <c r="S1094" s="425">
        <f>IF(OR(R1094="",L1094="Passed"),"",IF(R1094&lt;=TODAY(),"DUE",IF(R1094&lt;=TODAY()+3,"Next 3 Days","Later")))</f>
        <v/>
      </c>
      <c r="T1094" s="425" t="inlineStr"/>
      <c r="U1094" s="426" t="inlineStr"/>
      <c r="V1094" s="426" t="inlineStr"/>
      <c r="W1094" s="428" t="inlineStr"/>
      <c r="X1094" s="425" t="inlineStr">
        <is>
          <t>Tank Contacts!32</t>
        </is>
      </c>
      <c r="Y1094" s="426" t="inlineStr">
        <is>
          <t>Send 1st follow-up and ask for 20-minute call</t>
        </is>
      </c>
      <c r="Z1094" s="425" t="n">
        <v>3</v>
      </c>
      <c r="AA1094" s="425">
        <f>IF(AC1094="Archived",0,ROUND((IF(N1094="Tier 1",35,IF(N1094="Tier 2",20,8))+IF(C1094="Financial Investor",15,IF(C1094="Intermediary / Banker",12,8))+IF(L1094="Term Sheet / Proposal",25,IF(L1094="Engaged",20,IF(L1094="Meeting Requested",18,IF(L1094="Meeting Held",14,IF(L1094="Follow Up",10,5)))))+MIN(Q1094,30)+IF(S1094="DUE",15,IF(S1094="Next 3 Days",8,0))),0))</f>
        <v/>
      </c>
      <c r="AB1094" s="425">
        <f>IF(AND(AC1094="Active",OR(N1094="Tier 1",N1094="Tier 2"),OR(S1094="DUE",S1094="Next 3 Days")),"YES","")</f>
        <v/>
      </c>
      <c r="AC1094" s="425">
        <f>IF(L1094="Passed","Archived","Active")</f>
        <v/>
      </c>
    </row>
    <row r="1095">
      <c r="A1095" s="425" t="inlineStr">
        <is>
          <t>EXOS-1094</t>
        </is>
      </c>
      <c r="B1095" s="425" t="inlineStr">
        <is>
          <t>Tank Contacts</t>
        </is>
      </c>
      <c r="C1095" s="425" t="inlineStr">
        <is>
          <t>Strategic / Corporate</t>
        </is>
      </c>
      <c r="D1095" s="425" t="inlineStr">
        <is>
          <t>York Space Systems</t>
        </is>
      </c>
      <c r="E1095" s="425" t="inlineStr">
        <is>
          <t>Cliff Ferrero</t>
        </is>
      </c>
      <c r="F1095" s="425" t="inlineStr"/>
      <c r="G1095" s="111" t="inlineStr">
        <is>
          <t>cliff.ferrero@yorkspacesystems.com</t>
        </is>
      </c>
      <c r="H1095" s="425" t="inlineStr"/>
      <c r="I1095" s="425" t="inlineStr"/>
      <c r="J1095" s="425" t="inlineStr"/>
      <c r="K1095" s="426" t="inlineStr">
        <is>
          <t>John Quinn</t>
        </is>
      </c>
      <c r="L1095" s="426" t="inlineStr">
        <is>
          <t>Contacted</t>
        </is>
      </c>
      <c r="M1095" s="425" t="inlineStr">
        <is>
          <t>Strategic space / aerospace alignment</t>
        </is>
      </c>
      <c r="N1095" s="426" t="inlineStr">
        <is>
          <t>Tier 2</t>
        </is>
      </c>
      <c r="O1095" s="441" t="n">
        <v>45950</v>
      </c>
      <c r="P1095" s="441" t="n">
        <v>45950</v>
      </c>
      <c r="Q1095" s="425">
        <f>IF(P1095="","",TODAY()-P1095)</f>
        <v/>
      </c>
      <c r="R1095" s="441">
        <f>IF(OR(L1095="Passed",Z1095=""),"",P1095+Z1095)</f>
        <v/>
      </c>
      <c r="S1095" s="425">
        <f>IF(OR(R1095="",L1095="Passed"),"",IF(R1095&lt;=TODAY(),"DUE",IF(R1095&lt;=TODAY()+3,"Next 3 Days","Later")))</f>
        <v/>
      </c>
      <c r="T1095" s="425" t="inlineStr"/>
      <c r="U1095" s="426" t="inlineStr"/>
      <c r="V1095" s="426" t="inlineStr"/>
      <c r="W1095" s="428" t="inlineStr"/>
      <c r="X1095" s="425" t="inlineStr">
        <is>
          <t>Tank Contacts!33</t>
        </is>
      </c>
      <c r="Y1095" s="426" t="inlineStr">
        <is>
          <t>Send 1st follow-up and ask for 20-minute call</t>
        </is>
      </c>
      <c r="Z1095" s="425" t="n">
        <v>3</v>
      </c>
      <c r="AA1095" s="425">
        <f>IF(AC1095="Archived",0,ROUND((IF(N1095="Tier 1",35,IF(N1095="Tier 2",20,8))+IF(C1095="Financial Investor",15,IF(C1095="Intermediary / Banker",12,8))+IF(L1095="Term Sheet / Proposal",25,IF(L1095="Engaged",20,IF(L1095="Meeting Requested",18,IF(L1095="Meeting Held",14,IF(L1095="Follow Up",10,5)))))+MIN(Q1095,30)+IF(S1095="DUE",15,IF(S1095="Next 3 Days",8,0))),0))</f>
        <v/>
      </c>
      <c r="AB1095" s="425">
        <f>IF(AND(AC1095="Active",OR(N1095="Tier 1",N1095="Tier 2"),OR(S1095="DUE",S1095="Next 3 Days")),"YES","")</f>
        <v/>
      </c>
      <c r="AC1095" s="425">
        <f>IF(L1095="Passed","Archived","Active")</f>
        <v/>
      </c>
    </row>
    <row r="1096">
      <c r="A1096" s="425" t="inlineStr">
        <is>
          <t>EXOS-1095</t>
        </is>
      </c>
      <c r="B1096" s="425" t="inlineStr">
        <is>
          <t>Tank Contacts</t>
        </is>
      </c>
      <c r="C1096" s="425" t="inlineStr">
        <is>
          <t>Strategic / Corporate</t>
        </is>
      </c>
      <c r="D1096" s="425" t="inlineStr">
        <is>
          <t>York Space Systems</t>
        </is>
      </c>
      <c r="E1096" s="425" t="inlineStr">
        <is>
          <t>Dan Brophy</t>
        </is>
      </c>
      <c r="F1096" s="425" t="inlineStr"/>
      <c r="G1096" s="111" t="inlineStr">
        <is>
          <t>daniel.brophy@yorkspacesystems.com</t>
        </is>
      </c>
      <c r="H1096" s="425" t="inlineStr"/>
      <c r="I1096" s="425" t="inlineStr"/>
      <c r="J1096" s="111" t="inlineStr">
        <is>
          <t>https://www.linkedin.com/in/dan-brophy-8321398b/</t>
        </is>
      </c>
      <c r="K1096" s="426" t="inlineStr">
        <is>
          <t>John Quinn</t>
        </is>
      </c>
      <c r="L1096" s="426" t="inlineStr">
        <is>
          <t>Contacted</t>
        </is>
      </c>
      <c r="M1096" s="425" t="inlineStr">
        <is>
          <t>Strategic space / aerospace alignment</t>
        </is>
      </c>
      <c r="N1096" s="426" t="inlineStr">
        <is>
          <t>Tier 2</t>
        </is>
      </c>
      <c r="O1096" s="441" t="n">
        <v>45950</v>
      </c>
      <c r="P1096" s="441" t="n">
        <v>45950</v>
      </c>
      <c r="Q1096" s="425">
        <f>IF(P1096="","",TODAY()-P1096)</f>
        <v/>
      </c>
      <c r="R1096" s="441">
        <f>IF(OR(L1096="Passed",Z1096=""),"",P1096+Z1096)</f>
        <v/>
      </c>
      <c r="S1096" s="425">
        <f>IF(OR(R1096="",L1096="Passed"),"",IF(R1096&lt;=TODAY(),"DUE",IF(R1096&lt;=TODAY()+3,"Next 3 Days","Later")))</f>
        <v/>
      </c>
      <c r="T1096" s="425" t="inlineStr"/>
      <c r="U1096" s="426" t="inlineStr"/>
      <c r="V1096" s="426" t="inlineStr"/>
      <c r="W1096" s="428" t="inlineStr"/>
      <c r="X1096" s="425" t="inlineStr">
        <is>
          <t>Tank Contacts!35</t>
        </is>
      </c>
      <c r="Y1096" s="426" t="inlineStr">
        <is>
          <t>Send 1st follow-up and ask for 20-minute call</t>
        </is>
      </c>
      <c r="Z1096" s="425" t="n">
        <v>3</v>
      </c>
      <c r="AA1096" s="425">
        <f>IF(AC1096="Archived",0,ROUND((IF(N1096="Tier 1",35,IF(N1096="Tier 2",20,8))+IF(C1096="Financial Investor",15,IF(C1096="Intermediary / Banker",12,8))+IF(L1096="Term Sheet / Proposal",25,IF(L1096="Engaged",20,IF(L1096="Meeting Requested",18,IF(L1096="Meeting Held",14,IF(L1096="Follow Up",10,5)))))+MIN(Q1096,30)+IF(S1096="DUE",15,IF(S1096="Next 3 Days",8,0))),0))</f>
        <v/>
      </c>
      <c r="AB1096" s="425">
        <f>IF(AND(AC1096="Active",OR(N1096="Tier 1",N1096="Tier 2"),OR(S1096="DUE",S1096="Next 3 Days")),"YES","")</f>
        <v/>
      </c>
      <c r="AC1096" s="425">
        <f>IF(L1096="Passed","Archived","Active")</f>
        <v/>
      </c>
    </row>
    <row r="1097">
      <c r="A1097" s="425" t="inlineStr">
        <is>
          <t>EXOS-1096</t>
        </is>
      </c>
      <c r="B1097" s="425" t="inlineStr">
        <is>
          <t>Tank Contacts</t>
        </is>
      </c>
      <c r="C1097" s="425" t="inlineStr">
        <is>
          <t>Strategic / Corporate</t>
        </is>
      </c>
      <c r="D1097" s="425" t="inlineStr">
        <is>
          <t>York Space Systems</t>
        </is>
      </c>
      <c r="E1097" s="425" t="inlineStr">
        <is>
          <t>Eric Orrill</t>
        </is>
      </c>
      <c r="F1097" s="425" t="inlineStr"/>
      <c r="G1097" s="111" t="inlineStr">
        <is>
          <t>eric.orrill@yorkspacesystems.com</t>
        </is>
      </c>
      <c r="H1097" s="425" t="inlineStr"/>
      <c r="I1097" s="425" t="inlineStr"/>
      <c r="J1097" s="111" t="inlineStr">
        <is>
          <t>https://www.linkedin.com/in/eric-orrill-a022a34/</t>
        </is>
      </c>
      <c r="K1097" s="426" t="inlineStr">
        <is>
          <t>John Quinn</t>
        </is>
      </c>
      <c r="L1097" s="426" t="inlineStr">
        <is>
          <t>Contacted</t>
        </is>
      </c>
      <c r="M1097" s="425" t="inlineStr">
        <is>
          <t>Strategic space / aerospace alignment</t>
        </is>
      </c>
      <c r="N1097" s="426" t="inlineStr">
        <is>
          <t>Tier 2</t>
        </is>
      </c>
      <c r="O1097" s="441" t="n">
        <v>45950</v>
      </c>
      <c r="P1097" s="441" t="n">
        <v>45950</v>
      </c>
      <c r="Q1097" s="425">
        <f>IF(P1097="","",TODAY()-P1097)</f>
        <v/>
      </c>
      <c r="R1097" s="441">
        <f>IF(OR(L1097="Passed",Z1097=""),"",P1097+Z1097)</f>
        <v/>
      </c>
      <c r="S1097" s="425">
        <f>IF(OR(R1097="",L1097="Passed"),"",IF(R1097&lt;=TODAY(),"DUE",IF(R1097&lt;=TODAY()+3,"Next 3 Days","Later")))</f>
        <v/>
      </c>
      <c r="T1097" s="425" t="inlineStr"/>
      <c r="U1097" s="426" t="inlineStr"/>
      <c r="V1097" s="426" t="inlineStr"/>
      <c r="W1097" s="428" t="inlineStr"/>
      <c r="X1097" s="425" t="inlineStr">
        <is>
          <t>Tank Contacts!34</t>
        </is>
      </c>
      <c r="Y1097" s="426" t="inlineStr">
        <is>
          <t>Send 1st follow-up and ask for 20-minute call</t>
        </is>
      </c>
      <c r="Z1097" s="425" t="n">
        <v>3</v>
      </c>
      <c r="AA1097" s="425">
        <f>IF(AC1097="Archived",0,ROUND((IF(N1097="Tier 1",35,IF(N1097="Tier 2",20,8))+IF(C1097="Financial Investor",15,IF(C1097="Intermediary / Banker",12,8))+IF(L1097="Term Sheet / Proposal",25,IF(L1097="Engaged",20,IF(L1097="Meeting Requested",18,IF(L1097="Meeting Held",14,IF(L1097="Follow Up",10,5)))))+MIN(Q1097,30)+IF(S1097="DUE",15,IF(S1097="Next 3 Days",8,0))),0))</f>
        <v/>
      </c>
      <c r="AB1097" s="425">
        <f>IF(AND(AC1097="Active",OR(N1097="Tier 1",N1097="Tier 2"),OR(S1097="DUE",S1097="Next 3 Days")),"YES","")</f>
        <v/>
      </c>
      <c r="AC1097" s="425">
        <f>IF(L1097="Passed","Archived","Active")</f>
        <v/>
      </c>
    </row>
    <row r="1098">
      <c r="A1098" s="425" t="inlineStr">
        <is>
          <t>EXOS-1097</t>
        </is>
      </c>
      <c r="B1098" s="425" t="inlineStr">
        <is>
          <t>Tank Contacts</t>
        </is>
      </c>
      <c r="C1098" s="425" t="inlineStr">
        <is>
          <t>Strategic / Corporate</t>
        </is>
      </c>
      <c r="D1098" s="425" t="inlineStr">
        <is>
          <t>York Space Systems</t>
        </is>
      </c>
      <c r="E1098" s="425" t="inlineStr">
        <is>
          <t>Gabe Murnan</t>
        </is>
      </c>
      <c r="F1098" s="425" t="inlineStr"/>
      <c r="G1098" s="111" t="inlineStr">
        <is>
          <t>gabriel.murnan@yorkspacesystems.com</t>
        </is>
      </c>
      <c r="H1098" s="425" t="inlineStr"/>
      <c r="I1098" s="425" t="inlineStr"/>
      <c r="J1098" s="111" t="inlineStr">
        <is>
          <t>https://www.linkedin.com/in/gabe-murnan-261a1b48/</t>
        </is>
      </c>
      <c r="K1098" s="426" t="inlineStr">
        <is>
          <t>John Quinn</t>
        </is>
      </c>
      <c r="L1098" s="426" t="inlineStr">
        <is>
          <t>Contacted</t>
        </is>
      </c>
      <c r="M1098" s="425" t="inlineStr">
        <is>
          <t>Strategic space / aerospace alignment</t>
        </is>
      </c>
      <c r="N1098" s="426" t="inlineStr">
        <is>
          <t>Tier 2</t>
        </is>
      </c>
      <c r="O1098" s="441" t="n">
        <v>45950</v>
      </c>
      <c r="P1098" s="441" t="n">
        <v>45950</v>
      </c>
      <c r="Q1098" s="425">
        <f>IF(P1098="","",TODAY()-P1098)</f>
        <v/>
      </c>
      <c r="R1098" s="441">
        <f>IF(OR(L1098="Passed",Z1098=""),"",P1098+Z1098)</f>
        <v/>
      </c>
      <c r="S1098" s="425">
        <f>IF(OR(R1098="",L1098="Passed"),"",IF(R1098&lt;=TODAY(),"DUE",IF(R1098&lt;=TODAY()+3,"Next 3 Days","Later")))</f>
        <v/>
      </c>
      <c r="T1098" s="425" t="inlineStr"/>
      <c r="U1098" s="426" t="inlineStr"/>
      <c r="V1098" s="426" t="inlineStr"/>
      <c r="W1098" s="428" t="inlineStr"/>
      <c r="X1098" s="425" t="inlineStr">
        <is>
          <t>Tank Contacts!37</t>
        </is>
      </c>
      <c r="Y1098" s="426" t="inlineStr">
        <is>
          <t>Send 1st follow-up and ask for 20-minute call</t>
        </is>
      </c>
      <c r="Z1098" s="425" t="n">
        <v>3</v>
      </c>
      <c r="AA1098" s="425">
        <f>IF(AC1098="Archived",0,ROUND((IF(N1098="Tier 1",35,IF(N1098="Tier 2",20,8))+IF(C1098="Financial Investor",15,IF(C1098="Intermediary / Banker",12,8))+IF(L1098="Term Sheet / Proposal",25,IF(L1098="Engaged",20,IF(L1098="Meeting Requested",18,IF(L1098="Meeting Held",14,IF(L1098="Follow Up",10,5)))))+MIN(Q1098,30)+IF(S1098="DUE",15,IF(S1098="Next 3 Days",8,0))),0))</f>
        <v/>
      </c>
      <c r="AB1098" s="425">
        <f>IF(AND(AC1098="Active",OR(N1098="Tier 1",N1098="Tier 2"),OR(S1098="DUE",S1098="Next 3 Days")),"YES","")</f>
        <v/>
      </c>
      <c r="AC1098" s="425">
        <f>IF(L1098="Passed","Archived","Active")</f>
        <v/>
      </c>
    </row>
    <row r="1099">
      <c r="A1099" s="425" t="inlineStr">
        <is>
          <t>EXOS-1098</t>
        </is>
      </c>
      <c r="B1099" s="425" t="inlineStr">
        <is>
          <t>Tank Contacts</t>
        </is>
      </c>
      <c r="C1099" s="425" t="inlineStr">
        <is>
          <t>Strategic / Corporate</t>
        </is>
      </c>
      <c r="D1099" s="425" t="inlineStr">
        <is>
          <t>York Space Systems</t>
        </is>
      </c>
      <c r="E1099" s="425" t="inlineStr">
        <is>
          <t>Mike Lajczok</t>
        </is>
      </c>
      <c r="F1099" s="425" t="inlineStr"/>
      <c r="G1099" s="111" t="inlineStr">
        <is>
          <t>mike.lajczok@yorkspacesystems.com</t>
        </is>
      </c>
      <c r="H1099" s="425" t="inlineStr"/>
      <c r="I1099" s="425" t="inlineStr"/>
      <c r="J1099" s="111" t="inlineStr">
        <is>
          <t>https://www.linkedin.com/in/mike-lajczok-lay-check-54b89362</t>
        </is>
      </c>
      <c r="K1099" s="426" t="inlineStr">
        <is>
          <t>John Quinn</t>
        </is>
      </c>
      <c r="L1099" s="426" t="inlineStr">
        <is>
          <t>Contacted</t>
        </is>
      </c>
      <c r="M1099" s="425" t="inlineStr">
        <is>
          <t>Strategic space / aerospace alignment</t>
        </is>
      </c>
      <c r="N1099" s="426" t="inlineStr">
        <is>
          <t>Tier 2</t>
        </is>
      </c>
      <c r="O1099" s="441" t="n">
        <v>45950</v>
      </c>
      <c r="P1099" s="441" t="n">
        <v>45950</v>
      </c>
      <c r="Q1099" s="425">
        <f>IF(P1099="","",TODAY()-P1099)</f>
        <v/>
      </c>
      <c r="R1099" s="441">
        <f>IF(OR(L1099="Passed",Z1099=""),"",P1099+Z1099)</f>
        <v/>
      </c>
      <c r="S1099" s="425">
        <f>IF(OR(R1099="",L1099="Passed"),"",IF(R1099&lt;=TODAY(),"DUE",IF(R1099&lt;=TODAY()+3,"Next 3 Days","Later")))</f>
        <v/>
      </c>
      <c r="T1099" s="425" t="inlineStr"/>
      <c r="U1099" s="426" t="inlineStr"/>
      <c r="V1099" s="426" t="inlineStr"/>
      <c r="W1099" s="428" t="inlineStr"/>
      <c r="X1099" s="425" t="inlineStr">
        <is>
          <t>Tank Contacts!31</t>
        </is>
      </c>
      <c r="Y1099" s="426" t="inlineStr">
        <is>
          <t>Send 1st follow-up and ask for 20-minute call</t>
        </is>
      </c>
      <c r="Z1099" s="425" t="n">
        <v>3</v>
      </c>
      <c r="AA1099" s="425">
        <f>IF(AC1099="Archived",0,ROUND((IF(N1099="Tier 1",35,IF(N1099="Tier 2",20,8))+IF(C1099="Financial Investor",15,IF(C1099="Intermediary / Banker",12,8))+IF(L1099="Term Sheet / Proposal",25,IF(L1099="Engaged",20,IF(L1099="Meeting Requested",18,IF(L1099="Meeting Held",14,IF(L1099="Follow Up",10,5)))))+MIN(Q1099,30)+IF(S1099="DUE",15,IF(S1099="Next 3 Days",8,0))),0))</f>
        <v/>
      </c>
      <c r="AB1099" s="425">
        <f>IF(AND(AC1099="Active",OR(N1099="Tier 1",N1099="Tier 2"),OR(S1099="DUE",S1099="Next 3 Days")),"YES","")</f>
        <v/>
      </c>
      <c r="AC1099" s="425">
        <f>IF(L1099="Passed","Archived","Active")</f>
        <v/>
      </c>
    </row>
    <row r="1100">
      <c r="A1100" s="425" t="inlineStr">
        <is>
          <t>EXOS-1099</t>
        </is>
      </c>
      <c r="B1100" s="425" t="inlineStr">
        <is>
          <t>Tank Contacts</t>
        </is>
      </c>
      <c r="C1100" s="425" t="inlineStr">
        <is>
          <t>Strategic / Corporate</t>
        </is>
      </c>
      <c r="D1100" s="425" t="inlineStr">
        <is>
          <t>York Space Systems</t>
        </is>
      </c>
      <c r="E1100" s="425" t="inlineStr">
        <is>
          <t>Sarah Walter</t>
        </is>
      </c>
      <c r="F1100" s="425" t="inlineStr"/>
      <c r="G1100" s="111" t="inlineStr">
        <is>
          <t>sarah.walter@yorkspacesystems.com</t>
        </is>
      </c>
      <c r="H1100" s="425" t="inlineStr"/>
      <c r="I1100" s="425" t="inlineStr"/>
      <c r="J1100" s="425" t="inlineStr"/>
      <c r="K1100" s="426" t="inlineStr">
        <is>
          <t>John Quinn</t>
        </is>
      </c>
      <c r="L1100" s="426" t="inlineStr">
        <is>
          <t>Contacted</t>
        </is>
      </c>
      <c r="M1100" s="425" t="inlineStr">
        <is>
          <t>Strategic space / aerospace alignment</t>
        </is>
      </c>
      <c r="N1100" s="426" t="inlineStr">
        <is>
          <t>Tier 2</t>
        </is>
      </c>
      <c r="O1100" s="441" t="n">
        <v>45950</v>
      </c>
      <c r="P1100" s="441" t="n">
        <v>45950</v>
      </c>
      <c r="Q1100" s="425">
        <f>IF(P1100="","",TODAY()-P1100)</f>
        <v/>
      </c>
      <c r="R1100" s="441">
        <f>IF(OR(L1100="Passed",Z1100=""),"",P1100+Z1100)</f>
        <v/>
      </c>
      <c r="S1100" s="425">
        <f>IF(OR(R1100="",L1100="Passed"),"",IF(R1100&lt;=TODAY(),"DUE",IF(R1100&lt;=TODAY()+3,"Next 3 Days","Later")))</f>
        <v/>
      </c>
      <c r="T1100" s="425" t="inlineStr"/>
      <c r="U1100" s="426" t="inlineStr"/>
      <c r="V1100" s="426" t="inlineStr"/>
      <c r="W1100" s="428" t="inlineStr"/>
      <c r="X1100" s="425" t="inlineStr">
        <is>
          <t>Tank Contacts!36</t>
        </is>
      </c>
      <c r="Y1100" s="426" t="inlineStr">
        <is>
          <t>Send 1st follow-up and ask for 20-minute call</t>
        </is>
      </c>
      <c r="Z1100" s="425" t="n">
        <v>3</v>
      </c>
      <c r="AA1100" s="425">
        <f>IF(AC1100="Archived",0,ROUND((IF(N1100="Tier 1",35,IF(N1100="Tier 2",20,8))+IF(C1100="Financial Investor",15,IF(C1100="Intermediary / Banker",12,8))+IF(L1100="Term Sheet / Proposal",25,IF(L1100="Engaged",20,IF(L1100="Meeting Requested",18,IF(L1100="Meeting Held",14,IF(L1100="Follow Up",10,5)))))+MIN(Q1100,30)+IF(S1100="DUE",15,IF(S1100="Next 3 Days",8,0))),0))</f>
        <v/>
      </c>
      <c r="AB1100" s="425">
        <f>IF(AND(AC1100="Active",OR(N1100="Tier 1",N1100="Tier 2"),OR(S1100="DUE",S1100="Next 3 Days")),"YES","")</f>
        <v/>
      </c>
      <c r="AC1100" s="425">
        <f>IF(L1100="Passed","Archived","Active")</f>
        <v/>
      </c>
    </row>
    <row r="1101">
      <c r="A1101" s="425" t="inlineStr">
        <is>
          <t>EXOS-1100</t>
        </is>
      </c>
      <c r="B1101" s="425" t="inlineStr">
        <is>
          <t>John - Investor Contacts</t>
        </is>
      </c>
      <c r="C1101" s="425" t="inlineStr">
        <is>
          <t>Financial Investor</t>
        </is>
      </c>
      <c r="D1101" s="425" t="inlineStr">
        <is>
          <t>referred by Dereck McCarthy</t>
        </is>
      </c>
      <c r="E1101" s="425" t="inlineStr">
        <is>
          <t>Bruce Blechman</t>
        </is>
      </c>
      <c r="F1101" s="425" t="inlineStr"/>
      <c r="G1101" s="111" t="inlineStr">
        <is>
          <t>bruceblechman@msn.com</t>
        </is>
      </c>
      <c r="H1101" s="425" t="inlineStr"/>
      <c r="I1101" s="425" t="inlineStr"/>
      <c r="J1101" s="425" t="inlineStr"/>
      <c r="K1101" s="426" t="inlineStr">
        <is>
          <t>John Quinn</t>
        </is>
      </c>
      <c r="L1101" s="426" t="inlineStr">
        <is>
          <t>Contacted</t>
        </is>
      </c>
      <c r="M1101" s="425" t="inlineStr">
        <is>
          <t>Space / Defense / Aerospace / Advanced Manufacturing</t>
        </is>
      </c>
      <c r="N1101" s="426" t="inlineStr">
        <is>
          <t>Tier 2</t>
        </is>
      </c>
      <c r="O1101" s="441" t="n">
        <v>45840</v>
      </c>
      <c r="P1101" s="441" t="n">
        <v>45840</v>
      </c>
      <c r="Q1101" s="425">
        <f>IF(P1101="","",TODAY()-P1101)</f>
        <v/>
      </c>
      <c r="R1101" s="441">
        <f>IF(OR(L1101="Passed",Z1101=""),"",P1101+Z1101)</f>
        <v/>
      </c>
      <c r="S1101" s="425">
        <f>IF(OR(R1101="",L1101="Passed"),"",IF(R1101&lt;=TODAY(),"DUE",IF(R1101&lt;=TODAY()+3,"Next 3 Days","Later")))</f>
        <v/>
      </c>
      <c r="T1101" s="425" t="inlineStr"/>
      <c r="U1101" s="426" t="inlineStr"/>
      <c r="V1101" s="426" t="inlineStr"/>
      <c r="W1101" s="428" t="inlineStr">
        <is>
          <t xml:space="preserve"> | Referrd me to Sarah and we declined to do business with her. | </t>
        </is>
      </c>
      <c r="X1101" s="425" t="inlineStr">
        <is>
          <t>John - Investor Contacts!315</t>
        </is>
      </c>
      <c r="Y1101" s="426" t="inlineStr">
        <is>
          <t>Send 1st follow-up and ask for 20-minute call</t>
        </is>
      </c>
      <c r="Z1101" s="425" t="n">
        <v>3</v>
      </c>
      <c r="AA1101" s="425">
        <f>IF(AC1101="Archived",0,ROUND((IF(N1101="Tier 1",35,IF(N1101="Tier 2",20,8))+IF(C1101="Financial Investor",15,IF(C1101="Intermediary / Banker",12,8))+IF(L1101="Term Sheet / Proposal",25,IF(L1101="Engaged",20,IF(L1101="Meeting Requested",18,IF(L1101="Meeting Held",14,IF(L1101="Follow Up",10,5)))))+MIN(Q1101,30)+IF(S1101="DUE",15,IF(S1101="Next 3 Days",8,0))),0))</f>
        <v/>
      </c>
      <c r="AB1101" s="425">
        <f>IF(AND(AC1101="Active",OR(N1101="Tier 1",N1101="Tier 2"),OR(S1101="DUE",S1101="Next 3 Days")),"YES","")</f>
        <v/>
      </c>
      <c r="AC1101" s="425">
        <f>IF(L1101="Passed","Archived","Active")</f>
        <v/>
      </c>
    </row>
    <row r="1102">
      <c r="A1102" s="425" t="inlineStr">
        <is>
          <t>EXOS-1101</t>
        </is>
      </c>
      <c r="B1102" s="425" t="inlineStr">
        <is>
          <t>John - Investor Contacts</t>
        </is>
      </c>
      <c r="C1102" s="425" t="inlineStr">
        <is>
          <t>Financial Investor</t>
        </is>
      </c>
      <c r="D1102" s="425" t="inlineStr"/>
      <c r="E1102" s="425" t="inlineStr">
        <is>
          <t>Steve Dollase</t>
        </is>
      </c>
      <c r="F1102" s="425" t="inlineStr"/>
      <c r="G1102" s="111" t="inlineStr">
        <is>
          <t>sdollase@gmail.com</t>
        </is>
      </c>
      <c r="H1102" s="425" t="inlineStr"/>
      <c r="I1102" s="425" t="inlineStr"/>
      <c r="J1102" s="425" t="inlineStr"/>
      <c r="K1102" s="426" t="inlineStr">
        <is>
          <t>John Quinn</t>
        </is>
      </c>
      <c r="L1102" s="426" t="inlineStr">
        <is>
          <t>Research</t>
        </is>
      </c>
      <c r="M1102" s="425" t="inlineStr">
        <is>
          <t>Space / Defense / Aerospace / Advanced Manufacturing</t>
        </is>
      </c>
      <c r="N1102" s="426" t="inlineStr">
        <is>
          <t>Tier 2</t>
        </is>
      </c>
      <c r="O1102" s="425" t="n"/>
      <c r="P1102" s="425" t="n"/>
      <c r="Q1102" s="425">
        <f>IF(P1102="","",TODAY()-P1102)</f>
        <v/>
      </c>
      <c r="R1102" s="441">
        <f>IF(OR(L1102="Passed",Z1102=""),"",P1102+Z1102)</f>
        <v/>
      </c>
      <c r="S1102" s="425">
        <f>IF(OR(R1102="",L1102="Passed"),"",IF(R1102&lt;=TODAY(),"DUE",IF(R1102&lt;=TODAY()+3,"Next 3 Days","Later")))</f>
        <v/>
      </c>
      <c r="T1102" s="425" t="inlineStr"/>
      <c r="U1102" s="426" t="inlineStr"/>
      <c r="V1102" s="426" t="inlineStr"/>
      <c r="W1102" s="428" t="inlineStr">
        <is>
          <t xml:space="preserve"> |  | </t>
        </is>
      </c>
      <c r="X1102" s="425" t="inlineStr">
        <is>
          <t>John - Investor Contacts!148</t>
        </is>
      </c>
      <c r="Y1102" s="426" t="inlineStr">
        <is>
          <t>Research fit, find intro path, and draft first-touch email</t>
        </is>
      </c>
      <c r="Z1102" s="425" t="n">
        <v>1</v>
      </c>
      <c r="AA1102" s="425">
        <f>IF(AC1102="Archived",0,ROUND((IF(N1102="Tier 1",35,IF(N1102="Tier 2",20,8))+IF(C1102="Financial Investor",15,IF(C1102="Intermediary / Banker",12,8))+IF(L1102="Term Sheet / Proposal",25,IF(L1102="Engaged",20,IF(L1102="Meeting Requested",18,IF(L1102="Meeting Held",14,IF(L1102="Follow Up",10,5)))))+MIN(Q1102,30)+IF(S1102="DUE",15,IF(S1102="Next 3 Days",8,0))),0))</f>
        <v/>
      </c>
      <c r="AB1102" s="425">
        <f>IF(AND(AC1102="Active",OR(N1102="Tier 1",N1102="Tier 2"),OR(S1102="DUE",S1102="Next 3 Days")),"YES","")</f>
        <v/>
      </c>
      <c r="AC1102" s="425">
        <f>IF(L1102="Passed","Archived","Active")</f>
        <v/>
      </c>
    </row>
    <row r="1103">
      <c r="A1103" s="425" t="inlineStr">
        <is>
          <t>EXOS-1102</t>
        </is>
      </c>
      <c r="B1103" s="425" t="inlineStr">
        <is>
          <t>OSC</t>
        </is>
      </c>
      <c r="C1103" s="425" t="inlineStr">
        <is>
          <t>Financial Investor</t>
        </is>
      </c>
      <c r="D1103" s="425" t="inlineStr">
        <is>
          <t>AE Industrial Partners</t>
        </is>
      </c>
      <c r="E1103" s="425" t="inlineStr">
        <is>
          <t>office</t>
        </is>
      </c>
      <c r="F1103" s="425" t="inlineStr"/>
      <c r="G1103" s="425" t="inlineStr"/>
      <c r="H1103" s="425" t="inlineStr"/>
      <c r="I1103" s="425" t="inlineStr">
        <is>
          <t>(561) 372-7820</t>
        </is>
      </c>
      <c r="J1103" s="425" t="inlineStr"/>
      <c r="K1103" s="426" t="inlineStr">
        <is>
          <t>John Quinn</t>
        </is>
      </c>
      <c r="L1103" s="426" t="inlineStr">
        <is>
          <t>Research</t>
        </is>
      </c>
      <c r="M1103" s="425" t="inlineStr">
        <is>
          <t>Space / Defense / Aerospace / Advanced Manufacturing</t>
        </is>
      </c>
      <c r="N1103" s="426" t="inlineStr">
        <is>
          <t>Tier 2</t>
        </is>
      </c>
      <c r="O1103" s="425" t="n"/>
      <c r="P1103" s="425" t="n"/>
      <c r="Q1103" s="425">
        <f>IF(P1103="","",TODAY()-P1103)</f>
        <v/>
      </c>
      <c r="R1103" s="441">
        <f>IF(OR(L1103="Passed",Z1103=""),"",P1103+Z1103)</f>
        <v/>
      </c>
      <c r="S1103" s="425">
        <f>IF(OR(R1103="",L1103="Passed"),"",IF(R1103&lt;=TODAY(),"DUE",IF(R1103&lt;=TODAY()+3,"Next 3 Days","Later")))</f>
        <v/>
      </c>
      <c r="T1103" s="425" t="inlineStr"/>
      <c r="U1103" s="426" t="inlineStr"/>
      <c r="V1103" s="426" t="inlineStr"/>
      <c r="W1103" s="428" t="inlineStr"/>
      <c r="X1103" s="425" t="inlineStr">
        <is>
          <t>OSC!86</t>
        </is>
      </c>
      <c r="Y1103" s="426" t="inlineStr">
        <is>
          <t>Research fit, find intro path, and draft first-touch email</t>
        </is>
      </c>
      <c r="Z1103" s="425" t="n">
        <v>1</v>
      </c>
      <c r="AA1103" s="425">
        <f>IF(AC1103="Archived",0,ROUND((IF(N1103="Tier 1",35,IF(N1103="Tier 2",20,8))+IF(C1103="Financial Investor",15,IF(C1103="Intermediary / Banker",12,8))+IF(L1103="Term Sheet / Proposal",25,IF(L1103="Engaged",20,IF(L1103="Meeting Requested",18,IF(L1103="Meeting Held",14,IF(L1103="Follow Up",10,5)))))+MIN(Q1103,30)+IF(S1103="DUE",15,IF(S1103="Next 3 Days",8,0))),0))</f>
        <v/>
      </c>
      <c r="AB1103" s="425">
        <f>IF(AND(AC1103="Active",OR(N1103="Tier 1",N1103="Tier 2"),OR(S1103="DUE",S1103="Next 3 Days")),"YES","")</f>
        <v/>
      </c>
      <c r="AC1103" s="425">
        <f>IF(L1103="Passed","Archived","Active")</f>
        <v/>
      </c>
    </row>
    <row r="1104">
      <c r="A1104" s="425" t="inlineStr">
        <is>
          <t>EXOS-1103</t>
        </is>
      </c>
      <c r="B1104" s="425" t="inlineStr">
        <is>
          <t>John - Investor Contacts</t>
        </is>
      </c>
      <c r="C1104" s="425" t="inlineStr">
        <is>
          <t>Financial Investor</t>
        </is>
      </c>
      <c r="D1104" s="425" t="inlineStr">
        <is>
          <t>Ardent Investors</t>
        </is>
      </c>
      <c r="E1104" s="425" t="inlineStr">
        <is>
          <t>Victor Peng</t>
        </is>
      </c>
      <c r="F1104" s="425" t="inlineStr"/>
      <c r="G1104" s="111" t="inlineStr">
        <is>
          <t>vpeng@ardentinvestors.com</t>
        </is>
      </c>
      <c r="H1104" s="425" t="inlineStr"/>
      <c r="I1104" s="425" t="inlineStr"/>
      <c r="J1104" s="425" t="inlineStr"/>
      <c r="K1104" s="426" t="inlineStr">
        <is>
          <t>John Quinn</t>
        </is>
      </c>
      <c r="L1104" s="426" t="inlineStr">
        <is>
          <t>Research</t>
        </is>
      </c>
      <c r="M1104" s="425" t="inlineStr">
        <is>
          <t>Space / Defense / Aerospace / Advanced Manufacturing</t>
        </is>
      </c>
      <c r="N1104" s="426" t="inlineStr">
        <is>
          <t>Tier 2</t>
        </is>
      </c>
      <c r="O1104" s="425" t="n"/>
      <c r="P1104" s="425" t="n"/>
      <c r="Q1104" s="425">
        <f>IF(P1104="","",TODAY()-P1104)</f>
        <v/>
      </c>
      <c r="R1104" s="441">
        <f>IF(OR(L1104="Passed",Z1104=""),"",P1104+Z1104)</f>
        <v/>
      </c>
      <c r="S1104" s="425">
        <f>IF(OR(R1104="",L1104="Passed"),"",IF(R1104&lt;=TODAY(),"DUE",IF(R1104&lt;=TODAY()+3,"Next 3 Days","Later")))</f>
        <v/>
      </c>
      <c r="T1104" s="425" t="inlineStr"/>
      <c r="U1104" s="426" t="inlineStr"/>
      <c r="V1104" s="426" t="inlineStr"/>
      <c r="W1104" s="428" t="inlineStr">
        <is>
          <t xml:space="preserve"> |  | </t>
        </is>
      </c>
      <c r="X1104" s="425" t="inlineStr">
        <is>
          <t>John - Investor Contacts!910</t>
        </is>
      </c>
      <c r="Y1104" s="426" t="inlineStr">
        <is>
          <t>Research fit, find intro path, and draft first-touch email</t>
        </is>
      </c>
      <c r="Z1104" s="425" t="n">
        <v>1</v>
      </c>
      <c r="AA1104" s="425">
        <f>IF(AC1104="Archived",0,ROUND((IF(N1104="Tier 1",35,IF(N1104="Tier 2",20,8))+IF(C1104="Financial Investor",15,IF(C1104="Intermediary / Banker",12,8))+IF(L1104="Term Sheet / Proposal",25,IF(L1104="Engaged",20,IF(L1104="Meeting Requested",18,IF(L1104="Meeting Held",14,IF(L1104="Follow Up",10,5)))))+MIN(Q1104,30)+IF(S1104="DUE",15,IF(S1104="Next 3 Days",8,0))),0))</f>
        <v/>
      </c>
      <c r="AB1104" s="425">
        <f>IF(AND(AC1104="Active",OR(N1104="Tier 1",N1104="Tier 2"),OR(S1104="DUE",S1104="Next 3 Days")),"YES","")</f>
        <v/>
      </c>
      <c r="AC1104" s="425">
        <f>IF(L1104="Passed","Archived","Active")</f>
        <v/>
      </c>
    </row>
    <row r="1105">
      <c r="A1105" s="425" t="inlineStr">
        <is>
          <t>EXOS-1104</t>
        </is>
      </c>
      <c r="B1105" s="425" t="inlineStr">
        <is>
          <t xml:space="preserve">Investors_Private_Equity </t>
        </is>
      </c>
      <c r="C1105" s="425" t="inlineStr">
        <is>
          <t>Financial Investor</t>
        </is>
      </c>
      <c r="D1105" s="425" t="inlineStr">
        <is>
          <t>Asad Khan</t>
        </is>
      </c>
      <c r="E1105" s="425" t="inlineStr"/>
      <c r="F1105" s="425" t="inlineStr"/>
      <c r="G1105" s="425" t="inlineStr"/>
      <c r="H1105" s="425" t="inlineStr"/>
      <c r="I1105" s="425" t="inlineStr">
        <is>
          <t>|</t>
        </is>
      </c>
      <c r="J1105" s="111" t="inlineStr">
        <is>
          <t>https://www.linkedin.com/in/asad-k-39b33b263/</t>
        </is>
      </c>
      <c r="K1105" s="426" t="inlineStr">
        <is>
          <t>John Quinn</t>
        </is>
      </c>
      <c r="L1105" s="426" t="inlineStr">
        <is>
          <t>Research</t>
        </is>
      </c>
      <c r="M1105" s="425" t="inlineStr">
        <is>
          <t>Space / Defense / Aerospace / Advanced Manufacturing</t>
        </is>
      </c>
      <c r="N1105" s="426" t="inlineStr">
        <is>
          <t>Tier 2</t>
        </is>
      </c>
      <c r="O1105" s="425" t="n"/>
      <c r="P1105" s="425" t="n"/>
      <c r="Q1105" s="425">
        <f>IF(P1105="","",TODAY()-P1105)</f>
        <v/>
      </c>
      <c r="R1105" s="441">
        <f>IF(OR(L1105="Passed",Z1105=""),"",P1105+Z1105)</f>
        <v/>
      </c>
      <c r="S1105" s="425">
        <f>IF(OR(R1105="",L1105="Passed"),"",IF(R1105&lt;=TODAY(),"DUE",IF(R1105&lt;=TODAY()+3,"Next 3 Days","Later")))</f>
        <v/>
      </c>
      <c r="T1105" s="425" t="inlineStr"/>
      <c r="U1105" s="426" t="inlineStr"/>
      <c r="V1105" s="426" t="inlineStr"/>
      <c r="W1105" s="428" t="inlineStr">
        <is>
          <t xml:space="preserve"> | Connected / Looking One Pager | New</t>
        </is>
      </c>
      <c r="X1105" s="425" t="inlineStr">
        <is>
          <t>Investors_Private_Equity !14</t>
        </is>
      </c>
      <c r="Y1105" s="426" t="inlineStr">
        <is>
          <t>Research fit, find intro path, and draft first-touch email</t>
        </is>
      </c>
      <c r="Z1105" s="425" t="n">
        <v>1</v>
      </c>
      <c r="AA1105" s="425">
        <f>IF(AC1105="Archived",0,ROUND((IF(N1105="Tier 1",35,IF(N1105="Tier 2",20,8))+IF(C1105="Financial Investor",15,IF(C1105="Intermediary / Banker",12,8))+IF(L1105="Term Sheet / Proposal",25,IF(L1105="Engaged",20,IF(L1105="Meeting Requested",18,IF(L1105="Meeting Held",14,IF(L1105="Follow Up",10,5)))))+MIN(Q1105,30)+IF(S1105="DUE",15,IF(S1105="Next 3 Days",8,0))),0))</f>
        <v/>
      </c>
      <c r="AB1105" s="425">
        <f>IF(AND(AC1105="Active",OR(N1105="Tier 1",N1105="Tier 2"),OR(S1105="DUE",S1105="Next 3 Days")),"YES","")</f>
        <v/>
      </c>
      <c r="AC1105" s="425">
        <f>IF(L1105="Passed","Archived","Active")</f>
        <v/>
      </c>
    </row>
    <row r="1106">
      <c r="A1106" s="425" t="inlineStr">
        <is>
          <t>EXOS-1105</t>
        </is>
      </c>
      <c r="B1106" s="425" t="inlineStr">
        <is>
          <t>Toshi Contacts</t>
        </is>
      </c>
      <c r="C1106" s="425" t="inlineStr">
        <is>
          <t>Strategic / Corporate</t>
        </is>
      </c>
      <c r="D1106" s="425" t="inlineStr">
        <is>
          <t>Astro X</t>
        </is>
      </c>
      <c r="E1106" s="425" t="inlineStr">
        <is>
          <t>Susumu TanakaEngineering Dept</t>
        </is>
      </c>
      <c r="F1106" s="425" t="inlineStr"/>
      <c r="G1106" s="111" t="inlineStr">
        <is>
          <t>susumu_tanaka@astrox.jp</t>
        </is>
      </c>
      <c r="H1106" s="425" t="inlineStr"/>
      <c r="I1106" s="425" t="inlineStr"/>
      <c r="J1106" s="425" t="inlineStr"/>
      <c r="K1106" s="426" t="inlineStr">
        <is>
          <t>John Quinn</t>
        </is>
      </c>
      <c r="L1106" s="426" t="inlineStr">
        <is>
          <t>Research</t>
        </is>
      </c>
      <c r="M1106" s="425" t="inlineStr">
        <is>
          <t>Strategic space / aerospace alignment</t>
        </is>
      </c>
      <c r="N1106" s="426" t="inlineStr">
        <is>
          <t>Tier 2</t>
        </is>
      </c>
      <c r="O1106" s="425" t="n"/>
      <c r="P1106" s="425" t="n"/>
      <c r="Q1106" s="425">
        <f>IF(P1106="","",TODAY()-P1106)</f>
        <v/>
      </c>
      <c r="R1106" s="441">
        <f>IF(OR(L1106="Passed",Z1106=""),"",P1106+Z1106)</f>
        <v/>
      </c>
      <c r="S1106" s="425">
        <f>IF(OR(R1106="",L1106="Passed"),"",IF(R1106&lt;=TODAY(),"DUE",IF(R1106&lt;=TODAY()+3,"Next 3 Days","Later")))</f>
        <v/>
      </c>
      <c r="T1106" s="425" t="inlineStr"/>
      <c r="U1106" s="426" t="inlineStr"/>
      <c r="V1106" s="426" t="inlineStr"/>
      <c r="W1106" s="428" t="inlineStr">
        <is>
          <t xml:space="preserve"> | </t>
        </is>
      </c>
      <c r="X1106" s="425" t="inlineStr">
        <is>
          <t>Toshi Contacts!6</t>
        </is>
      </c>
      <c r="Y1106" s="426" t="inlineStr">
        <is>
          <t>Research fit, find intro path, and draft first-touch email</t>
        </is>
      </c>
      <c r="Z1106" s="425" t="n">
        <v>1</v>
      </c>
      <c r="AA1106" s="425">
        <f>IF(AC1106="Archived",0,ROUND((IF(N1106="Tier 1",35,IF(N1106="Tier 2",20,8))+IF(C1106="Financial Investor",15,IF(C1106="Intermediary / Banker",12,8))+IF(L1106="Term Sheet / Proposal",25,IF(L1106="Engaged",20,IF(L1106="Meeting Requested",18,IF(L1106="Meeting Held",14,IF(L1106="Follow Up",10,5)))))+MIN(Q1106,30)+IF(S1106="DUE",15,IF(S1106="Next 3 Days",8,0))),0))</f>
        <v/>
      </c>
      <c r="AB1106" s="425">
        <f>IF(AND(AC1106="Active",OR(N1106="Tier 1",N1106="Tier 2"),OR(S1106="DUE",S1106="Next 3 Days")),"YES","")</f>
        <v/>
      </c>
      <c r="AC1106" s="425">
        <f>IF(L1106="Passed","Archived","Active")</f>
        <v/>
      </c>
    </row>
    <row r="1107">
      <c r="A1107" s="425" t="inlineStr">
        <is>
          <t>EXOS-1106</t>
        </is>
      </c>
      <c r="B1107" s="425" t="inlineStr">
        <is>
          <t>Toshi Contacts</t>
        </is>
      </c>
      <c r="C1107" s="425" t="inlineStr">
        <is>
          <t>Strategic / Corporate</t>
        </is>
      </c>
      <c r="D1107" s="425" t="inlineStr">
        <is>
          <t>Astro X/Chiba Tech</t>
        </is>
      </c>
      <c r="E1107" s="425" t="inlineStr">
        <is>
          <t>Yutaka Wada CTO</t>
        </is>
      </c>
      <c r="F1107" s="425" t="inlineStr"/>
      <c r="G1107" s="111" t="inlineStr">
        <is>
          <t>utaka_wada@astrox.jp</t>
        </is>
      </c>
      <c r="H1107" s="425" t="inlineStr">
        <is>
          <t>yutaka.wada@p.chibakoudai.jp</t>
        </is>
      </c>
      <c r="I1107" s="425" t="inlineStr"/>
      <c r="J1107" s="425" t="inlineStr"/>
      <c r="K1107" s="426" t="inlineStr">
        <is>
          <t>John Quinn</t>
        </is>
      </c>
      <c r="L1107" s="426" t="inlineStr">
        <is>
          <t>Research</t>
        </is>
      </c>
      <c r="M1107" s="425" t="inlineStr">
        <is>
          <t>Strategic space / aerospace alignment</t>
        </is>
      </c>
      <c r="N1107" s="426" t="inlineStr">
        <is>
          <t>Tier 2</t>
        </is>
      </c>
      <c r="O1107" s="425" t="n"/>
      <c r="P1107" s="425" t="n"/>
      <c r="Q1107" s="425">
        <f>IF(P1107="","",TODAY()-P1107)</f>
        <v/>
      </c>
      <c r="R1107" s="441">
        <f>IF(OR(L1107="Passed",Z1107=""),"",P1107+Z1107)</f>
        <v/>
      </c>
      <c r="S1107" s="425">
        <f>IF(OR(R1107="",L1107="Passed"),"",IF(R1107&lt;=TODAY(),"DUE",IF(R1107&lt;=TODAY()+3,"Next 3 Days","Later")))</f>
        <v/>
      </c>
      <c r="T1107" s="425" t="inlineStr"/>
      <c r="U1107" s="426" t="inlineStr"/>
      <c r="V1107" s="426" t="inlineStr"/>
      <c r="W1107" s="428" t="inlineStr">
        <is>
          <t xml:space="preserve">meeting at exos 10/23 | </t>
        </is>
      </c>
      <c r="X1107" s="425" t="inlineStr">
        <is>
          <t>Toshi Contacts!5</t>
        </is>
      </c>
      <c r="Y1107" s="426" t="inlineStr">
        <is>
          <t>Research fit, find intro path, and draft first-touch email</t>
        </is>
      </c>
      <c r="Z1107" s="425" t="n">
        <v>1</v>
      </c>
      <c r="AA1107" s="425">
        <f>IF(AC1107="Archived",0,ROUND((IF(N1107="Tier 1",35,IF(N1107="Tier 2",20,8))+IF(C1107="Financial Investor",15,IF(C1107="Intermediary / Banker",12,8))+IF(L1107="Term Sheet / Proposal",25,IF(L1107="Engaged",20,IF(L1107="Meeting Requested",18,IF(L1107="Meeting Held",14,IF(L1107="Follow Up",10,5)))))+MIN(Q1107,30)+IF(S1107="DUE",15,IF(S1107="Next 3 Days",8,0))),0))</f>
        <v/>
      </c>
      <c r="AB1107" s="425">
        <f>IF(AND(AC1107="Active",OR(N1107="Tier 1",N1107="Tier 2"),OR(S1107="DUE",S1107="Next 3 Days")),"YES","")</f>
        <v/>
      </c>
      <c r="AC1107" s="425">
        <f>IF(L1107="Passed","Archived","Active")</f>
        <v/>
      </c>
    </row>
    <row r="1108">
      <c r="A1108" s="425" t="inlineStr">
        <is>
          <t>EXOS-1107</t>
        </is>
      </c>
      <c r="B1108" s="425" t="inlineStr">
        <is>
          <t>Derek Contacts</t>
        </is>
      </c>
      <c r="C1108" s="425" t="inlineStr">
        <is>
          <t>Intermediary / Banker</t>
        </is>
      </c>
      <c r="D1108" s="425" t="inlineStr">
        <is>
          <t>Battle Placement Finance</t>
        </is>
      </c>
      <c r="E1108" s="425" t="inlineStr">
        <is>
          <t>Jesus Tueme</t>
        </is>
      </c>
      <c r="F1108" s="425" t="inlineStr"/>
      <c r="G1108" s="111" t="inlineStr">
        <is>
          <t>jtueme@castleplacement.com</t>
        </is>
      </c>
      <c r="H1108" s="425" t="inlineStr"/>
      <c r="I1108" s="425" t="inlineStr">
        <is>
          <t>646-479-7616</t>
        </is>
      </c>
      <c r="J1108" s="425" t="inlineStr"/>
      <c r="K1108" s="426" t="inlineStr">
        <is>
          <t>John Quinn</t>
        </is>
      </c>
      <c r="L1108" s="426" t="inlineStr">
        <is>
          <t>Research</t>
        </is>
      </c>
      <c r="M1108" s="425" t="inlineStr">
        <is>
          <t>Capital raise support / placement</t>
        </is>
      </c>
      <c r="N1108" s="426" t="inlineStr">
        <is>
          <t>Tier 2</t>
        </is>
      </c>
      <c r="O1108" s="425" t="n"/>
      <c r="P1108" s="425" t="n"/>
      <c r="Q1108" s="425">
        <f>IF(P1108="","",TODAY()-P1108)</f>
        <v/>
      </c>
      <c r="R1108" s="441">
        <f>IF(OR(L1108="Passed",Z1108=""),"",P1108+Z1108)</f>
        <v/>
      </c>
      <c r="S1108" s="425">
        <f>IF(OR(R1108="",L1108="Passed"),"",IF(R1108&lt;=TODAY(),"DUE",IF(R1108&lt;=TODAY()+3,"Next 3 Days","Later")))</f>
        <v/>
      </c>
      <c r="T1108" s="425" t="inlineStr"/>
      <c r="U1108" s="426" t="inlineStr"/>
      <c r="V1108" s="426" t="inlineStr"/>
      <c r="W1108" s="428" t="inlineStr"/>
      <c r="X1108" s="425" t="inlineStr">
        <is>
          <t>Derek Contacts!9</t>
        </is>
      </c>
      <c r="Y1108" s="426" t="inlineStr">
        <is>
          <t>Research fit, find intro path, and draft first-touch email</t>
        </is>
      </c>
      <c r="Z1108" s="425" t="n">
        <v>1</v>
      </c>
      <c r="AA1108" s="425">
        <f>IF(AC1108="Archived",0,ROUND((IF(N1108="Tier 1",35,IF(N1108="Tier 2",20,8))+IF(C1108="Financial Investor",15,IF(C1108="Intermediary / Banker",12,8))+IF(L1108="Term Sheet / Proposal",25,IF(L1108="Engaged",20,IF(L1108="Meeting Requested",18,IF(L1108="Meeting Held",14,IF(L1108="Follow Up",10,5)))))+MIN(Q1108,30)+IF(S1108="DUE",15,IF(S1108="Next 3 Days",8,0))),0))</f>
        <v/>
      </c>
      <c r="AB1108" s="425">
        <f>IF(AND(AC1108="Active",OR(N1108="Tier 1",N1108="Tier 2"),OR(S1108="DUE",S1108="Next 3 Days")),"YES","")</f>
        <v/>
      </c>
      <c r="AC1108" s="425">
        <f>IF(L1108="Passed","Archived","Active")</f>
        <v/>
      </c>
    </row>
    <row r="1109">
      <c r="A1109" s="425" t="inlineStr">
        <is>
          <t>EXOS-1108</t>
        </is>
      </c>
      <c r="B1109" s="425" t="inlineStr">
        <is>
          <t>Derek Contacts</t>
        </is>
      </c>
      <c r="C1109" s="425" t="inlineStr">
        <is>
          <t>Financial Investor</t>
        </is>
      </c>
      <c r="D1109" s="425" t="inlineStr">
        <is>
          <t>Beyond Earth</t>
        </is>
      </c>
      <c r="E1109" s="425" t="inlineStr">
        <is>
          <t>Inna Galinger</t>
        </is>
      </c>
      <c r="F1109" s="425" t="inlineStr">
        <is>
          <t>Investor</t>
        </is>
      </c>
      <c r="G1109" s="111" t="inlineStr">
        <is>
          <t>life@beyondearth.tech</t>
        </is>
      </c>
      <c r="H1109" s="425" t="inlineStr"/>
      <c r="I1109" s="425" t="inlineStr"/>
      <c r="J1109" s="425" t="inlineStr"/>
      <c r="K1109" s="426" t="inlineStr">
        <is>
          <t>John Quinn</t>
        </is>
      </c>
      <c r="L1109" s="426" t="inlineStr">
        <is>
          <t>Research</t>
        </is>
      </c>
      <c r="M1109" s="425" t="inlineStr">
        <is>
          <t>Space / Defense / Aerospace / Advanced Manufacturing</t>
        </is>
      </c>
      <c r="N1109" s="426" t="inlineStr">
        <is>
          <t>Tier 2</t>
        </is>
      </c>
      <c r="O1109" s="425" t="n"/>
      <c r="P1109" s="425" t="n"/>
      <c r="Q1109" s="425">
        <f>IF(P1109="","",TODAY()-P1109)</f>
        <v/>
      </c>
      <c r="R1109" s="441">
        <f>IF(OR(L1109="Passed",Z1109=""),"",P1109+Z1109)</f>
        <v/>
      </c>
      <c r="S1109" s="425">
        <f>IF(OR(R1109="",L1109="Passed"),"",IF(R1109&lt;=TODAY(),"DUE",IF(R1109&lt;=TODAY()+3,"Next 3 Days","Later")))</f>
        <v/>
      </c>
      <c r="T1109" s="425" t="inlineStr"/>
      <c r="U1109" s="426" t="inlineStr"/>
      <c r="V1109" s="426" t="inlineStr"/>
      <c r="W1109" s="428" t="inlineStr"/>
      <c r="X1109" s="425" t="inlineStr">
        <is>
          <t>Derek Contacts!10</t>
        </is>
      </c>
      <c r="Y1109" s="426" t="inlineStr">
        <is>
          <t>Research fit, find intro path, and draft first-touch email</t>
        </is>
      </c>
      <c r="Z1109" s="425" t="n">
        <v>1</v>
      </c>
      <c r="AA1109" s="425">
        <f>IF(AC1109="Archived",0,ROUND((IF(N1109="Tier 1",35,IF(N1109="Tier 2",20,8))+IF(C1109="Financial Investor",15,IF(C1109="Intermediary / Banker",12,8))+IF(L1109="Term Sheet / Proposal",25,IF(L1109="Engaged",20,IF(L1109="Meeting Requested",18,IF(L1109="Meeting Held",14,IF(L1109="Follow Up",10,5)))))+MIN(Q1109,30)+IF(S1109="DUE",15,IF(S1109="Next 3 Days",8,0))),0))</f>
        <v/>
      </c>
      <c r="AB1109" s="425">
        <f>IF(AND(AC1109="Active",OR(N1109="Tier 1",N1109="Tier 2"),OR(S1109="DUE",S1109="Next 3 Days")),"YES","")</f>
        <v/>
      </c>
      <c r="AC1109" s="425">
        <f>IF(L1109="Passed","Archived","Active")</f>
        <v/>
      </c>
    </row>
    <row r="1110">
      <c r="A1110" s="425" t="inlineStr">
        <is>
          <t>EXOS-1109</t>
        </is>
      </c>
      <c r="B1110" s="425" t="inlineStr">
        <is>
          <t xml:space="preserve">Investors_Private_Equity </t>
        </is>
      </c>
      <c r="C1110" s="425" t="inlineStr">
        <is>
          <t>Financial Investor</t>
        </is>
      </c>
      <c r="D1110" s="425" t="inlineStr">
        <is>
          <t>Bradley Petty, MBA, FMVA®</t>
        </is>
      </c>
      <c r="E1110" s="425" t="inlineStr"/>
      <c r="F1110" s="425" t="inlineStr"/>
      <c r="G1110" s="111" t="inlineStr">
        <is>
          <t>info@bpcfoservices.com</t>
        </is>
      </c>
      <c r="H1110" s="425" t="inlineStr"/>
      <c r="I1110" s="425" t="inlineStr">
        <is>
          <t>|</t>
        </is>
      </c>
      <c r="J1110" s="111" t="inlineStr">
        <is>
          <t>https://www.linkedin.com/in/bradley-petty/</t>
        </is>
      </c>
      <c r="K1110" s="426" t="inlineStr">
        <is>
          <t>John Quinn</t>
        </is>
      </c>
      <c r="L1110" s="426" t="inlineStr">
        <is>
          <t>Research</t>
        </is>
      </c>
      <c r="M1110" s="425" t="inlineStr">
        <is>
          <t>Space / Defense / Aerospace / Advanced Manufacturing</t>
        </is>
      </c>
      <c r="N1110" s="426" t="inlineStr">
        <is>
          <t>Tier 2</t>
        </is>
      </c>
      <c r="O1110" s="425" t="n"/>
      <c r="P1110" s="425" t="n"/>
      <c r="Q1110" s="425">
        <f>IF(P1110="","",TODAY()-P1110)</f>
        <v/>
      </c>
      <c r="R1110" s="441">
        <f>IF(OR(L1110="Passed",Z1110=""),"",P1110+Z1110)</f>
        <v/>
      </c>
      <c r="S1110" s="425">
        <f>IF(OR(R1110="",L1110="Passed"),"",IF(R1110&lt;=TODAY(),"DUE",IF(R1110&lt;=TODAY()+3,"Next 3 Days","Later")))</f>
        <v/>
      </c>
      <c r="T1110" s="425" t="inlineStr"/>
      <c r="U1110" s="426" t="inlineStr"/>
      <c r="V1110" s="426" t="inlineStr"/>
      <c r="W1110" s="428" t="inlineStr">
        <is>
          <t xml:space="preserve">His best friend was into Rockets | Local Invistor / DFW Private Equity had meeting with John through Google | </t>
        </is>
      </c>
      <c r="X1110" s="425" t="inlineStr">
        <is>
          <t>Investors_Private_Equity !16</t>
        </is>
      </c>
      <c r="Y1110" s="426" t="inlineStr">
        <is>
          <t>Research fit, find intro path, and draft first-touch email</t>
        </is>
      </c>
      <c r="Z1110" s="425" t="n">
        <v>1</v>
      </c>
      <c r="AA1110" s="425">
        <f>IF(AC1110="Archived",0,ROUND((IF(N1110="Tier 1",35,IF(N1110="Tier 2",20,8))+IF(C1110="Financial Investor",15,IF(C1110="Intermediary / Banker",12,8))+IF(L1110="Term Sheet / Proposal",25,IF(L1110="Engaged",20,IF(L1110="Meeting Requested",18,IF(L1110="Meeting Held",14,IF(L1110="Follow Up",10,5)))))+MIN(Q1110,30)+IF(S1110="DUE",15,IF(S1110="Next 3 Days",8,0))),0))</f>
        <v/>
      </c>
      <c r="AB1110" s="425">
        <f>IF(AND(AC1110="Active",OR(N1110="Tier 1",N1110="Tier 2"),OR(S1110="DUE",S1110="Next 3 Days")),"YES","")</f>
        <v/>
      </c>
      <c r="AC1110" s="425">
        <f>IF(L1110="Passed","Archived","Active")</f>
        <v/>
      </c>
    </row>
    <row r="1111">
      <c r="A1111" s="425" t="inlineStr">
        <is>
          <t>EXOS-1110</t>
        </is>
      </c>
      <c r="B1111" s="425" t="inlineStr">
        <is>
          <t>Derek Contacts</t>
        </is>
      </c>
      <c r="C1111" s="425" t="inlineStr">
        <is>
          <t>Financial Investor</t>
        </is>
      </c>
      <c r="D1111" s="425" t="inlineStr">
        <is>
          <t>Centurion One Capital</t>
        </is>
      </c>
      <c r="E1111" s="425" t="inlineStr">
        <is>
          <t>Kia Besharat</t>
        </is>
      </c>
      <c r="F1111" s="425" t="inlineStr">
        <is>
          <t>CEO</t>
        </is>
      </c>
      <c r="G1111" s="111" t="inlineStr">
        <is>
          <t>kbesharat@centurion.com</t>
        </is>
      </c>
      <c r="H1111" s="425" t="inlineStr"/>
      <c r="I1111" s="425" t="inlineStr"/>
      <c r="J1111" s="425" t="inlineStr"/>
      <c r="K1111" s="426" t="inlineStr">
        <is>
          <t>John Quinn</t>
        </is>
      </c>
      <c r="L1111" s="426" t="inlineStr">
        <is>
          <t>Research</t>
        </is>
      </c>
      <c r="M1111" s="425" t="inlineStr">
        <is>
          <t>Space / Defense / Aerospace / Advanced Manufacturing</t>
        </is>
      </c>
      <c r="N1111" s="426" t="inlineStr">
        <is>
          <t>Tier 2</t>
        </is>
      </c>
      <c r="O1111" s="425" t="n"/>
      <c r="P1111" s="425" t="n"/>
      <c r="Q1111" s="425">
        <f>IF(P1111="","",TODAY()-P1111)</f>
        <v/>
      </c>
      <c r="R1111" s="441">
        <f>IF(OR(L1111="Passed",Z1111=""),"",P1111+Z1111)</f>
        <v/>
      </c>
      <c r="S1111" s="425">
        <f>IF(OR(R1111="",L1111="Passed"),"",IF(R1111&lt;=TODAY(),"DUE",IF(R1111&lt;=TODAY()+3,"Next 3 Days","Later")))</f>
        <v/>
      </c>
      <c r="T1111" s="425" t="inlineStr"/>
      <c r="U1111" s="426" t="inlineStr"/>
      <c r="V1111" s="426" t="inlineStr"/>
      <c r="W1111" s="428" t="inlineStr"/>
      <c r="X1111" s="425" t="inlineStr">
        <is>
          <t>Derek Contacts!11</t>
        </is>
      </c>
      <c r="Y1111" s="426" t="inlineStr">
        <is>
          <t>Research fit, find intro path, and draft first-touch email</t>
        </is>
      </c>
      <c r="Z1111" s="425" t="n">
        <v>1</v>
      </c>
      <c r="AA1111" s="425">
        <f>IF(AC1111="Archived",0,ROUND((IF(N1111="Tier 1",35,IF(N1111="Tier 2",20,8))+IF(C1111="Financial Investor",15,IF(C1111="Intermediary / Banker",12,8))+IF(L1111="Term Sheet / Proposal",25,IF(L1111="Engaged",20,IF(L1111="Meeting Requested",18,IF(L1111="Meeting Held",14,IF(L1111="Follow Up",10,5)))))+MIN(Q1111,30)+IF(S1111="DUE",15,IF(S1111="Next 3 Days",8,0))),0))</f>
        <v/>
      </c>
      <c r="AB1111" s="425">
        <f>IF(AND(AC1111="Active",OR(N1111="Tier 1",N1111="Tier 2"),OR(S1111="DUE",S1111="Next 3 Days")),"YES","")</f>
        <v/>
      </c>
      <c r="AC1111" s="425">
        <f>IF(L1111="Passed","Archived","Active")</f>
        <v/>
      </c>
    </row>
    <row r="1112">
      <c r="A1112" s="425" t="inlineStr">
        <is>
          <t>EXOS-1111</t>
        </is>
      </c>
      <c r="B1112" s="425" t="inlineStr">
        <is>
          <t>Derek Contacts</t>
        </is>
      </c>
      <c r="C1112" s="425" t="inlineStr">
        <is>
          <t>Financial Investor</t>
        </is>
      </c>
      <c r="D1112" s="425" t="inlineStr">
        <is>
          <t>DA Davidson</t>
        </is>
      </c>
      <c r="E1112" s="425" t="inlineStr">
        <is>
          <t>George 'Toby' Albright III</t>
        </is>
      </c>
      <c r="F1112" s="425" t="inlineStr">
        <is>
          <t>CEO</t>
        </is>
      </c>
      <c r="G1112" s="111" t="inlineStr">
        <is>
          <t>talbright@dadco.com</t>
        </is>
      </c>
      <c r="H1112" s="425" t="inlineStr"/>
      <c r="I1112" s="425" t="inlineStr"/>
      <c r="J1112" s="425" t="inlineStr"/>
      <c r="K1112" s="426" t="inlineStr">
        <is>
          <t>John Quinn</t>
        </is>
      </c>
      <c r="L1112" s="426" t="inlineStr">
        <is>
          <t>Research</t>
        </is>
      </c>
      <c r="M1112" s="425" t="inlineStr">
        <is>
          <t>Space / Defense / Aerospace / Advanced Manufacturing</t>
        </is>
      </c>
      <c r="N1112" s="426" t="inlineStr">
        <is>
          <t>Tier 2</t>
        </is>
      </c>
      <c r="O1112" s="425" t="n"/>
      <c r="P1112" s="425" t="n"/>
      <c r="Q1112" s="425">
        <f>IF(P1112="","",TODAY()-P1112)</f>
        <v/>
      </c>
      <c r="R1112" s="441">
        <f>IF(OR(L1112="Passed",Z1112=""),"",P1112+Z1112)</f>
        <v/>
      </c>
      <c r="S1112" s="425">
        <f>IF(OR(R1112="",L1112="Passed"),"",IF(R1112&lt;=TODAY(),"DUE",IF(R1112&lt;=TODAY()+3,"Next 3 Days","Later")))</f>
        <v/>
      </c>
      <c r="T1112" s="425" t="inlineStr"/>
      <c r="U1112" s="426" t="inlineStr"/>
      <c r="V1112" s="426" t="inlineStr"/>
      <c r="W1112" s="428" t="inlineStr">
        <is>
          <t>Suggested you connect with - 
Cerberus Capital Management - Supply Chain and Strategic Opportunities  
Generational Partners
Hale Capital
Lockheed Ventures
Marlinspike
RTX Ventures
Washington Harbour</t>
        </is>
      </c>
      <c r="X1112" s="425" t="inlineStr">
        <is>
          <t>Derek Contacts!14</t>
        </is>
      </c>
      <c r="Y1112" s="426" t="inlineStr">
        <is>
          <t>Research fit, find intro path, and draft first-touch email</t>
        </is>
      </c>
      <c r="Z1112" s="425" t="n">
        <v>1</v>
      </c>
      <c r="AA1112" s="425">
        <f>IF(AC1112="Archived",0,ROUND((IF(N1112="Tier 1",35,IF(N1112="Tier 2",20,8))+IF(C1112="Financial Investor",15,IF(C1112="Intermediary / Banker",12,8))+IF(L1112="Term Sheet / Proposal",25,IF(L1112="Engaged",20,IF(L1112="Meeting Requested",18,IF(L1112="Meeting Held",14,IF(L1112="Follow Up",10,5)))))+MIN(Q1112,30)+IF(S1112="DUE",15,IF(S1112="Next 3 Days",8,0))),0))</f>
        <v/>
      </c>
      <c r="AB1112" s="425">
        <f>IF(AND(AC1112="Active",OR(N1112="Tier 1",N1112="Tier 2"),OR(S1112="DUE",S1112="Next 3 Days")),"YES","")</f>
        <v/>
      </c>
      <c r="AC1112" s="425">
        <f>IF(L1112="Passed","Archived","Active")</f>
        <v/>
      </c>
    </row>
    <row r="1113">
      <c r="A1113" s="425" t="inlineStr">
        <is>
          <t>EXOS-1112</t>
        </is>
      </c>
      <c r="B1113" s="425" t="inlineStr">
        <is>
          <t>Derek Contacts</t>
        </is>
      </c>
      <c r="C1113" s="425" t="inlineStr">
        <is>
          <t>Financial Investor</t>
        </is>
      </c>
      <c r="D1113" s="425" t="inlineStr">
        <is>
          <t>DS Capital</t>
        </is>
      </c>
      <c r="E1113" s="425" t="inlineStr">
        <is>
          <t>Jordan Haley</t>
        </is>
      </c>
      <c r="F1113" s="425" t="inlineStr">
        <is>
          <t>Investor</t>
        </is>
      </c>
      <c r="G1113" s="111" t="inlineStr">
        <is>
          <t>jordan.h@dscapitalgroup.com</t>
        </is>
      </c>
      <c r="H1113" s="425" t="inlineStr"/>
      <c r="I1113" s="425" t="inlineStr"/>
      <c r="J1113" s="425" t="inlineStr"/>
      <c r="K1113" s="426" t="inlineStr">
        <is>
          <t>John Quinn</t>
        </is>
      </c>
      <c r="L1113" s="426" t="inlineStr">
        <is>
          <t>Research</t>
        </is>
      </c>
      <c r="M1113" s="425" t="inlineStr">
        <is>
          <t>Space / Defense / Aerospace / Advanced Manufacturing</t>
        </is>
      </c>
      <c r="N1113" s="426" t="inlineStr">
        <is>
          <t>Tier 2</t>
        </is>
      </c>
      <c r="O1113" s="425" t="n"/>
      <c r="P1113" s="425" t="n"/>
      <c r="Q1113" s="425">
        <f>IF(P1113="","",TODAY()-P1113)</f>
        <v/>
      </c>
      <c r="R1113" s="441">
        <f>IF(OR(L1113="Passed",Z1113=""),"",P1113+Z1113)</f>
        <v/>
      </c>
      <c r="S1113" s="425">
        <f>IF(OR(R1113="",L1113="Passed"),"",IF(R1113&lt;=TODAY(),"DUE",IF(R1113&lt;=TODAY()+3,"Next 3 Days","Later")))</f>
        <v/>
      </c>
      <c r="T1113" s="425" t="inlineStr"/>
      <c r="U1113" s="426" t="inlineStr"/>
      <c r="V1113" s="426" t="inlineStr"/>
      <c r="W1113" s="428" t="inlineStr"/>
      <c r="X1113" s="425" t="inlineStr">
        <is>
          <t>Derek Contacts!15</t>
        </is>
      </c>
      <c r="Y1113" s="426" t="inlineStr">
        <is>
          <t>Research fit, find intro path, and draft first-touch email</t>
        </is>
      </c>
      <c r="Z1113" s="425" t="n">
        <v>1</v>
      </c>
      <c r="AA1113" s="425">
        <f>IF(AC1113="Archived",0,ROUND((IF(N1113="Tier 1",35,IF(N1113="Tier 2",20,8))+IF(C1113="Financial Investor",15,IF(C1113="Intermediary / Banker",12,8))+IF(L1113="Term Sheet / Proposal",25,IF(L1113="Engaged",20,IF(L1113="Meeting Requested",18,IF(L1113="Meeting Held",14,IF(L1113="Follow Up",10,5)))))+MIN(Q1113,30)+IF(S1113="DUE",15,IF(S1113="Next 3 Days",8,0))),0))</f>
        <v/>
      </c>
      <c r="AB1113" s="425">
        <f>IF(AND(AC1113="Active",OR(N1113="Tier 1",N1113="Tier 2"),OR(S1113="DUE",S1113="Next 3 Days")),"YES","")</f>
        <v/>
      </c>
      <c r="AC1113" s="425">
        <f>IF(L1113="Passed","Archived","Active")</f>
        <v/>
      </c>
    </row>
    <row r="1114">
      <c r="A1114" s="425" t="inlineStr">
        <is>
          <t>EXOS-1113</t>
        </is>
      </c>
      <c r="B1114" s="425" t="inlineStr">
        <is>
          <t>Derek Contacts</t>
        </is>
      </c>
      <c r="C1114" s="425" t="inlineStr">
        <is>
          <t>Financial Investor</t>
        </is>
      </c>
      <c r="D1114" s="425" t="inlineStr">
        <is>
          <t>Dove Tail Capital</t>
        </is>
      </c>
      <c r="E1114" s="425" t="inlineStr">
        <is>
          <t>John Silvestri</t>
        </is>
      </c>
      <c r="F1114" s="425" t="inlineStr"/>
      <c r="G1114" s="111" t="inlineStr">
        <is>
          <t>silvestri@dovetailcap.com</t>
        </is>
      </c>
      <c r="H1114" s="425" t="inlineStr"/>
      <c r="I1114" s="425" t="inlineStr"/>
      <c r="J1114" s="425" t="inlineStr"/>
      <c r="K1114" s="426" t="inlineStr">
        <is>
          <t>John Quinn</t>
        </is>
      </c>
      <c r="L1114" s="426" t="inlineStr">
        <is>
          <t>Research</t>
        </is>
      </c>
      <c r="M1114" s="425" t="inlineStr">
        <is>
          <t>Space / Defense / Aerospace / Advanced Manufacturing</t>
        </is>
      </c>
      <c r="N1114" s="426" t="inlineStr">
        <is>
          <t>Tier 2</t>
        </is>
      </c>
      <c r="O1114" s="425" t="n"/>
      <c r="P1114" s="425" t="n"/>
      <c r="Q1114" s="425">
        <f>IF(P1114="","",TODAY()-P1114)</f>
        <v/>
      </c>
      <c r="R1114" s="441">
        <f>IF(OR(L1114="Passed",Z1114=""),"",P1114+Z1114)</f>
        <v/>
      </c>
      <c r="S1114" s="425">
        <f>IF(OR(R1114="",L1114="Passed"),"",IF(R1114&lt;=TODAY(),"DUE",IF(R1114&lt;=TODAY()+3,"Next 3 Days","Later")))</f>
        <v/>
      </c>
      <c r="T1114" s="425" t="inlineStr"/>
      <c r="U1114" s="426" t="inlineStr"/>
      <c r="V1114" s="426" t="inlineStr"/>
      <c r="W1114" s="428" t="inlineStr"/>
      <c r="X1114" s="425" t="inlineStr">
        <is>
          <t>Derek Contacts!16</t>
        </is>
      </c>
      <c r="Y1114" s="426" t="inlineStr">
        <is>
          <t>Research fit, find intro path, and draft first-touch email</t>
        </is>
      </c>
      <c r="Z1114" s="425" t="n">
        <v>1</v>
      </c>
      <c r="AA1114" s="425">
        <f>IF(AC1114="Archived",0,ROUND((IF(N1114="Tier 1",35,IF(N1114="Tier 2",20,8))+IF(C1114="Financial Investor",15,IF(C1114="Intermediary / Banker",12,8))+IF(L1114="Term Sheet / Proposal",25,IF(L1114="Engaged",20,IF(L1114="Meeting Requested",18,IF(L1114="Meeting Held",14,IF(L1114="Follow Up",10,5)))))+MIN(Q1114,30)+IF(S1114="DUE",15,IF(S1114="Next 3 Days",8,0))),0))</f>
        <v/>
      </c>
      <c r="AB1114" s="425">
        <f>IF(AND(AC1114="Active",OR(N1114="Tier 1",N1114="Tier 2"),OR(S1114="DUE",S1114="Next 3 Days")),"YES","")</f>
        <v/>
      </c>
      <c r="AC1114" s="425">
        <f>IF(L1114="Passed","Archived","Active")</f>
        <v/>
      </c>
    </row>
    <row r="1115">
      <c r="A1115" s="425" t="inlineStr">
        <is>
          <t>EXOS-1114</t>
        </is>
      </c>
      <c r="B1115" s="425" t="inlineStr">
        <is>
          <t>Derek Contacts</t>
        </is>
      </c>
      <c r="C1115" s="425" t="inlineStr">
        <is>
          <t>Intermediary / Banker</t>
        </is>
      </c>
      <c r="D1115" s="425" t="inlineStr">
        <is>
          <t>EF Hutton</t>
        </is>
      </c>
      <c r="E1115" s="425" t="inlineStr">
        <is>
          <t>Anthony Salazar</t>
        </is>
      </c>
      <c r="F1115" s="425" t="inlineStr">
        <is>
          <t>Investment Banker</t>
        </is>
      </c>
      <c r="G1115" s="111" t="inlineStr">
        <is>
          <t>anthonysalazar139@gmail.com</t>
        </is>
      </c>
      <c r="H1115" s="425" t="inlineStr"/>
      <c r="I1115" s="425" t="inlineStr"/>
      <c r="J1115" s="425" t="inlineStr"/>
      <c r="K1115" s="426" t="inlineStr">
        <is>
          <t>John Quinn</t>
        </is>
      </c>
      <c r="L1115" s="426" t="inlineStr">
        <is>
          <t>Research</t>
        </is>
      </c>
      <c r="M1115" s="425" t="inlineStr">
        <is>
          <t>Capital raise support / placement</t>
        </is>
      </c>
      <c r="N1115" s="426" t="inlineStr">
        <is>
          <t>Tier 2</t>
        </is>
      </c>
      <c r="O1115" s="425" t="n"/>
      <c r="P1115" s="425" t="n"/>
      <c r="Q1115" s="425">
        <f>IF(P1115="","",TODAY()-P1115)</f>
        <v/>
      </c>
      <c r="R1115" s="441">
        <f>IF(OR(L1115="Passed",Z1115=""),"",P1115+Z1115)</f>
        <v/>
      </c>
      <c r="S1115" s="425">
        <f>IF(OR(R1115="",L1115="Passed"),"",IF(R1115&lt;=TODAY(),"DUE",IF(R1115&lt;=TODAY()+3,"Next 3 Days","Later")))</f>
        <v/>
      </c>
      <c r="T1115" s="425" t="inlineStr"/>
      <c r="U1115" s="426" t="inlineStr"/>
      <c r="V1115" s="426" t="inlineStr"/>
      <c r="W1115" s="428" t="inlineStr"/>
      <c r="X1115" s="425" t="inlineStr">
        <is>
          <t>Derek Contacts!17</t>
        </is>
      </c>
      <c r="Y1115" s="426" t="inlineStr">
        <is>
          <t>Research fit, find intro path, and draft first-touch email</t>
        </is>
      </c>
      <c r="Z1115" s="425" t="n">
        <v>1</v>
      </c>
      <c r="AA1115" s="425">
        <f>IF(AC1115="Archived",0,ROUND((IF(N1115="Tier 1",35,IF(N1115="Tier 2",20,8))+IF(C1115="Financial Investor",15,IF(C1115="Intermediary / Banker",12,8))+IF(L1115="Term Sheet / Proposal",25,IF(L1115="Engaged",20,IF(L1115="Meeting Requested",18,IF(L1115="Meeting Held",14,IF(L1115="Follow Up",10,5)))))+MIN(Q1115,30)+IF(S1115="DUE",15,IF(S1115="Next 3 Days",8,0))),0))</f>
        <v/>
      </c>
      <c r="AB1115" s="425">
        <f>IF(AND(AC1115="Active",OR(N1115="Tier 1",N1115="Tier 2"),OR(S1115="DUE",S1115="Next 3 Days")),"YES","")</f>
        <v/>
      </c>
      <c r="AC1115" s="425">
        <f>IF(L1115="Passed","Archived","Active")</f>
        <v/>
      </c>
    </row>
    <row r="1116">
      <c r="A1116" s="425" t="inlineStr">
        <is>
          <t>EXOS-1115</t>
        </is>
      </c>
      <c r="B1116" s="425" t="inlineStr">
        <is>
          <t>Derek Contacts</t>
        </is>
      </c>
      <c r="C1116" s="425" t="inlineStr">
        <is>
          <t>Strategic / Corporate</t>
        </is>
      </c>
      <c r="D1116" s="425" t="inlineStr">
        <is>
          <t>Fast-Space</t>
        </is>
      </c>
      <c r="E1116" s="425" t="inlineStr">
        <is>
          <t>Anthony Van der Merwe</t>
        </is>
      </c>
      <c r="F1116" s="425" t="inlineStr">
        <is>
          <t>CEO</t>
        </is>
      </c>
      <c r="G1116" s="111" t="inlineStr">
        <is>
          <t>anthony@fast-space.com</t>
        </is>
      </c>
      <c r="H1116" s="425" t="inlineStr"/>
      <c r="I1116" s="425" t="inlineStr">
        <is>
          <t>407-601-8458</t>
        </is>
      </c>
      <c r="J1116" s="425" t="inlineStr"/>
      <c r="K1116" s="426" t="inlineStr">
        <is>
          <t>John Quinn</t>
        </is>
      </c>
      <c r="L1116" s="426" t="inlineStr">
        <is>
          <t>Research</t>
        </is>
      </c>
      <c r="M1116" s="425" t="inlineStr">
        <is>
          <t>Strategic space / aerospace alignment</t>
        </is>
      </c>
      <c r="N1116" s="426" t="inlineStr">
        <is>
          <t>Tier 2</t>
        </is>
      </c>
      <c r="O1116" s="425" t="n"/>
      <c r="P1116" s="425" t="n"/>
      <c r="Q1116" s="425">
        <f>IF(P1116="","",TODAY()-P1116)</f>
        <v/>
      </c>
      <c r="R1116" s="441">
        <f>IF(OR(L1116="Passed",Z1116=""),"",P1116+Z1116)</f>
        <v/>
      </c>
      <c r="S1116" s="425">
        <f>IF(OR(R1116="",L1116="Passed"),"",IF(R1116&lt;=TODAY(),"DUE",IF(R1116&lt;=TODAY()+3,"Next 3 Days","Later")))</f>
        <v/>
      </c>
      <c r="T1116" s="425" t="inlineStr"/>
      <c r="U1116" s="426" t="inlineStr"/>
      <c r="V1116" s="426" t="inlineStr"/>
      <c r="W1116" s="428" t="inlineStr"/>
      <c r="X1116" s="425" t="inlineStr">
        <is>
          <t>Derek Contacts!20</t>
        </is>
      </c>
      <c r="Y1116" s="426" t="inlineStr">
        <is>
          <t>Research fit, find intro path, and draft first-touch email</t>
        </is>
      </c>
      <c r="Z1116" s="425" t="n">
        <v>1</v>
      </c>
      <c r="AA1116" s="425">
        <f>IF(AC1116="Archived",0,ROUND((IF(N1116="Tier 1",35,IF(N1116="Tier 2",20,8))+IF(C1116="Financial Investor",15,IF(C1116="Intermediary / Banker",12,8))+IF(L1116="Term Sheet / Proposal",25,IF(L1116="Engaged",20,IF(L1116="Meeting Requested",18,IF(L1116="Meeting Held",14,IF(L1116="Follow Up",10,5)))))+MIN(Q1116,30)+IF(S1116="DUE",15,IF(S1116="Next 3 Days",8,0))),0))</f>
        <v/>
      </c>
      <c r="AB1116" s="425">
        <f>IF(AND(AC1116="Active",OR(N1116="Tier 1",N1116="Tier 2"),OR(S1116="DUE",S1116="Next 3 Days")),"YES","")</f>
        <v/>
      </c>
      <c r="AC1116" s="425">
        <f>IF(L1116="Passed","Archived","Active")</f>
        <v/>
      </c>
    </row>
    <row r="1117">
      <c r="A1117" s="425" t="inlineStr">
        <is>
          <t>EXOS-1116</t>
        </is>
      </c>
      <c r="B1117" s="425" t="inlineStr">
        <is>
          <t>Derek Contacts</t>
        </is>
      </c>
      <c r="C1117" s="425" t="inlineStr">
        <is>
          <t>Intermediary / Banker</t>
        </is>
      </c>
      <c r="D1117" s="425" t="inlineStr">
        <is>
          <t>Finance (Individual)</t>
        </is>
      </c>
      <c r="E1117" s="425" t="inlineStr">
        <is>
          <t>Mike Broome</t>
        </is>
      </c>
      <c r="F1117" s="425" t="inlineStr"/>
      <c r="G1117" s="111" t="inlineStr">
        <is>
          <t>mgbroome1@gmail.com</t>
        </is>
      </c>
      <c r="H1117" s="425" t="inlineStr"/>
      <c r="I1117" s="425" t="inlineStr"/>
      <c r="J1117" s="425" t="inlineStr"/>
      <c r="K1117" s="426" t="inlineStr">
        <is>
          <t>John Quinn</t>
        </is>
      </c>
      <c r="L1117" s="426" t="inlineStr">
        <is>
          <t>Research</t>
        </is>
      </c>
      <c r="M1117" s="425" t="inlineStr">
        <is>
          <t>Capital raise support / placement</t>
        </is>
      </c>
      <c r="N1117" s="426" t="inlineStr">
        <is>
          <t>Tier 2</t>
        </is>
      </c>
      <c r="O1117" s="425" t="n"/>
      <c r="P1117" s="425" t="n"/>
      <c r="Q1117" s="425">
        <f>IF(P1117="","",TODAY()-P1117)</f>
        <v/>
      </c>
      <c r="R1117" s="441">
        <f>IF(OR(L1117="Passed",Z1117=""),"",P1117+Z1117)</f>
        <v/>
      </c>
      <c r="S1117" s="425">
        <f>IF(OR(R1117="",L1117="Passed"),"",IF(R1117&lt;=TODAY(),"DUE",IF(R1117&lt;=TODAY()+3,"Next 3 Days","Later")))</f>
        <v/>
      </c>
      <c r="T1117" s="425" t="inlineStr"/>
      <c r="U1117" s="426" t="inlineStr"/>
      <c r="V1117" s="426" t="inlineStr"/>
      <c r="W1117" s="428" t="inlineStr">
        <is>
          <t>meeting booked / no show</t>
        </is>
      </c>
      <c r="X1117" s="425" t="inlineStr">
        <is>
          <t>Derek Contacts!21</t>
        </is>
      </c>
      <c r="Y1117" s="426" t="inlineStr">
        <is>
          <t>Research fit, find intro path, and draft first-touch email</t>
        </is>
      </c>
      <c r="Z1117" s="425" t="n">
        <v>1</v>
      </c>
      <c r="AA1117" s="425">
        <f>IF(AC1117="Archived",0,ROUND((IF(N1117="Tier 1",35,IF(N1117="Tier 2",20,8))+IF(C1117="Financial Investor",15,IF(C1117="Intermediary / Banker",12,8))+IF(L1117="Term Sheet / Proposal",25,IF(L1117="Engaged",20,IF(L1117="Meeting Requested",18,IF(L1117="Meeting Held",14,IF(L1117="Follow Up",10,5)))))+MIN(Q1117,30)+IF(S1117="DUE",15,IF(S1117="Next 3 Days",8,0))),0))</f>
        <v/>
      </c>
      <c r="AB1117" s="425">
        <f>IF(AND(AC1117="Active",OR(N1117="Tier 1",N1117="Tier 2"),OR(S1117="DUE",S1117="Next 3 Days")),"YES","")</f>
        <v/>
      </c>
      <c r="AC1117" s="425">
        <f>IF(L1117="Passed","Archived","Active")</f>
        <v/>
      </c>
    </row>
    <row r="1118">
      <c r="A1118" s="425" t="inlineStr">
        <is>
          <t>EXOS-1117</t>
        </is>
      </c>
      <c r="B1118" s="425" t="inlineStr">
        <is>
          <t>Derek Contacts</t>
        </is>
      </c>
      <c r="C1118" s="425" t="inlineStr">
        <is>
          <t>Strategic / Corporate</t>
        </is>
      </c>
      <c r="D1118" s="425" t="inlineStr">
        <is>
          <t>Formidable Space</t>
        </is>
      </c>
      <c r="E1118" s="425" t="inlineStr">
        <is>
          <t>Don Weider</t>
        </is>
      </c>
      <c r="F1118" s="425" t="inlineStr"/>
      <c r="G1118" s="111" t="inlineStr">
        <is>
          <t>don@formitable.space</t>
        </is>
      </c>
      <c r="H1118" s="425" t="inlineStr"/>
      <c r="I1118" s="425" t="inlineStr"/>
      <c r="J1118" s="425" t="inlineStr"/>
      <c r="K1118" s="426" t="inlineStr">
        <is>
          <t>John Quinn</t>
        </is>
      </c>
      <c r="L1118" s="426" t="inlineStr">
        <is>
          <t>Research</t>
        </is>
      </c>
      <c r="M1118" s="425" t="inlineStr">
        <is>
          <t>Strategic space / aerospace alignment</t>
        </is>
      </c>
      <c r="N1118" s="426" t="inlineStr">
        <is>
          <t>Tier 2</t>
        </is>
      </c>
      <c r="O1118" s="425" t="n"/>
      <c r="P1118" s="425" t="n"/>
      <c r="Q1118" s="425">
        <f>IF(P1118="","",TODAY()-P1118)</f>
        <v/>
      </c>
      <c r="R1118" s="441">
        <f>IF(OR(L1118="Passed",Z1118=""),"",P1118+Z1118)</f>
        <v/>
      </c>
      <c r="S1118" s="425">
        <f>IF(OR(R1118="",L1118="Passed"),"",IF(R1118&lt;=TODAY(),"DUE",IF(R1118&lt;=TODAY()+3,"Next 3 Days","Later")))</f>
        <v/>
      </c>
      <c r="T1118" s="425" t="inlineStr"/>
      <c r="U1118" s="426" t="inlineStr"/>
      <c r="V1118" s="426" t="inlineStr"/>
      <c r="W1118" s="428" t="inlineStr"/>
      <c r="X1118" s="425" t="inlineStr">
        <is>
          <t>Derek Contacts!22</t>
        </is>
      </c>
      <c r="Y1118" s="426" t="inlineStr">
        <is>
          <t>Research fit, find intro path, and draft first-touch email</t>
        </is>
      </c>
      <c r="Z1118" s="425" t="n">
        <v>1</v>
      </c>
      <c r="AA1118" s="425">
        <f>IF(AC1118="Archived",0,ROUND((IF(N1118="Tier 1",35,IF(N1118="Tier 2",20,8))+IF(C1118="Financial Investor",15,IF(C1118="Intermediary / Banker",12,8))+IF(L1118="Term Sheet / Proposal",25,IF(L1118="Engaged",20,IF(L1118="Meeting Requested",18,IF(L1118="Meeting Held",14,IF(L1118="Follow Up",10,5)))))+MIN(Q1118,30)+IF(S1118="DUE",15,IF(S1118="Next 3 Days",8,0))),0))</f>
        <v/>
      </c>
      <c r="AB1118" s="425">
        <f>IF(AND(AC1118="Active",OR(N1118="Tier 1",N1118="Tier 2"),OR(S1118="DUE",S1118="Next 3 Days")),"YES","")</f>
        <v/>
      </c>
      <c r="AC1118" s="425">
        <f>IF(L1118="Passed","Archived","Active")</f>
        <v/>
      </c>
    </row>
    <row r="1119">
      <c r="A1119" s="425" t="inlineStr">
        <is>
          <t>EXOS-1118</t>
        </is>
      </c>
      <c r="B1119" s="425" t="inlineStr">
        <is>
          <t>Derek Contacts</t>
        </is>
      </c>
      <c r="C1119" s="425" t="inlineStr">
        <is>
          <t>Financial Investor</t>
        </is>
      </c>
      <c r="D1119" s="425" t="inlineStr">
        <is>
          <t>Funding Well</t>
        </is>
      </c>
      <c r="E1119" s="425" t="inlineStr">
        <is>
          <t>Sheldon Weiss</t>
        </is>
      </c>
      <c r="F1119" s="425" t="inlineStr">
        <is>
          <t>Investor</t>
        </is>
      </c>
      <c r="G1119" s="111" t="inlineStr">
        <is>
          <t>sheldon@fundwell.com</t>
        </is>
      </c>
      <c r="H1119" s="425" t="inlineStr"/>
      <c r="I1119" s="425" t="inlineStr"/>
      <c r="J1119" s="425" t="inlineStr"/>
      <c r="K1119" s="426" t="inlineStr">
        <is>
          <t>John Quinn</t>
        </is>
      </c>
      <c r="L1119" s="426" t="inlineStr">
        <is>
          <t>Research</t>
        </is>
      </c>
      <c r="M1119" s="425" t="inlineStr">
        <is>
          <t>Space / Defense / Aerospace / Advanced Manufacturing</t>
        </is>
      </c>
      <c r="N1119" s="426" t="inlineStr">
        <is>
          <t>Tier 2</t>
        </is>
      </c>
      <c r="O1119" s="425" t="n"/>
      <c r="P1119" s="425" t="n"/>
      <c r="Q1119" s="425">
        <f>IF(P1119="","",TODAY()-P1119)</f>
        <v/>
      </c>
      <c r="R1119" s="441">
        <f>IF(OR(L1119="Passed",Z1119=""),"",P1119+Z1119)</f>
        <v/>
      </c>
      <c r="S1119" s="425">
        <f>IF(OR(R1119="",L1119="Passed"),"",IF(R1119&lt;=TODAY(),"DUE",IF(R1119&lt;=TODAY()+3,"Next 3 Days","Later")))</f>
        <v/>
      </c>
      <c r="T1119" s="425" t="inlineStr"/>
      <c r="U1119" s="426" t="inlineStr"/>
      <c r="V1119" s="426" t="inlineStr"/>
      <c r="W1119" s="428" t="inlineStr"/>
      <c r="X1119" s="425" t="inlineStr">
        <is>
          <t>Derek Contacts!23</t>
        </is>
      </c>
      <c r="Y1119" s="426" t="inlineStr">
        <is>
          <t>Research fit, find intro path, and draft first-touch email</t>
        </is>
      </c>
      <c r="Z1119" s="425" t="n">
        <v>1</v>
      </c>
      <c r="AA1119" s="425">
        <f>IF(AC1119="Archived",0,ROUND((IF(N1119="Tier 1",35,IF(N1119="Tier 2",20,8))+IF(C1119="Financial Investor",15,IF(C1119="Intermediary / Banker",12,8))+IF(L1119="Term Sheet / Proposal",25,IF(L1119="Engaged",20,IF(L1119="Meeting Requested",18,IF(L1119="Meeting Held",14,IF(L1119="Follow Up",10,5)))))+MIN(Q1119,30)+IF(S1119="DUE",15,IF(S1119="Next 3 Days",8,0))),0))</f>
        <v/>
      </c>
      <c r="AB1119" s="425">
        <f>IF(AND(AC1119="Active",OR(N1119="Tier 1",N1119="Tier 2"),OR(S1119="DUE",S1119="Next 3 Days")),"YES","")</f>
        <v/>
      </c>
      <c r="AC1119" s="425">
        <f>IF(L1119="Passed","Archived","Active")</f>
        <v/>
      </c>
    </row>
    <row r="1120">
      <c r="A1120" s="425" t="inlineStr">
        <is>
          <t>EXOS-1119</t>
        </is>
      </c>
      <c r="B1120" s="425" t="inlineStr">
        <is>
          <t>Derek Contacts</t>
        </is>
      </c>
      <c r="C1120" s="425" t="inlineStr">
        <is>
          <t>Financial Investor</t>
        </is>
      </c>
      <c r="D1120" s="425" t="inlineStr">
        <is>
          <t>GNC Specialist (Individual)</t>
        </is>
      </c>
      <c r="E1120" s="425" t="inlineStr">
        <is>
          <t>Harrison Lambert</t>
        </is>
      </c>
      <c r="F1120" s="425" t="inlineStr">
        <is>
          <t>Investor</t>
        </is>
      </c>
      <c r="G1120" s="111" t="inlineStr">
        <is>
          <t>lambert.harrison@gmail.com</t>
        </is>
      </c>
      <c r="H1120" s="425" t="inlineStr"/>
      <c r="I1120" s="425" t="inlineStr"/>
      <c r="J1120" s="425" t="inlineStr"/>
      <c r="K1120" s="426" t="inlineStr">
        <is>
          <t>John Quinn</t>
        </is>
      </c>
      <c r="L1120" s="426" t="inlineStr">
        <is>
          <t>Research</t>
        </is>
      </c>
      <c r="M1120" s="425" t="inlineStr">
        <is>
          <t>Space / Defense / Aerospace / Advanced Manufacturing</t>
        </is>
      </c>
      <c r="N1120" s="426" t="inlineStr">
        <is>
          <t>Tier 2</t>
        </is>
      </c>
      <c r="O1120" s="425" t="n"/>
      <c r="P1120" s="425" t="n"/>
      <c r="Q1120" s="425">
        <f>IF(P1120="","",TODAY()-P1120)</f>
        <v/>
      </c>
      <c r="R1120" s="441">
        <f>IF(OR(L1120="Passed",Z1120=""),"",P1120+Z1120)</f>
        <v/>
      </c>
      <c r="S1120" s="425">
        <f>IF(OR(R1120="",L1120="Passed"),"",IF(R1120&lt;=TODAY(),"DUE",IF(R1120&lt;=TODAY()+3,"Next 3 Days","Later")))</f>
        <v/>
      </c>
      <c r="T1120" s="425" t="inlineStr"/>
      <c r="U1120" s="426" t="inlineStr"/>
      <c r="V1120" s="426" t="inlineStr"/>
      <c r="W1120" s="428" t="inlineStr"/>
      <c r="X1120" s="425" t="inlineStr">
        <is>
          <t>Derek Contacts!24</t>
        </is>
      </c>
      <c r="Y1120" s="426" t="inlineStr">
        <is>
          <t>Research fit, find intro path, and draft first-touch email</t>
        </is>
      </c>
      <c r="Z1120" s="425" t="n">
        <v>1</v>
      </c>
      <c r="AA1120" s="425">
        <f>IF(AC1120="Archived",0,ROUND((IF(N1120="Tier 1",35,IF(N1120="Tier 2",20,8))+IF(C1120="Financial Investor",15,IF(C1120="Intermediary / Banker",12,8))+IF(L1120="Term Sheet / Proposal",25,IF(L1120="Engaged",20,IF(L1120="Meeting Requested",18,IF(L1120="Meeting Held",14,IF(L1120="Follow Up",10,5)))))+MIN(Q1120,30)+IF(S1120="DUE",15,IF(S1120="Next 3 Days",8,0))),0))</f>
        <v/>
      </c>
      <c r="AB1120" s="425">
        <f>IF(AND(AC1120="Active",OR(N1120="Tier 1",N1120="Tier 2"),OR(S1120="DUE",S1120="Next 3 Days")),"YES","")</f>
        <v/>
      </c>
      <c r="AC1120" s="425">
        <f>IF(L1120="Passed","Archived","Active")</f>
        <v/>
      </c>
    </row>
    <row r="1121">
      <c r="A1121" s="425" t="inlineStr">
        <is>
          <t>EXOS-1120</t>
        </is>
      </c>
      <c r="B1121" s="425" t="inlineStr">
        <is>
          <t>John - Investor Contacts</t>
        </is>
      </c>
      <c r="C1121" s="425" t="inlineStr">
        <is>
          <t>Financial Investor</t>
        </is>
      </c>
      <c r="D1121" s="425" t="inlineStr">
        <is>
          <t>Impact Venture Capital</t>
        </is>
      </c>
      <c r="E1121" s="425" t="inlineStr"/>
      <c r="F1121" s="425" t="inlineStr"/>
      <c r="G1121" s="425" t="inlineStr"/>
      <c r="H1121" s="425" t="inlineStr"/>
      <c r="I1121" s="425" t="inlineStr"/>
      <c r="J1121" s="425" t="inlineStr"/>
      <c r="K1121" s="426" t="inlineStr">
        <is>
          <t>John Quinn</t>
        </is>
      </c>
      <c r="L1121" s="426" t="inlineStr">
        <is>
          <t>Research</t>
        </is>
      </c>
      <c r="M1121" s="425" t="inlineStr">
        <is>
          <t>Space / Defense / Aerospace / Advanced Manufacturing</t>
        </is>
      </c>
      <c r="N1121" s="426" t="inlineStr">
        <is>
          <t>Tier 2</t>
        </is>
      </c>
      <c r="O1121" s="425" t="n"/>
      <c r="P1121" s="425" t="n"/>
      <c r="Q1121" s="425">
        <f>IF(P1121="","",TODAY()-P1121)</f>
        <v/>
      </c>
      <c r="R1121" s="441">
        <f>IF(OR(L1121="Passed",Z1121=""),"",P1121+Z1121)</f>
        <v/>
      </c>
      <c r="S1121" s="425">
        <f>IF(OR(R1121="",L1121="Passed"),"",IF(R1121&lt;=TODAY(),"DUE",IF(R1121&lt;=TODAY()+3,"Next 3 Days","Later")))</f>
        <v/>
      </c>
      <c r="T1121" s="425" t="inlineStr"/>
      <c r="U1121" s="426" t="inlineStr"/>
      <c r="V1121" s="426" t="inlineStr"/>
      <c r="W1121" s="428" t="inlineStr">
        <is>
          <t xml:space="preserve"> |  | form online: https://impactvc.typeform.com/startups?typeform-source=impactvc.com</t>
        </is>
      </c>
      <c r="X1121" s="425" t="inlineStr">
        <is>
          <t>John - Investor Contacts!273</t>
        </is>
      </c>
      <c r="Y1121" s="426" t="inlineStr">
        <is>
          <t>Research fit, find intro path, and draft first-touch email</t>
        </is>
      </c>
      <c r="Z1121" s="425" t="n">
        <v>1</v>
      </c>
      <c r="AA1121" s="425">
        <f>IF(AC1121="Archived",0,ROUND((IF(N1121="Tier 1",35,IF(N1121="Tier 2",20,8))+IF(C1121="Financial Investor",15,IF(C1121="Intermediary / Banker",12,8))+IF(L1121="Term Sheet / Proposal",25,IF(L1121="Engaged",20,IF(L1121="Meeting Requested",18,IF(L1121="Meeting Held",14,IF(L1121="Follow Up",10,5)))))+MIN(Q1121,30)+IF(S1121="DUE",15,IF(S1121="Next 3 Days",8,0))),0))</f>
        <v/>
      </c>
      <c r="AB1121" s="425">
        <f>IF(AND(AC1121="Active",OR(N1121="Tier 1",N1121="Tier 2"),OR(S1121="DUE",S1121="Next 3 Days")),"YES","")</f>
        <v/>
      </c>
      <c r="AC1121" s="425">
        <f>IF(L1121="Passed","Archived","Active")</f>
        <v/>
      </c>
    </row>
    <row r="1122">
      <c r="A1122" s="425" t="inlineStr">
        <is>
          <t>EXOS-1121</t>
        </is>
      </c>
      <c r="B1122" s="425" t="inlineStr">
        <is>
          <t xml:space="preserve">Investors_Private_Equity </t>
        </is>
      </c>
      <c r="C1122" s="425" t="inlineStr">
        <is>
          <t>Financial Investor</t>
        </is>
      </c>
      <c r="D1122" s="425" t="inlineStr">
        <is>
          <t>InterplayEngage@interplay.vc</t>
        </is>
      </c>
      <c r="E1122" s="425" t="inlineStr">
        <is>
          <t>05/01/2025</t>
        </is>
      </c>
      <c r="F1122" s="425" t="inlineStr"/>
      <c r="G1122" s="425" t="inlineStr"/>
      <c r="H1122" s="425" t="inlineStr"/>
      <c r="I1122" s="425" t="inlineStr">
        <is>
          <t>|</t>
        </is>
      </c>
      <c r="J1122" s="425" t="inlineStr"/>
      <c r="K1122" s="426" t="inlineStr">
        <is>
          <t>John Quinn</t>
        </is>
      </c>
      <c r="L1122" s="426" t="inlineStr">
        <is>
          <t>Research</t>
        </is>
      </c>
      <c r="M1122" s="425" t="inlineStr">
        <is>
          <t>Space / Defense / Aerospace / Advanced Manufacturing</t>
        </is>
      </c>
      <c r="N1122" s="426" t="inlineStr">
        <is>
          <t>Tier 2</t>
        </is>
      </c>
      <c r="O1122" s="425" t="n"/>
      <c r="P1122" s="425" t="n"/>
      <c r="Q1122" s="425">
        <f>IF(P1122="","",TODAY()-P1122)</f>
        <v/>
      </c>
      <c r="R1122" s="441">
        <f>IF(OR(L1122="Passed",Z1122=""),"",P1122+Z1122)</f>
        <v/>
      </c>
      <c r="S1122" s="425">
        <f>IF(OR(R1122="",L1122="Passed"),"",IF(R1122&lt;=TODAY(),"DUE",IF(R1122&lt;=TODAY()+3,"Next 3 Days","Later")))</f>
        <v/>
      </c>
      <c r="T1122" s="425" t="inlineStr"/>
      <c r="U1122" s="426" t="inlineStr"/>
      <c r="V1122" s="426" t="inlineStr"/>
      <c r="W1122" s="428" t="inlineStr">
        <is>
          <t xml:space="preserve"> |  | Interplay</t>
        </is>
      </c>
      <c r="X1122" s="425" t="inlineStr">
        <is>
          <t>Investors_Private_Equity !21</t>
        </is>
      </c>
      <c r="Y1122" s="426" t="inlineStr">
        <is>
          <t>Research fit, find intro path, and draft first-touch email</t>
        </is>
      </c>
      <c r="Z1122" s="425" t="n">
        <v>1</v>
      </c>
      <c r="AA1122" s="425">
        <f>IF(AC1122="Archived",0,ROUND((IF(N1122="Tier 1",35,IF(N1122="Tier 2",20,8))+IF(C1122="Financial Investor",15,IF(C1122="Intermediary / Banker",12,8))+IF(L1122="Term Sheet / Proposal",25,IF(L1122="Engaged",20,IF(L1122="Meeting Requested",18,IF(L1122="Meeting Held",14,IF(L1122="Follow Up",10,5)))))+MIN(Q1122,30)+IF(S1122="DUE",15,IF(S1122="Next 3 Days",8,0))),0))</f>
        <v/>
      </c>
      <c r="AB1122" s="425">
        <f>IF(AND(AC1122="Active",OR(N1122="Tier 1",N1122="Tier 2"),OR(S1122="DUE",S1122="Next 3 Days")),"YES","")</f>
        <v/>
      </c>
      <c r="AC1122" s="425">
        <f>IF(L1122="Passed","Archived","Active")</f>
        <v/>
      </c>
    </row>
    <row r="1123">
      <c r="A1123" s="425" t="inlineStr">
        <is>
          <t>EXOS-1122</t>
        </is>
      </c>
      <c r="B1123" s="425" t="inlineStr">
        <is>
          <t>Derek Contacts</t>
        </is>
      </c>
      <c r="C1123" s="425" t="inlineStr">
        <is>
          <t>Financial Investor</t>
        </is>
      </c>
      <c r="D1123" s="425" t="inlineStr">
        <is>
          <t>Investor</t>
        </is>
      </c>
      <c r="E1123" s="425" t="inlineStr">
        <is>
          <t>Andrew Buczak</t>
        </is>
      </c>
      <c r="F1123" s="425" t="inlineStr"/>
      <c r="G1123" s="111" t="inlineStr">
        <is>
          <t>andrewbuczak@gmail.com</t>
        </is>
      </c>
      <c r="H1123" s="425" t="inlineStr"/>
      <c r="I1123" s="425" t="inlineStr"/>
      <c r="J1123" s="425" t="inlineStr"/>
      <c r="K1123" s="426" t="inlineStr">
        <is>
          <t>John Quinn</t>
        </is>
      </c>
      <c r="L1123" s="426" t="inlineStr">
        <is>
          <t>Research</t>
        </is>
      </c>
      <c r="M1123" s="425" t="inlineStr">
        <is>
          <t>Space / Defense / Aerospace / Advanced Manufacturing</t>
        </is>
      </c>
      <c r="N1123" s="426" t="inlineStr">
        <is>
          <t>Tier 2</t>
        </is>
      </c>
      <c r="O1123" s="425" t="n"/>
      <c r="P1123" s="425" t="n"/>
      <c r="Q1123" s="425">
        <f>IF(P1123="","",TODAY()-P1123)</f>
        <v/>
      </c>
      <c r="R1123" s="441">
        <f>IF(OR(L1123="Passed",Z1123=""),"",P1123+Z1123)</f>
        <v/>
      </c>
      <c r="S1123" s="425">
        <f>IF(OR(R1123="",L1123="Passed"),"",IF(R1123&lt;=TODAY(),"DUE",IF(R1123&lt;=TODAY()+3,"Next 3 Days","Later")))</f>
        <v/>
      </c>
      <c r="T1123" s="425" t="inlineStr"/>
      <c r="U1123" s="426" t="inlineStr"/>
      <c r="V1123" s="426" t="inlineStr"/>
      <c r="W1123" s="428" t="inlineStr"/>
      <c r="X1123" s="425" t="inlineStr">
        <is>
          <t>Derek Contacts!4</t>
        </is>
      </c>
      <c r="Y1123" s="426" t="inlineStr">
        <is>
          <t>Research fit, find intro path, and draft first-touch email</t>
        </is>
      </c>
      <c r="Z1123" s="425" t="n">
        <v>1</v>
      </c>
      <c r="AA1123" s="425">
        <f>IF(AC1123="Archived",0,ROUND((IF(N1123="Tier 1",35,IF(N1123="Tier 2",20,8))+IF(C1123="Financial Investor",15,IF(C1123="Intermediary / Banker",12,8))+IF(L1123="Term Sheet / Proposal",25,IF(L1123="Engaged",20,IF(L1123="Meeting Requested",18,IF(L1123="Meeting Held",14,IF(L1123="Follow Up",10,5)))))+MIN(Q1123,30)+IF(S1123="DUE",15,IF(S1123="Next 3 Days",8,0))),0))</f>
        <v/>
      </c>
      <c r="AB1123" s="425">
        <f>IF(AND(AC1123="Active",OR(N1123="Tier 1",N1123="Tier 2"),OR(S1123="DUE",S1123="Next 3 Days")),"YES","")</f>
        <v/>
      </c>
      <c r="AC1123" s="425">
        <f>IF(L1123="Passed","Archived","Active")</f>
        <v/>
      </c>
    </row>
    <row r="1124">
      <c r="A1124" s="425" t="inlineStr">
        <is>
          <t>EXOS-1123</t>
        </is>
      </c>
      <c r="B1124" s="425" t="inlineStr">
        <is>
          <t>Derek Contacts</t>
        </is>
      </c>
      <c r="C1124" s="425" t="inlineStr">
        <is>
          <t>Financial Investor</t>
        </is>
      </c>
      <c r="D1124" s="425" t="inlineStr">
        <is>
          <t>Investor</t>
        </is>
      </c>
      <c r="E1124" s="425" t="inlineStr">
        <is>
          <t>Dan Schatzan</t>
        </is>
      </c>
      <c r="F1124" s="425" t="inlineStr"/>
      <c r="G1124" s="111" t="inlineStr">
        <is>
          <t>danschat1@aol.com</t>
        </is>
      </c>
      <c r="H1124" s="425" t="inlineStr"/>
      <c r="I1124" s="425" t="inlineStr"/>
      <c r="J1124" s="425" t="inlineStr"/>
      <c r="K1124" s="426" t="inlineStr">
        <is>
          <t>John Quinn</t>
        </is>
      </c>
      <c r="L1124" s="426" t="inlineStr">
        <is>
          <t>Research</t>
        </is>
      </c>
      <c r="M1124" s="425" t="inlineStr">
        <is>
          <t>Space / Defense / Aerospace / Advanced Manufacturing</t>
        </is>
      </c>
      <c r="N1124" s="426" t="inlineStr">
        <is>
          <t>Tier 2</t>
        </is>
      </c>
      <c r="O1124" s="425" t="n"/>
      <c r="P1124" s="425" t="n"/>
      <c r="Q1124" s="425">
        <f>IF(P1124="","",TODAY()-P1124)</f>
        <v/>
      </c>
      <c r="R1124" s="441">
        <f>IF(OR(L1124="Passed",Z1124=""),"",P1124+Z1124)</f>
        <v/>
      </c>
      <c r="S1124" s="425">
        <f>IF(OR(R1124="",L1124="Passed"),"",IF(R1124&lt;=TODAY(),"DUE",IF(R1124&lt;=TODAY()+3,"Next 3 Days","Later")))</f>
        <v/>
      </c>
      <c r="T1124" s="425" t="inlineStr"/>
      <c r="U1124" s="426" t="inlineStr"/>
      <c r="V1124" s="426" t="inlineStr"/>
      <c r="W1124" s="428" t="inlineStr">
        <is>
          <t>our contact first</t>
        </is>
      </c>
      <c r="X1124" s="425" t="inlineStr">
        <is>
          <t>Derek Contacts!5</t>
        </is>
      </c>
      <c r="Y1124" s="426" t="inlineStr">
        <is>
          <t>Research fit, find intro path, and draft first-touch email</t>
        </is>
      </c>
      <c r="Z1124" s="425" t="n">
        <v>1</v>
      </c>
      <c r="AA1124" s="425">
        <f>IF(AC1124="Archived",0,ROUND((IF(N1124="Tier 1",35,IF(N1124="Tier 2",20,8))+IF(C1124="Financial Investor",15,IF(C1124="Intermediary / Banker",12,8))+IF(L1124="Term Sheet / Proposal",25,IF(L1124="Engaged",20,IF(L1124="Meeting Requested",18,IF(L1124="Meeting Held",14,IF(L1124="Follow Up",10,5)))))+MIN(Q1124,30)+IF(S1124="DUE",15,IF(S1124="Next 3 Days",8,0))),0))</f>
        <v/>
      </c>
      <c r="AB1124" s="425">
        <f>IF(AND(AC1124="Active",OR(N1124="Tier 1",N1124="Tier 2"),OR(S1124="DUE",S1124="Next 3 Days")),"YES","")</f>
        <v/>
      </c>
      <c r="AC1124" s="425">
        <f>IF(L1124="Passed","Archived","Active")</f>
        <v/>
      </c>
    </row>
    <row r="1125">
      <c r="A1125" s="425" t="inlineStr">
        <is>
          <t>EXOS-1124</t>
        </is>
      </c>
      <c r="B1125" s="425" t="inlineStr">
        <is>
          <t>Derek Contacts</t>
        </is>
      </c>
      <c r="C1125" s="425" t="inlineStr">
        <is>
          <t>Financial Investor</t>
        </is>
      </c>
      <c r="D1125" s="425" t="inlineStr">
        <is>
          <t>Investor</t>
        </is>
      </c>
      <c r="E1125" s="425" t="inlineStr">
        <is>
          <t>Ovadiya Aharonoff</t>
        </is>
      </c>
      <c r="F1125" s="425" t="inlineStr"/>
      <c r="G1125" s="111" t="inlineStr">
        <is>
          <t>deals@ovadiya.com</t>
        </is>
      </c>
      <c r="H1125" s="425" t="inlineStr"/>
      <c r="I1125" s="425" t="inlineStr"/>
      <c r="J1125" s="425" t="inlineStr"/>
      <c r="K1125" s="426" t="inlineStr">
        <is>
          <t>John Quinn</t>
        </is>
      </c>
      <c r="L1125" s="426" t="inlineStr">
        <is>
          <t>Research</t>
        </is>
      </c>
      <c r="M1125" s="425" t="inlineStr">
        <is>
          <t>Space / Defense / Aerospace / Advanced Manufacturing</t>
        </is>
      </c>
      <c r="N1125" s="426" t="inlineStr">
        <is>
          <t>Tier 2</t>
        </is>
      </c>
      <c r="O1125" s="425" t="n"/>
      <c r="P1125" s="425" t="n"/>
      <c r="Q1125" s="425">
        <f>IF(P1125="","",TODAY()-P1125)</f>
        <v/>
      </c>
      <c r="R1125" s="441">
        <f>IF(OR(L1125="Passed",Z1125=""),"",P1125+Z1125)</f>
        <v/>
      </c>
      <c r="S1125" s="425">
        <f>IF(OR(R1125="",L1125="Passed"),"",IF(R1125&lt;=TODAY(),"DUE",IF(R1125&lt;=TODAY()+3,"Next 3 Days","Later")))</f>
        <v/>
      </c>
      <c r="T1125" s="425" t="inlineStr"/>
      <c r="U1125" s="426" t="inlineStr"/>
      <c r="V1125" s="426" t="inlineStr"/>
      <c r="W1125" s="428" t="inlineStr"/>
      <c r="X1125" s="425" t="inlineStr">
        <is>
          <t>Derek Contacts!6</t>
        </is>
      </c>
      <c r="Y1125" s="426" t="inlineStr">
        <is>
          <t>Research fit, find intro path, and draft first-touch email</t>
        </is>
      </c>
      <c r="Z1125" s="425" t="n">
        <v>1</v>
      </c>
      <c r="AA1125" s="425">
        <f>IF(AC1125="Archived",0,ROUND((IF(N1125="Tier 1",35,IF(N1125="Tier 2",20,8))+IF(C1125="Financial Investor",15,IF(C1125="Intermediary / Banker",12,8))+IF(L1125="Term Sheet / Proposal",25,IF(L1125="Engaged",20,IF(L1125="Meeting Requested",18,IF(L1125="Meeting Held",14,IF(L1125="Follow Up",10,5)))))+MIN(Q1125,30)+IF(S1125="DUE",15,IF(S1125="Next 3 Days",8,0))),0))</f>
        <v/>
      </c>
      <c r="AB1125" s="425">
        <f>IF(AND(AC1125="Active",OR(N1125="Tier 1",N1125="Tier 2"),OR(S1125="DUE",S1125="Next 3 Days")),"YES","")</f>
        <v/>
      </c>
      <c r="AC1125" s="425">
        <f>IF(L1125="Passed","Archived","Active")</f>
        <v/>
      </c>
    </row>
    <row r="1126">
      <c r="A1126" s="425" t="inlineStr">
        <is>
          <t>EXOS-1125</t>
        </is>
      </c>
      <c r="B1126" s="425" t="inlineStr">
        <is>
          <t>Derek Contacts</t>
        </is>
      </c>
      <c r="C1126" s="425" t="inlineStr">
        <is>
          <t>Financial Investor</t>
        </is>
      </c>
      <c r="D1126" s="425" t="inlineStr">
        <is>
          <t>Investor</t>
        </is>
      </c>
      <c r="E1126" s="425" t="inlineStr">
        <is>
          <t>Sergey Gugkaev</t>
        </is>
      </c>
      <c r="F1126" s="425" t="inlineStr"/>
      <c r="G1126" s="111" t="inlineStr">
        <is>
          <t>gugkaev@gmail.com</t>
        </is>
      </c>
      <c r="H1126" s="425" t="inlineStr"/>
      <c r="I1126" s="425" t="inlineStr"/>
      <c r="J1126" s="425" t="inlineStr"/>
      <c r="K1126" s="426" t="inlineStr">
        <is>
          <t>John Quinn</t>
        </is>
      </c>
      <c r="L1126" s="426" t="inlineStr">
        <is>
          <t>Research</t>
        </is>
      </c>
      <c r="M1126" s="425" t="inlineStr">
        <is>
          <t>Space / Defense / Aerospace / Advanced Manufacturing</t>
        </is>
      </c>
      <c r="N1126" s="426" t="inlineStr">
        <is>
          <t>Tier 2</t>
        </is>
      </c>
      <c r="O1126" s="425" t="n"/>
      <c r="P1126" s="425" t="n"/>
      <c r="Q1126" s="425">
        <f>IF(P1126="","",TODAY()-P1126)</f>
        <v/>
      </c>
      <c r="R1126" s="441">
        <f>IF(OR(L1126="Passed",Z1126=""),"",P1126+Z1126)</f>
        <v/>
      </c>
      <c r="S1126" s="425">
        <f>IF(OR(R1126="",L1126="Passed"),"",IF(R1126&lt;=TODAY(),"DUE",IF(R1126&lt;=TODAY()+3,"Next 3 Days","Later")))</f>
        <v/>
      </c>
      <c r="T1126" s="425" t="inlineStr"/>
      <c r="U1126" s="426" t="inlineStr"/>
      <c r="V1126" s="426" t="inlineStr"/>
      <c r="W1126" s="428" t="inlineStr"/>
      <c r="X1126" s="425" t="inlineStr">
        <is>
          <t>Derek Contacts!3</t>
        </is>
      </c>
      <c r="Y1126" s="426" t="inlineStr">
        <is>
          <t>Research fit, find intro path, and draft first-touch email</t>
        </is>
      </c>
      <c r="Z1126" s="425" t="n">
        <v>1</v>
      </c>
      <c r="AA1126" s="425">
        <f>IF(AC1126="Archived",0,ROUND((IF(N1126="Tier 1",35,IF(N1126="Tier 2",20,8))+IF(C1126="Financial Investor",15,IF(C1126="Intermediary / Banker",12,8))+IF(L1126="Term Sheet / Proposal",25,IF(L1126="Engaged",20,IF(L1126="Meeting Requested",18,IF(L1126="Meeting Held",14,IF(L1126="Follow Up",10,5)))))+MIN(Q1126,30)+IF(S1126="DUE",15,IF(S1126="Next 3 Days",8,0))),0))</f>
        <v/>
      </c>
      <c r="AB1126" s="425">
        <f>IF(AND(AC1126="Active",OR(N1126="Tier 1",N1126="Tier 2"),OR(S1126="DUE",S1126="Next 3 Days")),"YES","")</f>
        <v/>
      </c>
      <c r="AC1126" s="425">
        <f>IF(L1126="Passed","Archived","Active")</f>
        <v/>
      </c>
    </row>
    <row r="1127">
      <c r="A1127" s="425" t="inlineStr">
        <is>
          <t>EXOS-1126</t>
        </is>
      </c>
      <c r="B1127" s="425" t="inlineStr">
        <is>
          <t>Derek Contacts | John - Investor Contacts</t>
        </is>
      </c>
      <c r="C1127" s="425" t="inlineStr">
        <is>
          <t>Financial Investor</t>
        </is>
      </c>
      <c r="D1127" s="425" t="inlineStr">
        <is>
          <t>Investor</t>
        </is>
      </c>
      <c r="E1127" s="425" t="inlineStr">
        <is>
          <t>Zyad Wright</t>
        </is>
      </c>
      <c r="F1127" s="425" t="inlineStr"/>
      <c r="G1127" s="111" t="inlineStr">
        <is>
          <t>zyadwright@gmail.com</t>
        </is>
      </c>
      <c r="H1127" s="425" t="inlineStr"/>
      <c r="I1127" s="425" t="inlineStr"/>
      <c r="J1127" s="425" t="inlineStr"/>
      <c r="K1127" s="426" t="inlineStr">
        <is>
          <t>John Quinn</t>
        </is>
      </c>
      <c r="L1127" s="426" t="inlineStr">
        <is>
          <t>Research</t>
        </is>
      </c>
      <c r="M1127" s="425" t="inlineStr">
        <is>
          <t>Space / Defense / Aerospace / Advanced Manufacturing</t>
        </is>
      </c>
      <c r="N1127" s="426" t="inlineStr">
        <is>
          <t>Tier 2</t>
        </is>
      </c>
      <c r="O1127" s="425" t="n"/>
      <c r="P1127" s="425" t="n"/>
      <c r="Q1127" s="425">
        <f>IF(P1127="","",TODAY()-P1127)</f>
        <v/>
      </c>
      <c r="R1127" s="441">
        <f>IF(OR(L1127="Passed",Z1127=""),"",P1127+Z1127)</f>
        <v/>
      </c>
      <c r="S1127" s="425">
        <f>IF(OR(R1127="",L1127="Passed"),"",IF(R1127&lt;=TODAY(),"DUE",IF(R1127&lt;=TODAY()+3,"Next 3 Days","Later")))</f>
        <v/>
      </c>
      <c r="T1127" s="425" t="inlineStr"/>
      <c r="U1127" s="426" t="inlineStr"/>
      <c r="V1127" s="426" t="inlineStr"/>
      <c r="W1127" s="428" t="inlineStr">
        <is>
          <t>cfs2128@gmail.com - Colm ?? | our contact first</t>
        </is>
      </c>
      <c r="X1127" s="425" t="inlineStr">
        <is>
          <t>John - Investor Contacts!314 | Derek Contacts!2</t>
        </is>
      </c>
      <c r="Y1127" s="426" t="inlineStr">
        <is>
          <t>Research fit, find intro path, and draft first-touch email</t>
        </is>
      </c>
      <c r="Z1127" s="425" t="n">
        <v>1</v>
      </c>
      <c r="AA1127" s="425">
        <f>IF(AC1127="Archived",0,ROUND((IF(N1127="Tier 1",35,IF(N1127="Tier 2",20,8))+IF(C1127="Financial Investor",15,IF(C1127="Intermediary / Banker",12,8))+IF(L1127="Term Sheet / Proposal",25,IF(L1127="Engaged",20,IF(L1127="Meeting Requested",18,IF(L1127="Meeting Held",14,IF(L1127="Follow Up",10,5)))))+MIN(Q1127,30)+IF(S1127="DUE",15,IF(S1127="Next 3 Days",8,0))),0))</f>
        <v/>
      </c>
      <c r="AB1127" s="425">
        <f>IF(AND(AC1127="Active",OR(N1127="Tier 1",N1127="Tier 2"),OR(S1127="DUE",S1127="Next 3 Days")),"YES","")</f>
        <v/>
      </c>
      <c r="AC1127" s="425">
        <f>IF(L1127="Passed","Archived","Active")</f>
        <v/>
      </c>
    </row>
    <row r="1128">
      <c r="A1128" s="425" t="inlineStr">
        <is>
          <t>EXOS-1127</t>
        </is>
      </c>
      <c r="B1128" s="425" t="inlineStr">
        <is>
          <t xml:space="preserve">Investors_Private_Equity </t>
        </is>
      </c>
      <c r="C1128" s="425" t="inlineStr">
        <is>
          <t>Financial Investor</t>
        </is>
      </c>
      <c r="D1128" s="425" t="inlineStr">
        <is>
          <t>Jeremy Hallett</t>
        </is>
      </c>
      <c r="E1128" s="425" t="inlineStr"/>
      <c r="F1128" s="425" t="inlineStr"/>
      <c r="G1128" s="111" t="inlineStr">
        <is>
          <t>jeremy.hallett@brindabella.co</t>
        </is>
      </c>
      <c r="H1128" s="425" t="inlineStr"/>
      <c r="I1128" s="425" t="inlineStr">
        <is>
          <t>|</t>
        </is>
      </c>
      <c r="J1128" s="111" t="inlineStr">
        <is>
          <t>https://www.linkedin.com/in/jeremy-hallett/</t>
        </is>
      </c>
      <c r="K1128" s="426" t="inlineStr">
        <is>
          <t>John Quinn</t>
        </is>
      </c>
      <c r="L1128" s="426" t="inlineStr">
        <is>
          <t>Research</t>
        </is>
      </c>
      <c r="M1128" s="425" t="inlineStr">
        <is>
          <t>Space / Defense / Aerospace / Advanced Manufacturing</t>
        </is>
      </c>
      <c r="N1128" s="426" t="inlineStr">
        <is>
          <t>Tier 2</t>
        </is>
      </c>
      <c r="O1128" s="425" t="n"/>
      <c r="P1128" s="425" t="n"/>
      <c r="Q1128" s="425">
        <f>IF(P1128="","",TODAY()-P1128)</f>
        <v/>
      </c>
      <c r="R1128" s="441">
        <f>IF(OR(L1128="Passed",Z1128=""),"",P1128+Z1128)</f>
        <v/>
      </c>
      <c r="S1128" s="425">
        <f>IF(OR(R1128="",L1128="Passed"),"",IF(R1128&lt;=TODAY(),"DUE",IF(R1128&lt;=TODAY()+3,"Next 3 Days","Later")))</f>
        <v/>
      </c>
      <c r="T1128" s="425" t="inlineStr"/>
      <c r="U1128" s="426" t="inlineStr"/>
      <c r="V1128" s="426" t="inlineStr"/>
      <c r="W1128" s="428" t="inlineStr">
        <is>
          <t xml:space="preserve">Chief Executive Officer for Brindabella &amp; Company | Requested one pager and intro to John | </t>
        </is>
      </c>
      <c r="X1128" s="425" t="inlineStr">
        <is>
          <t>Investors_Private_Equity !17</t>
        </is>
      </c>
      <c r="Y1128" s="426" t="inlineStr">
        <is>
          <t>Research fit, find intro path, and draft first-touch email</t>
        </is>
      </c>
      <c r="Z1128" s="425" t="n">
        <v>1</v>
      </c>
      <c r="AA1128" s="425">
        <f>IF(AC1128="Archived",0,ROUND((IF(N1128="Tier 1",35,IF(N1128="Tier 2",20,8))+IF(C1128="Financial Investor",15,IF(C1128="Intermediary / Banker",12,8))+IF(L1128="Term Sheet / Proposal",25,IF(L1128="Engaged",20,IF(L1128="Meeting Requested",18,IF(L1128="Meeting Held",14,IF(L1128="Follow Up",10,5)))))+MIN(Q1128,30)+IF(S1128="DUE",15,IF(S1128="Next 3 Days",8,0))),0))</f>
        <v/>
      </c>
      <c r="AB1128" s="425">
        <f>IF(AND(AC1128="Active",OR(N1128="Tier 1",N1128="Tier 2"),OR(S1128="DUE",S1128="Next 3 Days")),"YES","")</f>
        <v/>
      </c>
      <c r="AC1128" s="425">
        <f>IF(L1128="Passed","Archived","Active")</f>
        <v/>
      </c>
    </row>
    <row r="1129">
      <c r="A1129" s="425" t="inlineStr">
        <is>
          <t>EXOS-1128</t>
        </is>
      </c>
      <c r="B1129" s="425" t="inlineStr">
        <is>
          <t>Derek Contacts</t>
        </is>
      </c>
      <c r="C1129" s="425" t="inlineStr">
        <is>
          <t>Financial Investor</t>
        </is>
      </c>
      <c r="D1129" s="425" t="inlineStr">
        <is>
          <t>K&amp;B Ventures</t>
        </is>
      </c>
      <c r="E1129" s="425" t="inlineStr">
        <is>
          <t>Kira Blackwell</t>
        </is>
      </c>
      <c r="F1129" s="425" t="inlineStr"/>
      <c r="G1129" s="111" t="inlineStr">
        <is>
          <t>kblackwell@protonmail.com</t>
        </is>
      </c>
      <c r="H1129" s="425" t="inlineStr"/>
      <c r="I1129" s="425" t="inlineStr"/>
      <c r="J1129" s="425" t="inlineStr"/>
      <c r="K1129" s="426" t="inlineStr">
        <is>
          <t>John Quinn</t>
        </is>
      </c>
      <c r="L1129" s="426" t="inlineStr">
        <is>
          <t>Research</t>
        </is>
      </c>
      <c r="M1129" s="425" t="inlineStr">
        <is>
          <t>Space / Defense / Aerospace / Advanced Manufacturing</t>
        </is>
      </c>
      <c r="N1129" s="426" t="inlineStr">
        <is>
          <t>Tier 2</t>
        </is>
      </c>
      <c r="O1129" s="425" t="n"/>
      <c r="P1129" s="425" t="n"/>
      <c r="Q1129" s="425">
        <f>IF(P1129="","",TODAY()-P1129)</f>
        <v/>
      </c>
      <c r="R1129" s="441">
        <f>IF(OR(L1129="Passed",Z1129=""),"",P1129+Z1129)</f>
        <v/>
      </c>
      <c r="S1129" s="425">
        <f>IF(OR(R1129="",L1129="Passed"),"",IF(R1129&lt;=TODAY(),"DUE",IF(R1129&lt;=TODAY()+3,"Next 3 Days","Later")))</f>
        <v/>
      </c>
      <c r="T1129" s="425" t="inlineStr"/>
      <c r="U1129" s="426" t="inlineStr"/>
      <c r="V1129" s="426" t="inlineStr"/>
      <c r="W1129" s="428" t="inlineStr"/>
      <c r="X1129" s="425" t="inlineStr">
        <is>
          <t>Derek Contacts!32</t>
        </is>
      </c>
      <c r="Y1129" s="426" t="inlineStr">
        <is>
          <t>Research fit, find intro path, and draft first-touch email</t>
        </is>
      </c>
      <c r="Z1129" s="425" t="n">
        <v>1</v>
      </c>
      <c r="AA1129" s="425">
        <f>IF(AC1129="Archived",0,ROUND((IF(N1129="Tier 1",35,IF(N1129="Tier 2",20,8))+IF(C1129="Financial Investor",15,IF(C1129="Intermediary / Banker",12,8))+IF(L1129="Term Sheet / Proposal",25,IF(L1129="Engaged",20,IF(L1129="Meeting Requested",18,IF(L1129="Meeting Held",14,IF(L1129="Follow Up",10,5)))))+MIN(Q1129,30)+IF(S1129="DUE",15,IF(S1129="Next 3 Days",8,0))),0))</f>
        <v/>
      </c>
      <c r="AB1129" s="425">
        <f>IF(AND(AC1129="Active",OR(N1129="Tier 1",N1129="Tier 2"),OR(S1129="DUE",S1129="Next 3 Days")),"YES","")</f>
        <v/>
      </c>
      <c r="AC1129" s="425">
        <f>IF(L1129="Passed","Archived","Active")</f>
        <v/>
      </c>
    </row>
    <row r="1130">
      <c r="A1130" s="425" t="inlineStr">
        <is>
          <t>EXOS-1129</t>
        </is>
      </c>
      <c r="B1130" s="425" t="inlineStr">
        <is>
          <t>Derek Contacts</t>
        </is>
      </c>
      <c r="C1130" s="425" t="inlineStr">
        <is>
          <t>Financial Investor</t>
        </is>
      </c>
      <c r="D1130" s="425" t="inlineStr">
        <is>
          <t>Lockheed Martin Ventures</t>
        </is>
      </c>
      <c r="E1130" s="425" t="inlineStr">
        <is>
          <t>Kaija Gisolfi-McCready</t>
        </is>
      </c>
      <c r="F1130" s="425" t="inlineStr">
        <is>
          <t>Investor</t>
        </is>
      </c>
      <c r="G1130" s="111" t="inlineStr">
        <is>
          <t>kaija.gisolfi-mccready@imco.com</t>
        </is>
      </c>
      <c r="H1130" s="425" t="inlineStr"/>
      <c r="I1130" s="425" t="inlineStr"/>
      <c r="J1130" s="425" t="inlineStr"/>
      <c r="K1130" s="426" t="inlineStr">
        <is>
          <t>John Quinn</t>
        </is>
      </c>
      <c r="L1130" s="426" t="inlineStr">
        <is>
          <t>Research</t>
        </is>
      </c>
      <c r="M1130" s="425" t="inlineStr">
        <is>
          <t>Space / Defense / Aerospace / Advanced Manufacturing</t>
        </is>
      </c>
      <c r="N1130" s="426" t="inlineStr">
        <is>
          <t>Tier 2</t>
        </is>
      </c>
      <c r="O1130" s="425" t="n"/>
      <c r="P1130" s="425" t="n"/>
      <c r="Q1130" s="425">
        <f>IF(P1130="","",TODAY()-P1130)</f>
        <v/>
      </c>
      <c r="R1130" s="441">
        <f>IF(OR(L1130="Passed",Z1130=""),"",P1130+Z1130)</f>
        <v/>
      </c>
      <c r="S1130" s="425">
        <f>IF(OR(R1130="",L1130="Passed"),"",IF(R1130&lt;=TODAY(),"DUE",IF(R1130&lt;=TODAY()+3,"Next 3 Days","Later")))</f>
        <v/>
      </c>
      <c r="T1130" s="425" t="inlineStr"/>
      <c r="U1130" s="426" t="inlineStr"/>
      <c r="V1130" s="426" t="inlineStr"/>
      <c r="W1130" s="428" t="inlineStr"/>
      <c r="X1130" s="425" t="inlineStr">
        <is>
          <t>Derek Contacts!33</t>
        </is>
      </c>
      <c r="Y1130" s="426" t="inlineStr">
        <is>
          <t>Research fit, find intro path, and draft first-touch email</t>
        </is>
      </c>
      <c r="Z1130" s="425" t="n">
        <v>1</v>
      </c>
      <c r="AA1130" s="425">
        <f>IF(AC1130="Archived",0,ROUND((IF(N1130="Tier 1",35,IF(N1130="Tier 2",20,8))+IF(C1130="Financial Investor",15,IF(C1130="Intermediary / Banker",12,8))+IF(L1130="Term Sheet / Proposal",25,IF(L1130="Engaged",20,IF(L1130="Meeting Requested",18,IF(L1130="Meeting Held",14,IF(L1130="Follow Up",10,5)))))+MIN(Q1130,30)+IF(S1130="DUE",15,IF(S1130="Next 3 Days",8,0))),0))</f>
        <v/>
      </c>
      <c r="AB1130" s="425">
        <f>IF(AND(AC1130="Active",OR(N1130="Tier 1",N1130="Tier 2"),OR(S1130="DUE",S1130="Next 3 Days")),"YES","")</f>
        <v/>
      </c>
      <c r="AC1130" s="425">
        <f>IF(L1130="Passed","Archived","Active")</f>
        <v/>
      </c>
    </row>
    <row r="1131">
      <c r="A1131" s="425" t="inlineStr">
        <is>
          <t>EXOS-1130</t>
        </is>
      </c>
      <c r="B1131" s="425" t="inlineStr">
        <is>
          <t>Derek Contacts | John - Investor Contacts</t>
        </is>
      </c>
      <c r="C1131" s="425" t="inlineStr">
        <is>
          <t>Financial Investor</t>
        </is>
      </c>
      <c r="D1131" s="425" t="inlineStr">
        <is>
          <t>M-Fly</t>
        </is>
      </c>
      <c r="E1131" s="425" t="inlineStr">
        <is>
          <t>Tetiana</t>
        </is>
      </c>
      <c r="F1131" s="425" t="inlineStr"/>
      <c r="G1131" s="111" t="inlineStr">
        <is>
          <t>t.karaicheva@m-fly.org</t>
        </is>
      </c>
      <c r="H1131" s="425" t="inlineStr"/>
      <c r="I1131" s="425" t="inlineStr"/>
      <c r="J1131" s="425" t="inlineStr"/>
      <c r="K1131" s="426" t="inlineStr">
        <is>
          <t>John Quinn</t>
        </is>
      </c>
      <c r="L1131" s="426" t="inlineStr">
        <is>
          <t>Research</t>
        </is>
      </c>
      <c r="M1131" s="425" t="inlineStr">
        <is>
          <t>Space / Defense / Aerospace / Advanced Manufacturing</t>
        </is>
      </c>
      <c r="N1131" s="426" t="inlineStr">
        <is>
          <t>Tier 2</t>
        </is>
      </c>
      <c r="O1131" s="425" t="n"/>
      <c r="P1131" s="425" t="n"/>
      <c r="Q1131" s="425">
        <f>IF(P1131="","",TODAY()-P1131)</f>
        <v/>
      </c>
      <c r="R1131" s="441">
        <f>IF(OR(L1131="Passed",Z1131=""),"",P1131+Z1131)</f>
        <v/>
      </c>
      <c r="S1131" s="425">
        <f>IF(OR(R1131="",L1131="Passed"),"",IF(R1131&lt;=TODAY(),"DUE",IF(R1131&lt;=TODAY()+3,"Next 3 Days","Later")))</f>
        <v/>
      </c>
      <c r="T1131" s="425" t="inlineStr"/>
      <c r="U1131" s="426" t="inlineStr">
        <is>
          <t>referred by Dereck</t>
        </is>
      </c>
      <c r="V1131" s="426" t="inlineStr"/>
      <c r="W1131" s="428" t="inlineStr"/>
      <c r="X1131" s="425" t="inlineStr">
        <is>
          <t>John - Investor Contacts!900 | Derek Contacts!35</t>
        </is>
      </c>
      <c r="Y1131" s="426" t="inlineStr">
        <is>
          <t>Research fit, find intro path, and draft first-touch email</t>
        </is>
      </c>
      <c r="Z1131" s="425" t="n">
        <v>1</v>
      </c>
      <c r="AA1131" s="425">
        <f>IF(AC1131="Archived",0,ROUND((IF(N1131="Tier 1",35,IF(N1131="Tier 2",20,8))+IF(C1131="Financial Investor",15,IF(C1131="Intermediary / Banker",12,8))+IF(L1131="Term Sheet / Proposal",25,IF(L1131="Engaged",20,IF(L1131="Meeting Requested",18,IF(L1131="Meeting Held",14,IF(L1131="Follow Up",10,5)))))+MIN(Q1131,30)+IF(S1131="DUE",15,IF(S1131="Next 3 Days",8,0))),0))</f>
        <v/>
      </c>
      <c r="AB1131" s="425">
        <f>IF(AND(AC1131="Active",OR(N1131="Tier 1",N1131="Tier 2"),OR(S1131="DUE",S1131="Next 3 Days")),"YES","")</f>
        <v/>
      </c>
      <c r="AC1131" s="425">
        <f>IF(L1131="Passed","Archived","Active")</f>
        <v/>
      </c>
    </row>
    <row r="1132">
      <c r="A1132" s="425" t="inlineStr">
        <is>
          <t>EXOS-1131</t>
        </is>
      </c>
      <c r="B1132" s="425" t="inlineStr">
        <is>
          <t>Derek Contacts</t>
        </is>
      </c>
      <c r="C1132" s="425" t="inlineStr">
        <is>
          <t>Financial Investor</t>
        </is>
      </c>
      <c r="D1132" s="425" t="inlineStr">
        <is>
          <t>NBA Investor</t>
        </is>
      </c>
      <c r="E1132" s="425" t="inlineStr">
        <is>
          <t>Luther Head Jr.</t>
        </is>
      </c>
      <c r="F1132" s="425" t="inlineStr">
        <is>
          <t>Investor</t>
        </is>
      </c>
      <c r="G1132" s="111" t="inlineStr">
        <is>
          <t>idhead2@aim.com</t>
        </is>
      </c>
      <c r="H1132" s="425" t="inlineStr"/>
      <c r="I1132" s="425" t="inlineStr"/>
      <c r="J1132" s="425" t="inlineStr"/>
      <c r="K1132" s="426" t="inlineStr">
        <is>
          <t>John Quinn</t>
        </is>
      </c>
      <c r="L1132" s="426" t="inlineStr">
        <is>
          <t>Research</t>
        </is>
      </c>
      <c r="M1132" s="425" t="inlineStr">
        <is>
          <t>Space / Defense / Aerospace / Advanced Manufacturing</t>
        </is>
      </c>
      <c r="N1132" s="426" t="inlineStr">
        <is>
          <t>Tier 2</t>
        </is>
      </c>
      <c r="O1132" s="425" t="n"/>
      <c r="P1132" s="425" t="n"/>
      <c r="Q1132" s="425">
        <f>IF(P1132="","",TODAY()-P1132)</f>
        <v/>
      </c>
      <c r="R1132" s="441">
        <f>IF(OR(L1132="Passed",Z1132=""),"",P1132+Z1132)</f>
        <v/>
      </c>
      <c r="S1132" s="425">
        <f>IF(OR(R1132="",L1132="Passed"),"",IF(R1132&lt;=TODAY(),"DUE",IF(R1132&lt;=TODAY()+3,"Next 3 Days","Later")))</f>
        <v/>
      </c>
      <c r="T1132" s="425" t="inlineStr"/>
      <c r="U1132" s="426" t="inlineStr"/>
      <c r="V1132" s="426" t="inlineStr"/>
      <c r="W1132" s="428" t="inlineStr"/>
      <c r="X1132" s="425" t="inlineStr">
        <is>
          <t>Derek Contacts!38</t>
        </is>
      </c>
      <c r="Y1132" s="426" t="inlineStr">
        <is>
          <t>Research fit, find intro path, and draft first-touch email</t>
        </is>
      </c>
      <c r="Z1132" s="425" t="n">
        <v>1</v>
      </c>
      <c r="AA1132" s="425">
        <f>IF(AC1132="Archived",0,ROUND((IF(N1132="Tier 1",35,IF(N1132="Tier 2",20,8))+IF(C1132="Financial Investor",15,IF(C1132="Intermediary / Banker",12,8))+IF(L1132="Term Sheet / Proposal",25,IF(L1132="Engaged",20,IF(L1132="Meeting Requested",18,IF(L1132="Meeting Held",14,IF(L1132="Follow Up",10,5)))))+MIN(Q1132,30)+IF(S1132="DUE",15,IF(S1132="Next 3 Days",8,0))),0))</f>
        <v/>
      </c>
      <c r="AB1132" s="425">
        <f>IF(AND(AC1132="Active",OR(N1132="Tier 1",N1132="Tier 2"),OR(S1132="DUE",S1132="Next 3 Days")),"YES","")</f>
        <v/>
      </c>
      <c r="AC1132" s="425">
        <f>IF(L1132="Passed","Archived","Active")</f>
        <v/>
      </c>
    </row>
    <row r="1133">
      <c r="A1133" s="425" t="inlineStr">
        <is>
          <t>EXOS-1132</t>
        </is>
      </c>
      <c r="B1133" s="425" t="inlineStr">
        <is>
          <t>Tank Contacts</t>
        </is>
      </c>
      <c r="C1133" s="425" t="inlineStr">
        <is>
          <t>Strategic / Corporate</t>
        </is>
      </c>
      <c r="D1133" s="425" t="inlineStr">
        <is>
          <t>Northrop Gruman</t>
        </is>
      </c>
      <c r="E1133" s="425" t="inlineStr">
        <is>
          <t>Lauren Smith</t>
        </is>
      </c>
      <c r="F1133" s="425" t="inlineStr"/>
      <c r="G1133" s="111" t="inlineStr">
        <is>
          <t>lauren.m.smith@ngc.com</t>
        </is>
      </c>
      <c r="H1133" s="425" t="inlineStr"/>
      <c r="I1133" s="425" t="inlineStr"/>
      <c r="J1133" s="425" t="inlineStr"/>
      <c r="K1133" s="426" t="inlineStr">
        <is>
          <t>John Quinn</t>
        </is>
      </c>
      <c r="L1133" s="426" t="inlineStr">
        <is>
          <t>Research</t>
        </is>
      </c>
      <c r="M1133" s="425" t="inlineStr">
        <is>
          <t>Strategic space / aerospace alignment</t>
        </is>
      </c>
      <c r="N1133" s="426" t="inlineStr">
        <is>
          <t>Tier 2</t>
        </is>
      </c>
      <c r="O1133" s="425" t="n"/>
      <c r="P1133" s="425" t="n"/>
      <c r="Q1133" s="425">
        <f>IF(P1133="","",TODAY()-P1133)</f>
        <v/>
      </c>
      <c r="R1133" s="441">
        <f>IF(OR(L1133="Passed",Z1133=""),"",P1133+Z1133)</f>
        <v/>
      </c>
      <c r="S1133" s="425">
        <f>IF(OR(R1133="",L1133="Passed"),"",IF(R1133&lt;=TODAY(),"DUE",IF(R1133&lt;=TODAY()+3,"Next 3 Days","Later")))</f>
        <v/>
      </c>
      <c r="T1133" s="425" t="inlineStr"/>
      <c r="U1133" s="426" t="inlineStr"/>
      <c r="V1133" s="426" t="inlineStr"/>
      <c r="W1133" s="428" t="inlineStr"/>
      <c r="X1133" s="425" t="inlineStr">
        <is>
          <t>Tank Contacts!51</t>
        </is>
      </c>
      <c r="Y1133" s="426" t="inlineStr">
        <is>
          <t>Research fit, find intro path, and draft first-touch email</t>
        </is>
      </c>
      <c r="Z1133" s="425" t="n">
        <v>1</v>
      </c>
      <c r="AA1133" s="425">
        <f>IF(AC1133="Archived",0,ROUND((IF(N1133="Tier 1",35,IF(N1133="Tier 2",20,8))+IF(C1133="Financial Investor",15,IF(C1133="Intermediary / Banker",12,8))+IF(L1133="Term Sheet / Proposal",25,IF(L1133="Engaged",20,IF(L1133="Meeting Requested",18,IF(L1133="Meeting Held",14,IF(L1133="Follow Up",10,5)))))+MIN(Q1133,30)+IF(S1133="DUE",15,IF(S1133="Next 3 Days",8,0))),0))</f>
        <v/>
      </c>
      <c r="AB1133" s="425">
        <f>IF(AND(AC1133="Active",OR(N1133="Tier 1",N1133="Tier 2"),OR(S1133="DUE",S1133="Next 3 Days")),"YES","")</f>
        <v/>
      </c>
      <c r="AC1133" s="425">
        <f>IF(L1133="Passed","Archived","Active")</f>
        <v/>
      </c>
    </row>
    <row r="1134">
      <c r="A1134" s="425" t="inlineStr">
        <is>
          <t>EXOS-1133</t>
        </is>
      </c>
      <c r="B1134" s="425" t="inlineStr">
        <is>
          <t>Derek Contacts</t>
        </is>
      </c>
      <c r="C1134" s="425" t="inlineStr">
        <is>
          <t>Financial Investor</t>
        </is>
      </c>
      <c r="D1134" s="425" t="inlineStr">
        <is>
          <t>Oden Capital</t>
        </is>
      </c>
      <c r="E1134" s="425" t="inlineStr">
        <is>
          <t>Eric Gomberg</t>
        </is>
      </c>
      <c r="F1134" s="425" t="inlineStr">
        <is>
          <t>Investor</t>
        </is>
      </c>
      <c r="G1134" s="111" t="inlineStr">
        <is>
          <t>egomberg@odencap.com</t>
        </is>
      </c>
      <c r="H1134" s="425" t="inlineStr"/>
      <c r="I1134" s="425" t="inlineStr"/>
      <c r="J1134" s="425" t="inlineStr"/>
      <c r="K1134" s="426" t="inlineStr">
        <is>
          <t>John Quinn</t>
        </is>
      </c>
      <c r="L1134" s="426" t="inlineStr">
        <is>
          <t>Research</t>
        </is>
      </c>
      <c r="M1134" s="425" t="inlineStr">
        <is>
          <t>Space / Defense / Aerospace / Advanced Manufacturing</t>
        </is>
      </c>
      <c r="N1134" s="426" t="inlineStr">
        <is>
          <t>Tier 2</t>
        </is>
      </c>
      <c r="O1134" s="425" t="n"/>
      <c r="P1134" s="425" t="n"/>
      <c r="Q1134" s="425">
        <f>IF(P1134="","",TODAY()-P1134)</f>
        <v/>
      </c>
      <c r="R1134" s="441">
        <f>IF(OR(L1134="Passed",Z1134=""),"",P1134+Z1134)</f>
        <v/>
      </c>
      <c r="S1134" s="425">
        <f>IF(OR(R1134="",L1134="Passed"),"",IF(R1134&lt;=TODAY(),"DUE",IF(R1134&lt;=TODAY()+3,"Next 3 Days","Later")))</f>
        <v/>
      </c>
      <c r="T1134" s="425" t="inlineStr"/>
      <c r="U1134" s="426" t="inlineStr"/>
      <c r="V1134" s="426" t="inlineStr"/>
      <c r="W1134" s="428" t="inlineStr"/>
      <c r="X1134" s="425" t="inlineStr">
        <is>
          <t>Derek Contacts!40</t>
        </is>
      </c>
      <c r="Y1134" s="426" t="inlineStr">
        <is>
          <t>Research fit, find intro path, and draft first-touch email</t>
        </is>
      </c>
      <c r="Z1134" s="425" t="n">
        <v>1</v>
      </c>
      <c r="AA1134" s="425">
        <f>IF(AC1134="Archived",0,ROUND((IF(N1134="Tier 1",35,IF(N1134="Tier 2",20,8))+IF(C1134="Financial Investor",15,IF(C1134="Intermediary / Banker",12,8))+IF(L1134="Term Sheet / Proposal",25,IF(L1134="Engaged",20,IF(L1134="Meeting Requested",18,IF(L1134="Meeting Held",14,IF(L1134="Follow Up",10,5)))))+MIN(Q1134,30)+IF(S1134="DUE",15,IF(S1134="Next 3 Days",8,0))),0))</f>
        <v/>
      </c>
      <c r="AB1134" s="425">
        <f>IF(AND(AC1134="Active",OR(N1134="Tier 1",N1134="Tier 2"),OR(S1134="DUE",S1134="Next 3 Days")),"YES","")</f>
        <v/>
      </c>
      <c r="AC1134" s="425">
        <f>IF(L1134="Passed","Archived","Active")</f>
        <v/>
      </c>
    </row>
    <row r="1135">
      <c r="A1135" s="425" t="inlineStr">
        <is>
          <t>EXOS-1134</t>
        </is>
      </c>
      <c r="B1135" s="425" t="inlineStr">
        <is>
          <t>Derek Contacts</t>
        </is>
      </c>
      <c r="C1135" s="425" t="inlineStr">
        <is>
          <t>Financial Investor</t>
        </is>
      </c>
      <c r="D1135" s="425" t="inlineStr">
        <is>
          <t>One Source Partners</t>
        </is>
      </c>
      <c r="E1135" s="425" t="inlineStr">
        <is>
          <t>Robert Samuels</t>
        </is>
      </c>
      <c r="F1135" s="425" t="inlineStr">
        <is>
          <t>Venture</t>
        </is>
      </c>
      <c r="G1135" s="111" t="inlineStr">
        <is>
          <t>rs@robertsamuels.com</t>
        </is>
      </c>
      <c r="H1135" s="425" t="inlineStr"/>
      <c r="I1135" s="425" t="inlineStr"/>
      <c r="J1135" s="425" t="inlineStr"/>
      <c r="K1135" s="426" t="inlineStr">
        <is>
          <t>John Quinn</t>
        </is>
      </c>
      <c r="L1135" s="426" t="inlineStr">
        <is>
          <t>Research</t>
        </is>
      </c>
      <c r="M1135" s="425" t="inlineStr">
        <is>
          <t>Space / Defense / Aerospace / Advanced Manufacturing</t>
        </is>
      </c>
      <c r="N1135" s="426" t="inlineStr">
        <is>
          <t>Tier 2</t>
        </is>
      </c>
      <c r="O1135" s="425" t="n"/>
      <c r="P1135" s="425" t="n"/>
      <c r="Q1135" s="425">
        <f>IF(P1135="","",TODAY()-P1135)</f>
        <v/>
      </c>
      <c r="R1135" s="441">
        <f>IF(OR(L1135="Passed",Z1135=""),"",P1135+Z1135)</f>
        <v/>
      </c>
      <c r="S1135" s="425">
        <f>IF(OR(R1135="",L1135="Passed"),"",IF(R1135&lt;=TODAY(),"DUE",IF(R1135&lt;=TODAY()+3,"Next 3 Days","Later")))</f>
        <v/>
      </c>
      <c r="T1135" s="425" t="inlineStr"/>
      <c r="U1135" s="426" t="inlineStr"/>
      <c r="V1135" s="426" t="inlineStr"/>
      <c r="W1135" s="428" t="inlineStr"/>
      <c r="X1135" s="425" t="inlineStr">
        <is>
          <t>Derek Contacts!41</t>
        </is>
      </c>
      <c r="Y1135" s="426" t="inlineStr">
        <is>
          <t>Research fit, find intro path, and draft first-touch email</t>
        </is>
      </c>
      <c r="Z1135" s="425" t="n">
        <v>1</v>
      </c>
      <c r="AA1135" s="425">
        <f>IF(AC1135="Archived",0,ROUND((IF(N1135="Tier 1",35,IF(N1135="Tier 2",20,8))+IF(C1135="Financial Investor",15,IF(C1135="Intermediary / Banker",12,8))+IF(L1135="Term Sheet / Proposal",25,IF(L1135="Engaged",20,IF(L1135="Meeting Requested",18,IF(L1135="Meeting Held",14,IF(L1135="Follow Up",10,5)))))+MIN(Q1135,30)+IF(S1135="DUE",15,IF(S1135="Next 3 Days",8,0))),0))</f>
        <v/>
      </c>
      <c r="AB1135" s="425">
        <f>IF(AND(AC1135="Active",OR(N1135="Tier 1",N1135="Tier 2"),OR(S1135="DUE",S1135="Next 3 Days")),"YES","")</f>
        <v/>
      </c>
      <c r="AC1135" s="425">
        <f>IF(L1135="Passed","Archived","Active")</f>
        <v/>
      </c>
    </row>
    <row r="1136">
      <c r="A1136" s="425" t="inlineStr">
        <is>
          <t>EXOS-1135</t>
        </is>
      </c>
      <c r="B1136" s="425" t="inlineStr">
        <is>
          <t>Derek Contacts</t>
        </is>
      </c>
      <c r="C1136" s="425" t="inlineStr">
        <is>
          <t>Financial Investor</t>
        </is>
      </c>
      <c r="D1136" s="425" t="inlineStr">
        <is>
          <t>Paul Hastings</t>
        </is>
      </c>
      <c r="E1136" s="425" t="inlineStr">
        <is>
          <t>Michael Pestana</t>
        </is>
      </c>
      <c r="F1136" s="425" t="inlineStr">
        <is>
          <t>Investor</t>
        </is>
      </c>
      <c r="G1136" s="111" t="inlineStr">
        <is>
          <t>mikepestana@paulhastings.com</t>
        </is>
      </c>
      <c r="H1136" s="425" t="inlineStr"/>
      <c r="I1136" s="425" t="inlineStr"/>
      <c r="J1136" s="425" t="inlineStr"/>
      <c r="K1136" s="426" t="inlineStr">
        <is>
          <t>John Quinn</t>
        </is>
      </c>
      <c r="L1136" s="426" t="inlineStr">
        <is>
          <t>Research</t>
        </is>
      </c>
      <c r="M1136" s="425" t="inlineStr">
        <is>
          <t>Space / Defense / Aerospace / Advanced Manufacturing</t>
        </is>
      </c>
      <c r="N1136" s="426" t="inlineStr">
        <is>
          <t>Tier 2</t>
        </is>
      </c>
      <c r="O1136" s="425" t="n"/>
      <c r="P1136" s="425" t="n"/>
      <c r="Q1136" s="425">
        <f>IF(P1136="","",TODAY()-P1136)</f>
        <v/>
      </c>
      <c r="R1136" s="441">
        <f>IF(OR(L1136="Passed",Z1136=""),"",P1136+Z1136)</f>
        <v/>
      </c>
      <c r="S1136" s="425">
        <f>IF(OR(R1136="",L1136="Passed"),"",IF(R1136&lt;=TODAY(),"DUE",IF(R1136&lt;=TODAY()+3,"Next 3 Days","Later")))</f>
        <v/>
      </c>
      <c r="T1136" s="425" t="inlineStr"/>
      <c r="U1136" s="426" t="inlineStr"/>
      <c r="V1136" s="426" t="inlineStr"/>
      <c r="W1136" s="428" t="inlineStr">
        <is>
          <t>info sent / no meeting booked</t>
        </is>
      </c>
      <c r="X1136" s="425" t="inlineStr">
        <is>
          <t>Derek Contacts!42</t>
        </is>
      </c>
      <c r="Y1136" s="426" t="inlineStr">
        <is>
          <t>Research fit, find intro path, and draft first-touch email</t>
        </is>
      </c>
      <c r="Z1136" s="425" t="n">
        <v>1</v>
      </c>
      <c r="AA1136" s="425">
        <f>IF(AC1136="Archived",0,ROUND((IF(N1136="Tier 1",35,IF(N1136="Tier 2",20,8))+IF(C1136="Financial Investor",15,IF(C1136="Intermediary / Banker",12,8))+IF(L1136="Term Sheet / Proposal",25,IF(L1136="Engaged",20,IF(L1136="Meeting Requested",18,IF(L1136="Meeting Held",14,IF(L1136="Follow Up",10,5)))))+MIN(Q1136,30)+IF(S1136="DUE",15,IF(S1136="Next 3 Days",8,0))),0))</f>
        <v/>
      </c>
      <c r="AB1136" s="425">
        <f>IF(AND(AC1136="Active",OR(N1136="Tier 1",N1136="Tier 2"),OR(S1136="DUE",S1136="Next 3 Days")),"YES","")</f>
        <v/>
      </c>
      <c r="AC1136" s="425">
        <f>IF(L1136="Passed","Archived","Active")</f>
        <v/>
      </c>
    </row>
    <row r="1137">
      <c r="A1137" s="425" t="inlineStr">
        <is>
          <t>EXOS-1136</t>
        </is>
      </c>
      <c r="B1137" s="425" t="inlineStr">
        <is>
          <t>Derek Contacts</t>
        </is>
      </c>
      <c r="C1137" s="425" t="inlineStr">
        <is>
          <t>Strategic / Corporate</t>
        </is>
      </c>
      <c r="D1137" s="425" t="inlineStr">
        <is>
          <t>Ranger Aerospace</t>
        </is>
      </c>
      <c r="E1137" s="425" t="inlineStr">
        <is>
          <t>Steve Townes</t>
        </is>
      </c>
      <c r="F1137" s="425" t="inlineStr">
        <is>
          <t>CEO</t>
        </is>
      </c>
      <c r="G1137" s="111" t="inlineStr">
        <is>
          <t>stownes@rangeraerospace.com</t>
        </is>
      </c>
      <c r="H1137" s="425" t="inlineStr"/>
      <c r="I1137" s="425" t="inlineStr"/>
      <c r="J1137" s="425" t="inlineStr"/>
      <c r="K1137" s="426" t="inlineStr">
        <is>
          <t>John Quinn</t>
        </is>
      </c>
      <c r="L1137" s="426" t="inlineStr">
        <is>
          <t>Research</t>
        </is>
      </c>
      <c r="M1137" s="425" t="inlineStr">
        <is>
          <t>Strategic space / aerospace alignment</t>
        </is>
      </c>
      <c r="N1137" s="426" t="inlineStr">
        <is>
          <t>Tier 2</t>
        </is>
      </c>
      <c r="O1137" s="425" t="n"/>
      <c r="P1137" s="425" t="n"/>
      <c r="Q1137" s="425">
        <f>IF(P1137="","",TODAY()-P1137)</f>
        <v/>
      </c>
      <c r="R1137" s="441">
        <f>IF(OR(L1137="Passed",Z1137=""),"",P1137+Z1137)</f>
        <v/>
      </c>
      <c r="S1137" s="425">
        <f>IF(OR(R1137="",L1137="Passed"),"",IF(R1137&lt;=TODAY(),"DUE",IF(R1137&lt;=TODAY()+3,"Next 3 Days","Later")))</f>
        <v/>
      </c>
      <c r="T1137" s="425" t="inlineStr"/>
      <c r="U1137" s="426" t="inlineStr"/>
      <c r="V1137" s="426" t="inlineStr"/>
      <c r="W1137" s="428" t="inlineStr"/>
      <c r="X1137" s="425" t="inlineStr">
        <is>
          <t>Derek Contacts!46</t>
        </is>
      </c>
      <c r="Y1137" s="426" t="inlineStr">
        <is>
          <t>Research fit, find intro path, and draft first-touch email</t>
        </is>
      </c>
      <c r="Z1137" s="425" t="n">
        <v>1</v>
      </c>
      <c r="AA1137" s="425">
        <f>IF(AC1137="Archived",0,ROUND((IF(N1137="Tier 1",35,IF(N1137="Tier 2",20,8))+IF(C1137="Financial Investor",15,IF(C1137="Intermediary / Banker",12,8))+IF(L1137="Term Sheet / Proposal",25,IF(L1137="Engaged",20,IF(L1137="Meeting Requested",18,IF(L1137="Meeting Held",14,IF(L1137="Follow Up",10,5)))))+MIN(Q1137,30)+IF(S1137="DUE",15,IF(S1137="Next 3 Days",8,0))),0))</f>
        <v/>
      </c>
      <c r="AB1137" s="425">
        <f>IF(AND(AC1137="Active",OR(N1137="Tier 1",N1137="Tier 2"),OR(S1137="DUE",S1137="Next 3 Days")),"YES","")</f>
        <v/>
      </c>
      <c r="AC1137" s="425">
        <f>IF(L1137="Passed","Archived","Active")</f>
        <v/>
      </c>
    </row>
    <row r="1138">
      <c r="A1138" s="425" t="inlineStr">
        <is>
          <t>EXOS-1137</t>
        </is>
      </c>
      <c r="B1138" s="425" t="inlineStr">
        <is>
          <t>John - Investor Contacts</t>
        </is>
      </c>
      <c r="C1138" s="425" t="inlineStr">
        <is>
          <t>Financial Investor</t>
        </is>
      </c>
      <c r="D1138" s="425" t="inlineStr">
        <is>
          <t>Retired NBA Player - Private Investment</t>
        </is>
      </c>
      <c r="E1138" s="425" t="inlineStr">
        <is>
          <t>Luther Head</t>
        </is>
      </c>
      <c r="F1138" s="425" t="inlineStr"/>
      <c r="G1138" s="111" t="inlineStr">
        <is>
          <t>ldhead2@aim.com</t>
        </is>
      </c>
      <c r="H1138" s="425" t="inlineStr"/>
      <c r="I1138" s="425" t="inlineStr"/>
      <c r="J1138" s="425" t="inlineStr"/>
      <c r="K1138" s="426" t="inlineStr">
        <is>
          <t>John Quinn</t>
        </is>
      </c>
      <c r="L1138" s="426" t="inlineStr">
        <is>
          <t>Research</t>
        </is>
      </c>
      <c r="M1138" s="425" t="inlineStr">
        <is>
          <t>Space / Defense / Aerospace / Advanced Manufacturing</t>
        </is>
      </c>
      <c r="N1138" s="426" t="inlineStr">
        <is>
          <t>Tier 2</t>
        </is>
      </c>
      <c r="O1138" s="425" t="n"/>
      <c r="P1138" s="425" t="n"/>
      <c r="Q1138" s="425">
        <f>IF(P1138="","",TODAY()-P1138)</f>
        <v/>
      </c>
      <c r="R1138" s="441">
        <f>IF(OR(L1138="Passed",Z1138=""),"",P1138+Z1138)</f>
        <v/>
      </c>
      <c r="S1138" s="425">
        <f>IF(OR(R1138="",L1138="Passed"),"",IF(R1138&lt;=TODAY(),"DUE",IF(R1138&lt;=TODAY()+3,"Next 3 Days","Later")))</f>
        <v/>
      </c>
      <c r="T1138" s="425" t="inlineStr"/>
      <c r="U1138" s="426" t="inlineStr">
        <is>
          <t>referred by Dereck</t>
        </is>
      </c>
      <c r="V1138" s="426" t="inlineStr"/>
      <c r="W1138" s="428" t="inlineStr">
        <is>
          <t xml:space="preserve"> |  | </t>
        </is>
      </c>
      <c r="X1138" s="425" t="inlineStr">
        <is>
          <t>John - Investor Contacts!901</t>
        </is>
      </c>
      <c r="Y1138" s="426" t="inlineStr">
        <is>
          <t>Research fit, find intro path, and draft first-touch email</t>
        </is>
      </c>
      <c r="Z1138" s="425" t="n">
        <v>1</v>
      </c>
      <c r="AA1138" s="425">
        <f>IF(AC1138="Archived",0,ROUND((IF(N1138="Tier 1",35,IF(N1138="Tier 2",20,8))+IF(C1138="Financial Investor",15,IF(C1138="Intermediary / Banker",12,8))+IF(L1138="Term Sheet / Proposal",25,IF(L1138="Engaged",20,IF(L1138="Meeting Requested",18,IF(L1138="Meeting Held",14,IF(L1138="Follow Up",10,5)))))+MIN(Q1138,30)+IF(S1138="DUE",15,IF(S1138="Next 3 Days",8,0))),0))</f>
        <v/>
      </c>
      <c r="AB1138" s="425">
        <f>IF(AND(AC1138="Active",OR(N1138="Tier 1",N1138="Tier 2"),OR(S1138="DUE",S1138="Next 3 Days")),"YES","")</f>
        <v/>
      </c>
      <c r="AC1138" s="425">
        <f>IF(L1138="Passed","Archived","Active")</f>
        <v/>
      </c>
    </row>
    <row r="1139">
      <c r="A1139" s="425" t="inlineStr">
        <is>
          <t>EXOS-1138</t>
        </is>
      </c>
      <c r="B1139" s="425" t="inlineStr">
        <is>
          <t>John - Investor Contacts</t>
        </is>
      </c>
      <c r="C1139" s="425" t="inlineStr">
        <is>
          <t>Financial Investor</t>
        </is>
      </c>
      <c r="D1139" s="425" t="inlineStr">
        <is>
          <t>Snowpoint VC</t>
        </is>
      </c>
      <c r="E1139" s="425" t="inlineStr">
        <is>
          <t>Ben Buchheim-Jurisson</t>
        </is>
      </c>
      <c r="F1139" s="425" t="inlineStr"/>
      <c r="G1139" s="111" t="inlineStr">
        <is>
          <t>ben@snowpoint.vc</t>
        </is>
      </c>
      <c r="H1139" s="425" t="inlineStr"/>
      <c r="I1139" s="425" t="inlineStr"/>
      <c r="J1139" s="111" t="inlineStr">
        <is>
          <t>https://www.linkedin.com/in/benbj/</t>
        </is>
      </c>
      <c r="K1139" s="426" t="inlineStr">
        <is>
          <t>John Quinn</t>
        </is>
      </c>
      <c r="L1139" s="426" t="inlineStr">
        <is>
          <t>Research</t>
        </is>
      </c>
      <c r="M1139" s="425" t="inlineStr">
        <is>
          <t>Space / Defense / Aerospace / Advanced Manufacturing</t>
        </is>
      </c>
      <c r="N1139" s="426" t="inlineStr">
        <is>
          <t>Tier 2</t>
        </is>
      </c>
      <c r="O1139" s="425" t="n"/>
      <c r="P1139" s="425" t="n"/>
      <c r="Q1139" s="425">
        <f>IF(P1139="","",TODAY()-P1139)</f>
        <v/>
      </c>
      <c r="R1139" s="441">
        <f>IF(OR(L1139="Passed",Z1139=""),"",P1139+Z1139)</f>
        <v/>
      </c>
      <c r="S1139" s="425">
        <f>IF(OR(R1139="",L1139="Passed"),"",IF(R1139&lt;=TODAY(),"DUE",IF(R1139&lt;=TODAY()+3,"Next 3 Days","Later")))</f>
        <v/>
      </c>
      <c r="T1139" s="425" t="inlineStr"/>
      <c r="U1139" s="426" t="inlineStr">
        <is>
          <t>https://www.linkedin.com/in/benbj/</t>
        </is>
      </c>
      <c r="V1139" s="426" t="inlineStr"/>
      <c r="W1139" s="428" t="inlineStr">
        <is>
          <t xml:space="preserve"> |  | </t>
        </is>
      </c>
      <c r="X1139" s="425" t="inlineStr">
        <is>
          <t>John - Investor Contacts!902</t>
        </is>
      </c>
      <c r="Y1139" s="426" t="inlineStr">
        <is>
          <t>Research fit, find intro path, and draft first-touch email</t>
        </is>
      </c>
      <c r="Z1139" s="425" t="n">
        <v>1</v>
      </c>
      <c r="AA1139" s="425">
        <f>IF(AC1139="Archived",0,ROUND((IF(N1139="Tier 1",35,IF(N1139="Tier 2",20,8))+IF(C1139="Financial Investor",15,IF(C1139="Intermediary / Banker",12,8))+IF(L1139="Term Sheet / Proposal",25,IF(L1139="Engaged",20,IF(L1139="Meeting Requested",18,IF(L1139="Meeting Held",14,IF(L1139="Follow Up",10,5)))))+MIN(Q1139,30)+IF(S1139="DUE",15,IF(S1139="Next 3 Days",8,0))),0))</f>
        <v/>
      </c>
      <c r="AB1139" s="425">
        <f>IF(AND(AC1139="Active",OR(N1139="Tier 1",N1139="Tier 2"),OR(S1139="DUE",S1139="Next 3 Days")),"YES","")</f>
        <v/>
      </c>
      <c r="AC1139" s="425">
        <f>IF(L1139="Passed","Archived","Active")</f>
        <v/>
      </c>
    </row>
    <row r="1140">
      <c r="A1140" s="425" t="inlineStr">
        <is>
          <t>EXOS-1139</t>
        </is>
      </c>
      <c r="B1140" s="425" t="inlineStr">
        <is>
          <t>Tank Contacts</t>
        </is>
      </c>
      <c r="C1140" s="425" t="inlineStr">
        <is>
          <t>Strategic / Corporate</t>
        </is>
      </c>
      <c r="D1140" s="425" t="inlineStr">
        <is>
          <t>Space Force</t>
        </is>
      </c>
      <c r="E1140" s="425" t="inlineStr">
        <is>
          <t>Colonel Stephens</t>
        </is>
      </c>
      <c r="F1140" s="425" t="inlineStr"/>
      <c r="G1140" s="111" t="inlineStr">
        <is>
          <t>julianna.sutherland.ctr@spaceforce.mil</t>
        </is>
      </c>
      <c r="H1140" s="425" t="inlineStr">
        <is>
          <t>spacerco.innovations@spaceforce.mil; owen.stephens@spaceforce.mil</t>
        </is>
      </c>
      <c r="I1140" s="425" t="inlineStr"/>
      <c r="J1140" s="425" t="inlineStr"/>
      <c r="K1140" s="426" t="inlineStr">
        <is>
          <t>John Quinn</t>
        </is>
      </c>
      <c r="L1140" s="426" t="inlineStr">
        <is>
          <t>Research</t>
        </is>
      </c>
      <c r="M1140" s="425" t="inlineStr">
        <is>
          <t>Strategic space / aerospace alignment</t>
        </is>
      </c>
      <c r="N1140" s="426" t="inlineStr">
        <is>
          <t>Tier 2</t>
        </is>
      </c>
      <c r="O1140" s="425" t="n"/>
      <c r="P1140" s="425" t="n"/>
      <c r="Q1140" s="425">
        <f>IF(P1140="","",TODAY()-P1140)</f>
        <v/>
      </c>
      <c r="R1140" s="441">
        <f>IF(OR(L1140="Passed",Z1140=""),"",P1140+Z1140)</f>
        <v/>
      </c>
      <c r="S1140" s="425">
        <f>IF(OR(R1140="",L1140="Passed"),"",IF(R1140&lt;=TODAY(),"DUE",IF(R1140&lt;=TODAY()+3,"Next 3 Days","Later")))</f>
        <v/>
      </c>
      <c r="T1140" s="425" t="inlineStr"/>
      <c r="U1140" s="426" t="inlineStr"/>
      <c r="V1140" s="426" t="inlineStr"/>
      <c r="W1140" s="428" t="inlineStr"/>
      <c r="X1140" s="425" t="inlineStr">
        <is>
          <t>Tank Contacts!52</t>
        </is>
      </c>
      <c r="Y1140" s="426" t="inlineStr">
        <is>
          <t>Research fit, find intro path, and draft first-touch email</t>
        </is>
      </c>
      <c r="Z1140" s="425" t="n">
        <v>1</v>
      </c>
      <c r="AA1140" s="425">
        <f>IF(AC1140="Archived",0,ROUND((IF(N1140="Tier 1",35,IF(N1140="Tier 2",20,8))+IF(C1140="Financial Investor",15,IF(C1140="Intermediary / Banker",12,8))+IF(L1140="Term Sheet / Proposal",25,IF(L1140="Engaged",20,IF(L1140="Meeting Requested",18,IF(L1140="Meeting Held",14,IF(L1140="Follow Up",10,5)))))+MIN(Q1140,30)+IF(S1140="DUE",15,IF(S1140="Next 3 Days",8,0))),0))</f>
        <v/>
      </c>
      <c r="AB1140" s="425">
        <f>IF(AND(AC1140="Active",OR(N1140="Tier 1",N1140="Tier 2"),OR(S1140="DUE",S1140="Next 3 Days")),"YES","")</f>
        <v/>
      </c>
      <c r="AC1140" s="425">
        <f>IF(L1140="Passed","Archived","Active")</f>
        <v/>
      </c>
    </row>
    <row r="1141">
      <c r="A1141" s="425" t="inlineStr">
        <is>
          <t>EXOS-1140</t>
        </is>
      </c>
      <c r="B1141" s="425" t="inlineStr">
        <is>
          <t>JQ Follow Up</t>
        </is>
      </c>
      <c r="C1141" s="425" t="inlineStr">
        <is>
          <t>Financial Investor</t>
        </is>
      </c>
      <c r="D1141" s="425" t="inlineStr">
        <is>
          <t>Starfighters / Investfortuna Connection</t>
        </is>
      </c>
      <c r="E1141" s="425" t="inlineStr">
        <is>
          <t>Ron Bloom</t>
        </is>
      </c>
      <c r="F1141" s="425" t="inlineStr"/>
      <c r="G1141" s="111" t="inlineStr">
        <is>
          <t>ron@ronbloom.com</t>
        </is>
      </c>
      <c r="H1141" s="425" t="inlineStr"/>
      <c r="I1141" s="425" t="inlineStr"/>
      <c r="J1141" s="425" t="inlineStr"/>
      <c r="K1141" s="426" t="inlineStr">
        <is>
          <t>John Quinn</t>
        </is>
      </c>
      <c r="L1141" s="426" t="inlineStr">
        <is>
          <t>Research</t>
        </is>
      </c>
      <c r="M1141" s="425" t="inlineStr">
        <is>
          <t>Space / Defense / Aerospace / Advanced Manufacturing</t>
        </is>
      </c>
      <c r="N1141" s="426" t="inlineStr">
        <is>
          <t>Tier 2</t>
        </is>
      </c>
      <c r="O1141" s="425" t="n"/>
      <c r="P1141" s="425" t="n"/>
      <c r="Q1141" s="425">
        <f>IF(P1141="","",TODAY()-P1141)</f>
        <v/>
      </c>
      <c r="R1141" s="441">
        <f>IF(OR(L1141="Passed",Z1141=""),"",P1141+Z1141)</f>
        <v/>
      </c>
      <c r="S1141" s="425">
        <f>IF(OR(R1141="",L1141="Passed"),"",IF(R1141&lt;=TODAY(),"DUE",IF(R1141&lt;=TODAY()+3,"Next 3 Days","Later")))</f>
        <v/>
      </c>
      <c r="T1141" s="425" t="inlineStr"/>
      <c r="U1141" s="426" t="inlineStr"/>
      <c r="V1141" s="426" t="inlineStr"/>
      <c r="W1141" s="428" t="inlineStr">
        <is>
          <t>Adisor to Fortuna | Connection to Investfortuna and Starfighters not investor</t>
        </is>
      </c>
      <c r="X1141" s="425" t="inlineStr">
        <is>
          <t>JQ Follow Up!21</t>
        </is>
      </c>
      <c r="Y1141" s="426" t="inlineStr">
        <is>
          <t>Research fit, find intro path, and draft first-touch email</t>
        </is>
      </c>
      <c r="Z1141" s="425" t="n">
        <v>1</v>
      </c>
      <c r="AA1141" s="425">
        <f>IF(AC1141="Archived",0,ROUND((IF(N1141="Tier 1",35,IF(N1141="Tier 2",20,8))+IF(C1141="Financial Investor",15,IF(C1141="Intermediary / Banker",12,8))+IF(L1141="Term Sheet / Proposal",25,IF(L1141="Engaged",20,IF(L1141="Meeting Requested",18,IF(L1141="Meeting Held",14,IF(L1141="Follow Up",10,5)))))+MIN(Q1141,30)+IF(S1141="DUE",15,IF(S1141="Next 3 Days",8,0))),0))</f>
        <v/>
      </c>
      <c r="AB1141" s="425">
        <f>IF(AND(AC1141="Active",OR(N1141="Tier 1",N1141="Tier 2"),OR(S1141="DUE",S1141="Next 3 Days")),"YES","")</f>
        <v/>
      </c>
      <c r="AC1141" s="425">
        <f>IF(L1141="Passed","Archived","Active")</f>
        <v/>
      </c>
    </row>
    <row r="1142">
      <c r="A1142" s="425" t="inlineStr">
        <is>
          <t>EXOS-1141</t>
        </is>
      </c>
      <c r="B1142" s="425" t="inlineStr">
        <is>
          <t>Derek Contacts</t>
        </is>
      </c>
      <c r="C1142" s="425" t="inlineStr">
        <is>
          <t>Financial Investor</t>
        </is>
      </c>
      <c r="D1142" s="425" t="inlineStr">
        <is>
          <t>The Booster</t>
        </is>
      </c>
      <c r="E1142" s="425" t="inlineStr">
        <is>
          <t>Hakan Kurt</t>
        </is>
      </c>
      <c r="F1142" s="425" t="inlineStr">
        <is>
          <t>Investor</t>
        </is>
      </c>
      <c r="G1142" s="111" t="inlineStr">
        <is>
          <t>hakan.kurt@thebooster.com</t>
        </is>
      </c>
      <c r="H1142" s="425" t="inlineStr"/>
      <c r="I1142" s="425" t="inlineStr"/>
      <c r="J1142" s="425" t="inlineStr"/>
      <c r="K1142" s="426" t="inlineStr">
        <is>
          <t>John Quinn</t>
        </is>
      </c>
      <c r="L1142" s="426" t="inlineStr">
        <is>
          <t>Research</t>
        </is>
      </c>
      <c r="M1142" s="425" t="inlineStr">
        <is>
          <t>Space / Defense / Aerospace / Advanced Manufacturing</t>
        </is>
      </c>
      <c r="N1142" s="426" t="inlineStr">
        <is>
          <t>Tier 2</t>
        </is>
      </c>
      <c r="O1142" s="425" t="n"/>
      <c r="P1142" s="425" t="n"/>
      <c r="Q1142" s="425">
        <f>IF(P1142="","",TODAY()-P1142)</f>
        <v/>
      </c>
      <c r="R1142" s="441">
        <f>IF(OR(L1142="Passed",Z1142=""),"",P1142+Z1142)</f>
        <v/>
      </c>
      <c r="S1142" s="425">
        <f>IF(OR(R1142="",L1142="Passed"),"",IF(R1142&lt;=TODAY(),"DUE",IF(R1142&lt;=TODAY()+3,"Next 3 Days","Later")))</f>
        <v/>
      </c>
      <c r="T1142" s="425" t="inlineStr"/>
      <c r="U1142" s="426" t="inlineStr"/>
      <c r="V1142" s="426" t="inlineStr"/>
      <c r="W1142" s="428" t="inlineStr"/>
      <c r="X1142" s="425" t="inlineStr">
        <is>
          <t>Derek Contacts!52</t>
        </is>
      </c>
      <c r="Y1142" s="426" t="inlineStr">
        <is>
          <t>Research fit, find intro path, and draft first-touch email</t>
        </is>
      </c>
      <c r="Z1142" s="425" t="n">
        <v>1</v>
      </c>
      <c r="AA1142" s="425">
        <f>IF(AC1142="Archived",0,ROUND((IF(N1142="Tier 1",35,IF(N1142="Tier 2",20,8))+IF(C1142="Financial Investor",15,IF(C1142="Intermediary / Banker",12,8))+IF(L1142="Term Sheet / Proposal",25,IF(L1142="Engaged",20,IF(L1142="Meeting Requested",18,IF(L1142="Meeting Held",14,IF(L1142="Follow Up",10,5)))))+MIN(Q1142,30)+IF(S1142="DUE",15,IF(S1142="Next 3 Days",8,0))),0))</f>
        <v/>
      </c>
      <c r="AB1142" s="425">
        <f>IF(AND(AC1142="Active",OR(N1142="Tier 1",N1142="Tier 2"),OR(S1142="DUE",S1142="Next 3 Days")),"YES","")</f>
        <v/>
      </c>
      <c r="AC1142" s="425">
        <f>IF(L1142="Passed","Archived","Active")</f>
        <v/>
      </c>
    </row>
    <row r="1143">
      <c r="A1143" s="425" t="inlineStr">
        <is>
          <t>EXOS-1142</t>
        </is>
      </c>
      <c r="B1143" s="425" t="inlineStr">
        <is>
          <t>Derek Contacts</t>
        </is>
      </c>
      <c r="C1143" s="425" t="inlineStr">
        <is>
          <t>Financial Investor</t>
        </is>
      </c>
      <c r="D1143" s="425" t="inlineStr">
        <is>
          <t>Think Equity</t>
        </is>
      </c>
      <c r="E1143" s="425" t="inlineStr">
        <is>
          <t>Brian Demmert</t>
        </is>
      </c>
      <c r="F1143" s="425" t="inlineStr">
        <is>
          <t>VP</t>
        </is>
      </c>
      <c r="G1143" s="111" t="inlineStr">
        <is>
          <t>bd@thinke-quity.com</t>
        </is>
      </c>
      <c r="H1143" s="425" t="inlineStr"/>
      <c r="I1143" s="425" t="inlineStr"/>
      <c r="J1143" s="425" t="inlineStr"/>
      <c r="K1143" s="426" t="inlineStr">
        <is>
          <t>John Quinn</t>
        </is>
      </c>
      <c r="L1143" s="426" t="inlineStr">
        <is>
          <t>Research</t>
        </is>
      </c>
      <c r="M1143" s="425" t="inlineStr">
        <is>
          <t>Space / Defense / Aerospace / Advanced Manufacturing</t>
        </is>
      </c>
      <c r="N1143" s="426" t="inlineStr">
        <is>
          <t>Tier 2</t>
        </is>
      </c>
      <c r="O1143" s="425" t="n"/>
      <c r="P1143" s="425" t="n"/>
      <c r="Q1143" s="425">
        <f>IF(P1143="","",TODAY()-P1143)</f>
        <v/>
      </c>
      <c r="R1143" s="441">
        <f>IF(OR(L1143="Passed",Z1143=""),"",P1143+Z1143)</f>
        <v/>
      </c>
      <c r="S1143" s="425">
        <f>IF(OR(R1143="",L1143="Passed"),"",IF(R1143&lt;=TODAY(),"DUE",IF(R1143&lt;=TODAY()+3,"Next 3 Days","Later")))</f>
        <v/>
      </c>
      <c r="T1143" s="425" t="inlineStr"/>
      <c r="U1143" s="426" t="inlineStr"/>
      <c r="V1143" s="426" t="inlineStr"/>
      <c r="W1143" s="428" t="inlineStr"/>
      <c r="X1143" s="425" t="inlineStr">
        <is>
          <t>Derek Contacts!53</t>
        </is>
      </c>
      <c r="Y1143" s="426" t="inlineStr">
        <is>
          <t>Research fit, find intro path, and draft first-touch email</t>
        </is>
      </c>
      <c r="Z1143" s="425" t="n">
        <v>1</v>
      </c>
      <c r="AA1143" s="425">
        <f>IF(AC1143="Archived",0,ROUND((IF(N1143="Tier 1",35,IF(N1143="Tier 2",20,8))+IF(C1143="Financial Investor",15,IF(C1143="Intermediary / Banker",12,8))+IF(L1143="Term Sheet / Proposal",25,IF(L1143="Engaged",20,IF(L1143="Meeting Requested",18,IF(L1143="Meeting Held",14,IF(L1143="Follow Up",10,5)))))+MIN(Q1143,30)+IF(S1143="DUE",15,IF(S1143="Next 3 Days",8,0))),0))</f>
        <v/>
      </c>
      <c r="AB1143" s="425">
        <f>IF(AND(AC1143="Active",OR(N1143="Tier 1",N1143="Tier 2"),OR(S1143="DUE",S1143="Next 3 Days")),"YES","")</f>
        <v/>
      </c>
      <c r="AC1143" s="425">
        <f>IF(L1143="Passed","Archived","Active")</f>
        <v/>
      </c>
    </row>
    <row r="1144">
      <c r="A1144" s="425" t="inlineStr">
        <is>
          <t>EXOS-1143</t>
        </is>
      </c>
      <c r="B1144" s="425" t="inlineStr">
        <is>
          <t>Derek Contacts</t>
        </is>
      </c>
      <c r="C1144" s="425" t="inlineStr">
        <is>
          <t>Financial Investor</t>
        </is>
      </c>
      <c r="D1144" s="425" t="inlineStr">
        <is>
          <t>Turbo Flux</t>
        </is>
      </c>
      <c r="E1144" s="425" t="inlineStr">
        <is>
          <t>Kenneth Hicks</t>
        </is>
      </c>
      <c r="F1144" s="425" t="inlineStr">
        <is>
          <t>CEO / Investor</t>
        </is>
      </c>
      <c r="G1144" s="111" t="inlineStr">
        <is>
          <t>turboflux2001@gmail.com</t>
        </is>
      </c>
      <c r="H1144" s="425" t="inlineStr"/>
      <c r="I1144" s="425" t="inlineStr"/>
      <c r="J1144" s="425" t="inlineStr"/>
      <c r="K1144" s="426" t="inlineStr">
        <is>
          <t>John Quinn</t>
        </is>
      </c>
      <c r="L1144" s="426" t="inlineStr">
        <is>
          <t>Research</t>
        </is>
      </c>
      <c r="M1144" s="425" t="inlineStr">
        <is>
          <t>Space / Defense / Aerospace / Advanced Manufacturing</t>
        </is>
      </c>
      <c r="N1144" s="426" t="inlineStr">
        <is>
          <t>Tier 2</t>
        </is>
      </c>
      <c r="O1144" s="425" t="n"/>
      <c r="P1144" s="425" t="n"/>
      <c r="Q1144" s="425">
        <f>IF(P1144="","",TODAY()-P1144)</f>
        <v/>
      </c>
      <c r="R1144" s="441">
        <f>IF(OR(L1144="Passed",Z1144=""),"",P1144+Z1144)</f>
        <v/>
      </c>
      <c r="S1144" s="425">
        <f>IF(OR(R1144="",L1144="Passed"),"",IF(R1144&lt;=TODAY(),"DUE",IF(R1144&lt;=TODAY()+3,"Next 3 Days","Later")))</f>
        <v/>
      </c>
      <c r="T1144" s="425" t="inlineStr"/>
      <c r="U1144" s="426" t="inlineStr"/>
      <c r="V1144" s="426" t="inlineStr"/>
      <c r="W1144" s="428" t="inlineStr">
        <is>
          <t>meeting booked / no show</t>
        </is>
      </c>
      <c r="X1144" s="425" t="inlineStr">
        <is>
          <t>Derek Contacts!56</t>
        </is>
      </c>
      <c r="Y1144" s="426" t="inlineStr">
        <is>
          <t>Research fit, find intro path, and draft first-touch email</t>
        </is>
      </c>
      <c r="Z1144" s="425" t="n">
        <v>1</v>
      </c>
      <c r="AA1144" s="425">
        <f>IF(AC1144="Archived",0,ROUND((IF(N1144="Tier 1",35,IF(N1144="Tier 2",20,8))+IF(C1144="Financial Investor",15,IF(C1144="Intermediary / Banker",12,8))+IF(L1144="Term Sheet / Proposal",25,IF(L1144="Engaged",20,IF(L1144="Meeting Requested",18,IF(L1144="Meeting Held",14,IF(L1144="Follow Up",10,5)))))+MIN(Q1144,30)+IF(S1144="DUE",15,IF(S1144="Next 3 Days",8,0))),0))</f>
        <v/>
      </c>
      <c r="AB1144" s="425">
        <f>IF(AND(AC1144="Active",OR(N1144="Tier 1",N1144="Tier 2"),OR(S1144="DUE",S1144="Next 3 Days")),"YES","")</f>
        <v/>
      </c>
      <c r="AC1144" s="425">
        <f>IF(L1144="Passed","Archived","Active")</f>
        <v/>
      </c>
    </row>
    <row r="1145">
      <c r="A1145" s="425" t="inlineStr">
        <is>
          <t>EXOS-1144</t>
        </is>
      </c>
      <c r="B1145" s="425" t="inlineStr">
        <is>
          <t>Derek Contacts</t>
        </is>
      </c>
      <c r="C1145" s="425" t="inlineStr">
        <is>
          <t>Financial Investor</t>
        </is>
      </c>
      <c r="D1145" s="425" t="inlineStr">
        <is>
          <t>Venture Capital (Individual)</t>
        </is>
      </c>
      <c r="E1145" s="425" t="inlineStr">
        <is>
          <t>Paul Mayer</t>
        </is>
      </c>
      <c r="F1145" s="425" t="inlineStr">
        <is>
          <t>Investor</t>
        </is>
      </c>
      <c r="G1145" s="111" t="inlineStr">
        <is>
          <t>mayer.w.paul@gmail.com</t>
        </is>
      </c>
      <c r="H1145" s="425" t="inlineStr"/>
      <c r="I1145" s="425" t="inlineStr"/>
      <c r="J1145" s="425" t="inlineStr"/>
      <c r="K1145" s="426" t="inlineStr">
        <is>
          <t>John Quinn</t>
        </is>
      </c>
      <c r="L1145" s="426" t="inlineStr">
        <is>
          <t>Research</t>
        </is>
      </c>
      <c r="M1145" s="425" t="inlineStr">
        <is>
          <t>Space / Defense / Aerospace / Advanced Manufacturing</t>
        </is>
      </c>
      <c r="N1145" s="426" t="inlineStr">
        <is>
          <t>Tier 2</t>
        </is>
      </c>
      <c r="O1145" s="425" t="n"/>
      <c r="P1145" s="425" t="n"/>
      <c r="Q1145" s="425">
        <f>IF(P1145="","",TODAY()-P1145)</f>
        <v/>
      </c>
      <c r="R1145" s="441">
        <f>IF(OR(L1145="Passed",Z1145=""),"",P1145+Z1145)</f>
        <v/>
      </c>
      <c r="S1145" s="425">
        <f>IF(OR(R1145="",L1145="Passed"),"",IF(R1145&lt;=TODAY(),"DUE",IF(R1145&lt;=TODAY()+3,"Next 3 Days","Later")))</f>
        <v/>
      </c>
      <c r="T1145" s="425" t="inlineStr"/>
      <c r="U1145" s="426" t="inlineStr"/>
      <c r="V1145" s="426" t="inlineStr"/>
      <c r="W1145" s="428" t="inlineStr"/>
      <c r="X1145" s="425" t="inlineStr">
        <is>
          <t>Derek Contacts!59</t>
        </is>
      </c>
      <c r="Y1145" s="426" t="inlineStr">
        <is>
          <t>Research fit, find intro path, and draft first-touch email</t>
        </is>
      </c>
      <c r="Z1145" s="425" t="n">
        <v>1</v>
      </c>
      <c r="AA1145" s="425">
        <f>IF(AC1145="Archived",0,ROUND((IF(N1145="Tier 1",35,IF(N1145="Tier 2",20,8))+IF(C1145="Financial Investor",15,IF(C1145="Intermediary / Banker",12,8))+IF(L1145="Term Sheet / Proposal",25,IF(L1145="Engaged",20,IF(L1145="Meeting Requested",18,IF(L1145="Meeting Held",14,IF(L1145="Follow Up",10,5)))))+MIN(Q1145,30)+IF(S1145="DUE",15,IF(S1145="Next 3 Days",8,0))),0))</f>
        <v/>
      </c>
      <c r="AB1145" s="425">
        <f>IF(AND(AC1145="Active",OR(N1145="Tier 1",N1145="Tier 2"),OR(S1145="DUE",S1145="Next 3 Days")),"YES","")</f>
        <v/>
      </c>
      <c r="AC1145" s="425">
        <f>IF(L1145="Passed","Archived","Active")</f>
        <v/>
      </c>
    </row>
    <row r="1146">
      <c r="A1146" s="425" t="inlineStr">
        <is>
          <t>EXOS-1145</t>
        </is>
      </c>
      <c r="B1146" s="425" t="inlineStr">
        <is>
          <t xml:space="preserve">Investors_Private_Equity </t>
        </is>
      </c>
      <c r="C1146" s="425" t="inlineStr">
        <is>
          <t>Financial Investor</t>
        </is>
      </c>
      <c r="D1146" s="425" t="inlineStr">
        <is>
          <t>Vimal Dutt</t>
        </is>
      </c>
      <c r="E1146" s="425" t="inlineStr"/>
      <c r="F1146" s="425" t="inlineStr"/>
      <c r="G1146" s="425" t="inlineStr"/>
      <c r="H1146" s="425" t="inlineStr"/>
      <c r="I1146" s="425" t="inlineStr">
        <is>
          <t>|</t>
        </is>
      </c>
      <c r="J1146" s="111" t="inlineStr">
        <is>
          <t>https://www.linkedin.com/in/vimal-dutt-5b68904/</t>
        </is>
      </c>
      <c r="K1146" s="426" t="inlineStr">
        <is>
          <t>John Quinn</t>
        </is>
      </c>
      <c r="L1146" s="426" t="inlineStr">
        <is>
          <t>Research</t>
        </is>
      </c>
      <c r="M1146" s="425" t="inlineStr">
        <is>
          <t>Space / Defense / Aerospace / Advanced Manufacturing</t>
        </is>
      </c>
      <c r="N1146" s="426" t="inlineStr">
        <is>
          <t>Tier 2</t>
        </is>
      </c>
      <c r="O1146" s="425" t="n"/>
      <c r="P1146" s="425" t="n"/>
      <c r="Q1146" s="425">
        <f>IF(P1146="","",TODAY()-P1146)</f>
        <v/>
      </c>
      <c r="R1146" s="441">
        <f>IF(OR(L1146="Passed",Z1146=""),"",P1146+Z1146)</f>
        <v/>
      </c>
      <c r="S1146" s="425">
        <f>IF(OR(R1146="",L1146="Passed"),"",IF(R1146&lt;=TODAY(),"DUE",IF(R1146&lt;=TODAY()+3,"Next 3 Days","Later")))</f>
        <v/>
      </c>
      <c r="T1146" s="425" t="inlineStr"/>
      <c r="U1146" s="426" t="inlineStr"/>
      <c r="V1146" s="426" t="inlineStr"/>
      <c r="W1146" s="428" t="inlineStr">
        <is>
          <t xml:space="preserve"> | This could be of interest. Please send through information and i will pass to our shareholders. One question. Who do you anticipate having majority ownership? | </t>
        </is>
      </c>
      <c r="X1146" s="425" t="inlineStr">
        <is>
          <t>Investors_Private_Equity !18</t>
        </is>
      </c>
      <c r="Y1146" s="426" t="inlineStr">
        <is>
          <t>Research fit, find intro path, and draft first-touch email</t>
        </is>
      </c>
      <c r="Z1146" s="425" t="n">
        <v>1</v>
      </c>
      <c r="AA1146" s="425">
        <f>IF(AC1146="Archived",0,ROUND((IF(N1146="Tier 1",35,IF(N1146="Tier 2",20,8))+IF(C1146="Financial Investor",15,IF(C1146="Intermediary / Banker",12,8))+IF(L1146="Term Sheet / Proposal",25,IF(L1146="Engaged",20,IF(L1146="Meeting Requested",18,IF(L1146="Meeting Held",14,IF(L1146="Follow Up",10,5)))))+MIN(Q1146,30)+IF(S1146="DUE",15,IF(S1146="Next 3 Days",8,0))),0))</f>
        <v/>
      </c>
      <c r="AB1146" s="425">
        <f>IF(AND(AC1146="Active",OR(N1146="Tier 1",N1146="Tier 2"),OR(S1146="DUE",S1146="Next 3 Days")),"YES","")</f>
        <v/>
      </c>
      <c r="AC1146" s="425">
        <f>IF(L1146="Passed","Archived","Active")</f>
        <v/>
      </c>
    </row>
    <row r="1147">
      <c r="A1147" s="425" t="inlineStr">
        <is>
          <t>EXOS-1146</t>
        </is>
      </c>
      <c r="B1147" s="425" t="inlineStr">
        <is>
          <t>JQ Follow Up</t>
        </is>
      </c>
      <c r="C1147" s="425" t="inlineStr">
        <is>
          <t>Other / Review</t>
        </is>
      </c>
      <c r="D1147" s="425" t="inlineStr"/>
      <c r="E1147" s="425" t="inlineStr">
        <is>
          <t>Earl Cooke</t>
        </is>
      </c>
      <c r="F1147" s="425" t="inlineStr"/>
      <c r="G1147" s="111" t="inlineStr">
        <is>
          <t>cooketx@gmail.com</t>
        </is>
      </c>
      <c r="H1147" s="425" t="inlineStr"/>
      <c r="I1147" s="425" t="inlineStr"/>
      <c r="J1147" s="425" t="inlineStr"/>
      <c r="K1147" s="426" t="inlineStr">
        <is>
          <t>John Quinn</t>
        </is>
      </c>
      <c r="L1147" s="426" t="inlineStr">
        <is>
          <t>Follow Up</t>
        </is>
      </c>
      <c r="M1147" s="425" t="inlineStr">
        <is>
          <t>Needs qualification</t>
        </is>
      </c>
      <c r="N1147" s="426" t="inlineStr">
        <is>
          <t>Tier 3</t>
        </is>
      </c>
      <c r="O1147" s="425" t="n"/>
      <c r="P1147" s="425" t="n"/>
      <c r="Q1147" s="425">
        <f>IF(P1147="","",TODAY()-P1147)</f>
        <v/>
      </c>
      <c r="R1147" s="441">
        <f>IF(OR(L1147="Passed",Z1147=""),"",P1147+Z1147)</f>
        <v/>
      </c>
      <c r="S1147" s="425">
        <f>IF(OR(R1147="",L1147="Passed"),"",IF(R1147&lt;=TODAY(),"DUE",IF(R1147&lt;=TODAY()+3,"Next 3 Days","Later")))</f>
        <v/>
      </c>
      <c r="T1147" s="425" t="inlineStr"/>
      <c r="U1147" s="426" t="inlineStr"/>
      <c r="V1147" s="426" t="inlineStr"/>
      <c r="W1147" s="428" t="inlineStr">
        <is>
          <t xml:space="preserve"> | sent follow up 12/18</t>
        </is>
      </c>
      <c r="X1147" s="425" t="inlineStr">
        <is>
          <t>JQ Follow Up!18</t>
        </is>
      </c>
      <c r="Y1147" s="426" t="inlineStr">
        <is>
          <t>Send next follow-up with traction + CTA</t>
        </is>
      </c>
      <c r="Z1147" s="425" t="n">
        <v>7</v>
      </c>
      <c r="AA1147" s="425">
        <f>IF(AC1147="Archived",0,ROUND((IF(N1147="Tier 1",35,IF(N1147="Tier 2",20,8))+IF(C1147="Financial Investor",15,IF(C1147="Intermediary / Banker",12,8))+IF(L1147="Term Sheet / Proposal",25,IF(L1147="Engaged",20,IF(L1147="Meeting Requested",18,IF(L1147="Meeting Held",14,IF(L1147="Follow Up",10,5)))))+MIN(Q1147,30)+IF(S1147="DUE",15,IF(S1147="Next 3 Days",8,0))),0))</f>
        <v/>
      </c>
      <c r="AB1147" s="425">
        <f>IF(AND(AC1147="Active",OR(N1147="Tier 1",N1147="Tier 2"),OR(S1147="DUE",S1147="Next 3 Days")),"YES","")</f>
        <v/>
      </c>
      <c r="AC1147" s="425">
        <f>IF(L1147="Passed","Archived","Active")</f>
        <v/>
      </c>
    </row>
    <row r="1148">
      <c r="A1148" s="425" t="inlineStr">
        <is>
          <t>EXOS-1147</t>
        </is>
      </c>
      <c r="B1148" s="425" t="inlineStr">
        <is>
          <t>Derek Contacts</t>
        </is>
      </c>
      <c r="C1148" s="425" t="inlineStr">
        <is>
          <t>Other / Review</t>
        </is>
      </c>
      <c r="D1148" s="425" t="inlineStr">
        <is>
          <t>SDRC Corp</t>
        </is>
      </c>
      <c r="E1148" s="425" t="inlineStr">
        <is>
          <t>Sean-Rae Zalewski</t>
        </is>
      </c>
      <c r="F1148" s="425" t="inlineStr">
        <is>
          <t>VP</t>
        </is>
      </c>
      <c r="G1148" s="111" t="inlineStr">
        <is>
          <t>sean@sdrccorp.com</t>
        </is>
      </c>
      <c r="H1148" s="425" t="inlineStr"/>
      <c r="I1148" s="425" t="inlineStr"/>
      <c r="J1148" s="425" t="inlineStr"/>
      <c r="K1148" s="426" t="inlineStr">
        <is>
          <t>John Quinn</t>
        </is>
      </c>
      <c r="L1148" s="426" t="inlineStr">
        <is>
          <t>Follow Up</t>
        </is>
      </c>
      <c r="M1148" s="425" t="inlineStr">
        <is>
          <t>Needs qualification</t>
        </is>
      </c>
      <c r="N1148" s="426" t="inlineStr">
        <is>
          <t>Tier 3</t>
        </is>
      </c>
      <c r="O1148" s="425" t="n"/>
      <c r="P1148" s="425" t="n"/>
      <c r="Q1148" s="425">
        <f>IF(P1148="","",TODAY()-P1148)</f>
        <v/>
      </c>
      <c r="R1148" s="441">
        <f>IF(OR(L1148="Passed",Z1148=""),"",P1148+Z1148)</f>
        <v/>
      </c>
      <c r="S1148" s="425">
        <f>IF(OR(R1148="",L1148="Passed"),"",IF(R1148&lt;=TODAY(),"DUE",IF(R1148&lt;=TODAY()+3,"Next 3 Days","Later")))</f>
        <v/>
      </c>
      <c r="T1148" s="425" t="inlineStr"/>
      <c r="U1148" s="426" t="inlineStr"/>
      <c r="V1148" s="426" t="inlineStr"/>
      <c r="W1148" s="428" t="inlineStr">
        <is>
          <t>materials sent / no follow up</t>
        </is>
      </c>
      <c r="X1148" s="425" t="inlineStr">
        <is>
          <t>Derek Contacts!49</t>
        </is>
      </c>
      <c r="Y1148" s="426" t="inlineStr">
        <is>
          <t>Send next follow-up with traction + CTA</t>
        </is>
      </c>
      <c r="Z1148" s="425" t="n">
        <v>7</v>
      </c>
      <c r="AA1148" s="425">
        <f>IF(AC1148="Archived",0,ROUND((IF(N1148="Tier 1",35,IF(N1148="Tier 2",20,8))+IF(C1148="Financial Investor",15,IF(C1148="Intermediary / Banker",12,8))+IF(L1148="Term Sheet / Proposal",25,IF(L1148="Engaged",20,IF(L1148="Meeting Requested",18,IF(L1148="Meeting Held",14,IF(L1148="Follow Up",10,5)))))+MIN(Q1148,30)+IF(S1148="DUE",15,IF(S1148="Next 3 Days",8,0))),0))</f>
        <v/>
      </c>
      <c r="AB1148" s="425">
        <f>IF(AND(AC1148="Active",OR(N1148="Tier 1",N1148="Tier 2"),OR(S1148="DUE",S1148="Next 3 Days")),"YES","")</f>
        <v/>
      </c>
      <c r="AC1148" s="425">
        <f>IF(L1148="Passed","Archived","Active")</f>
        <v/>
      </c>
    </row>
    <row r="1149">
      <c r="A1149" s="425" t="inlineStr">
        <is>
          <t>EXOS-1148</t>
        </is>
      </c>
      <c r="B1149" s="425" t="inlineStr">
        <is>
          <t>Derek Contacts</t>
        </is>
      </c>
      <c r="C1149" s="425" t="inlineStr">
        <is>
          <t>Other / Review</t>
        </is>
      </c>
      <c r="D1149" s="425" t="inlineStr">
        <is>
          <t>Astronaut (Individual)</t>
        </is>
      </c>
      <c r="E1149" s="425" t="inlineStr">
        <is>
          <t>JD Russell</t>
        </is>
      </c>
      <c r="F1149" s="425" t="inlineStr"/>
      <c r="G1149" s="111" t="inlineStr">
        <is>
          <t>jdrussellmd@gmail.com</t>
        </is>
      </c>
      <c r="H1149" s="425" t="inlineStr"/>
      <c r="I1149" s="425" t="inlineStr">
        <is>
          <t>410-939-1500</t>
        </is>
      </c>
      <c r="J1149" s="425" t="inlineStr"/>
      <c r="K1149" s="426" t="inlineStr">
        <is>
          <t>John Quinn</t>
        </is>
      </c>
      <c r="L1149" s="426" t="inlineStr">
        <is>
          <t>Research</t>
        </is>
      </c>
      <c r="M1149" s="425" t="inlineStr">
        <is>
          <t>Needs qualification</t>
        </is>
      </c>
      <c r="N1149" s="426" t="inlineStr">
        <is>
          <t>Tier 3</t>
        </is>
      </c>
      <c r="O1149" s="425" t="n"/>
      <c r="P1149" s="425" t="n"/>
      <c r="Q1149" s="425">
        <f>IF(P1149="","",TODAY()-P1149)</f>
        <v/>
      </c>
      <c r="R1149" s="441">
        <f>IF(OR(L1149="Passed",Z1149=""),"",P1149+Z1149)</f>
        <v/>
      </c>
      <c r="S1149" s="425">
        <f>IF(OR(R1149="",L1149="Passed"),"",IF(R1149&lt;=TODAY(),"DUE",IF(R1149&lt;=TODAY()+3,"Next 3 Days","Later")))</f>
        <v/>
      </c>
      <c r="T1149" s="425" t="inlineStr"/>
      <c r="U1149" s="426" t="inlineStr"/>
      <c r="V1149" s="426" t="inlineStr"/>
      <c r="W1149" s="428" t="inlineStr"/>
      <c r="X1149" s="425" t="inlineStr">
        <is>
          <t>Derek Contacts!7</t>
        </is>
      </c>
      <c r="Y1149" s="426" t="inlineStr">
        <is>
          <t>Research fit, find intro path, and draft first-touch email</t>
        </is>
      </c>
      <c r="Z1149" s="425" t="n">
        <v>1</v>
      </c>
      <c r="AA1149" s="425">
        <f>IF(AC1149="Archived",0,ROUND((IF(N1149="Tier 1",35,IF(N1149="Tier 2",20,8))+IF(C1149="Financial Investor",15,IF(C1149="Intermediary / Banker",12,8))+IF(L1149="Term Sheet / Proposal",25,IF(L1149="Engaged",20,IF(L1149="Meeting Requested",18,IF(L1149="Meeting Held",14,IF(L1149="Follow Up",10,5)))))+MIN(Q1149,30)+IF(S1149="DUE",15,IF(S1149="Next 3 Days",8,0))),0))</f>
        <v/>
      </c>
      <c r="AB1149" s="425">
        <f>IF(AND(AC1149="Active",OR(N1149="Tier 1",N1149="Tier 2"),OR(S1149="DUE",S1149="Next 3 Days")),"YES","")</f>
        <v/>
      </c>
      <c r="AC1149" s="425">
        <f>IF(L1149="Passed","Archived","Active")</f>
        <v/>
      </c>
    </row>
    <row r="1150">
      <c r="A1150" s="425" t="inlineStr">
        <is>
          <t>EXOS-1149</t>
        </is>
      </c>
      <c r="B1150" s="425" t="inlineStr">
        <is>
          <t>Derek Contacts</t>
        </is>
      </c>
      <c r="C1150" s="425" t="inlineStr">
        <is>
          <t>Other / Review</t>
        </is>
      </c>
      <c r="D1150" s="425" t="inlineStr">
        <is>
          <t>EXO Stellar Pulse Fusion</t>
        </is>
      </c>
      <c r="E1150" s="425" t="inlineStr">
        <is>
          <t>Shiva Nagarshi</t>
        </is>
      </c>
      <c r="F1150" s="425" t="inlineStr"/>
      <c r="G1150" s="111" t="inlineStr">
        <is>
          <t>shivanagarshi@gmail.com</t>
        </is>
      </c>
      <c r="H1150" s="425" t="inlineStr"/>
      <c r="I1150" s="425" t="inlineStr"/>
      <c r="J1150" s="425" t="inlineStr"/>
      <c r="K1150" s="426" t="inlineStr">
        <is>
          <t>John Quinn</t>
        </is>
      </c>
      <c r="L1150" s="426" t="inlineStr">
        <is>
          <t>Research</t>
        </is>
      </c>
      <c r="M1150" s="425" t="inlineStr">
        <is>
          <t>Needs qualification</t>
        </is>
      </c>
      <c r="N1150" s="426" t="inlineStr">
        <is>
          <t>Tier 3</t>
        </is>
      </c>
      <c r="O1150" s="425" t="n"/>
      <c r="P1150" s="425" t="n"/>
      <c r="Q1150" s="425">
        <f>IF(P1150="","",TODAY()-P1150)</f>
        <v/>
      </c>
      <c r="R1150" s="441">
        <f>IF(OR(L1150="Passed",Z1150=""),"",P1150+Z1150)</f>
        <v/>
      </c>
      <c r="S1150" s="425">
        <f>IF(OR(R1150="",L1150="Passed"),"",IF(R1150&lt;=TODAY(),"DUE",IF(R1150&lt;=TODAY()+3,"Next 3 Days","Later")))</f>
        <v/>
      </c>
      <c r="T1150" s="425" t="inlineStr"/>
      <c r="U1150" s="426" t="inlineStr"/>
      <c r="V1150" s="426" t="inlineStr"/>
      <c r="W1150" s="428" t="inlineStr"/>
      <c r="X1150" s="425" t="inlineStr">
        <is>
          <t>Derek Contacts!18</t>
        </is>
      </c>
      <c r="Y1150" s="426" t="inlineStr">
        <is>
          <t>Research fit, find intro path, and draft first-touch email</t>
        </is>
      </c>
      <c r="Z1150" s="425" t="n">
        <v>1</v>
      </c>
      <c r="AA1150" s="425">
        <f>IF(AC1150="Archived",0,ROUND((IF(N1150="Tier 1",35,IF(N1150="Tier 2",20,8))+IF(C1150="Financial Investor",15,IF(C1150="Intermediary / Banker",12,8))+IF(L1150="Term Sheet / Proposal",25,IF(L1150="Engaged",20,IF(L1150="Meeting Requested",18,IF(L1150="Meeting Held",14,IF(L1150="Follow Up",10,5)))))+MIN(Q1150,30)+IF(S1150="DUE",15,IF(S1150="Next 3 Days",8,0))),0))</f>
        <v/>
      </c>
      <c r="AB1150" s="425">
        <f>IF(AND(AC1150="Active",OR(N1150="Tier 1",N1150="Tier 2"),OR(S1150="DUE",S1150="Next 3 Days")),"YES","")</f>
        <v/>
      </c>
      <c r="AC1150" s="425">
        <f>IF(L1150="Passed","Archived","Active")</f>
        <v/>
      </c>
    </row>
    <row r="1151">
      <c r="A1151" s="425" t="inlineStr">
        <is>
          <t>EXOS-1150</t>
        </is>
      </c>
      <c r="B1151" s="425" t="inlineStr">
        <is>
          <t>Derek Contacts</t>
        </is>
      </c>
      <c r="C1151" s="425" t="inlineStr">
        <is>
          <t>Other / Review</t>
        </is>
      </c>
      <c r="D1151" s="425" t="inlineStr">
        <is>
          <t>Farol Asset Management</t>
        </is>
      </c>
      <c r="E1151" s="425" t="inlineStr">
        <is>
          <t>Jamal Nasim</t>
        </is>
      </c>
      <c r="F1151" s="425" t="inlineStr"/>
      <c r="G1151" s="111" t="inlineStr">
        <is>
          <t>jamalnasim1@gmail.com</t>
        </is>
      </c>
      <c r="H1151" s="425" t="inlineStr"/>
      <c r="I1151" s="425" t="inlineStr"/>
      <c r="J1151" s="425" t="inlineStr"/>
      <c r="K1151" s="426" t="inlineStr">
        <is>
          <t>John Quinn</t>
        </is>
      </c>
      <c r="L1151" s="426" t="inlineStr">
        <is>
          <t>Research</t>
        </is>
      </c>
      <c r="M1151" s="425" t="inlineStr">
        <is>
          <t>Needs qualification</t>
        </is>
      </c>
      <c r="N1151" s="426" t="inlineStr">
        <is>
          <t>Tier 3</t>
        </is>
      </c>
      <c r="O1151" s="425" t="n"/>
      <c r="P1151" s="425" t="n"/>
      <c r="Q1151" s="425">
        <f>IF(P1151="","",TODAY()-P1151)</f>
        <v/>
      </c>
      <c r="R1151" s="441">
        <f>IF(OR(L1151="Passed",Z1151=""),"",P1151+Z1151)</f>
        <v/>
      </c>
      <c r="S1151" s="425">
        <f>IF(OR(R1151="",L1151="Passed"),"",IF(R1151&lt;=TODAY(),"DUE",IF(R1151&lt;=TODAY()+3,"Next 3 Days","Later")))</f>
        <v/>
      </c>
      <c r="T1151" s="425" t="inlineStr"/>
      <c r="U1151" s="426" t="inlineStr"/>
      <c r="V1151" s="426" t="inlineStr"/>
      <c r="W1151" s="428" t="inlineStr"/>
      <c r="X1151" s="425" t="inlineStr">
        <is>
          <t>Derek Contacts!19</t>
        </is>
      </c>
      <c r="Y1151" s="426" t="inlineStr">
        <is>
          <t>Research fit, find intro path, and draft first-touch email</t>
        </is>
      </c>
      <c r="Z1151" s="425" t="n">
        <v>1</v>
      </c>
      <c r="AA1151" s="425">
        <f>IF(AC1151="Archived",0,ROUND((IF(N1151="Tier 1",35,IF(N1151="Tier 2",20,8))+IF(C1151="Financial Investor",15,IF(C1151="Intermediary / Banker",12,8))+IF(L1151="Term Sheet / Proposal",25,IF(L1151="Engaged",20,IF(L1151="Meeting Requested",18,IF(L1151="Meeting Held",14,IF(L1151="Follow Up",10,5)))))+MIN(Q1151,30)+IF(S1151="DUE",15,IF(S1151="Next 3 Days",8,0))),0))</f>
        <v/>
      </c>
      <c r="AB1151" s="425">
        <f>IF(AND(AC1151="Active",OR(N1151="Tier 1",N1151="Tier 2"),OR(S1151="DUE",S1151="Next 3 Days")),"YES","")</f>
        <v/>
      </c>
      <c r="AC1151" s="425">
        <f>IF(L1151="Passed","Archived","Active")</f>
        <v/>
      </c>
    </row>
    <row r="1152">
      <c r="A1152" s="425" t="inlineStr">
        <is>
          <t>EXOS-1151</t>
        </is>
      </c>
      <c r="B1152" s="425" t="inlineStr">
        <is>
          <t>JQ Follow Up</t>
        </is>
      </c>
      <c r="C1152" s="425" t="inlineStr">
        <is>
          <t>Other / Review</t>
        </is>
      </c>
      <c r="D1152" s="425" t="inlineStr">
        <is>
          <t>Firefly</t>
        </is>
      </c>
      <c r="E1152" s="425" t="inlineStr">
        <is>
          <t>Adam Oakes</t>
        </is>
      </c>
      <c r="F1152" s="425" t="inlineStr"/>
      <c r="G1152" s="111" t="inlineStr">
        <is>
          <t>adam.oakes@fireflyspace.com</t>
        </is>
      </c>
      <c r="H1152" s="425" t="inlineStr"/>
      <c r="I1152" s="425" t="inlineStr"/>
      <c r="J1152" s="425" t="inlineStr"/>
      <c r="K1152" s="426" t="inlineStr">
        <is>
          <t>John Quinn</t>
        </is>
      </c>
      <c r="L1152" s="426" t="inlineStr">
        <is>
          <t>Research</t>
        </is>
      </c>
      <c r="M1152" s="425" t="inlineStr">
        <is>
          <t>Needs qualification</t>
        </is>
      </c>
      <c r="N1152" s="426" t="inlineStr">
        <is>
          <t>Tier 3</t>
        </is>
      </c>
      <c r="O1152" s="425" t="n"/>
      <c r="P1152" s="425" t="n"/>
      <c r="Q1152" s="425">
        <f>IF(P1152="","",TODAY()-P1152)</f>
        <v/>
      </c>
      <c r="R1152" s="441">
        <f>IF(OR(L1152="Passed",Z1152=""),"",P1152+Z1152)</f>
        <v/>
      </c>
      <c r="S1152" s="425">
        <f>IF(OR(R1152="",L1152="Passed"),"",IF(R1152&lt;=TODAY(),"DUE",IF(R1152&lt;=TODAY()+3,"Next 3 Days","Later")))</f>
        <v/>
      </c>
      <c r="T1152" s="425" t="inlineStr"/>
      <c r="U1152" s="426" t="inlineStr"/>
      <c r="V1152" s="426" t="inlineStr"/>
      <c r="W1152" s="428" t="inlineStr">
        <is>
          <t xml:space="preserve"> | </t>
        </is>
      </c>
      <c r="X1152" s="425" t="inlineStr">
        <is>
          <t>JQ Follow Up!33</t>
        </is>
      </c>
      <c r="Y1152" s="426" t="inlineStr">
        <is>
          <t>Research fit, find intro path, and draft first-touch email</t>
        </is>
      </c>
      <c r="Z1152" s="425" t="n">
        <v>1</v>
      </c>
      <c r="AA1152" s="425">
        <f>IF(AC1152="Archived",0,ROUND((IF(N1152="Tier 1",35,IF(N1152="Tier 2",20,8))+IF(C1152="Financial Investor",15,IF(C1152="Intermediary / Banker",12,8))+IF(L1152="Term Sheet / Proposal",25,IF(L1152="Engaged",20,IF(L1152="Meeting Requested",18,IF(L1152="Meeting Held",14,IF(L1152="Follow Up",10,5)))))+MIN(Q1152,30)+IF(S1152="DUE",15,IF(S1152="Next 3 Days",8,0))),0))</f>
        <v/>
      </c>
      <c r="AB1152" s="425">
        <f>IF(AND(AC1152="Active",OR(N1152="Tier 1",N1152="Tier 2"),OR(S1152="DUE",S1152="Next 3 Days")),"YES","")</f>
        <v/>
      </c>
      <c r="AC1152" s="425">
        <f>IF(L1152="Passed","Archived","Active")</f>
        <v/>
      </c>
    </row>
    <row r="1153">
      <c r="A1153" s="425" t="inlineStr">
        <is>
          <t>EXOS-1152</t>
        </is>
      </c>
      <c r="B1153" s="425" t="inlineStr">
        <is>
          <t>JQ Follow Up</t>
        </is>
      </c>
      <c r="C1153" s="425" t="inlineStr">
        <is>
          <t>Other / Review</t>
        </is>
      </c>
      <c r="D1153" s="425" t="inlineStr">
        <is>
          <t>Godspeed</t>
        </is>
      </c>
      <c r="E1153" s="425" t="inlineStr">
        <is>
          <t>Sulaiman Sulaimani</t>
        </is>
      </c>
      <c r="F1153" s="425" t="inlineStr"/>
      <c r="G1153" s="425" t="inlineStr"/>
      <c r="H1153" s="425" t="inlineStr"/>
      <c r="I1153" s="425" t="inlineStr"/>
      <c r="J1153" s="425" t="inlineStr"/>
      <c r="K1153" s="426" t="inlineStr">
        <is>
          <t>John Quinn</t>
        </is>
      </c>
      <c r="L1153" s="426" t="inlineStr">
        <is>
          <t>Research</t>
        </is>
      </c>
      <c r="M1153" s="425" t="inlineStr">
        <is>
          <t>Needs qualification</t>
        </is>
      </c>
      <c r="N1153" s="426" t="inlineStr">
        <is>
          <t>Tier 3</t>
        </is>
      </c>
      <c r="O1153" s="425" t="n"/>
      <c r="P1153" s="425" t="n"/>
      <c r="Q1153" s="425">
        <f>IF(P1153="","",TODAY()-P1153)</f>
        <v/>
      </c>
      <c r="R1153" s="441">
        <f>IF(OR(L1153="Passed",Z1153=""),"",P1153+Z1153)</f>
        <v/>
      </c>
      <c r="S1153" s="425">
        <f>IF(OR(R1153="",L1153="Passed"),"",IF(R1153&lt;=TODAY(),"DUE",IF(R1153&lt;=TODAY()+3,"Next 3 Days","Later")))</f>
        <v/>
      </c>
      <c r="T1153" s="425" t="inlineStr"/>
      <c r="U1153" s="426" t="inlineStr"/>
      <c r="V1153" s="426" t="inlineStr"/>
      <c r="W1153" s="428" t="inlineStr">
        <is>
          <t xml:space="preserve"> | </t>
        </is>
      </c>
      <c r="X1153" s="425" t="inlineStr">
        <is>
          <t>JQ Follow Up!30</t>
        </is>
      </c>
      <c r="Y1153" s="426" t="inlineStr">
        <is>
          <t>Research fit, find intro path, and draft first-touch email</t>
        </is>
      </c>
      <c r="Z1153" s="425" t="n">
        <v>1</v>
      </c>
      <c r="AA1153" s="425">
        <f>IF(AC1153="Archived",0,ROUND((IF(N1153="Tier 1",35,IF(N1153="Tier 2",20,8))+IF(C1153="Financial Investor",15,IF(C1153="Intermediary / Banker",12,8))+IF(L1153="Term Sheet / Proposal",25,IF(L1153="Engaged",20,IF(L1153="Meeting Requested",18,IF(L1153="Meeting Held",14,IF(L1153="Follow Up",10,5)))))+MIN(Q1153,30)+IF(S1153="DUE",15,IF(S1153="Next 3 Days",8,0))),0))</f>
        <v/>
      </c>
      <c r="AB1153" s="425">
        <f>IF(AND(AC1153="Active",OR(N1153="Tier 1",N1153="Tier 2"),OR(S1153="DUE",S1153="Next 3 Days")),"YES","")</f>
        <v/>
      </c>
      <c r="AC1153" s="425">
        <f>IF(L1153="Passed","Archived","Active")</f>
        <v/>
      </c>
    </row>
    <row r="1154">
      <c r="A1154" s="425" t="inlineStr">
        <is>
          <t>EXOS-1153</t>
        </is>
      </c>
      <c r="B1154" s="425" t="inlineStr">
        <is>
          <t>Derek Contacts</t>
        </is>
      </c>
      <c r="C1154" s="425" t="inlineStr">
        <is>
          <t>Other / Review</t>
        </is>
      </c>
      <c r="D1154" s="425" t="inlineStr">
        <is>
          <t>Gulf Technologies Systems</t>
        </is>
      </c>
      <c r="E1154" s="425" t="inlineStr">
        <is>
          <t>Samuel Shay</t>
        </is>
      </c>
      <c r="F1154" s="425" t="inlineStr">
        <is>
          <t>CEO</t>
        </is>
      </c>
      <c r="G1154" s="425" t="inlineStr"/>
      <c r="H1154" s="425" t="inlineStr"/>
      <c r="I1154" s="425" t="inlineStr"/>
      <c r="J1154" s="425" t="inlineStr"/>
      <c r="K1154" s="426" t="inlineStr">
        <is>
          <t>John Quinn</t>
        </is>
      </c>
      <c r="L1154" s="426" t="inlineStr">
        <is>
          <t>Research</t>
        </is>
      </c>
      <c r="M1154" s="425" t="inlineStr">
        <is>
          <t>Needs qualification</t>
        </is>
      </c>
      <c r="N1154" s="426" t="inlineStr">
        <is>
          <t>Tier 3</t>
        </is>
      </c>
      <c r="O1154" s="425" t="n"/>
      <c r="P1154" s="425" t="n"/>
      <c r="Q1154" s="425">
        <f>IF(P1154="","",TODAY()-P1154)</f>
        <v/>
      </c>
      <c r="R1154" s="441">
        <f>IF(OR(L1154="Passed",Z1154=""),"",P1154+Z1154)</f>
        <v/>
      </c>
      <c r="S1154" s="425">
        <f>IF(OR(R1154="",L1154="Passed"),"",IF(R1154&lt;=TODAY(),"DUE",IF(R1154&lt;=TODAY()+3,"Next 3 Days","Later")))</f>
        <v/>
      </c>
      <c r="T1154" s="425" t="inlineStr"/>
      <c r="U1154" s="426" t="inlineStr"/>
      <c r="V1154" s="426" t="inlineStr"/>
      <c r="W1154" s="428" t="inlineStr"/>
      <c r="X1154" s="425" t="inlineStr">
        <is>
          <t>Derek Contacts!25</t>
        </is>
      </c>
      <c r="Y1154" s="426" t="inlineStr">
        <is>
          <t>Research fit, find intro path, and draft first-touch email</t>
        </is>
      </c>
      <c r="Z1154" s="425" t="n">
        <v>1</v>
      </c>
      <c r="AA1154" s="425">
        <f>IF(AC1154="Archived",0,ROUND((IF(N1154="Tier 1",35,IF(N1154="Tier 2",20,8))+IF(C1154="Financial Investor",15,IF(C1154="Intermediary / Banker",12,8))+IF(L1154="Term Sheet / Proposal",25,IF(L1154="Engaged",20,IF(L1154="Meeting Requested",18,IF(L1154="Meeting Held",14,IF(L1154="Follow Up",10,5)))))+MIN(Q1154,30)+IF(S1154="DUE",15,IF(S1154="Next 3 Days",8,0))),0))</f>
        <v/>
      </c>
      <c r="AB1154" s="425">
        <f>IF(AND(AC1154="Active",OR(N1154="Tier 1",N1154="Tier 2"),OR(S1154="DUE",S1154="Next 3 Days")),"YES","")</f>
        <v/>
      </c>
      <c r="AC1154" s="425">
        <f>IF(L1154="Passed","Archived","Active")</f>
        <v/>
      </c>
    </row>
    <row r="1155">
      <c r="A1155" s="425" t="inlineStr">
        <is>
          <t>EXOS-1154</t>
        </is>
      </c>
      <c r="B1155" s="425" t="inlineStr">
        <is>
          <t>JQ Follow Up</t>
        </is>
      </c>
      <c r="C1155" s="425" t="inlineStr">
        <is>
          <t>Other / Review</t>
        </is>
      </c>
      <c r="D1155" s="425" t="inlineStr">
        <is>
          <t>Hanshin Leeand ETL</t>
        </is>
      </c>
      <c r="E1155" s="425" t="inlineStr">
        <is>
          <t>Sulaiman Sulaimani</t>
        </is>
      </c>
      <c r="F1155" s="425" t="inlineStr"/>
      <c r="G1155" s="425" t="inlineStr"/>
      <c r="H1155" s="425" t="inlineStr"/>
      <c r="I1155" s="425" t="inlineStr"/>
      <c r="J1155" s="425" t="inlineStr"/>
      <c r="K1155" s="426" t="inlineStr">
        <is>
          <t>John Quinn</t>
        </is>
      </c>
      <c r="L1155" s="426" t="inlineStr">
        <is>
          <t>Research</t>
        </is>
      </c>
      <c r="M1155" s="425" t="inlineStr">
        <is>
          <t>Needs qualification</t>
        </is>
      </c>
      <c r="N1155" s="426" t="inlineStr">
        <is>
          <t>Tier 3</t>
        </is>
      </c>
      <c r="O1155" s="425" t="n"/>
      <c r="P1155" s="425" t="n"/>
      <c r="Q1155" s="425">
        <f>IF(P1155="","",TODAY()-P1155)</f>
        <v/>
      </c>
      <c r="R1155" s="441">
        <f>IF(OR(L1155="Passed",Z1155=""),"",P1155+Z1155)</f>
        <v/>
      </c>
      <c r="S1155" s="425">
        <f>IF(OR(R1155="",L1155="Passed"),"",IF(R1155&lt;=TODAY(),"DUE",IF(R1155&lt;=TODAY()+3,"Next 3 Days","Later")))</f>
        <v/>
      </c>
      <c r="T1155" s="425" t="inlineStr"/>
      <c r="U1155" s="426" t="inlineStr"/>
      <c r="V1155" s="426" t="inlineStr"/>
      <c r="W1155" s="428" t="inlineStr">
        <is>
          <t xml:space="preserve"> | </t>
        </is>
      </c>
      <c r="X1155" s="425" t="inlineStr">
        <is>
          <t>JQ Follow Up!32</t>
        </is>
      </c>
      <c r="Y1155" s="426" t="inlineStr">
        <is>
          <t>Research fit, find intro path, and draft first-touch email</t>
        </is>
      </c>
      <c r="Z1155" s="425" t="n">
        <v>1</v>
      </c>
      <c r="AA1155" s="425">
        <f>IF(AC1155="Archived",0,ROUND((IF(N1155="Tier 1",35,IF(N1155="Tier 2",20,8))+IF(C1155="Financial Investor",15,IF(C1155="Intermediary / Banker",12,8))+IF(L1155="Term Sheet / Proposal",25,IF(L1155="Engaged",20,IF(L1155="Meeting Requested",18,IF(L1155="Meeting Held",14,IF(L1155="Follow Up",10,5)))))+MIN(Q1155,30)+IF(S1155="DUE",15,IF(S1155="Next 3 Days",8,0))),0))</f>
        <v/>
      </c>
      <c r="AB1155" s="425">
        <f>IF(AND(AC1155="Active",OR(N1155="Tier 1",N1155="Tier 2"),OR(S1155="DUE",S1155="Next 3 Days")),"YES","")</f>
        <v/>
      </c>
      <c r="AC1155" s="425">
        <f>IF(L1155="Passed","Archived","Active")</f>
        <v/>
      </c>
    </row>
    <row r="1156">
      <c r="A1156" s="425" t="inlineStr">
        <is>
          <t>EXOS-1155</t>
        </is>
      </c>
      <c r="B1156" s="425" t="inlineStr">
        <is>
          <t>Derek Contacts</t>
        </is>
      </c>
      <c r="C1156" s="425" t="inlineStr">
        <is>
          <t>Other / Review</t>
        </is>
      </c>
      <c r="D1156" s="425" t="inlineStr">
        <is>
          <t>High Precision</t>
        </is>
      </c>
      <c r="E1156" s="425" t="inlineStr">
        <is>
          <t>Earl Cooke</t>
        </is>
      </c>
      <c r="F1156" s="425" t="inlineStr"/>
      <c r="G1156" s="111" t="inlineStr">
        <is>
          <t>cooktx@gmail.com</t>
        </is>
      </c>
      <c r="H1156" s="425" t="inlineStr"/>
      <c r="I1156" s="425" t="inlineStr"/>
      <c r="J1156" s="425" t="inlineStr"/>
      <c r="K1156" s="426" t="inlineStr">
        <is>
          <t>John Quinn</t>
        </is>
      </c>
      <c r="L1156" s="426" t="inlineStr">
        <is>
          <t>Research</t>
        </is>
      </c>
      <c r="M1156" s="425" t="inlineStr">
        <is>
          <t>Needs qualification</t>
        </is>
      </c>
      <c r="N1156" s="426" t="inlineStr">
        <is>
          <t>Tier 3</t>
        </is>
      </c>
      <c r="O1156" s="425" t="n"/>
      <c r="P1156" s="425" t="n"/>
      <c r="Q1156" s="425">
        <f>IF(P1156="","",TODAY()-P1156)</f>
        <v/>
      </c>
      <c r="R1156" s="441">
        <f>IF(OR(L1156="Passed",Z1156=""),"",P1156+Z1156)</f>
        <v/>
      </c>
      <c r="S1156" s="425">
        <f>IF(OR(R1156="",L1156="Passed"),"",IF(R1156&lt;=TODAY(),"DUE",IF(R1156&lt;=TODAY()+3,"Next 3 Days","Later")))</f>
        <v/>
      </c>
      <c r="T1156" s="425" t="inlineStr"/>
      <c r="U1156" s="426" t="inlineStr"/>
      <c r="V1156" s="426" t="inlineStr"/>
      <c r="W1156" s="428" t="inlineStr">
        <is>
          <t>meeting booked / no show</t>
        </is>
      </c>
      <c r="X1156" s="425" t="inlineStr">
        <is>
          <t>Derek Contacts!26</t>
        </is>
      </c>
      <c r="Y1156" s="426" t="inlineStr">
        <is>
          <t>Research fit, find intro path, and draft first-touch email</t>
        </is>
      </c>
      <c r="Z1156" s="425" t="n">
        <v>1</v>
      </c>
      <c r="AA1156" s="425">
        <f>IF(AC1156="Archived",0,ROUND((IF(N1156="Tier 1",35,IF(N1156="Tier 2",20,8))+IF(C1156="Financial Investor",15,IF(C1156="Intermediary / Banker",12,8))+IF(L1156="Term Sheet / Proposal",25,IF(L1156="Engaged",20,IF(L1156="Meeting Requested",18,IF(L1156="Meeting Held",14,IF(L1156="Follow Up",10,5)))))+MIN(Q1156,30)+IF(S1156="DUE",15,IF(S1156="Next 3 Days",8,0))),0))</f>
        <v/>
      </c>
      <c r="AB1156" s="425">
        <f>IF(AND(AC1156="Active",OR(N1156="Tier 1",N1156="Tier 2"),OR(S1156="DUE",S1156="Next 3 Days")),"YES","")</f>
        <v/>
      </c>
      <c r="AC1156" s="425">
        <f>IF(L1156="Passed","Archived","Active")</f>
        <v/>
      </c>
    </row>
    <row r="1157">
      <c r="A1157" s="425" t="inlineStr">
        <is>
          <t>EXOS-1156</t>
        </is>
      </c>
      <c r="B1157" s="425" t="inlineStr">
        <is>
          <t>Derek Contacts</t>
        </is>
      </c>
      <c r="C1157" s="425" t="inlineStr">
        <is>
          <t>Other / Review</t>
        </is>
      </c>
      <c r="D1157" s="425" t="inlineStr">
        <is>
          <t>Houston Chronicle</t>
        </is>
      </c>
      <c r="E1157" s="425" t="inlineStr">
        <is>
          <t>Andrea Leinfelder</t>
        </is>
      </c>
      <c r="F1157" s="425" t="inlineStr">
        <is>
          <t>Reporter</t>
        </is>
      </c>
      <c r="G1157" s="111" t="inlineStr">
        <is>
          <t>andrea.leinfelder@houstonchronicle.com</t>
        </is>
      </c>
      <c r="H1157" s="425" t="inlineStr"/>
      <c r="I1157" s="425" t="inlineStr"/>
      <c r="J1157" s="425" t="inlineStr"/>
      <c r="K1157" s="426" t="inlineStr">
        <is>
          <t>John Quinn</t>
        </is>
      </c>
      <c r="L1157" s="426" t="inlineStr">
        <is>
          <t>Research</t>
        </is>
      </c>
      <c r="M1157" s="425" t="inlineStr">
        <is>
          <t>Needs qualification</t>
        </is>
      </c>
      <c r="N1157" s="426" t="inlineStr">
        <is>
          <t>Tier 3</t>
        </is>
      </c>
      <c r="O1157" s="425" t="n"/>
      <c r="P1157" s="425" t="n"/>
      <c r="Q1157" s="425">
        <f>IF(P1157="","",TODAY()-P1157)</f>
        <v/>
      </c>
      <c r="R1157" s="441">
        <f>IF(OR(L1157="Passed",Z1157=""),"",P1157+Z1157)</f>
        <v/>
      </c>
      <c r="S1157" s="425">
        <f>IF(OR(R1157="",L1157="Passed"),"",IF(R1157&lt;=TODAY(),"DUE",IF(R1157&lt;=TODAY()+3,"Next 3 Days","Later")))</f>
        <v/>
      </c>
      <c r="T1157" s="425" t="inlineStr"/>
      <c r="U1157" s="426" t="inlineStr"/>
      <c r="V1157" s="426" t="inlineStr"/>
      <c r="W1157" s="428" t="inlineStr">
        <is>
          <t>current contact of ours, but did not book</t>
        </is>
      </c>
      <c r="X1157" s="425" t="inlineStr">
        <is>
          <t>Derek Contacts!28</t>
        </is>
      </c>
      <c r="Y1157" s="426" t="inlineStr">
        <is>
          <t>Research fit, find intro path, and draft first-touch email</t>
        </is>
      </c>
      <c r="Z1157" s="425" t="n">
        <v>1</v>
      </c>
      <c r="AA1157" s="425">
        <f>IF(AC1157="Archived",0,ROUND((IF(N1157="Tier 1",35,IF(N1157="Tier 2",20,8))+IF(C1157="Financial Investor",15,IF(C1157="Intermediary / Banker",12,8))+IF(L1157="Term Sheet / Proposal",25,IF(L1157="Engaged",20,IF(L1157="Meeting Requested",18,IF(L1157="Meeting Held",14,IF(L1157="Follow Up",10,5)))))+MIN(Q1157,30)+IF(S1157="DUE",15,IF(S1157="Next 3 Days",8,0))),0))</f>
        <v/>
      </c>
      <c r="AB1157" s="425">
        <f>IF(AND(AC1157="Active",OR(N1157="Tier 1",N1157="Tier 2"),OR(S1157="DUE",S1157="Next 3 Days")),"YES","")</f>
        <v/>
      </c>
      <c r="AC1157" s="425">
        <f>IF(L1157="Passed","Archived","Active")</f>
        <v/>
      </c>
    </row>
    <row r="1158">
      <c r="A1158" s="425" t="inlineStr">
        <is>
          <t>EXOS-1157</t>
        </is>
      </c>
      <c r="B1158" s="425" t="inlineStr">
        <is>
          <t>Derek Contacts</t>
        </is>
      </c>
      <c r="C1158" s="425" t="inlineStr">
        <is>
          <t>Other / Review</t>
        </is>
      </c>
      <c r="D1158" s="425" t="inlineStr">
        <is>
          <t>Invest Green</t>
        </is>
      </c>
      <c r="E1158" s="425" t="inlineStr">
        <is>
          <t>Michael Krawchuk</t>
        </is>
      </c>
      <c r="F1158" s="425" t="inlineStr"/>
      <c r="G1158" s="111" t="inlineStr">
        <is>
          <t>mike@invest.green</t>
        </is>
      </c>
      <c r="H1158" s="425" t="inlineStr"/>
      <c r="I1158" s="425" t="inlineStr"/>
      <c r="J1158" s="425" t="inlineStr"/>
      <c r="K1158" s="426" t="inlineStr">
        <is>
          <t>John Quinn</t>
        </is>
      </c>
      <c r="L1158" s="426" t="inlineStr">
        <is>
          <t>Research</t>
        </is>
      </c>
      <c r="M1158" s="425" t="inlineStr">
        <is>
          <t>Needs qualification</t>
        </is>
      </c>
      <c r="N1158" s="426" t="inlineStr">
        <is>
          <t>Tier 3</t>
        </is>
      </c>
      <c r="O1158" s="425" t="n"/>
      <c r="P1158" s="425" t="n"/>
      <c r="Q1158" s="425">
        <f>IF(P1158="","",TODAY()-P1158)</f>
        <v/>
      </c>
      <c r="R1158" s="441">
        <f>IF(OR(L1158="Passed",Z1158=""),"",P1158+Z1158)</f>
        <v/>
      </c>
      <c r="S1158" s="425">
        <f>IF(OR(R1158="",L1158="Passed"),"",IF(R1158&lt;=TODAY(),"DUE",IF(R1158&lt;=TODAY()+3,"Next 3 Days","Later")))</f>
        <v/>
      </c>
      <c r="T1158" s="425" t="inlineStr"/>
      <c r="U1158" s="426" t="inlineStr"/>
      <c r="V1158" s="426" t="inlineStr"/>
      <c r="W1158" s="428" t="inlineStr"/>
      <c r="X1158" s="425" t="inlineStr">
        <is>
          <t>Derek Contacts!29</t>
        </is>
      </c>
      <c r="Y1158" s="426" t="inlineStr">
        <is>
          <t>Research fit, find intro path, and draft first-touch email</t>
        </is>
      </c>
      <c r="Z1158" s="425" t="n">
        <v>1</v>
      </c>
      <c r="AA1158" s="425">
        <f>IF(AC1158="Archived",0,ROUND((IF(N1158="Tier 1",35,IF(N1158="Tier 2",20,8))+IF(C1158="Financial Investor",15,IF(C1158="Intermediary / Banker",12,8))+IF(L1158="Term Sheet / Proposal",25,IF(L1158="Engaged",20,IF(L1158="Meeting Requested",18,IF(L1158="Meeting Held",14,IF(L1158="Follow Up",10,5)))))+MIN(Q1158,30)+IF(S1158="DUE",15,IF(S1158="Next 3 Days",8,0))),0))</f>
        <v/>
      </c>
      <c r="AB1158" s="425">
        <f>IF(AND(AC1158="Active",OR(N1158="Tier 1",N1158="Tier 2"),OR(S1158="DUE",S1158="Next 3 Days")),"YES","")</f>
        <v/>
      </c>
      <c r="AC1158" s="425">
        <f>IF(L1158="Passed","Archived","Active")</f>
        <v/>
      </c>
    </row>
    <row r="1159">
      <c r="A1159" s="425" t="inlineStr">
        <is>
          <t>EXOS-1158</t>
        </is>
      </c>
      <c r="B1159" s="425" t="inlineStr">
        <is>
          <t>JQ Follow Up</t>
        </is>
      </c>
      <c r="C1159" s="425" t="inlineStr">
        <is>
          <t>Other / Review</t>
        </is>
      </c>
      <c r="D1159" s="425" t="inlineStr">
        <is>
          <t>Iron Horse II</t>
        </is>
      </c>
      <c r="E1159" s="425" t="inlineStr">
        <is>
          <t>Jose Bengochea</t>
        </is>
      </c>
      <c r="F1159" s="425" t="inlineStr"/>
      <c r="G1159" s="111" t="inlineStr">
        <is>
          <t>jose@ironhorseacquisition.com</t>
        </is>
      </c>
      <c r="H1159" s="425" t="inlineStr"/>
      <c r="I1159" s="425" t="inlineStr">
        <is>
          <t>email connection made 1/7 - should be booking meeting</t>
        </is>
      </c>
      <c r="J1159" s="425" t="inlineStr"/>
      <c r="K1159" s="426" t="inlineStr">
        <is>
          <t>John Quinn</t>
        </is>
      </c>
      <c r="L1159" s="426" t="inlineStr">
        <is>
          <t>Research</t>
        </is>
      </c>
      <c r="M1159" s="425" t="inlineStr">
        <is>
          <t>Needs qualification</t>
        </is>
      </c>
      <c r="N1159" s="426" t="inlineStr">
        <is>
          <t>Tier 3</t>
        </is>
      </c>
      <c r="O1159" s="425" t="n"/>
      <c r="P1159" s="425" t="n"/>
      <c r="Q1159" s="425">
        <f>IF(P1159="","",TODAY()-P1159)</f>
        <v/>
      </c>
      <c r="R1159" s="441">
        <f>IF(OR(L1159="Passed",Z1159=""),"",P1159+Z1159)</f>
        <v/>
      </c>
      <c r="S1159" s="425">
        <f>IF(OR(R1159="",L1159="Passed"),"",IF(R1159&lt;=TODAY(),"DUE",IF(R1159&lt;=TODAY()+3,"Next 3 Days","Later")))</f>
        <v/>
      </c>
      <c r="T1159" s="425" t="inlineStr"/>
      <c r="U1159" s="426" t="inlineStr">
        <is>
          <t>referred by Zyad Wright</t>
        </is>
      </c>
      <c r="V1159" s="426" t="inlineStr"/>
      <c r="W1159" s="428" t="inlineStr">
        <is>
          <t xml:space="preserve"> | </t>
        </is>
      </c>
      <c r="X1159" s="425" t="inlineStr">
        <is>
          <t>JQ Follow Up!27</t>
        </is>
      </c>
      <c r="Y1159" s="426" t="inlineStr">
        <is>
          <t>Research fit, find intro path, and draft first-touch email</t>
        </is>
      </c>
      <c r="Z1159" s="425" t="n">
        <v>1</v>
      </c>
      <c r="AA1159" s="425">
        <f>IF(AC1159="Archived",0,ROUND((IF(N1159="Tier 1",35,IF(N1159="Tier 2",20,8))+IF(C1159="Financial Investor",15,IF(C1159="Intermediary / Banker",12,8))+IF(L1159="Term Sheet / Proposal",25,IF(L1159="Engaged",20,IF(L1159="Meeting Requested",18,IF(L1159="Meeting Held",14,IF(L1159="Follow Up",10,5)))))+MIN(Q1159,30)+IF(S1159="DUE",15,IF(S1159="Next 3 Days",8,0))),0))</f>
        <v/>
      </c>
      <c r="AB1159" s="425">
        <f>IF(AND(AC1159="Active",OR(N1159="Tier 1",N1159="Tier 2"),OR(S1159="DUE",S1159="Next 3 Days")),"YES","")</f>
        <v/>
      </c>
      <c r="AC1159" s="425">
        <f>IF(L1159="Passed","Archived","Active")</f>
        <v/>
      </c>
    </row>
    <row r="1160">
      <c r="A1160" s="425" t="inlineStr">
        <is>
          <t>EXOS-1159</t>
        </is>
      </c>
      <c r="B1160" s="425" t="inlineStr">
        <is>
          <t>JQ Follow Up</t>
        </is>
      </c>
      <c r="C1160" s="425" t="inlineStr">
        <is>
          <t>Other / Review</t>
        </is>
      </c>
      <c r="D1160" s="425" t="inlineStr">
        <is>
          <t>Irongate</t>
        </is>
      </c>
      <c r="E1160" s="425" t="inlineStr">
        <is>
          <t>Sulaiman Sulaimani</t>
        </is>
      </c>
      <c r="F1160" s="425" t="inlineStr"/>
      <c r="G1160" s="425" t="inlineStr"/>
      <c r="H1160" s="425" t="inlineStr"/>
      <c r="I1160" s="425" t="inlineStr"/>
      <c r="J1160" s="425" t="inlineStr"/>
      <c r="K1160" s="426" t="inlineStr">
        <is>
          <t>John Quinn</t>
        </is>
      </c>
      <c r="L1160" s="426" t="inlineStr">
        <is>
          <t>Research</t>
        </is>
      </c>
      <c r="M1160" s="425" t="inlineStr">
        <is>
          <t>Needs qualification</t>
        </is>
      </c>
      <c r="N1160" s="426" t="inlineStr">
        <is>
          <t>Tier 3</t>
        </is>
      </c>
      <c r="O1160" s="425" t="n"/>
      <c r="P1160" s="425" t="n"/>
      <c r="Q1160" s="425">
        <f>IF(P1160="","",TODAY()-P1160)</f>
        <v/>
      </c>
      <c r="R1160" s="441">
        <f>IF(OR(L1160="Passed",Z1160=""),"",P1160+Z1160)</f>
        <v/>
      </c>
      <c r="S1160" s="425">
        <f>IF(OR(R1160="",L1160="Passed"),"",IF(R1160&lt;=TODAY(),"DUE",IF(R1160&lt;=TODAY()+3,"Next 3 Days","Later")))</f>
        <v/>
      </c>
      <c r="T1160" s="425" t="inlineStr"/>
      <c r="U1160" s="426" t="inlineStr">
        <is>
          <t>Ty</t>
        </is>
      </c>
      <c r="V1160" s="426" t="inlineStr"/>
      <c r="W1160" s="428" t="inlineStr">
        <is>
          <t xml:space="preserve"> | </t>
        </is>
      </c>
      <c r="X1160" s="425" t="inlineStr">
        <is>
          <t>JQ Follow Up!31</t>
        </is>
      </c>
      <c r="Y1160" s="426" t="inlineStr">
        <is>
          <t>Research fit, find intro path, and draft first-touch email</t>
        </is>
      </c>
      <c r="Z1160" s="425" t="n">
        <v>1</v>
      </c>
      <c r="AA1160" s="425">
        <f>IF(AC1160="Archived",0,ROUND((IF(N1160="Tier 1",35,IF(N1160="Tier 2",20,8))+IF(C1160="Financial Investor",15,IF(C1160="Intermediary / Banker",12,8))+IF(L1160="Term Sheet / Proposal",25,IF(L1160="Engaged",20,IF(L1160="Meeting Requested",18,IF(L1160="Meeting Held",14,IF(L1160="Follow Up",10,5)))))+MIN(Q1160,30)+IF(S1160="DUE",15,IF(S1160="Next 3 Days",8,0))),0))</f>
        <v/>
      </c>
      <c r="AB1160" s="425">
        <f>IF(AND(AC1160="Active",OR(N1160="Tier 1",N1160="Tier 2"),OR(S1160="DUE",S1160="Next 3 Days")),"YES","")</f>
        <v/>
      </c>
      <c r="AC1160" s="425">
        <f>IF(L1160="Passed","Archived","Active")</f>
        <v/>
      </c>
    </row>
    <row r="1161">
      <c r="A1161" s="425" t="inlineStr">
        <is>
          <t>EXOS-1160</t>
        </is>
      </c>
      <c r="B1161" s="425" t="inlineStr">
        <is>
          <t>Derek Contacts</t>
        </is>
      </c>
      <c r="C1161" s="425" t="inlineStr">
        <is>
          <t>Other / Review</t>
        </is>
      </c>
      <c r="D1161" s="425" t="inlineStr">
        <is>
          <t>JP Morgan</t>
        </is>
      </c>
      <c r="E1161" s="425" t="inlineStr">
        <is>
          <t>Steve Barry; Phil Volpe</t>
        </is>
      </c>
      <c r="F1161" s="425" t="inlineStr">
        <is>
          <t>VP; VP</t>
        </is>
      </c>
      <c r="G1161" s="111" t="inlineStr">
        <is>
          <t>steven.m.barry@jpmorgan.com</t>
        </is>
      </c>
      <c r="H1161" s="425" t="inlineStr">
        <is>
          <t>philip.volpe@jpmorgan.com</t>
        </is>
      </c>
      <c r="I1161" s="425" t="inlineStr"/>
      <c r="J1161" s="425" t="inlineStr"/>
      <c r="K1161" s="426" t="inlineStr">
        <is>
          <t>John Quinn</t>
        </is>
      </c>
      <c r="L1161" s="426" t="inlineStr">
        <is>
          <t>Research</t>
        </is>
      </c>
      <c r="M1161" s="425" t="inlineStr">
        <is>
          <t>Needs qualification</t>
        </is>
      </c>
      <c r="N1161" s="426" t="inlineStr">
        <is>
          <t>Tier 3</t>
        </is>
      </c>
      <c r="O1161" s="425" t="n"/>
      <c r="P1161" s="425" t="n"/>
      <c r="Q1161" s="425">
        <f>IF(P1161="","",TODAY()-P1161)</f>
        <v/>
      </c>
      <c r="R1161" s="441">
        <f>IF(OR(L1161="Passed",Z1161=""),"",P1161+Z1161)</f>
        <v/>
      </c>
      <c r="S1161" s="425">
        <f>IF(OR(R1161="",L1161="Passed"),"",IF(R1161&lt;=TODAY(),"DUE",IF(R1161&lt;=TODAY()+3,"Next 3 Days","Later")))</f>
        <v/>
      </c>
      <c r="T1161" s="425" t="inlineStr"/>
      <c r="U1161" s="426" t="inlineStr"/>
      <c r="V1161" s="426" t="inlineStr"/>
      <c r="W1161" s="428" t="inlineStr"/>
      <c r="X1161" s="425" t="inlineStr">
        <is>
          <t>Derek Contacts!30</t>
        </is>
      </c>
      <c r="Y1161" s="426" t="inlineStr">
        <is>
          <t>Research fit, find intro path, and draft first-touch email</t>
        </is>
      </c>
      <c r="Z1161" s="425" t="n">
        <v>1</v>
      </c>
      <c r="AA1161" s="425">
        <f>IF(AC1161="Archived",0,ROUND((IF(N1161="Tier 1",35,IF(N1161="Tier 2",20,8))+IF(C1161="Financial Investor",15,IF(C1161="Intermediary / Banker",12,8))+IF(L1161="Term Sheet / Proposal",25,IF(L1161="Engaged",20,IF(L1161="Meeting Requested",18,IF(L1161="Meeting Held",14,IF(L1161="Follow Up",10,5)))))+MIN(Q1161,30)+IF(S1161="DUE",15,IF(S1161="Next 3 Days",8,0))),0))</f>
        <v/>
      </c>
      <c r="AB1161" s="425">
        <f>IF(AND(AC1161="Active",OR(N1161="Tier 1",N1161="Tier 2"),OR(S1161="DUE",S1161="Next 3 Days")),"YES","")</f>
        <v/>
      </c>
      <c r="AC1161" s="425">
        <f>IF(L1161="Passed","Archived","Active")</f>
        <v/>
      </c>
    </row>
    <row r="1162">
      <c r="A1162" s="425" t="inlineStr">
        <is>
          <t>EXOS-1161</t>
        </is>
      </c>
      <c r="B1162" s="425" t="inlineStr">
        <is>
          <t>Derek Contacts</t>
        </is>
      </c>
      <c r="C1162" s="425" t="inlineStr">
        <is>
          <t>Other / Review</t>
        </is>
      </c>
      <c r="D1162" s="425" t="inlineStr">
        <is>
          <t>JPL</t>
        </is>
      </c>
      <c r="E1162" s="425" t="inlineStr">
        <is>
          <t>Erika Podest</t>
        </is>
      </c>
      <c r="F1162" s="425" t="inlineStr"/>
      <c r="G1162" s="111" t="inlineStr">
        <is>
          <t>erika.podest@jpl.nasa.org</t>
        </is>
      </c>
      <c r="H1162" s="425" t="inlineStr"/>
      <c r="I1162" s="425" t="inlineStr"/>
      <c r="J1162" s="425" t="inlineStr"/>
      <c r="K1162" s="426" t="inlineStr">
        <is>
          <t>John Quinn</t>
        </is>
      </c>
      <c r="L1162" s="426" t="inlineStr">
        <is>
          <t>Research</t>
        </is>
      </c>
      <c r="M1162" s="425" t="inlineStr">
        <is>
          <t>Needs qualification</t>
        </is>
      </c>
      <c r="N1162" s="426" t="inlineStr">
        <is>
          <t>Tier 3</t>
        </is>
      </c>
      <c r="O1162" s="425" t="n"/>
      <c r="P1162" s="425" t="n"/>
      <c r="Q1162" s="425">
        <f>IF(P1162="","",TODAY()-P1162)</f>
        <v/>
      </c>
      <c r="R1162" s="441">
        <f>IF(OR(L1162="Passed",Z1162=""),"",P1162+Z1162)</f>
        <v/>
      </c>
      <c r="S1162" s="425">
        <f>IF(OR(R1162="",L1162="Passed"),"",IF(R1162&lt;=TODAY(),"DUE",IF(R1162&lt;=TODAY()+3,"Next 3 Days","Later")))</f>
        <v/>
      </c>
      <c r="T1162" s="425" t="inlineStr"/>
      <c r="U1162" s="426" t="inlineStr"/>
      <c r="V1162" s="426" t="inlineStr"/>
      <c r="W1162" s="428" t="inlineStr"/>
      <c r="X1162" s="425" t="inlineStr">
        <is>
          <t>Derek Contacts!31</t>
        </is>
      </c>
      <c r="Y1162" s="426" t="inlineStr">
        <is>
          <t>Research fit, find intro path, and draft first-touch email</t>
        </is>
      </c>
      <c r="Z1162" s="425" t="n">
        <v>1</v>
      </c>
      <c r="AA1162" s="425">
        <f>IF(AC1162="Archived",0,ROUND((IF(N1162="Tier 1",35,IF(N1162="Tier 2",20,8))+IF(C1162="Financial Investor",15,IF(C1162="Intermediary / Banker",12,8))+IF(L1162="Term Sheet / Proposal",25,IF(L1162="Engaged",20,IF(L1162="Meeting Requested",18,IF(L1162="Meeting Held",14,IF(L1162="Follow Up",10,5)))))+MIN(Q1162,30)+IF(S1162="DUE",15,IF(S1162="Next 3 Days",8,0))),0))</f>
        <v/>
      </c>
      <c r="AB1162" s="425">
        <f>IF(AND(AC1162="Active",OR(N1162="Tier 1",N1162="Tier 2"),OR(S1162="DUE",S1162="Next 3 Days")),"YES","")</f>
        <v/>
      </c>
      <c r="AC1162" s="425">
        <f>IF(L1162="Passed","Archived","Active")</f>
        <v/>
      </c>
    </row>
    <row r="1163">
      <c r="A1163" s="425" t="inlineStr">
        <is>
          <t>EXOS-1162</t>
        </is>
      </c>
      <c r="B1163" s="425" t="inlineStr">
        <is>
          <t>Derek Contacts</t>
        </is>
      </c>
      <c r="C1163" s="425" t="inlineStr">
        <is>
          <t>Other / Review</t>
        </is>
      </c>
      <c r="D1163" s="425" t="inlineStr">
        <is>
          <t>Marcus &amp; Millichap</t>
        </is>
      </c>
      <c r="E1163" s="425" t="inlineStr">
        <is>
          <t>Andres Lopez</t>
        </is>
      </c>
      <c r="F1163" s="425" t="inlineStr"/>
      <c r="G1163" s="111" t="inlineStr">
        <is>
          <t>andres.lopez@marcusmillichap.com</t>
        </is>
      </c>
      <c r="H1163" s="425" t="inlineStr"/>
      <c r="I1163" s="425" t="inlineStr">
        <is>
          <t>408-421-4703</t>
        </is>
      </c>
      <c r="J1163" s="425" t="inlineStr"/>
      <c r="K1163" s="426" t="inlineStr">
        <is>
          <t>John Quinn</t>
        </is>
      </c>
      <c r="L1163" s="426" t="inlineStr">
        <is>
          <t>Research</t>
        </is>
      </c>
      <c r="M1163" s="425" t="inlineStr">
        <is>
          <t>Needs qualification</t>
        </is>
      </c>
      <c r="N1163" s="426" t="inlineStr">
        <is>
          <t>Tier 3</t>
        </is>
      </c>
      <c r="O1163" s="425" t="n"/>
      <c r="P1163" s="425" t="n"/>
      <c r="Q1163" s="425">
        <f>IF(P1163="","",TODAY()-P1163)</f>
        <v/>
      </c>
      <c r="R1163" s="441">
        <f>IF(OR(L1163="Passed",Z1163=""),"",P1163+Z1163)</f>
        <v/>
      </c>
      <c r="S1163" s="425">
        <f>IF(OR(R1163="",L1163="Passed"),"",IF(R1163&lt;=TODAY(),"DUE",IF(R1163&lt;=TODAY()+3,"Next 3 Days","Later")))</f>
        <v/>
      </c>
      <c r="T1163" s="425" t="inlineStr"/>
      <c r="U1163" s="426" t="inlineStr"/>
      <c r="V1163" s="426" t="inlineStr"/>
      <c r="W1163" s="428" t="inlineStr"/>
      <c r="X1163" s="425" t="inlineStr">
        <is>
          <t>Derek Contacts!36</t>
        </is>
      </c>
      <c r="Y1163" s="426" t="inlineStr">
        <is>
          <t>Research fit, find intro path, and draft first-touch email</t>
        </is>
      </c>
      <c r="Z1163" s="425" t="n">
        <v>1</v>
      </c>
      <c r="AA1163" s="425">
        <f>IF(AC1163="Archived",0,ROUND((IF(N1163="Tier 1",35,IF(N1163="Tier 2",20,8))+IF(C1163="Financial Investor",15,IF(C1163="Intermediary / Banker",12,8))+IF(L1163="Term Sheet / Proposal",25,IF(L1163="Engaged",20,IF(L1163="Meeting Requested",18,IF(L1163="Meeting Held",14,IF(L1163="Follow Up",10,5)))))+MIN(Q1163,30)+IF(S1163="DUE",15,IF(S1163="Next 3 Days",8,0))),0))</f>
        <v/>
      </c>
      <c r="AB1163" s="425">
        <f>IF(AND(AC1163="Active",OR(N1163="Tier 1",N1163="Tier 2"),OR(S1163="DUE",S1163="Next 3 Days")),"YES","")</f>
        <v/>
      </c>
      <c r="AC1163" s="425">
        <f>IF(L1163="Passed","Archived","Active")</f>
        <v/>
      </c>
    </row>
    <row r="1164">
      <c r="A1164" s="425" t="inlineStr">
        <is>
          <t>EXOS-1163</t>
        </is>
      </c>
      <c r="B1164" s="425" t="inlineStr">
        <is>
          <t>Derek Contacts</t>
        </is>
      </c>
      <c r="C1164" s="425" t="inlineStr">
        <is>
          <t>Other / Review</t>
        </is>
      </c>
      <c r="D1164" s="425" t="inlineStr">
        <is>
          <t>Marvecx</t>
        </is>
      </c>
      <c r="E1164" s="425" t="inlineStr">
        <is>
          <t>Marvelours Ayinde</t>
        </is>
      </c>
      <c r="F1164" s="425" t="inlineStr"/>
      <c r="G1164" s="111" t="inlineStr">
        <is>
          <t>marvecxsparct@gmail.com</t>
        </is>
      </c>
      <c r="H1164" s="425" t="inlineStr"/>
      <c r="I1164" s="425" t="inlineStr"/>
      <c r="J1164" s="425" t="inlineStr"/>
      <c r="K1164" s="426" t="inlineStr">
        <is>
          <t>John Quinn</t>
        </is>
      </c>
      <c r="L1164" s="426" t="inlineStr">
        <is>
          <t>Research</t>
        </is>
      </c>
      <c r="M1164" s="425" t="inlineStr">
        <is>
          <t>Needs qualification</t>
        </is>
      </c>
      <c r="N1164" s="426" t="inlineStr">
        <is>
          <t>Tier 3</t>
        </is>
      </c>
      <c r="O1164" s="425" t="n"/>
      <c r="P1164" s="425" t="n"/>
      <c r="Q1164" s="425">
        <f>IF(P1164="","",TODAY()-P1164)</f>
        <v/>
      </c>
      <c r="R1164" s="441">
        <f>IF(OR(L1164="Passed",Z1164=""),"",P1164+Z1164)</f>
        <v/>
      </c>
      <c r="S1164" s="425">
        <f>IF(OR(R1164="",L1164="Passed"),"",IF(R1164&lt;=TODAY(),"DUE",IF(R1164&lt;=TODAY()+3,"Next 3 Days","Later")))</f>
        <v/>
      </c>
      <c r="T1164" s="425" t="inlineStr"/>
      <c r="U1164" s="426" t="inlineStr"/>
      <c r="V1164" s="426" t="inlineStr"/>
      <c r="W1164" s="428" t="inlineStr">
        <is>
          <t>meeting booked / no show</t>
        </is>
      </c>
      <c r="X1164" s="425" t="inlineStr">
        <is>
          <t>Derek Contacts!37</t>
        </is>
      </c>
      <c r="Y1164" s="426" t="inlineStr">
        <is>
          <t>Research fit, find intro path, and draft first-touch email</t>
        </is>
      </c>
      <c r="Z1164" s="425" t="n">
        <v>1</v>
      </c>
      <c r="AA1164" s="425">
        <f>IF(AC1164="Archived",0,ROUND((IF(N1164="Tier 1",35,IF(N1164="Tier 2",20,8))+IF(C1164="Financial Investor",15,IF(C1164="Intermediary / Banker",12,8))+IF(L1164="Term Sheet / Proposal",25,IF(L1164="Engaged",20,IF(L1164="Meeting Requested",18,IF(L1164="Meeting Held",14,IF(L1164="Follow Up",10,5)))))+MIN(Q1164,30)+IF(S1164="DUE",15,IF(S1164="Next 3 Days",8,0))),0))</f>
        <v/>
      </c>
      <c r="AB1164" s="425">
        <f>IF(AND(AC1164="Active",OR(N1164="Tier 1",N1164="Tier 2"),OR(S1164="DUE",S1164="Next 3 Days")),"YES","")</f>
        <v/>
      </c>
      <c r="AC1164" s="425">
        <f>IF(L1164="Passed","Archived","Active")</f>
        <v/>
      </c>
    </row>
    <row r="1165">
      <c r="A1165" s="425" t="inlineStr">
        <is>
          <t>EXOS-1164</t>
        </is>
      </c>
      <c r="B1165" s="425" t="inlineStr">
        <is>
          <t>Derek Contacts</t>
        </is>
      </c>
      <c r="C1165" s="425" t="inlineStr">
        <is>
          <t>Other / Review</t>
        </is>
      </c>
      <c r="D1165" s="425" t="inlineStr">
        <is>
          <t>Note Investment Corp</t>
        </is>
      </c>
      <c r="E1165" s="425" t="inlineStr">
        <is>
          <t>William Naranjo</t>
        </is>
      </c>
      <c r="F1165" s="425" t="inlineStr"/>
      <c r="G1165" s="111" t="inlineStr">
        <is>
          <t>william@noteinvestmentcorporatiin.com</t>
        </is>
      </c>
      <c r="H1165" s="425" t="inlineStr"/>
      <c r="I1165" s="425" t="inlineStr"/>
      <c r="J1165" s="425" t="inlineStr"/>
      <c r="K1165" s="426" t="inlineStr">
        <is>
          <t>John Quinn</t>
        </is>
      </c>
      <c r="L1165" s="426" t="inlineStr">
        <is>
          <t>Research</t>
        </is>
      </c>
      <c r="M1165" s="425" t="inlineStr">
        <is>
          <t>Needs qualification</t>
        </is>
      </c>
      <c r="N1165" s="426" t="inlineStr">
        <is>
          <t>Tier 3</t>
        </is>
      </c>
      <c r="O1165" s="425" t="n"/>
      <c r="P1165" s="425" t="n"/>
      <c r="Q1165" s="425">
        <f>IF(P1165="","",TODAY()-P1165)</f>
        <v/>
      </c>
      <c r="R1165" s="441">
        <f>IF(OR(L1165="Passed",Z1165=""),"",P1165+Z1165)</f>
        <v/>
      </c>
      <c r="S1165" s="425">
        <f>IF(OR(R1165="",L1165="Passed"),"",IF(R1165&lt;=TODAY(),"DUE",IF(R1165&lt;=TODAY()+3,"Next 3 Days","Later")))</f>
        <v/>
      </c>
      <c r="T1165" s="425" t="inlineStr"/>
      <c r="U1165" s="426" t="inlineStr"/>
      <c r="V1165" s="426" t="inlineStr"/>
      <c r="W1165" s="428" t="inlineStr"/>
      <c r="X1165" s="425" t="inlineStr">
        <is>
          <t>Derek Contacts!39</t>
        </is>
      </c>
      <c r="Y1165" s="426" t="inlineStr">
        <is>
          <t>Research fit, find intro path, and draft first-touch email</t>
        </is>
      </c>
      <c r="Z1165" s="425" t="n">
        <v>1</v>
      </c>
      <c r="AA1165" s="425">
        <f>IF(AC1165="Archived",0,ROUND((IF(N1165="Tier 1",35,IF(N1165="Tier 2",20,8))+IF(C1165="Financial Investor",15,IF(C1165="Intermediary / Banker",12,8))+IF(L1165="Term Sheet / Proposal",25,IF(L1165="Engaged",20,IF(L1165="Meeting Requested",18,IF(L1165="Meeting Held",14,IF(L1165="Follow Up",10,5)))))+MIN(Q1165,30)+IF(S1165="DUE",15,IF(S1165="Next 3 Days",8,0))),0))</f>
        <v/>
      </c>
      <c r="AB1165" s="425">
        <f>IF(AND(AC1165="Active",OR(N1165="Tier 1",N1165="Tier 2"),OR(S1165="DUE",S1165="Next 3 Days")),"YES","")</f>
        <v/>
      </c>
      <c r="AC1165" s="425">
        <f>IF(L1165="Passed","Archived","Active")</f>
        <v/>
      </c>
    </row>
    <row r="1166">
      <c r="A1166" s="425" t="inlineStr">
        <is>
          <t>EXOS-1165</t>
        </is>
      </c>
      <c r="B1166" s="425" t="inlineStr">
        <is>
          <t>Derek Contacts</t>
        </is>
      </c>
      <c r="C1166" s="425" t="inlineStr">
        <is>
          <t>Other / Review</t>
        </is>
      </c>
      <c r="D1166" s="425" t="inlineStr">
        <is>
          <t>Prototek</t>
        </is>
      </c>
      <c r="E1166" s="425" t="inlineStr">
        <is>
          <t>Jenifer Epperson</t>
        </is>
      </c>
      <c r="F1166" s="425" t="inlineStr">
        <is>
          <t>Business Development</t>
        </is>
      </c>
      <c r="G1166" s="111" t="inlineStr">
        <is>
          <t>eppersonjenni@gmail.com</t>
        </is>
      </c>
      <c r="H1166" s="425" t="inlineStr"/>
      <c r="I1166" s="425" t="inlineStr"/>
      <c r="J1166" s="425" t="inlineStr"/>
      <c r="K1166" s="426" t="inlineStr">
        <is>
          <t>John Quinn</t>
        </is>
      </c>
      <c r="L1166" s="426" t="inlineStr">
        <is>
          <t>Research</t>
        </is>
      </c>
      <c r="M1166" s="425" t="inlineStr">
        <is>
          <t>Needs qualification</t>
        </is>
      </c>
      <c r="N1166" s="426" t="inlineStr">
        <is>
          <t>Tier 3</t>
        </is>
      </c>
      <c r="O1166" s="425" t="n"/>
      <c r="P1166" s="425" t="n"/>
      <c r="Q1166" s="425">
        <f>IF(P1166="","",TODAY()-P1166)</f>
        <v/>
      </c>
      <c r="R1166" s="441">
        <f>IF(OR(L1166="Passed",Z1166=""),"",P1166+Z1166)</f>
        <v/>
      </c>
      <c r="S1166" s="425">
        <f>IF(OR(R1166="",L1166="Passed"),"",IF(R1166&lt;=TODAY(),"DUE",IF(R1166&lt;=TODAY()+3,"Next 3 Days","Later")))</f>
        <v/>
      </c>
      <c r="T1166" s="425" t="inlineStr"/>
      <c r="U1166" s="426" t="inlineStr"/>
      <c r="V1166" s="426" t="inlineStr"/>
      <c r="W1166" s="428" t="inlineStr">
        <is>
          <t>cancelled / no reschedule</t>
        </is>
      </c>
      <c r="X1166" s="425" t="inlineStr">
        <is>
          <t>Derek Contacts!43</t>
        </is>
      </c>
      <c r="Y1166" s="426" t="inlineStr">
        <is>
          <t>Research fit, find intro path, and draft first-touch email</t>
        </is>
      </c>
      <c r="Z1166" s="425" t="n">
        <v>1</v>
      </c>
      <c r="AA1166" s="425">
        <f>IF(AC1166="Archived",0,ROUND((IF(N1166="Tier 1",35,IF(N1166="Tier 2",20,8))+IF(C1166="Financial Investor",15,IF(C1166="Intermediary / Banker",12,8))+IF(L1166="Term Sheet / Proposal",25,IF(L1166="Engaged",20,IF(L1166="Meeting Requested",18,IF(L1166="Meeting Held",14,IF(L1166="Follow Up",10,5)))))+MIN(Q1166,30)+IF(S1166="DUE",15,IF(S1166="Next 3 Days",8,0))),0))</f>
        <v/>
      </c>
      <c r="AB1166" s="425">
        <f>IF(AND(AC1166="Active",OR(N1166="Tier 1",N1166="Tier 2"),OR(S1166="DUE",S1166="Next 3 Days")),"YES","")</f>
        <v/>
      </c>
      <c r="AC1166" s="425">
        <f>IF(L1166="Passed","Archived","Active")</f>
        <v/>
      </c>
    </row>
    <row r="1167">
      <c r="A1167" s="425" t="inlineStr">
        <is>
          <t>EXOS-1166</t>
        </is>
      </c>
      <c r="B1167" s="425" t="inlineStr">
        <is>
          <t>Derek Contacts</t>
        </is>
      </c>
      <c r="C1167" s="425" t="inlineStr">
        <is>
          <t>Other / Review</t>
        </is>
      </c>
      <c r="D1167" s="425" t="inlineStr">
        <is>
          <t>Quantum Technology Limited</t>
        </is>
      </c>
      <c r="E1167" s="425" t="inlineStr">
        <is>
          <t>Keryn Johnson</t>
        </is>
      </c>
      <c r="F1167" s="425" t="inlineStr">
        <is>
          <t>CEO / PhD</t>
        </is>
      </c>
      <c r="G1167" s="111" t="inlineStr">
        <is>
          <t>ohbeehave007@gmail.com</t>
        </is>
      </c>
      <c r="H1167" s="425" t="inlineStr"/>
      <c r="I1167" s="425" t="inlineStr">
        <is>
          <t>642-219-8782</t>
        </is>
      </c>
      <c r="J1167" s="425" t="inlineStr"/>
      <c r="K1167" s="426" t="inlineStr">
        <is>
          <t>John Quinn</t>
        </is>
      </c>
      <c r="L1167" s="426" t="inlineStr">
        <is>
          <t>Research</t>
        </is>
      </c>
      <c r="M1167" s="425" t="inlineStr">
        <is>
          <t>Needs qualification</t>
        </is>
      </c>
      <c r="N1167" s="426" t="inlineStr">
        <is>
          <t>Tier 3</t>
        </is>
      </c>
      <c r="O1167" s="425" t="n"/>
      <c r="P1167" s="425" t="n"/>
      <c r="Q1167" s="425">
        <f>IF(P1167="","",TODAY()-P1167)</f>
        <v/>
      </c>
      <c r="R1167" s="441">
        <f>IF(OR(L1167="Passed",Z1167=""),"",P1167+Z1167)</f>
        <v/>
      </c>
      <c r="S1167" s="425">
        <f>IF(OR(R1167="",L1167="Passed"),"",IF(R1167&lt;=TODAY(),"DUE",IF(R1167&lt;=TODAY()+3,"Next 3 Days","Later")))</f>
        <v/>
      </c>
      <c r="T1167" s="425" t="inlineStr"/>
      <c r="U1167" s="426" t="inlineStr"/>
      <c r="V1167" s="426" t="inlineStr"/>
      <c r="W1167" s="428" t="inlineStr"/>
      <c r="X1167" s="425" t="inlineStr">
        <is>
          <t>Derek Contacts!44</t>
        </is>
      </c>
      <c r="Y1167" s="426" t="inlineStr">
        <is>
          <t>Research fit, find intro path, and draft first-touch email</t>
        </is>
      </c>
      <c r="Z1167" s="425" t="n">
        <v>1</v>
      </c>
      <c r="AA1167" s="425">
        <f>IF(AC1167="Archived",0,ROUND((IF(N1167="Tier 1",35,IF(N1167="Tier 2",20,8))+IF(C1167="Financial Investor",15,IF(C1167="Intermediary / Banker",12,8))+IF(L1167="Term Sheet / Proposal",25,IF(L1167="Engaged",20,IF(L1167="Meeting Requested",18,IF(L1167="Meeting Held",14,IF(L1167="Follow Up",10,5)))))+MIN(Q1167,30)+IF(S1167="DUE",15,IF(S1167="Next 3 Days",8,0))),0))</f>
        <v/>
      </c>
      <c r="AB1167" s="425">
        <f>IF(AND(AC1167="Active",OR(N1167="Tier 1",N1167="Tier 2"),OR(S1167="DUE",S1167="Next 3 Days")),"YES","")</f>
        <v/>
      </c>
      <c r="AC1167" s="425">
        <f>IF(L1167="Passed","Archived","Active")</f>
        <v/>
      </c>
    </row>
    <row r="1168">
      <c r="A1168" s="425" t="inlineStr">
        <is>
          <t>EXOS-1167</t>
        </is>
      </c>
      <c r="B1168" s="425" t="inlineStr">
        <is>
          <t>Derek Contacts</t>
        </is>
      </c>
      <c r="C1168" s="425" t="inlineStr">
        <is>
          <t>Other / Review</t>
        </is>
      </c>
      <c r="D1168" s="425" t="inlineStr">
        <is>
          <t>Rocket Propulsion Systems</t>
        </is>
      </c>
      <c r="E1168" s="425" t="inlineStr">
        <is>
          <t>Max Ismailov</t>
        </is>
      </c>
      <c r="F1168" s="425" t="inlineStr"/>
      <c r="G1168" s="111" t="inlineStr">
        <is>
          <t>info@rocketpropulsionsysyems.com</t>
        </is>
      </c>
      <c r="H1168" s="425" t="inlineStr"/>
      <c r="I1168" s="425" t="inlineStr"/>
      <c r="J1168" s="425" t="inlineStr"/>
      <c r="K1168" s="426" t="inlineStr">
        <is>
          <t>John Quinn</t>
        </is>
      </c>
      <c r="L1168" s="426" t="inlineStr">
        <is>
          <t>Research</t>
        </is>
      </c>
      <c r="M1168" s="425" t="inlineStr">
        <is>
          <t>Needs qualification</t>
        </is>
      </c>
      <c r="N1168" s="426" t="inlineStr">
        <is>
          <t>Tier 3</t>
        </is>
      </c>
      <c r="O1168" s="425" t="n"/>
      <c r="P1168" s="425" t="n"/>
      <c r="Q1168" s="425">
        <f>IF(P1168="","",TODAY()-P1168)</f>
        <v/>
      </c>
      <c r="R1168" s="441">
        <f>IF(OR(L1168="Passed",Z1168=""),"",P1168+Z1168)</f>
        <v/>
      </c>
      <c r="S1168" s="425">
        <f>IF(OR(R1168="",L1168="Passed"),"",IF(R1168&lt;=TODAY(),"DUE",IF(R1168&lt;=TODAY()+3,"Next 3 Days","Later")))</f>
        <v/>
      </c>
      <c r="T1168" s="425" t="inlineStr"/>
      <c r="U1168" s="426" t="inlineStr"/>
      <c r="V1168" s="426" t="inlineStr"/>
      <c r="W1168" s="428" t="inlineStr"/>
      <c r="X1168" s="425" t="inlineStr">
        <is>
          <t>Derek Contacts!47</t>
        </is>
      </c>
      <c r="Y1168" s="426" t="inlineStr">
        <is>
          <t>Research fit, find intro path, and draft first-touch email</t>
        </is>
      </c>
      <c r="Z1168" s="425" t="n">
        <v>1</v>
      </c>
      <c r="AA1168" s="425">
        <f>IF(AC1168="Archived",0,ROUND((IF(N1168="Tier 1",35,IF(N1168="Tier 2",20,8))+IF(C1168="Financial Investor",15,IF(C1168="Intermediary / Banker",12,8))+IF(L1168="Term Sheet / Proposal",25,IF(L1168="Engaged",20,IF(L1168="Meeting Requested",18,IF(L1168="Meeting Held",14,IF(L1168="Follow Up",10,5)))))+MIN(Q1168,30)+IF(S1168="DUE",15,IF(S1168="Next 3 Days",8,0))),0))</f>
        <v/>
      </c>
      <c r="AB1168" s="425">
        <f>IF(AND(AC1168="Active",OR(N1168="Tier 1",N1168="Tier 2"),OR(S1168="DUE",S1168="Next 3 Days")),"YES","")</f>
        <v/>
      </c>
      <c r="AC1168" s="425">
        <f>IF(L1168="Passed","Archived","Active")</f>
        <v/>
      </c>
    </row>
    <row r="1169">
      <c r="A1169" s="425" t="inlineStr">
        <is>
          <t>EXOS-1168</t>
        </is>
      </c>
      <c r="B1169" s="425" t="inlineStr">
        <is>
          <t>Derek Contacts</t>
        </is>
      </c>
      <c r="C1169" s="425" t="inlineStr">
        <is>
          <t>Other / Review</t>
        </is>
      </c>
      <c r="D1169" s="425" t="inlineStr">
        <is>
          <t>Rockwell Automation</t>
        </is>
      </c>
      <c r="E1169" s="425" t="inlineStr">
        <is>
          <t>Alexander Smith</t>
        </is>
      </c>
      <c r="F1169" s="425" t="inlineStr">
        <is>
          <t>CEO</t>
        </is>
      </c>
      <c r="G1169" s="111" t="inlineStr">
        <is>
          <t>ajsmith3@rockwellautomation.com</t>
        </is>
      </c>
      <c r="H1169" s="425" t="inlineStr"/>
      <c r="I1169" s="425" t="inlineStr"/>
      <c r="J1169" s="425" t="inlineStr"/>
      <c r="K1169" s="426" t="inlineStr">
        <is>
          <t>John Quinn</t>
        </is>
      </c>
      <c r="L1169" s="426" t="inlineStr">
        <is>
          <t>Research</t>
        </is>
      </c>
      <c r="M1169" s="425" t="inlineStr">
        <is>
          <t>Needs qualification</t>
        </is>
      </c>
      <c r="N1169" s="426" t="inlineStr">
        <is>
          <t>Tier 3</t>
        </is>
      </c>
      <c r="O1169" s="425" t="n"/>
      <c r="P1169" s="425" t="n"/>
      <c r="Q1169" s="425">
        <f>IF(P1169="","",TODAY()-P1169)</f>
        <v/>
      </c>
      <c r="R1169" s="441">
        <f>IF(OR(L1169="Passed",Z1169=""),"",P1169+Z1169)</f>
        <v/>
      </c>
      <c r="S1169" s="425">
        <f>IF(OR(R1169="",L1169="Passed"),"",IF(R1169&lt;=TODAY(),"DUE",IF(R1169&lt;=TODAY()+3,"Next 3 Days","Later")))</f>
        <v/>
      </c>
      <c r="T1169" s="425" t="inlineStr"/>
      <c r="U1169" s="426" t="inlineStr"/>
      <c r="V1169" s="426" t="inlineStr"/>
      <c r="W1169" s="428" t="inlineStr"/>
      <c r="X1169" s="425" t="inlineStr">
        <is>
          <t>Derek Contacts!48</t>
        </is>
      </c>
      <c r="Y1169" s="426" t="inlineStr">
        <is>
          <t>Research fit, find intro path, and draft first-touch email</t>
        </is>
      </c>
      <c r="Z1169" s="425" t="n">
        <v>1</v>
      </c>
      <c r="AA1169" s="425">
        <f>IF(AC1169="Archived",0,ROUND((IF(N1169="Tier 1",35,IF(N1169="Tier 2",20,8))+IF(C1169="Financial Investor",15,IF(C1169="Intermediary / Banker",12,8))+IF(L1169="Term Sheet / Proposal",25,IF(L1169="Engaged",20,IF(L1169="Meeting Requested",18,IF(L1169="Meeting Held",14,IF(L1169="Follow Up",10,5)))))+MIN(Q1169,30)+IF(S1169="DUE",15,IF(S1169="Next 3 Days",8,0))),0))</f>
        <v/>
      </c>
      <c r="AB1169" s="425">
        <f>IF(AND(AC1169="Active",OR(N1169="Tier 1",N1169="Tier 2"),OR(S1169="DUE",S1169="Next 3 Days")),"YES","")</f>
        <v/>
      </c>
      <c r="AC1169" s="425">
        <f>IF(L1169="Passed","Archived","Active")</f>
        <v/>
      </c>
    </row>
    <row r="1170">
      <c r="A1170" s="425" t="inlineStr">
        <is>
          <t>EXOS-1169</t>
        </is>
      </c>
      <c r="B1170" s="425" t="inlineStr">
        <is>
          <t>Derek Contacts</t>
        </is>
      </c>
      <c r="C1170" s="425" t="inlineStr">
        <is>
          <t>Other / Review</t>
        </is>
      </c>
      <c r="D1170" s="425" t="inlineStr">
        <is>
          <t>SLS Group</t>
        </is>
      </c>
      <c r="E1170" s="425" t="inlineStr">
        <is>
          <t>Ben Port</t>
        </is>
      </c>
      <c r="F1170" s="425" t="inlineStr"/>
      <c r="G1170" s="111" t="inlineStr">
        <is>
          <t>ben@slsgroup.io</t>
        </is>
      </c>
      <c r="H1170" s="425" t="inlineStr"/>
      <c r="I1170" s="425" t="inlineStr"/>
      <c r="J1170" s="425" t="inlineStr"/>
      <c r="K1170" s="426" t="inlineStr">
        <is>
          <t>John Quinn</t>
        </is>
      </c>
      <c r="L1170" s="426" t="inlineStr">
        <is>
          <t>Research</t>
        </is>
      </c>
      <c r="M1170" s="425" t="inlineStr">
        <is>
          <t>Needs qualification</t>
        </is>
      </c>
      <c r="N1170" s="426" t="inlineStr">
        <is>
          <t>Tier 3</t>
        </is>
      </c>
      <c r="O1170" s="425" t="n"/>
      <c r="P1170" s="425" t="n"/>
      <c r="Q1170" s="425">
        <f>IF(P1170="","",TODAY()-P1170)</f>
        <v/>
      </c>
      <c r="R1170" s="441">
        <f>IF(OR(L1170="Passed",Z1170=""),"",P1170+Z1170)</f>
        <v/>
      </c>
      <c r="S1170" s="425">
        <f>IF(OR(R1170="",L1170="Passed"),"",IF(R1170&lt;=TODAY(),"DUE",IF(R1170&lt;=TODAY()+3,"Next 3 Days","Later")))</f>
        <v/>
      </c>
      <c r="T1170" s="425" t="inlineStr"/>
      <c r="U1170" s="426" t="inlineStr"/>
      <c r="V1170" s="426" t="inlineStr"/>
      <c r="W1170" s="428" t="inlineStr"/>
      <c r="X1170" s="425" t="inlineStr">
        <is>
          <t>Derek Contacts!50</t>
        </is>
      </c>
      <c r="Y1170" s="426" t="inlineStr">
        <is>
          <t>Research fit, find intro path, and draft first-touch email</t>
        </is>
      </c>
      <c r="Z1170" s="425" t="n">
        <v>1</v>
      </c>
      <c r="AA1170" s="425">
        <f>IF(AC1170="Archived",0,ROUND((IF(N1170="Tier 1",35,IF(N1170="Tier 2",20,8))+IF(C1170="Financial Investor",15,IF(C1170="Intermediary / Banker",12,8))+IF(L1170="Term Sheet / Proposal",25,IF(L1170="Engaged",20,IF(L1170="Meeting Requested",18,IF(L1170="Meeting Held",14,IF(L1170="Follow Up",10,5)))))+MIN(Q1170,30)+IF(S1170="DUE",15,IF(S1170="Next 3 Days",8,0))),0))</f>
        <v/>
      </c>
      <c r="AB1170" s="425">
        <f>IF(AND(AC1170="Active",OR(N1170="Tier 1",N1170="Tier 2"),OR(S1170="DUE",S1170="Next 3 Days")),"YES","")</f>
        <v/>
      </c>
      <c r="AC1170" s="425">
        <f>IF(L1170="Passed","Archived","Active")</f>
        <v/>
      </c>
    </row>
    <row r="1171">
      <c r="A1171" s="425" t="inlineStr">
        <is>
          <t>EXOS-1170</t>
        </is>
      </c>
      <c r="B1171" s="425" t="inlineStr">
        <is>
          <t>Derek Contacts</t>
        </is>
      </c>
      <c r="C1171" s="425" t="inlineStr">
        <is>
          <t>Other / Review</t>
        </is>
      </c>
      <c r="D1171" s="425" t="inlineStr">
        <is>
          <t>Sun Burn Schematics</t>
        </is>
      </c>
      <c r="E1171" s="425" t="inlineStr">
        <is>
          <t>Danny Andreev</t>
        </is>
      </c>
      <c r="F1171" s="425" t="inlineStr"/>
      <c r="G1171" s="111" t="inlineStr">
        <is>
          <t>danny@sunburnscematics.com</t>
        </is>
      </c>
      <c r="H1171" s="425" t="inlineStr"/>
      <c r="I1171" s="425" t="inlineStr"/>
      <c r="J1171" s="425" t="inlineStr"/>
      <c r="K1171" s="426" t="inlineStr">
        <is>
          <t>John Quinn</t>
        </is>
      </c>
      <c r="L1171" s="426" t="inlineStr">
        <is>
          <t>Research</t>
        </is>
      </c>
      <c r="M1171" s="425" t="inlineStr">
        <is>
          <t>Needs qualification</t>
        </is>
      </c>
      <c r="N1171" s="426" t="inlineStr">
        <is>
          <t>Tier 3</t>
        </is>
      </c>
      <c r="O1171" s="425" t="n"/>
      <c r="P1171" s="425" t="n"/>
      <c r="Q1171" s="425">
        <f>IF(P1171="","",TODAY()-P1171)</f>
        <v/>
      </c>
      <c r="R1171" s="441">
        <f>IF(OR(L1171="Passed",Z1171=""),"",P1171+Z1171)</f>
        <v/>
      </c>
      <c r="S1171" s="425">
        <f>IF(OR(R1171="",L1171="Passed"),"",IF(R1171&lt;=TODAY(),"DUE",IF(R1171&lt;=TODAY()+3,"Next 3 Days","Later")))</f>
        <v/>
      </c>
      <c r="T1171" s="425" t="inlineStr"/>
      <c r="U1171" s="426" t="inlineStr"/>
      <c r="V1171" s="426" t="inlineStr"/>
      <c r="W1171" s="428" t="inlineStr"/>
      <c r="X1171" s="425" t="inlineStr">
        <is>
          <t>Derek Contacts!51</t>
        </is>
      </c>
      <c r="Y1171" s="426" t="inlineStr">
        <is>
          <t>Research fit, find intro path, and draft first-touch email</t>
        </is>
      </c>
      <c r="Z1171" s="425" t="n">
        <v>1</v>
      </c>
      <c r="AA1171" s="425">
        <f>IF(AC1171="Archived",0,ROUND((IF(N1171="Tier 1",35,IF(N1171="Tier 2",20,8))+IF(C1171="Financial Investor",15,IF(C1171="Intermediary / Banker",12,8))+IF(L1171="Term Sheet / Proposal",25,IF(L1171="Engaged",20,IF(L1171="Meeting Requested",18,IF(L1171="Meeting Held",14,IF(L1171="Follow Up",10,5)))))+MIN(Q1171,30)+IF(S1171="DUE",15,IF(S1171="Next 3 Days",8,0))),0))</f>
        <v/>
      </c>
      <c r="AB1171" s="425">
        <f>IF(AND(AC1171="Active",OR(N1171="Tier 1",N1171="Tier 2"),OR(S1171="DUE",S1171="Next 3 Days")),"YES","")</f>
        <v/>
      </c>
      <c r="AC1171" s="425">
        <f>IF(L1171="Passed","Archived","Active")</f>
        <v/>
      </c>
    </row>
    <row r="1172">
      <c r="A1172" s="425" t="inlineStr">
        <is>
          <t>EXOS-1171</t>
        </is>
      </c>
      <c r="B1172" s="425" t="inlineStr">
        <is>
          <t>JQ Follow Up</t>
        </is>
      </c>
      <c r="C1172" s="425" t="inlineStr">
        <is>
          <t>Other / Review</t>
        </is>
      </c>
      <c r="D1172" s="425" t="inlineStr">
        <is>
          <t>Tech Nexus</t>
        </is>
      </c>
      <c r="E1172" s="425" t="inlineStr">
        <is>
          <t>Joey Alfieri</t>
        </is>
      </c>
      <c r="F1172" s="425" t="inlineStr"/>
      <c r="G1172" s="111" t="inlineStr">
        <is>
          <t>joey@technexus.com</t>
        </is>
      </c>
      <c r="H1172" s="425" t="inlineStr"/>
      <c r="I1172" s="425" t="inlineStr">
        <is>
          <t>12/3 sent booking link to book call</t>
        </is>
      </c>
      <c r="J1172" s="425" t="inlineStr"/>
      <c r="K1172" s="426" t="inlineStr">
        <is>
          <t>John Quinn</t>
        </is>
      </c>
      <c r="L1172" s="426" t="inlineStr">
        <is>
          <t>Research</t>
        </is>
      </c>
      <c r="M1172" s="425" t="inlineStr">
        <is>
          <t>Needs qualification</t>
        </is>
      </c>
      <c r="N1172" s="426" t="inlineStr">
        <is>
          <t>Tier 3</t>
        </is>
      </c>
      <c r="O1172" s="425" t="n"/>
      <c r="P1172" s="425" t="n"/>
      <c r="Q1172" s="425">
        <f>IF(P1172="","",TODAY()-P1172)</f>
        <v/>
      </c>
      <c r="R1172" s="441">
        <f>IF(OR(L1172="Passed",Z1172=""),"",P1172+Z1172)</f>
        <v/>
      </c>
      <c r="S1172" s="425">
        <f>IF(OR(R1172="",L1172="Passed"),"",IF(R1172&lt;=TODAY(),"DUE",IF(R1172&lt;=TODAY()+3,"Next 3 Days","Later")))</f>
        <v/>
      </c>
      <c r="T1172" s="425" t="inlineStr"/>
      <c r="U1172" s="426" t="inlineStr"/>
      <c r="V1172" s="426" t="inlineStr"/>
      <c r="W1172" s="428" t="inlineStr">
        <is>
          <t xml:space="preserve"> | </t>
        </is>
      </c>
      <c r="X1172" s="425" t="inlineStr">
        <is>
          <t>JQ Follow Up!22</t>
        </is>
      </c>
      <c r="Y1172" s="426" t="inlineStr">
        <is>
          <t>Research fit, find intro path, and draft first-touch email</t>
        </is>
      </c>
      <c r="Z1172" s="425" t="n">
        <v>1</v>
      </c>
      <c r="AA1172" s="425">
        <f>IF(AC1172="Archived",0,ROUND((IF(N1172="Tier 1",35,IF(N1172="Tier 2",20,8))+IF(C1172="Financial Investor",15,IF(C1172="Intermediary / Banker",12,8))+IF(L1172="Term Sheet / Proposal",25,IF(L1172="Engaged",20,IF(L1172="Meeting Requested",18,IF(L1172="Meeting Held",14,IF(L1172="Follow Up",10,5)))))+MIN(Q1172,30)+IF(S1172="DUE",15,IF(S1172="Next 3 Days",8,0))),0))</f>
        <v/>
      </c>
      <c r="AB1172" s="425">
        <f>IF(AND(AC1172="Active",OR(N1172="Tier 1",N1172="Tier 2"),OR(S1172="DUE",S1172="Next 3 Days")),"YES","")</f>
        <v/>
      </c>
      <c r="AC1172" s="425">
        <f>IF(L1172="Passed","Archived","Active")</f>
        <v/>
      </c>
    </row>
    <row r="1173">
      <c r="A1173" s="425" t="inlineStr">
        <is>
          <t>EXOS-1172</t>
        </is>
      </c>
      <c r="B1173" s="425" t="inlineStr">
        <is>
          <t>JQ Follow Up</t>
        </is>
      </c>
      <c r="C1173" s="425" t="inlineStr">
        <is>
          <t>Other / Review</t>
        </is>
      </c>
      <c r="D1173" s="425" t="inlineStr">
        <is>
          <t>Unity Group</t>
        </is>
      </c>
      <c r="E1173" s="425" t="inlineStr">
        <is>
          <t>Jeremy Harbour</t>
        </is>
      </c>
      <c r="F1173" s="425" t="inlineStr"/>
      <c r="G1173" s="111" t="inlineStr">
        <is>
          <t>jeremy@unity-group.com</t>
        </is>
      </c>
      <c r="H1173" s="425" t="inlineStr"/>
      <c r="I1173" s="425" t="inlineStr"/>
      <c r="J1173" s="425" t="inlineStr"/>
      <c r="K1173" s="426" t="inlineStr">
        <is>
          <t>John Quinn</t>
        </is>
      </c>
      <c r="L1173" s="426" t="inlineStr">
        <is>
          <t>Research</t>
        </is>
      </c>
      <c r="M1173" s="425" t="inlineStr">
        <is>
          <t>Needs qualification</t>
        </is>
      </c>
      <c r="N1173" s="426" t="inlineStr">
        <is>
          <t>Tier 3</t>
        </is>
      </c>
      <c r="O1173" s="425" t="n"/>
      <c r="P1173" s="425" t="n"/>
      <c r="Q1173" s="425">
        <f>IF(P1173="","",TODAY()-P1173)</f>
        <v/>
      </c>
      <c r="R1173" s="441">
        <f>IF(OR(L1173="Passed",Z1173=""),"",P1173+Z1173)</f>
        <v/>
      </c>
      <c r="S1173" s="425">
        <f>IF(OR(R1173="",L1173="Passed"),"",IF(R1173&lt;=TODAY(),"DUE",IF(R1173&lt;=TODAY()+3,"Next 3 Days","Later")))</f>
        <v/>
      </c>
      <c r="T1173" s="425" t="inlineStr"/>
      <c r="U1173" s="426" t="inlineStr">
        <is>
          <t>Tahmina Kahn referred</t>
        </is>
      </c>
      <c r="V1173" s="426" t="inlineStr"/>
      <c r="W1173" s="428" t="inlineStr">
        <is>
          <t xml:space="preserve">wants to take puclic in europe markets, unlisted - 2.5 mill - 3-4 steps, building to take puclic in a few years | </t>
        </is>
      </c>
      <c r="X1173" s="425" t="inlineStr">
        <is>
          <t>JQ Follow Up!5</t>
        </is>
      </c>
      <c r="Y1173" s="426" t="inlineStr">
        <is>
          <t>Research fit, find intro path, and draft first-touch email</t>
        </is>
      </c>
      <c r="Z1173" s="425" t="n">
        <v>1</v>
      </c>
      <c r="AA1173" s="425">
        <f>IF(AC1173="Archived",0,ROUND((IF(N1173="Tier 1",35,IF(N1173="Tier 2",20,8))+IF(C1173="Financial Investor",15,IF(C1173="Intermediary / Banker",12,8))+IF(L1173="Term Sheet / Proposal",25,IF(L1173="Engaged",20,IF(L1173="Meeting Requested",18,IF(L1173="Meeting Held",14,IF(L1173="Follow Up",10,5)))))+MIN(Q1173,30)+IF(S1173="DUE",15,IF(S1173="Next 3 Days",8,0))),0))</f>
        <v/>
      </c>
      <c r="AB1173" s="425">
        <f>IF(AND(AC1173="Active",OR(N1173="Tier 1",N1173="Tier 2"),OR(S1173="DUE",S1173="Next 3 Days")),"YES","")</f>
        <v/>
      </c>
      <c r="AC1173" s="425">
        <f>IF(L1173="Passed","Archived","Active")</f>
        <v/>
      </c>
    </row>
    <row r="1174">
      <c r="A1174" s="425" t="inlineStr">
        <is>
          <t>EXOS-1173</t>
        </is>
      </c>
      <c r="B1174" s="425" t="inlineStr">
        <is>
          <t>Derek Contacts</t>
        </is>
      </c>
      <c r="C1174" s="425" t="inlineStr">
        <is>
          <t>Other / Review</t>
        </is>
      </c>
      <c r="D1174" s="425" t="inlineStr">
        <is>
          <t>V2 Axis</t>
        </is>
      </c>
      <c r="E1174" s="425" t="inlineStr">
        <is>
          <t>Taylor Schomacher</t>
        </is>
      </c>
      <c r="F1174" s="425" t="inlineStr">
        <is>
          <t>VP</t>
        </is>
      </c>
      <c r="G1174" s="111" t="inlineStr">
        <is>
          <t>taylor@v2axis.com</t>
        </is>
      </c>
      <c r="H1174" s="425" t="inlineStr"/>
      <c r="I1174" s="425" t="inlineStr"/>
      <c r="J1174" s="425" t="inlineStr"/>
      <c r="K1174" s="426" t="inlineStr">
        <is>
          <t>John Quinn</t>
        </is>
      </c>
      <c r="L1174" s="426" t="inlineStr">
        <is>
          <t>Research</t>
        </is>
      </c>
      <c r="M1174" s="425" t="inlineStr">
        <is>
          <t>Needs qualification</t>
        </is>
      </c>
      <c r="N1174" s="426" t="inlineStr">
        <is>
          <t>Tier 3</t>
        </is>
      </c>
      <c r="O1174" s="425" t="n"/>
      <c r="P1174" s="425" t="n"/>
      <c r="Q1174" s="425">
        <f>IF(P1174="","",TODAY()-P1174)</f>
        <v/>
      </c>
      <c r="R1174" s="441">
        <f>IF(OR(L1174="Passed",Z1174=""),"",P1174+Z1174)</f>
        <v/>
      </c>
      <c r="S1174" s="425">
        <f>IF(OR(R1174="",L1174="Passed"),"",IF(R1174&lt;=TODAY(),"DUE",IF(R1174&lt;=TODAY()+3,"Next 3 Days","Later")))</f>
        <v/>
      </c>
      <c r="T1174" s="425" t="inlineStr"/>
      <c r="U1174" s="426" t="inlineStr"/>
      <c r="V1174" s="426" t="inlineStr"/>
      <c r="W1174" s="428" t="inlineStr"/>
      <c r="X1174" s="425" t="inlineStr">
        <is>
          <t>Derek Contacts!58</t>
        </is>
      </c>
      <c r="Y1174" s="426" t="inlineStr">
        <is>
          <t>Research fit, find intro path, and draft first-touch email</t>
        </is>
      </c>
      <c r="Z1174" s="425" t="n">
        <v>1</v>
      </c>
      <c r="AA1174" s="425">
        <f>IF(AC1174="Archived",0,ROUND((IF(N1174="Tier 1",35,IF(N1174="Tier 2",20,8))+IF(C1174="Financial Investor",15,IF(C1174="Intermediary / Banker",12,8))+IF(L1174="Term Sheet / Proposal",25,IF(L1174="Engaged",20,IF(L1174="Meeting Requested",18,IF(L1174="Meeting Held",14,IF(L1174="Follow Up",10,5)))))+MIN(Q1174,30)+IF(S1174="DUE",15,IF(S1174="Next 3 Days",8,0))),0))</f>
        <v/>
      </c>
      <c r="AB1174" s="425">
        <f>IF(AND(AC1174="Active",OR(N1174="Tier 1",N1174="Tier 2"),OR(S1174="DUE",S1174="Next 3 Days")),"YES","")</f>
        <v/>
      </c>
      <c r="AC1174" s="425">
        <f>IF(L1174="Passed","Archived","Active")</f>
        <v/>
      </c>
    </row>
    <row r="1175">
      <c r="A1175" s="425" t="inlineStr">
        <is>
          <t>EXOS-1174</t>
        </is>
      </c>
      <c r="B1175" s="425" t="inlineStr">
        <is>
          <t xml:space="preserve">Investors_Private_Equity </t>
        </is>
      </c>
      <c r="C1175" s="425" t="inlineStr">
        <is>
          <t>Financial Investor</t>
        </is>
      </c>
      <c r="D1175" s="425" t="inlineStr">
        <is>
          <t>Aero X Ventures, GP</t>
        </is>
      </c>
      <c r="E1175" s="425" t="inlineStr">
        <is>
          <t>Aaron Ishikawa</t>
        </is>
      </c>
      <c r="F1175" s="425" t="inlineStr"/>
      <c r="G1175" s="111" t="inlineStr">
        <is>
          <t>aaronishikawa@aeroxventures.com</t>
        </is>
      </c>
      <c r="H1175" s="425" t="inlineStr"/>
      <c r="I1175" s="425" t="inlineStr">
        <is>
          <t>Cell | 808.277.6451 |</t>
        </is>
      </c>
      <c r="J1175" s="111" t="inlineStr">
        <is>
          <t>https://www.linkedin.com/in/aaron-ishikawa/</t>
        </is>
      </c>
      <c r="K1175" s="426" t="inlineStr">
        <is>
          <t>John Quinn</t>
        </is>
      </c>
      <c r="L1175" s="426" t="inlineStr">
        <is>
          <t>Passed</t>
        </is>
      </c>
      <c r="M1175" s="425" t="inlineStr">
        <is>
          <t>Space / Defense / Aerospace / Advanced Manufacturing</t>
        </is>
      </c>
      <c r="N1175" s="426" t="inlineStr">
        <is>
          <t>Tier 3</t>
        </is>
      </c>
      <c r="O1175" s="425" t="n"/>
      <c r="P1175" s="425" t="n"/>
      <c r="Q1175" s="425">
        <f>IF(P1175="","",TODAY()-P1175)</f>
        <v/>
      </c>
      <c r="R1175" s="441">
        <f>IF(OR(L1175="Passed",Z1175=""),"",P1175+Z1175)</f>
        <v/>
      </c>
      <c r="S1175" s="425">
        <f>IF(OR(R1175="",L1175="Passed"),"",IF(R1175&lt;=TODAY(),"DUE",IF(R1175&lt;=TODAY()+3,"Next 3 Days","Later")))</f>
        <v/>
      </c>
      <c r="T1175" s="425" t="inlineStr"/>
      <c r="U1175" s="426" t="inlineStr"/>
      <c r="V1175" s="426" t="inlineStr"/>
      <c r="W1175" s="428" t="inlineStr">
        <is>
          <t>Wanted Cash Flow | Dead | Dead</t>
        </is>
      </c>
      <c r="X1175" s="425" t="inlineStr">
        <is>
          <t>Investors_Private_Equity !7</t>
        </is>
      </c>
      <c r="Y1175" s="426" t="inlineStr">
        <is>
          <t>Archive or re-engage later if thesis changes</t>
        </is>
      </c>
      <c r="Z1175" s="425" t="n"/>
      <c r="AA1175" s="425">
        <f>IF(AC1175="Archived",0,ROUND((IF(N1175="Tier 1",35,IF(N1175="Tier 2",20,8))+IF(C1175="Financial Investor",15,IF(C1175="Intermediary / Banker",12,8))+IF(L1175="Term Sheet / Proposal",25,IF(L1175="Engaged",20,IF(L1175="Meeting Requested",18,IF(L1175="Meeting Held",14,IF(L1175="Follow Up",10,5)))))+MIN(Q1175,30)+IF(S1175="DUE",15,IF(S1175="Next 3 Days",8,0))),0))</f>
        <v/>
      </c>
      <c r="AB1175" s="425">
        <f>IF(AND(AC1175="Active",OR(N1175="Tier 1",N1175="Tier 2"),OR(S1175="DUE",S1175="Next 3 Days")),"YES","")</f>
        <v/>
      </c>
      <c r="AC1175" s="425">
        <f>IF(L1175="Passed","Archived","Active")</f>
        <v/>
      </c>
    </row>
    <row r="1176">
      <c r="A1176" s="425" t="inlineStr">
        <is>
          <t>EXOS-1175</t>
        </is>
      </c>
      <c r="B1176" s="425" t="inlineStr">
        <is>
          <t>JQ Follow Up</t>
        </is>
      </c>
      <c r="C1176" s="425" t="inlineStr">
        <is>
          <t>Financial Investor</t>
        </is>
      </c>
      <c r="D1176" s="425" t="inlineStr">
        <is>
          <t>Alpine Investors</t>
        </is>
      </c>
      <c r="E1176" s="425" t="inlineStr">
        <is>
          <t>William Tam</t>
        </is>
      </c>
      <c r="F1176" s="425" t="inlineStr"/>
      <c r="G1176" s="425" t="inlineStr"/>
      <c r="H1176" s="425" t="inlineStr"/>
      <c r="I1176" s="425" t="inlineStr"/>
      <c r="J1176" s="425" t="inlineStr"/>
      <c r="K1176" s="426" t="inlineStr">
        <is>
          <t>John Quinn</t>
        </is>
      </c>
      <c r="L1176" s="426" t="inlineStr">
        <is>
          <t>Passed</t>
        </is>
      </c>
      <c r="M1176" s="425" t="inlineStr">
        <is>
          <t>Space / Defense / Aerospace / Advanced Manufacturing</t>
        </is>
      </c>
      <c r="N1176" s="426" t="inlineStr">
        <is>
          <t>Tier 3</t>
        </is>
      </c>
      <c r="O1176" s="425" t="n"/>
      <c r="P1176" s="425" t="n"/>
      <c r="Q1176" s="425">
        <f>IF(P1176="","",TODAY()-P1176)</f>
        <v/>
      </c>
      <c r="R1176" s="441">
        <f>IF(OR(L1176="Passed",Z1176=""),"",P1176+Z1176)</f>
        <v/>
      </c>
      <c r="S1176" s="425">
        <f>IF(OR(R1176="",L1176="Passed"),"",IF(R1176&lt;=TODAY(),"DUE",IF(R1176&lt;=TODAY()+3,"Next 3 Days","Later")))</f>
        <v/>
      </c>
      <c r="T1176" s="425" t="inlineStr"/>
      <c r="U1176" s="426" t="inlineStr">
        <is>
          <t>sulaiman@tristatecap.com</t>
        </is>
      </c>
      <c r="V1176" s="426" t="inlineStr"/>
      <c r="W1176" s="428" t="inlineStr">
        <is>
          <t xml:space="preserve">Passed after internal review. Strong interest in EXOS + Scorpius strategic potential and high regard for John, but not a fit for their model at this stage. Their firm typically prefers majority buyout to full-sale opportunities, and minority investments are harder without a clear path to majority ownership. They also felt the ~$1.5M revenue base last year was too early/small for underwriting a new platform within their model. They appreciated the opportunity and said they’ll keep EXOS in mind for future alignment. Also shared IronGate details internally with their government services team and may flag any relevant portfolio company interest. | </t>
        </is>
      </c>
      <c r="X1176" s="425" t="inlineStr">
        <is>
          <t>JQ Follow Up!34</t>
        </is>
      </c>
      <c r="Y1176" s="426" t="inlineStr">
        <is>
          <t>Archive or re-engage later if thesis changes</t>
        </is>
      </c>
      <c r="Z1176" s="425" t="n"/>
      <c r="AA1176" s="425">
        <f>IF(AC1176="Archived",0,ROUND((IF(N1176="Tier 1",35,IF(N1176="Tier 2",20,8))+IF(C1176="Financial Investor",15,IF(C1176="Intermediary / Banker",12,8))+IF(L1176="Term Sheet / Proposal",25,IF(L1176="Engaged",20,IF(L1176="Meeting Requested",18,IF(L1176="Meeting Held",14,IF(L1176="Follow Up",10,5)))))+MIN(Q1176,30)+IF(S1176="DUE",15,IF(S1176="Next 3 Days",8,0))),0))</f>
        <v/>
      </c>
      <c r="AB1176" s="425">
        <f>IF(AND(AC1176="Active",OR(N1176="Tier 1",N1176="Tier 2"),OR(S1176="DUE",S1176="Next 3 Days")),"YES","")</f>
        <v/>
      </c>
      <c r="AC1176" s="425">
        <f>IF(L1176="Passed","Archived","Active")</f>
        <v/>
      </c>
    </row>
    <row r="1177">
      <c r="A1177" s="425" t="inlineStr">
        <is>
          <t>EXOS-1176</t>
        </is>
      </c>
      <c r="B1177" s="425" t="inlineStr">
        <is>
          <t xml:space="preserve">Investors_Private_Equity </t>
        </is>
      </c>
      <c r="C1177" s="425" t="inlineStr">
        <is>
          <t>Financial Investor</t>
        </is>
      </c>
      <c r="D1177" s="425" t="inlineStr">
        <is>
          <t>Ellis / Mohamed</t>
        </is>
      </c>
      <c r="E1177" s="425" t="inlineStr">
        <is>
          <t>Mohamed</t>
        </is>
      </c>
      <c r="F1177" s="425" t="inlineStr"/>
      <c r="G1177" s="425" t="inlineStr"/>
      <c r="H1177" s="425" t="inlineStr"/>
      <c r="I1177" s="425" t="inlineStr">
        <is>
          <t>? |</t>
        </is>
      </c>
      <c r="J1177" s="425" t="inlineStr"/>
      <c r="K1177" s="426" t="inlineStr">
        <is>
          <t>John Quinn</t>
        </is>
      </c>
      <c r="L1177" s="426" t="inlineStr">
        <is>
          <t>Passed</t>
        </is>
      </c>
      <c r="M1177" s="425" t="inlineStr">
        <is>
          <t>Space / Defense / Aerospace / Advanced Manufacturing</t>
        </is>
      </c>
      <c r="N1177" s="426" t="inlineStr">
        <is>
          <t>Tier 3</t>
        </is>
      </c>
      <c r="O1177" s="425" t="n"/>
      <c r="P1177" s="425" t="n"/>
      <c r="Q1177" s="425">
        <f>IF(P1177="","",TODAY()-P1177)</f>
        <v/>
      </c>
      <c r="R1177" s="441">
        <f>IF(OR(L1177="Passed",Z1177=""),"",P1177+Z1177)</f>
        <v/>
      </c>
      <c r="S1177" s="425">
        <f>IF(OR(R1177="",L1177="Passed"),"",IF(R1177&lt;=TODAY(),"DUE",IF(R1177&lt;=TODAY()+3,"Next 3 Days","Later")))</f>
        <v/>
      </c>
      <c r="T1177" s="425" t="inlineStr"/>
      <c r="U1177" s="426" t="inlineStr"/>
      <c r="V1177" s="426" t="inlineStr"/>
      <c r="W1177" s="428" t="inlineStr">
        <is>
          <t>Please give me update | 20 Investors / Need to know from John | Dead</t>
        </is>
      </c>
      <c r="X1177" s="425" t="inlineStr">
        <is>
          <t>Investors_Private_Equity !11</t>
        </is>
      </c>
      <c r="Y1177" s="426" t="inlineStr">
        <is>
          <t>Archive or re-engage later if thesis changes</t>
        </is>
      </c>
      <c r="Z1177" s="425" t="n"/>
      <c r="AA1177" s="425">
        <f>IF(AC1177="Archived",0,ROUND((IF(N1177="Tier 1",35,IF(N1177="Tier 2",20,8))+IF(C1177="Financial Investor",15,IF(C1177="Intermediary / Banker",12,8))+IF(L1177="Term Sheet / Proposal",25,IF(L1177="Engaged",20,IF(L1177="Meeting Requested",18,IF(L1177="Meeting Held",14,IF(L1177="Follow Up",10,5)))))+MIN(Q1177,30)+IF(S1177="DUE",15,IF(S1177="Next 3 Days",8,0))),0))</f>
        <v/>
      </c>
      <c r="AB1177" s="425">
        <f>IF(AND(AC1177="Active",OR(N1177="Tier 1",N1177="Tier 2"),OR(S1177="DUE",S1177="Next 3 Days")),"YES","")</f>
        <v/>
      </c>
      <c r="AC1177" s="425">
        <f>IF(L1177="Passed","Archived","Active")</f>
        <v/>
      </c>
    </row>
    <row r="1178">
      <c r="A1178" s="425" t="inlineStr">
        <is>
          <t>EXOS-1177</t>
        </is>
      </c>
      <c r="B1178" s="425" t="inlineStr">
        <is>
          <t xml:space="preserve">Investors_Private_Equity </t>
        </is>
      </c>
      <c r="C1178" s="425" t="inlineStr">
        <is>
          <t>Financial Investor</t>
        </is>
      </c>
      <c r="D1178" s="425" t="inlineStr">
        <is>
          <t>Nand</t>
        </is>
      </c>
      <c r="E1178" s="425" t="inlineStr">
        <is>
          <t>Nand</t>
        </is>
      </c>
      <c r="F1178" s="425" t="inlineStr"/>
      <c r="G1178" s="111" t="inlineStr">
        <is>
          <t>nand@newprivateequity.com</t>
        </is>
      </c>
      <c r="H1178" s="425" t="inlineStr"/>
      <c r="I1178" s="425" t="inlineStr">
        <is>
          <t>303.606.3631 | 212.403.3500</t>
        </is>
      </c>
      <c r="J1178" s="111" t="inlineStr">
        <is>
          <t>https://www.linkedin.com/in/nand-sharma-b16a3749/</t>
        </is>
      </c>
      <c r="K1178" s="426" t="inlineStr">
        <is>
          <t>John Quinn</t>
        </is>
      </c>
      <c r="L1178" s="426" t="inlineStr">
        <is>
          <t>Passed</t>
        </is>
      </c>
      <c r="M1178" s="425" t="inlineStr">
        <is>
          <t>Space / Defense / Aerospace / Advanced Manufacturing</t>
        </is>
      </c>
      <c r="N1178" s="426" t="inlineStr">
        <is>
          <t>Tier 3</t>
        </is>
      </c>
      <c r="O1178" s="425" t="n"/>
      <c r="P1178" s="425" t="n"/>
      <c r="Q1178" s="425">
        <f>IF(P1178="","",TODAY()-P1178)</f>
        <v/>
      </c>
      <c r="R1178" s="441">
        <f>IF(OR(L1178="Passed",Z1178=""),"",P1178+Z1178)</f>
        <v/>
      </c>
      <c r="S1178" s="425">
        <f>IF(OR(R1178="",L1178="Passed"),"",IF(R1178&lt;=TODAY(),"DUE",IF(R1178&lt;=TODAY()+3,"Next 3 Days","Later")))</f>
        <v/>
      </c>
      <c r="T1178" s="425" t="inlineStr"/>
      <c r="U1178" s="426" t="inlineStr"/>
      <c r="V1178" s="426" t="inlineStr"/>
      <c r="W1178" s="428" t="inlineStr">
        <is>
          <t>Wanted Cash flow | Sent Email to Nand / LinkedIn and VM but sent from my AmpliTech Email / due to closeness of AmpliTech | Dead</t>
        </is>
      </c>
      <c r="X1178" s="425" t="inlineStr">
        <is>
          <t>Investors_Private_Equity !13</t>
        </is>
      </c>
      <c r="Y1178" s="426" t="inlineStr">
        <is>
          <t>Archive or re-engage later if thesis changes</t>
        </is>
      </c>
      <c r="Z1178" s="425" t="n"/>
      <c r="AA1178" s="425">
        <f>IF(AC1178="Archived",0,ROUND((IF(N1178="Tier 1",35,IF(N1178="Tier 2",20,8))+IF(C1178="Financial Investor",15,IF(C1178="Intermediary / Banker",12,8))+IF(L1178="Term Sheet / Proposal",25,IF(L1178="Engaged",20,IF(L1178="Meeting Requested",18,IF(L1178="Meeting Held",14,IF(L1178="Follow Up",10,5)))))+MIN(Q1178,30)+IF(S1178="DUE",15,IF(S1178="Next 3 Days",8,0))),0))</f>
        <v/>
      </c>
      <c r="AB1178" s="425">
        <f>IF(AND(AC1178="Active",OR(N1178="Tier 1",N1178="Tier 2"),OR(S1178="DUE",S1178="Next 3 Days")),"YES","")</f>
        <v/>
      </c>
      <c r="AC1178" s="425">
        <f>IF(L1178="Passed","Archived","Active")</f>
        <v/>
      </c>
    </row>
    <row r="1179">
      <c r="A1179" s="425" t="inlineStr">
        <is>
          <t>EXOS-1178</t>
        </is>
      </c>
      <c r="B1179" s="425" t="inlineStr">
        <is>
          <t xml:space="preserve">Investors_Private_Equity </t>
        </is>
      </c>
      <c r="C1179" s="425" t="inlineStr">
        <is>
          <t>Financial Investor</t>
        </is>
      </c>
      <c r="D1179" s="425" t="inlineStr">
        <is>
          <t>Nexus Commercial Finance / OZ</t>
        </is>
      </c>
      <c r="E1179" s="425" t="inlineStr">
        <is>
          <t>OZ Josefian</t>
        </is>
      </c>
      <c r="F1179" s="425" t="inlineStr"/>
      <c r="G1179" s="111" t="inlineStr">
        <is>
          <t>oz.josefian@mynexusfinance.com</t>
        </is>
      </c>
      <c r="H1179" s="425" t="inlineStr"/>
      <c r="I1179" s="425" t="inlineStr">
        <is>
          <t>408-560-2701 |</t>
        </is>
      </c>
      <c r="J1179" s="111" t="inlineStr">
        <is>
          <t>https://www.linkedin.com/in/ozjosefian/</t>
        </is>
      </c>
      <c r="K1179" s="426" t="inlineStr">
        <is>
          <t>John Quinn</t>
        </is>
      </c>
      <c r="L1179" s="426" t="inlineStr">
        <is>
          <t>Passed</t>
        </is>
      </c>
      <c r="M1179" s="425" t="inlineStr">
        <is>
          <t>Space / Defense / Aerospace / Advanced Manufacturing</t>
        </is>
      </c>
      <c r="N1179" s="426" t="inlineStr">
        <is>
          <t>Tier 3</t>
        </is>
      </c>
      <c r="O1179" s="425" t="n"/>
      <c r="P1179" s="425" t="n"/>
      <c r="Q1179" s="425">
        <f>IF(P1179="","",TODAY()-P1179)</f>
        <v/>
      </c>
      <c r="R1179" s="441">
        <f>IF(OR(L1179="Passed",Z1179=""),"",P1179+Z1179)</f>
        <v/>
      </c>
      <c r="S1179" s="425">
        <f>IF(OR(R1179="",L1179="Passed"),"",IF(R1179&lt;=TODAY(),"DUE",IF(R1179&lt;=TODAY()+3,"Next 3 Days","Later")))</f>
        <v/>
      </c>
      <c r="T1179" s="425" t="inlineStr"/>
      <c r="U1179" s="426" t="inlineStr"/>
      <c r="V1179" s="426" t="inlineStr"/>
      <c r="W1179" s="428" t="inlineStr">
        <is>
          <t>OZ forward to Neil / John correspond | Left VM &amp; Email and LinkedIn | Dead</t>
        </is>
      </c>
      <c r="X1179" s="425" t="inlineStr">
        <is>
          <t>Investors_Private_Equity !9</t>
        </is>
      </c>
      <c r="Y1179" s="426" t="inlineStr">
        <is>
          <t>Archive or re-engage later if thesis changes</t>
        </is>
      </c>
      <c r="Z1179" s="425" t="n"/>
      <c r="AA1179" s="425">
        <f>IF(AC1179="Archived",0,ROUND((IF(N1179="Tier 1",35,IF(N1179="Tier 2",20,8))+IF(C1179="Financial Investor",15,IF(C1179="Intermediary / Banker",12,8))+IF(L1179="Term Sheet / Proposal",25,IF(L1179="Engaged",20,IF(L1179="Meeting Requested",18,IF(L1179="Meeting Held",14,IF(L1179="Follow Up",10,5)))))+MIN(Q1179,30)+IF(S1179="DUE",15,IF(S1179="Next 3 Days",8,0))),0))</f>
        <v/>
      </c>
      <c r="AB1179" s="425">
        <f>IF(AND(AC1179="Active",OR(N1179="Tier 1",N1179="Tier 2"),OR(S1179="DUE",S1179="Next 3 Days")),"YES","")</f>
        <v/>
      </c>
      <c r="AC1179" s="425">
        <f>IF(L1179="Passed","Archived","Active")</f>
        <v/>
      </c>
    </row>
    <row r="1180">
      <c r="A1180" s="425" t="inlineStr">
        <is>
          <t>EXOS-1179</t>
        </is>
      </c>
      <c r="B1180" s="425" t="inlineStr">
        <is>
          <t>Term Sheets</t>
        </is>
      </c>
      <c r="C1180" s="425" t="inlineStr">
        <is>
          <t>Financial Investor</t>
        </is>
      </c>
      <c r="D1180" s="425" t="inlineStr">
        <is>
          <t>Rochefort Management</t>
        </is>
      </c>
      <c r="E1180" s="425" t="inlineStr">
        <is>
          <t>Grayson Wotnosky</t>
        </is>
      </c>
      <c r="F1180" s="425" t="inlineStr"/>
      <c r="G1180" s="111" t="inlineStr">
        <is>
          <t>gwotnosky@rochefort.us</t>
        </is>
      </c>
      <c r="H1180" s="425" t="inlineStr">
        <is>
          <t>sschottenheimer@rochefort.us</t>
        </is>
      </c>
      <c r="I1180" s="425" t="inlineStr"/>
      <c r="J1180" s="425" t="inlineStr"/>
      <c r="K1180" s="426" t="inlineStr">
        <is>
          <t>John Quinn</t>
        </is>
      </c>
      <c r="L1180" s="426" t="inlineStr">
        <is>
          <t>Passed</t>
        </is>
      </c>
      <c r="M1180" s="425" t="inlineStr">
        <is>
          <t>Space / Defense / Aerospace / Advanced Manufacturing</t>
        </is>
      </c>
      <c r="N1180" s="426" t="inlineStr">
        <is>
          <t>Tier 3</t>
        </is>
      </c>
      <c r="O1180" s="425" t="n"/>
      <c r="P1180" s="441" t="n">
        <v>46056</v>
      </c>
      <c r="Q1180" s="425">
        <f>IF(P1180="","",TODAY()-P1180)</f>
        <v/>
      </c>
      <c r="R1180" s="441">
        <f>IF(OR(L1180="Passed",Z1180=""),"",P1180+Z1180)</f>
        <v/>
      </c>
      <c r="S1180" s="425">
        <f>IF(OR(R1180="",L1180="Passed"),"",IF(R1180&lt;=TODAY(),"DUE",IF(R1180&lt;=TODAY()+3,"Next 3 Days","Later")))</f>
        <v/>
      </c>
      <c r="T1180" s="425" t="inlineStr"/>
      <c r="U1180" s="426" t="inlineStr"/>
      <c r="V1180" s="426" t="inlineStr">
        <is>
          <t>OSC Approved Connected with three Dallas area VC types</t>
        </is>
      </c>
      <c r="W1180" s="428" t="inlineStr">
        <is>
          <t>long lead time - 6 months + Government possible applicaiton for expansion $25M+ long term BLK4 funding path vs commercial capital for that. | 01/15/2026 | 1/5 – Intro Call Scheduled:
Grayson scheduled meeting for 1/8 at 9:30am ET.
1/8 – Call Held.
2/3 – Follow-Up (OSC Funding Request):
John indicated EXOS would like to proceed with OSC funding request and requested brief call ahead of board presentation.
2/6 – Board Approval Secured:
John confirmed board approval to proceed and requested next call to advance funding discussion.
Status: Awaiting response.
Temperature: Warm but stalled post-board readiness signal.
Next Step: Strategic follow-up required.</t>
        </is>
      </c>
      <c r="X1180" s="425" t="inlineStr">
        <is>
          <t>Term Sheets!14</t>
        </is>
      </c>
      <c r="Y1180" s="426" t="inlineStr">
        <is>
          <t>Archive or re-engage later if thesis changes</t>
        </is>
      </c>
      <c r="Z1180" s="425" t="n"/>
      <c r="AA1180" s="425">
        <f>IF(AC1180="Archived",0,ROUND((IF(N1180="Tier 1",35,IF(N1180="Tier 2",20,8))+IF(C1180="Financial Investor",15,IF(C1180="Intermediary / Banker",12,8))+IF(L1180="Term Sheet / Proposal",25,IF(L1180="Engaged",20,IF(L1180="Meeting Requested",18,IF(L1180="Meeting Held",14,IF(L1180="Follow Up",10,5)))))+MIN(Q1180,30)+IF(S1180="DUE",15,IF(S1180="Next 3 Days",8,0))),0))</f>
        <v/>
      </c>
      <c r="AB1180" s="425">
        <f>IF(AND(AC1180="Active",OR(N1180="Tier 1",N1180="Tier 2"),OR(S1180="DUE",S1180="Next 3 Days")),"YES","")</f>
        <v/>
      </c>
      <c r="AC1180" s="425">
        <f>IF(L1180="Passed","Archived","Active")</f>
        <v/>
      </c>
    </row>
    <row r="1181">
      <c r="A1181" s="425" t="inlineStr">
        <is>
          <t>EXOS-1180</t>
        </is>
      </c>
      <c r="B1181" s="425" t="inlineStr">
        <is>
          <t>John - Investor Contacts</t>
        </is>
      </c>
      <c r="C1181" s="425" t="inlineStr">
        <is>
          <t>Financial Investor</t>
        </is>
      </c>
      <c r="D1181" s="425" t="inlineStr">
        <is>
          <t>Seraphim VC</t>
        </is>
      </c>
      <c r="E1181" s="425" t="inlineStr">
        <is>
          <t>Mark Boggett</t>
        </is>
      </c>
      <c r="F1181" s="425" t="inlineStr"/>
      <c r="G1181" s="111" t="inlineStr">
        <is>
          <t>mark@seraphim.vc</t>
        </is>
      </c>
      <c r="H1181" s="425" t="inlineStr"/>
      <c r="I1181" s="425" t="inlineStr"/>
      <c r="J1181" s="111" t="inlineStr">
        <is>
          <t>https://www.linkedin.com/in/mark-boggett-5044631/</t>
        </is>
      </c>
      <c r="K1181" s="426" t="inlineStr">
        <is>
          <t>John Quinn</t>
        </is>
      </c>
      <c r="L1181" s="426" t="inlineStr">
        <is>
          <t>Passed</t>
        </is>
      </c>
      <c r="M1181" s="425" t="inlineStr">
        <is>
          <t>Space / Defense / Aerospace / Advanced Manufacturing</t>
        </is>
      </c>
      <c r="N1181" s="426" t="inlineStr">
        <is>
          <t>Tier 3</t>
        </is>
      </c>
      <c r="O1181" s="441" t="n">
        <v>45965</v>
      </c>
      <c r="P1181" s="441" t="n">
        <v>45985</v>
      </c>
      <c r="Q1181" s="425">
        <f>IF(P1181="","",TODAY()-P1181)</f>
        <v/>
      </c>
      <c r="R1181" s="441">
        <f>IF(OR(L1181="Passed",Z1181=""),"",P1181+Z1181)</f>
        <v/>
      </c>
      <c r="S1181" s="425">
        <f>IF(OR(R1181="",L1181="Passed"),"",IF(R1181&lt;=TODAY(),"DUE",IF(R1181&lt;=TODAY()+3,"Next 3 Days","Later")))</f>
        <v/>
      </c>
      <c r="T1181" s="425" t="inlineStr"/>
      <c r="U1181" s="426" t="inlineStr">
        <is>
          <t>https://www.linkedin.com/in/mark-boggett-5044631/</t>
        </is>
      </c>
      <c r="V1181" s="426" t="inlineStr"/>
      <c r="W1181" s="428" t="inlineStr">
        <is>
          <t xml:space="preserve"> | sent one pager on 11/6 | passed info to deals team, asked for some time with the holidays to review everything</t>
        </is>
      </c>
      <c r="X1181" s="425" t="inlineStr">
        <is>
          <t>John - Investor Contacts!815</t>
        </is>
      </c>
      <c r="Y1181" s="426" t="inlineStr">
        <is>
          <t>Archive or re-engage later if thesis changes</t>
        </is>
      </c>
      <c r="Z1181" s="425" t="n"/>
      <c r="AA1181" s="425">
        <f>IF(AC1181="Archived",0,ROUND((IF(N1181="Tier 1",35,IF(N1181="Tier 2",20,8))+IF(C1181="Financial Investor",15,IF(C1181="Intermediary / Banker",12,8))+IF(L1181="Term Sheet / Proposal",25,IF(L1181="Engaged",20,IF(L1181="Meeting Requested",18,IF(L1181="Meeting Held",14,IF(L1181="Follow Up",10,5)))))+MIN(Q1181,30)+IF(S1181="DUE",15,IF(S1181="Next 3 Days",8,0))),0))</f>
        <v/>
      </c>
      <c r="AB1181" s="425">
        <f>IF(AND(AC1181="Active",OR(N1181="Tier 1",N1181="Tier 2"),OR(S1181="DUE",S1181="Next 3 Days")),"YES","")</f>
        <v/>
      </c>
      <c r="AC1181" s="425">
        <f>IF(L1181="Passed","Archived","Active")</f>
        <v/>
      </c>
    </row>
    <row r="1182">
      <c r="A1182" s="425" t="inlineStr">
        <is>
          <t>EXOS-1181</t>
        </is>
      </c>
      <c r="B1182" s="425" t="inlineStr">
        <is>
          <t xml:space="preserve">Investors_Private_Equity </t>
        </is>
      </c>
      <c r="C1182" s="425" t="inlineStr">
        <is>
          <t>Financial Investor</t>
        </is>
      </c>
      <c r="D1182" s="425" t="inlineStr">
        <is>
          <t>TruSight, LLC</t>
        </is>
      </c>
      <c r="E1182" s="425" t="inlineStr">
        <is>
          <t>Joseph Loreto</t>
        </is>
      </c>
      <c r="F1182" s="425" t="inlineStr"/>
      <c r="G1182" s="111" t="inlineStr">
        <is>
          <t>joe@trusightllc.com</t>
        </is>
      </c>
      <c r="H1182" s="425" t="inlineStr"/>
      <c r="I1182" s="425" t="inlineStr">
        <is>
          <t>856.563.0909 | 215.307.0467</t>
        </is>
      </c>
      <c r="J1182" s="111" t="inlineStr">
        <is>
          <t>https://www.linkedin.com/in/joseph-l-616a4111/</t>
        </is>
      </c>
      <c r="K1182" s="426" t="inlineStr">
        <is>
          <t>John Quinn</t>
        </is>
      </c>
      <c r="L1182" s="426" t="inlineStr">
        <is>
          <t>Passed</t>
        </is>
      </c>
      <c r="M1182" s="425" t="inlineStr">
        <is>
          <t>Space / Defense / Aerospace / Advanced Manufacturing</t>
        </is>
      </c>
      <c r="N1182" s="426" t="inlineStr">
        <is>
          <t>Tier 3</t>
        </is>
      </c>
      <c r="O1182" s="425" t="n"/>
      <c r="P1182" s="425" t="n"/>
      <c r="Q1182" s="425">
        <f>IF(P1182="","",TODAY()-P1182)</f>
        <v/>
      </c>
      <c r="R1182" s="441">
        <f>IF(OR(L1182="Passed",Z1182=""),"",P1182+Z1182)</f>
        <v/>
      </c>
      <c r="S1182" s="425">
        <f>IF(OR(R1182="",L1182="Passed"),"",IF(R1182&lt;=TODAY(),"DUE",IF(R1182&lt;=TODAY()+3,"Next 3 Days","Later")))</f>
        <v/>
      </c>
      <c r="T1182" s="425" t="inlineStr"/>
      <c r="U1182" s="426" t="inlineStr"/>
      <c r="V1182" s="426" t="inlineStr"/>
      <c r="W1182" s="428" t="inlineStr">
        <is>
          <t>Passed | Left Voice mail, Sent email / Not connected on LinkedIn waiting on accept | Dead</t>
        </is>
      </c>
      <c r="X1182" s="425" t="inlineStr">
        <is>
          <t>Investors_Private_Equity !5</t>
        </is>
      </c>
      <c r="Y1182" s="426" t="inlineStr">
        <is>
          <t>Archive or re-engage later if thesis changes</t>
        </is>
      </c>
      <c r="Z1182" s="425" t="n"/>
      <c r="AA1182" s="425">
        <f>IF(AC1182="Archived",0,ROUND((IF(N1182="Tier 1",35,IF(N1182="Tier 2",20,8))+IF(C1182="Financial Investor",15,IF(C1182="Intermediary / Banker",12,8))+IF(L1182="Term Sheet / Proposal",25,IF(L1182="Engaged",20,IF(L1182="Meeting Requested",18,IF(L1182="Meeting Held",14,IF(L1182="Follow Up",10,5)))))+MIN(Q1182,30)+IF(S1182="DUE",15,IF(S1182="Next 3 Days",8,0))),0))</f>
        <v/>
      </c>
      <c r="AB1182" s="425">
        <f>IF(AND(AC1182="Active",OR(N1182="Tier 1",N1182="Tier 2"),OR(S1182="DUE",S1182="Next 3 Days")),"YES","")</f>
        <v/>
      </c>
      <c r="AC1182" s="425">
        <f>IF(L1182="Passed","Archived","Active")</f>
        <v/>
      </c>
    </row>
  </sheetData>
  <conditionalFormatting sqref="S2:S1182">
    <cfRule type="expression" priority="1" dxfId="3">
      <formula>$S2="DUE"</formula>
    </cfRule>
    <cfRule type="expression" priority="2" dxfId="4">
      <formula>$S2="Next 3 Days"</formula>
    </cfRule>
  </conditionalFormatting>
  <conditionalFormatting sqref="N2:N1182">
    <cfRule type="expression" priority="3" dxfId="5">
      <formula>$N2="Tier 1"</formula>
    </cfRule>
  </conditionalFormatting>
  <conditionalFormatting sqref="AB2:AB1182">
    <cfRule type="expression" priority="4" dxfId="5">
      <formula>$AB2="YES"</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487"/>
  <sheetViews>
    <sheetView showGridLines="0" workbookViewId="0">
      <selection activeCell="A1" sqref="A1"/>
    </sheetView>
  </sheetViews>
  <sheetFormatPr baseColWidth="8" defaultRowHeight="15"/>
  <cols>
    <col width="24" customWidth="1" style="216" min="1" max="1"/>
    <col width="20" customWidth="1" style="216" min="2" max="2"/>
    <col width="18" customWidth="1" style="216" min="3" max="3"/>
    <col width="10" customWidth="1" style="216" min="4" max="4"/>
    <col width="10" customWidth="1" style="216" min="5" max="5"/>
    <col width="28" customWidth="1" style="216" min="6" max="6"/>
    <col width="28" customWidth="1" style="216" min="7" max="7"/>
    <col width="12" customWidth="1" style="216" min="8" max="8"/>
    <col width="12" customWidth="1" style="216" min="9" max="9"/>
    <col width="12" customWidth="1" style="216" min="10" max="10"/>
    <col width="20" customWidth="1" style="216" min="11" max="11"/>
    <col width="22" customWidth="1" style="216" min="12" max="12"/>
    <col width="44" customWidth="1" style="216" min="13" max="13"/>
  </cols>
  <sheetData>
    <row r="1">
      <c r="A1" s="419" t="inlineStr">
        <is>
          <t>Company</t>
        </is>
      </c>
      <c r="B1" s="419" t="inlineStr">
        <is>
          <t>Category</t>
        </is>
      </c>
      <c r="C1" s="419" t="inlineStr">
        <is>
          <t>Best Stage</t>
        </is>
      </c>
      <c r="D1" s="419" t="inlineStr">
        <is>
          <t>Best Tier</t>
        </is>
      </c>
      <c r="E1" s="419" t="inlineStr">
        <is>
          <t>Contact Count</t>
        </is>
      </c>
      <c r="F1" s="419" t="inlineStr">
        <is>
          <t>Key Contacts</t>
        </is>
      </c>
      <c r="G1" s="419" t="inlineStr">
        <is>
          <t>Emails</t>
        </is>
      </c>
      <c r="H1" s="419" t="inlineStr">
        <is>
          <t>Last Touch</t>
        </is>
      </c>
      <c r="I1" s="419" t="inlineStr">
        <is>
          <t>Next Touch</t>
        </is>
      </c>
      <c r="J1" s="419" t="inlineStr">
        <is>
          <t>Due?</t>
        </is>
      </c>
      <c r="K1" s="419" t="inlineStr">
        <is>
          <t>Warm Intro</t>
        </is>
      </c>
      <c r="L1" s="419" t="inlineStr">
        <is>
          <t>Offer / Structure</t>
        </is>
      </c>
      <c r="M1" s="419" t="inlineStr">
        <is>
          <t>Notes</t>
        </is>
      </c>
    </row>
    <row r="2">
      <c r="A2" s="420" t="inlineStr">
        <is>
          <t>AxisCades</t>
        </is>
      </c>
      <c r="B2" s="420" t="inlineStr">
        <is>
          <t>Financial Investor</t>
        </is>
      </c>
      <c r="C2" s="420" t="inlineStr">
        <is>
          <t>Term Sheet / Proposal</t>
        </is>
      </c>
      <c r="D2" s="420" t="inlineStr">
        <is>
          <t>Tier 1</t>
        </is>
      </c>
      <c r="E2" s="420" t="n">
        <v>1</v>
      </c>
      <c r="F2" s="420" t="inlineStr">
        <is>
          <t>Suresh Babu Suryadevara</t>
        </is>
      </c>
      <c r="G2" s="420" t="inlineStr">
        <is>
          <t>suresh.s@axiscades.in</t>
        </is>
      </c>
      <c r="H2" s="440" t="n">
        <v>46055</v>
      </c>
      <c r="I2" s="440">
        <f>IF(OR(C2="Passed",H2="",ISBLANK(H2)),"",H2+2)</f>
        <v/>
      </c>
      <c r="J2" s="420">
        <f>IF(I2="","",IF(I2&lt;=TODAY(),"DUE",IF(I2&lt;=TODAY()+3,"Next 3 Days","Later")))</f>
        <v/>
      </c>
      <c r="K2" s="420" t="inlineStr"/>
      <c r="L2" s="420" t="inlineStr">
        <is>
          <t>Strategic Partnership-  Equity deal</t>
        </is>
      </c>
      <c r="M2" s="420" t="inlineStr">
        <is>
          <t>Missed call toady at 08:30 - Follow-up framework shared outlining a phased, ITAR/EAR-compliant strategic partnership. Proposal includes AxisCades acquiring 51% of SSLC for $10M (phased capital), international sales support with commission structure, and long-term India-based manufacturing under TAA/MLA approvals. Discussions ongoing to confirm alignment on structure, valuation, and next steps. | toured SSLC on 2/16 | met in person at EXOS on 12/19, follow up set for onsite visit 1/19</t>
        </is>
      </c>
    </row>
    <row r="3">
      <c r="A3" s="420" t="inlineStr">
        <is>
          <t>Bancroft Capital (Bancroft4Vets)</t>
        </is>
      </c>
      <c r="B3" s="420" t="inlineStr">
        <is>
          <t>Intermediary / Banker</t>
        </is>
      </c>
      <c r="C3" s="420" t="inlineStr">
        <is>
          <t>Term Sheet / Proposal</t>
        </is>
      </c>
      <c r="D3" s="420" t="inlineStr">
        <is>
          <t>Tier 1</t>
        </is>
      </c>
      <c r="E3" s="420" t="n">
        <v>1</v>
      </c>
      <c r="F3" s="420" t="inlineStr">
        <is>
          <t>Jason Diamond</t>
        </is>
      </c>
      <c r="G3" s="420" t="inlineStr">
        <is>
          <t>jdiamond@bancroft4vets.com</t>
        </is>
      </c>
      <c r="H3" s="420" t="n"/>
      <c r="I3" s="440">
        <f>IF(OR(C3="Passed",H3="",ISBLANK(H3)),"",H3+2)</f>
        <v/>
      </c>
      <c r="J3" s="420">
        <f>IF(I3="","",IF(I3&lt;=TODAY(),"DUE",IF(I3&lt;=TODAY()+3,"Next 3 Days","Later")))</f>
        <v/>
      </c>
      <c r="K3" s="420" t="inlineStr"/>
      <c r="L3" s="420" t="inlineStr">
        <is>
          <t>Investment Banking / Capital Raise</t>
        </is>
      </c>
      <c r="M3" s="420" t="inlineStr">
        <is>
          <t>Introduced via Kipton Cariaga. Terms/presentation shared. Defense- and veteran-focused investment bank. Logged for tracking and follow-up; no term sheet yet. Engaging BTIG 2-26-26 | 01/16/2026 | At their request, sent forward-ready cover email with high-level company overview and $10M raise summary, along with attached presentations. Materials prepared for direct circulation to IB partners and investor network (Jason forwarding internally). Awaiting feedback and/or investor introductions.</t>
        </is>
      </c>
    </row>
    <row r="4">
      <c r="A4" s="420" t="inlineStr">
        <is>
          <t>Cerberus Capital Management</t>
        </is>
      </c>
      <c r="B4" s="420" t="inlineStr">
        <is>
          <t>Financial Investor</t>
        </is>
      </c>
      <c r="C4" s="420" t="inlineStr">
        <is>
          <t>Term Sheet / Proposal</t>
        </is>
      </c>
      <c r="D4" s="420" t="inlineStr">
        <is>
          <t>Tier 1</t>
        </is>
      </c>
      <c r="E4" s="420" t="n">
        <v>3</v>
      </c>
      <c r="F4" s="420" t="inlineStr">
        <is>
          <t>Dan Quayle; Frank Bruno; Kent (Cerberus Ops)</t>
        </is>
      </c>
      <c r="G4" s="420" t="inlineStr">
        <is>
          <t>dquayle@cerberus.com; fbruno@cerberus.com; consult-klietzau@cerberusoperations.com</t>
        </is>
      </c>
      <c r="H4" s="440" t="n">
        <v>46023</v>
      </c>
      <c r="I4" s="440">
        <f>IF(OR(C4="Passed",H4="",ISBLANK(H4)),"",H4+2)</f>
        <v/>
      </c>
      <c r="J4" s="420">
        <f>IF(I4="","",IF(I4&lt;=TODAY(),"DUE",IF(I4&lt;=TODAY()+3,"Next 3 Days","Later")))</f>
        <v/>
      </c>
      <c r="K4" s="420" t="inlineStr"/>
      <c r="L4" s="420" t="inlineStr">
        <is>
          <t>Strategic Partner / Growth Capital</t>
        </is>
      </c>
      <c r="M4" s="420" t="inlineStr">
        <is>
          <t>01/14/2026 | Introductory conversation held; John sent story deck, finance-focused deck, and one-pager today. Framed as strategic partner aligned with Scorpius acquisition, revenue expansion, and hypersonics / Golden Dome support. Added as potential strategic partner for board consideration. Awaiting response.</t>
        </is>
      </c>
    </row>
    <row r="5">
      <c r="A5" s="420" t="inlineStr">
        <is>
          <t>Cloris Capital Group LLC</t>
        </is>
      </c>
      <c r="B5" s="420" t="inlineStr">
        <is>
          <t>Financial Investor</t>
        </is>
      </c>
      <c r="C5" s="420" t="inlineStr">
        <is>
          <t>Term Sheet / Proposal</t>
        </is>
      </c>
      <c r="D5" s="420" t="inlineStr">
        <is>
          <t>Tier 1</t>
        </is>
      </c>
      <c r="E5" s="420" t="n">
        <v>1</v>
      </c>
      <c r="F5" s="420" t="inlineStr">
        <is>
          <t>Tahmina Khan</t>
        </is>
      </c>
      <c r="G5" s="420" t="inlineStr">
        <is>
          <t>tahmina.investing@gmail.com</t>
        </is>
      </c>
      <c r="H5" s="420" t="n"/>
      <c r="I5" s="440">
        <f>IF(OR(C5="Passed",H5="",ISBLANK(H5)),"",H5+2)</f>
        <v/>
      </c>
      <c r="J5" s="420">
        <f>IF(I5="","",IF(I5&lt;=TODAY(),"DUE",IF(I5&lt;=TODAY()+3,"Next 3 Days","Later")))</f>
        <v/>
      </c>
      <c r="K5" s="420" t="inlineStr">
        <is>
          <t>referred by Dereck</t>
        </is>
      </c>
      <c r="L5" s="420" t="inlineStr">
        <is>
          <t>Capital Partner (Equity / Strategic) 2% of transaction</t>
        </is>
      </c>
      <c r="M5" s="420" t="inlineStr">
        <is>
          <t>Completed discussions with both ETL and IronGate. No follow-up correspondence received to date. Awaiting next steps or investor feedback. | Investor requested documentation showing revenue for the past three years and indicated interest if trailing 12-month revenue reflects ~$1M. Financial documents sent by John. Awaiting response/feedback. | 11/24 call and materials sent</t>
        </is>
      </c>
    </row>
    <row r="6">
      <c r="A6" s="420" t="inlineStr">
        <is>
          <t>Craft Capital</t>
        </is>
      </c>
      <c r="B6" s="420" t="inlineStr">
        <is>
          <t>Financial Investor</t>
        </is>
      </c>
      <c r="C6" s="420" t="inlineStr">
        <is>
          <t>Term Sheet / Proposal</t>
        </is>
      </c>
      <c r="D6" s="420" t="inlineStr">
        <is>
          <t>Tier 1</t>
        </is>
      </c>
      <c r="E6" s="420" t="n">
        <v>1</v>
      </c>
      <c r="F6" s="420" t="inlineStr">
        <is>
          <t>Brandon Golenda</t>
        </is>
      </c>
      <c r="G6" s="420" t="inlineStr">
        <is>
          <t>bgolenda@craftcm.com</t>
        </is>
      </c>
      <c r="H6" s="440" t="n">
        <v>46020</v>
      </c>
      <c r="I6" s="440">
        <f>IF(OR(C6="Passed",H6="",ISBLANK(H6)),"",H6+2)</f>
        <v/>
      </c>
      <c r="J6" s="420">
        <f>IF(I6="","",IF(I6&lt;=TODAY(),"DUE",IF(I6&lt;=TODAY()+3,"Next 3 Days","Later")))</f>
        <v/>
      </c>
      <c r="K6" s="420" t="inlineStr">
        <is>
          <t>referred by Dereck</t>
        </is>
      </c>
      <c r="L6" s="420" t="inlineStr">
        <is>
          <t>Advisory (Paid) Cost of finance:
$30k fixed + 4–8% cash + 8% equity/warrants (if they introduce the capital)
How to exclude other funding:
The agreement already limits fees to Craft-introduced investors only, but
You should formalize exclusions in writing immediately to avoid disputes.</t>
        </is>
      </c>
      <c r="M6" s="420" t="inlineStr">
        <is>
          <t>Advisory offer contingent on $30K fee. We chose not to proceed; parked. | $30K Investment bank enagement $10k/mo for 3 months advisor only. no funds.</t>
        </is>
      </c>
    </row>
    <row r="7">
      <c r="A7" s="420" t="inlineStr">
        <is>
          <t>DelMorgan &amp; Co</t>
        </is>
      </c>
      <c r="B7" s="420" t="inlineStr">
        <is>
          <t>Financial Investor</t>
        </is>
      </c>
      <c r="C7" s="420" t="inlineStr">
        <is>
          <t>Term Sheet / Proposal</t>
        </is>
      </c>
      <c r="D7" s="420" t="inlineStr">
        <is>
          <t>Tier 1</t>
        </is>
      </c>
      <c r="E7" s="420" t="n">
        <v>1</v>
      </c>
      <c r="F7" s="420" t="inlineStr">
        <is>
          <t>RJ Mollen</t>
        </is>
      </c>
      <c r="G7" s="420" t="inlineStr">
        <is>
          <t>rjm@delmorganco.com</t>
        </is>
      </c>
      <c r="H7" s="440" t="n">
        <v>46037</v>
      </c>
      <c r="I7" s="440">
        <f>IF(OR(C7="Passed",H7="",ISBLANK(H7)),"",H7+2)</f>
        <v/>
      </c>
      <c r="J7" s="420">
        <f>IF(I7="","",IF(I7&lt;=TODAY(),"DUE",IF(I7&lt;=TODAY()+3,"Next 3 Days","Later")))</f>
        <v/>
      </c>
      <c r="K7" s="420" t="inlineStr"/>
      <c r="L7" s="420" t="inlineStr">
        <is>
          <t>Strategic Advisory / Infrastructure &amp; Capital Access</t>
        </is>
      </c>
      <c r="M7" s="420" t="inlineStr">
        <is>
          <t>Talked and rejected offer- RJ proposed two alternative advisory paths outside the DelMorgan framework: (1) Fast Space infrastructure and asset monetization strategy, and (2) Gleam Consulting advisory + investor introductions tied to a $10M raise. Fee-based advisory with equity success bonuses. Not aligned with current priorities; documented for reference.</t>
        </is>
      </c>
    </row>
    <row r="8">
      <c r="A8" s="420" t="inlineStr">
        <is>
          <t>InvestFortuna</t>
        </is>
      </c>
      <c r="B8" s="420" t="inlineStr">
        <is>
          <t>Financial Investor</t>
        </is>
      </c>
      <c r="C8" s="420" t="inlineStr">
        <is>
          <t>Term Sheet / Proposal</t>
        </is>
      </c>
      <c r="D8" s="420" t="inlineStr">
        <is>
          <t>Tier 1</t>
        </is>
      </c>
      <c r="E8" s="420" t="n">
        <v>1</v>
      </c>
      <c r="F8" s="420" t="inlineStr">
        <is>
          <t>Sean Bromley</t>
        </is>
      </c>
      <c r="G8" s="420" t="inlineStr">
        <is>
          <t>sbromley@investfortuna.com</t>
        </is>
      </c>
      <c r="H8" s="440" t="n">
        <v>46023</v>
      </c>
      <c r="I8" s="440">
        <f>IF(OR(C8="Passed",H8="",ISBLANK(H8)),"",H8+2)</f>
        <v/>
      </c>
      <c r="J8" s="420">
        <f>IF(I8="","",IF(I8&lt;=TODAY(),"DUE",IF(I8&lt;=TODAY()+3,"Next 3 Days","Later")))</f>
        <v/>
      </c>
      <c r="K8" s="420" t="inlineStr"/>
      <c r="L8" s="420" t="inlineStr">
        <is>
          <t>Advisory + Bridge / IPO Path</t>
        </is>
      </c>
      <c r="M8" s="420" t="inlineStr">
        <is>
          <t>The .4 term sheet, as drafted, is not registrable, not exchange-compliant, and not defensible for directors.
It can be salvaged only through structural changes that align it with industry norms that they rejected. | 01/15/2026 | Fortuna proposed an IPO-led advisory structure including a warrant offering, $5M minimum bridge financing (convertible at significant discount), and a $15M IPO financing, with substantial embedded dilution and control provisions. EXOS submitted a formal counter-term sheet replacing discounted instruments and automatic vesting with performance-based earn-out equity tied to post-IPO share price and market cap milestones, preserving a clean cap table and fiduciary compliance. Negotiations ongoing; awaiting Fortuna response.</t>
        </is>
      </c>
    </row>
    <row r="9">
      <c r="A9" s="420" t="inlineStr">
        <is>
          <t>Pickwick Capital</t>
        </is>
      </c>
      <c r="B9" s="420" t="inlineStr">
        <is>
          <t>Financial Investor</t>
        </is>
      </c>
      <c r="C9" s="420" t="inlineStr">
        <is>
          <t>Term Sheet / Proposal</t>
        </is>
      </c>
      <c r="D9" s="420" t="inlineStr">
        <is>
          <t>Tier 1</t>
        </is>
      </c>
      <c r="E9" s="420" t="n">
        <v>1</v>
      </c>
      <c r="F9" s="420" t="inlineStr">
        <is>
          <t>Crescent Varrone</t>
        </is>
      </c>
      <c r="G9" s="420" t="inlineStr">
        <is>
          <t>varronec@pickwickcapital.com; alvarezd@pickwickcapital.com</t>
        </is>
      </c>
      <c r="H9" s="440" t="n">
        <v>46031</v>
      </c>
      <c r="I9" s="440">
        <f>IF(OR(C9="Passed",H9="",ISBLANK(H9)),"",H9+2)</f>
        <v/>
      </c>
      <c r="J9" s="420">
        <f>IF(I9="","",IF(I9&lt;=TODAY(),"DUE",IF(I9&lt;=TODAY()+3,"Next 3 Days","Later")))</f>
        <v/>
      </c>
      <c r="K9" s="420" t="inlineStr">
        <is>
          <t>varronec@pickwickcapital.com</t>
        </is>
      </c>
      <c r="L9" s="420" t="inlineStr">
        <is>
          <t>Capital Partner (Equity / Strategic) $15k/ mon 6 Months</t>
        </is>
      </c>
      <c r="M9" s="420" t="inlineStr">
        <is>
          <t>Active discussions underway. Pickwick has expressed interest; no term sheet yet. John had producitive meeting on 1/9. | 01/15/2026</t>
        </is>
      </c>
    </row>
    <row r="10">
      <c r="A10" s="420" t="inlineStr">
        <is>
          <t>Sunbelt Dallas Metro</t>
        </is>
      </c>
      <c r="B10" s="420" t="inlineStr">
        <is>
          <t>Intermediary / Banker</t>
        </is>
      </c>
      <c r="C10" s="420" t="inlineStr">
        <is>
          <t>Term Sheet / Proposal</t>
        </is>
      </c>
      <c r="D10" s="420" t="inlineStr">
        <is>
          <t>Tier 1</t>
        </is>
      </c>
      <c r="E10" s="420" t="n">
        <v>1</v>
      </c>
      <c r="F10" s="420" t="inlineStr">
        <is>
          <t>Bill Nicholson</t>
        </is>
      </c>
      <c r="G10" s="420" t="inlineStr">
        <is>
          <t>bnicholson@sunbeltnetwork.com</t>
        </is>
      </c>
      <c r="H10" s="440" t="n">
        <v>46083</v>
      </c>
      <c r="I10" s="440">
        <f>IF(OR(C10="Passed",H10="",ISBLANK(H10)),"",H10+2)</f>
        <v/>
      </c>
      <c r="J10" s="420">
        <f>IF(I10="","",IF(I10&lt;=TODAY(),"DUE",IF(I10&lt;=TODAY()+3,"Next 3 Days","Later")))</f>
        <v/>
      </c>
      <c r="K10" s="420" t="inlineStr"/>
      <c r="L10" s="420" t="inlineStr">
        <is>
          <t>Proposed intermediary engagement (retainer + success fee model under discussion; Board requesting performance-based structure)</t>
        </is>
      </c>
      <c r="M10" s="420" t="inlineStr">
        <is>
          <t>Sunbelt inquired about including a retainer amount in the Engagement Letter.
John responded that the EXOS Board is unlikely to approve another open-ended retainer structure due to prior experiences with retainers that did not yield measurable outcomes. The Board is prioritizing:
Clearly defined deliverables
Performance-aligned compensation
Objective execution milestones
Defined transaction targets
SEC-compliant structure (broker-dealer participation as required)
John encouraged Sunbelt to propose a performance-based framework (reduced/deferred retainer, milestone-triggered payments, or primarily success-fee based on capital secured).
Bill acknowledged and is coordinating internally to revise the proposal. He requested timing of the next Board meeting.
Status: Awaiting revised engagement structure from Sunbelt for Board review. | sent email letting him know board doesn't want to pat retainer fees</t>
        </is>
      </c>
    </row>
    <row r="11">
      <c r="A11" s="420" t="inlineStr">
        <is>
          <t>US Capital</t>
        </is>
      </c>
      <c r="B11" s="420" t="inlineStr">
        <is>
          <t>Financial Investor</t>
        </is>
      </c>
      <c r="C11" s="420" t="inlineStr">
        <is>
          <t>Term Sheet / Proposal</t>
        </is>
      </c>
      <c r="D11" s="420" t="inlineStr">
        <is>
          <t>Tier 1</t>
        </is>
      </c>
      <c r="E11" s="420" t="n">
        <v>2</v>
      </c>
      <c r="F11" s="420" t="inlineStr">
        <is>
          <t>Ashley Curless; Mitch; Steve Wilburn; Charles Sims</t>
        </is>
      </c>
      <c r="G11" s="420" t="inlineStr">
        <is>
          <t>acurless@uscapital.com; mambe@uscapital.com</t>
        </is>
      </c>
      <c r="H11" s="440" t="n">
        <v>45986</v>
      </c>
      <c r="I11" s="440">
        <f>IF(OR(C11="Passed",H11="",ISBLANK(H11)),"",H11+2)</f>
        <v/>
      </c>
      <c r="J11" s="420">
        <f>IF(I11="","",IF(I11&lt;=TODAY(),"DUE",IF(I11&lt;=TODAY()+3,"Next 3 Days","Later")))</f>
        <v/>
      </c>
      <c r="K11" s="420" t="inlineStr">
        <is>
          <t>referred by Dereck</t>
        </is>
      </c>
      <c r="L11" s="420" t="inlineStr">
        <is>
          <t>Capital Raise (Equity / Convertible)</t>
        </is>
      </c>
      <c r="M11" s="420" t="inlineStr">
        <is>
          <t>Terms shared; fee-heavy engagement model. $120K + 8%  $920K | 01/15/2026 | Submitted formal equity financing proposal for up to $10M. Structure includes 8% cash banking fee, 8% warrant coverage, and $120K upfront compliance/diligence/distribution fees. Process is heavily intermediary-led with broad investor marketing and placement focus. High fees and limited strategic value relative to capital efficiency; not a preferred path at this stage.</t>
        </is>
      </c>
    </row>
    <row r="12">
      <c r="A12" s="420" t="inlineStr">
        <is>
          <t>Black in Play</t>
        </is>
      </c>
      <c r="B12" s="420" t="inlineStr">
        <is>
          <t>Other / Review</t>
        </is>
      </c>
      <c r="C12" s="420" t="inlineStr">
        <is>
          <t>Engaged</t>
        </is>
      </c>
      <c r="D12" s="420" t="inlineStr">
        <is>
          <t>Tier 1</t>
        </is>
      </c>
      <c r="E12" s="420" t="n">
        <v>0</v>
      </c>
      <c r="F12" s="420" t="inlineStr"/>
      <c r="G12" s="420" t="inlineStr"/>
      <c r="H12" s="420" t="n"/>
      <c r="I12" s="440">
        <f>IF(OR(C12="Passed",H12="",ISBLANK(H12)),"",H12+5)</f>
        <v/>
      </c>
      <c r="J12" s="420">
        <f>IF(I12="","",IF(I12&lt;=TODAY(),"DUE",IF(I12&lt;=TODAY()+3,"Next 3 Days","Later")))</f>
        <v/>
      </c>
      <c r="K12" s="420" t="inlineStr"/>
      <c r="L12" s="420" t="inlineStr"/>
      <c r="M12" s="420" t="inlineStr"/>
    </row>
    <row r="13">
      <c r="A13" s="420" t="inlineStr">
        <is>
          <t>Blue under contract engagement</t>
        </is>
      </c>
      <c r="B13" s="420" t="inlineStr">
        <is>
          <t>Other / Review</t>
        </is>
      </c>
      <c r="C13" s="420" t="inlineStr">
        <is>
          <t>Engaged</t>
        </is>
      </c>
      <c r="D13" s="420" t="inlineStr">
        <is>
          <t>Tier 1</t>
        </is>
      </c>
      <c r="E13" s="420" t="n">
        <v>0</v>
      </c>
      <c r="F13" s="420" t="inlineStr"/>
      <c r="G13" s="420" t="inlineStr"/>
      <c r="H13" s="420" t="n"/>
      <c r="I13" s="440">
        <f>IF(OR(C13="Passed",H13="",ISBLANK(H13)),"",H13+5)</f>
        <v/>
      </c>
      <c r="J13" s="420">
        <f>IF(I13="","",IF(I13&lt;=TODAY(),"DUE",IF(I13&lt;=TODAY()+3,"Next 3 Days","Later")))</f>
        <v/>
      </c>
      <c r="K13" s="420" t="inlineStr"/>
      <c r="L13" s="420" t="inlineStr"/>
      <c r="M13" s="420" t="inlineStr"/>
    </row>
    <row r="14">
      <c r="A14" s="420" t="inlineStr">
        <is>
          <t>Concord Ventures</t>
        </is>
      </c>
      <c r="B14" s="420" t="inlineStr">
        <is>
          <t>Financial Investor</t>
        </is>
      </c>
      <c r="C14" s="420" t="inlineStr">
        <is>
          <t>Engaged</t>
        </is>
      </c>
      <c r="D14" s="420" t="inlineStr">
        <is>
          <t>Tier 1</t>
        </is>
      </c>
      <c r="E14" s="420" t="n">
        <v>1</v>
      </c>
      <c r="F14" s="420" t="inlineStr">
        <is>
          <t>Salim Dada</t>
        </is>
      </c>
      <c r="G14" s="420" t="inlineStr">
        <is>
          <t>salim.d@concordventuresinc.com</t>
        </is>
      </c>
      <c r="H14" s="440" t="n">
        <v>45958</v>
      </c>
      <c r="I14" s="440">
        <f>IF(OR(C14="Passed",H14="",ISBLANK(H14)),"",H14+5)</f>
        <v/>
      </c>
      <c r="J14" s="420">
        <f>IF(I14="","",IF(I14&lt;=TODAY(),"DUE",IF(I14&lt;=TODAY()+3,"Next 3 Days","Later")))</f>
        <v/>
      </c>
      <c r="K14" s="420" t="inlineStr">
        <is>
          <t>Salim Dada, Safia Dada</t>
        </is>
      </c>
      <c r="L14" s="420" t="inlineStr">
        <is>
          <t>Sell-Side / Marketing Advisory (Exclusive)</t>
        </is>
      </c>
      <c r="M14" s="420" t="inlineStr">
        <is>
          <t>Revised agreement sent; no follow-up since; inactive. | offer for $2500/month for 3 months plan | Offer for $2500/month to run program</t>
        </is>
      </c>
    </row>
    <row r="15">
      <c r="A15" s="420" t="inlineStr">
        <is>
          <t>CounterFlow Solutions</t>
        </is>
      </c>
      <c r="B15" s="420" t="inlineStr">
        <is>
          <t>Other / Review</t>
        </is>
      </c>
      <c r="C15" s="420" t="inlineStr">
        <is>
          <t>Engaged</t>
        </is>
      </c>
      <c r="D15" s="420" t="inlineStr">
        <is>
          <t>Tier 1</t>
        </is>
      </c>
      <c r="E15" s="420" t="n">
        <v>1</v>
      </c>
      <c r="F15" s="420" t="inlineStr">
        <is>
          <t>Dan Garretson</t>
        </is>
      </c>
      <c r="G15" s="420" t="inlineStr">
        <is>
          <t>dgarretson@counterflowsolutions.com</t>
        </is>
      </c>
      <c r="H15" s="440" t="n">
        <v>46024</v>
      </c>
      <c r="I15" s="440">
        <f>IF(OR(C15="Passed",H15="",ISBLANK(H15)),"",H15+5)</f>
        <v/>
      </c>
      <c r="J15" s="420">
        <f>IF(I15="","",IF(I15&lt;=TODAY(),"DUE",IF(I15&lt;=TODAY()+3,"Next 3 Days","Later")))</f>
        <v/>
      </c>
      <c r="K15" s="420" t="inlineStr"/>
      <c r="L15" s="420" t="inlineStr">
        <is>
          <t>Strategic Advisory (Narrative / Framing)</t>
        </is>
      </c>
      <c r="M15" s="420" t="inlineStr">
        <is>
          <t>Proposed short sprint to reframe EXOS + Scorpius narrative. Decision pending. | 12/23 john sent follow up reply | Costs for wrong scope</t>
        </is>
      </c>
    </row>
    <row r="16">
      <c r="A16" s="420" t="inlineStr">
        <is>
          <t>CrossRoads Capital</t>
        </is>
      </c>
      <c r="B16" s="420" t="inlineStr">
        <is>
          <t>Financial Investor</t>
        </is>
      </c>
      <c r="C16" s="420" t="inlineStr">
        <is>
          <t>Engaged</t>
        </is>
      </c>
      <c r="D16" s="420" t="inlineStr">
        <is>
          <t>Tier 1</t>
        </is>
      </c>
      <c r="E16" s="420" t="n">
        <v>2</v>
      </c>
      <c r="F16" s="420" t="inlineStr">
        <is>
          <t>Rchard Phillips; Andrew J. Buchholtz and David Ford</t>
        </is>
      </c>
      <c r="G16" s="420" t="inlineStr">
        <is>
          <t>andy@abuchholtz.com</t>
        </is>
      </c>
      <c r="H16" s="440" t="n">
        <v>46038</v>
      </c>
      <c r="I16" s="440">
        <f>IF(OR(C16="Passed",H16="",ISBLANK(H16)),"",H16+5)</f>
        <v/>
      </c>
      <c r="J16" s="420">
        <f>IF(I16="","",IF(I16&lt;=TODAY(),"DUE",IF(I16&lt;=TODAY()+3,"Next 3 Days","Later")))</f>
        <v/>
      </c>
      <c r="K16" s="420" t="inlineStr">
        <is>
          <t>Richard Phillips</t>
        </is>
      </c>
      <c r="L16" s="420" t="inlineStr">
        <is>
          <t>CTD acquisition or JV opportunity</t>
        </is>
      </c>
      <c r="M16" s="420" t="inlineStr">
        <is>
          <t>have new 18,000 sf facility just North of Denver Co.  $3-4M to scale | Sent you the ELA draft this morning — let me if you didn’t receive or if you have any questions. We can schedule another call if you’d like to review together. | had a call, sent deck</t>
        </is>
      </c>
    </row>
    <row r="17">
      <c r="A17" s="420" t="inlineStr">
        <is>
          <t>DC Finance</t>
        </is>
      </c>
      <c r="B17" s="420" t="inlineStr">
        <is>
          <t>Financial Investor</t>
        </is>
      </c>
      <c r="C17" s="420" t="inlineStr">
        <is>
          <t>Engaged</t>
        </is>
      </c>
      <c r="D17" s="420" t="inlineStr">
        <is>
          <t>Tier 1</t>
        </is>
      </c>
      <c r="E17" s="420" t="n">
        <v>1</v>
      </c>
      <c r="F17" s="420" t="inlineStr">
        <is>
          <t>Morris</t>
        </is>
      </c>
      <c r="G17" s="420" t="inlineStr"/>
      <c r="H17" s="420" t="n"/>
      <c r="I17" s="440">
        <f>IF(OR(C17="Passed",H17="",ISBLANK(H17)),"",H17+5)</f>
        <v/>
      </c>
      <c r="J17" s="420">
        <f>IF(I17="","",IF(I17&lt;=TODAY(),"DUE",IF(I17&lt;=TODAY()+3,"Next 3 Days","Later")))</f>
        <v/>
      </c>
      <c r="K17" s="420" t="inlineStr"/>
      <c r="L17" s="420" t="inlineStr">
        <is>
          <t>10K or 30k to put you in a room with 12 Family offices</t>
        </is>
      </c>
      <c r="M17" s="420" t="inlineStr"/>
    </row>
    <row r="18">
      <c r="A18" s="420" t="inlineStr">
        <is>
          <t>Digital Asset Management</t>
        </is>
      </c>
      <c r="B18" s="420" t="inlineStr">
        <is>
          <t>Financial Investor</t>
        </is>
      </c>
      <c r="C18" s="420" t="inlineStr">
        <is>
          <t>Engaged</t>
        </is>
      </c>
      <c r="D18" s="420" t="inlineStr">
        <is>
          <t>Tier 1</t>
        </is>
      </c>
      <c r="E18" s="420" t="n">
        <v>1</v>
      </c>
      <c r="F18" s="420" t="inlineStr">
        <is>
          <t>Juan Lorenzana</t>
        </is>
      </c>
      <c r="G18" s="420" t="inlineStr"/>
      <c r="H18" s="440" t="n">
        <v>46059</v>
      </c>
      <c r="I18" s="440">
        <f>IF(OR(C18="Passed",H18="",ISBLANK(H18)),"",H18+5)</f>
        <v/>
      </c>
      <c r="J18" s="420">
        <f>IF(I18="","",IF(I18&lt;=TODAY(),"DUE",IF(I18&lt;=TODAY()+3,"Next 3 Days","Later")))</f>
        <v/>
      </c>
      <c r="K18" s="420" t="inlineStr"/>
      <c r="L18" s="420" t="inlineStr">
        <is>
          <t>no feedback on SEC filing AUM record</t>
        </is>
      </c>
      <c r="M18" s="420" t="inlineStr">
        <is>
          <t>$30K refundable.  Fund  with hedge of Gold metals real estate etc.</t>
        </is>
      </c>
    </row>
    <row r="19">
      <c r="A19" s="420" t="inlineStr">
        <is>
          <t>Green- costs</t>
        </is>
      </c>
      <c r="B19" s="420" t="inlineStr">
        <is>
          <t>Other / Review</t>
        </is>
      </c>
      <c r="C19" s="420" t="inlineStr">
        <is>
          <t>Engaged</t>
        </is>
      </c>
      <c r="D19" s="420" t="inlineStr">
        <is>
          <t>Tier 1</t>
        </is>
      </c>
      <c r="E19" s="420" t="n">
        <v>0</v>
      </c>
      <c r="F19" s="420" t="inlineStr"/>
      <c r="G19" s="420" t="inlineStr"/>
      <c r="H19" s="420" t="n"/>
      <c r="I19" s="440">
        <f>IF(OR(C19="Passed",H19="",ISBLANK(H19)),"",H19+5)</f>
        <v/>
      </c>
      <c r="J19" s="420">
        <f>IF(I19="","",IF(I19&lt;=TODAY(),"DUE",IF(I19&lt;=TODAY()+3,"Next 3 Days","Later")))</f>
        <v/>
      </c>
      <c r="K19" s="420" t="inlineStr"/>
      <c r="L19" s="420" t="inlineStr"/>
      <c r="M19" s="420" t="inlineStr"/>
    </row>
    <row r="20">
      <c r="A20" s="420" t="inlineStr">
        <is>
          <t>Ivy Asset Management</t>
        </is>
      </c>
      <c r="B20" s="420" t="inlineStr">
        <is>
          <t>Other / Review</t>
        </is>
      </c>
      <c r="C20" s="420" t="inlineStr">
        <is>
          <t>Engaged</t>
        </is>
      </c>
      <c r="D20" s="420" t="inlineStr">
        <is>
          <t>Tier 1</t>
        </is>
      </c>
      <c r="E20" s="420" t="n">
        <v>1</v>
      </c>
      <c r="F20" s="420" t="inlineStr">
        <is>
          <t>Chris Roberts "Christopher Virginia Roberts"</t>
        </is>
      </c>
      <c r="G20" s="420" t="inlineStr">
        <is>
          <t>chrisr@ivyassetmngmt.com</t>
        </is>
      </c>
      <c r="H20" s="420" t="n"/>
      <c r="I20" s="440">
        <f>IF(OR(C20="Passed",H20="",ISBLANK(H20)),"",H20+5)</f>
        <v/>
      </c>
      <c r="J20" s="420">
        <f>IF(I20="","",IF(I20&lt;=TODAY(),"DUE",IF(I20&lt;=TODAY()+3,"Next 3 Days","Later")))</f>
        <v/>
      </c>
      <c r="K20" s="420" t="inlineStr"/>
      <c r="L20" s="420" t="inlineStr"/>
      <c r="M20" s="420" t="inlineStr"/>
    </row>
    <row r="21">
      <c r="A21" s="420" t="inlineStr">
        <is>
          <t>Odeon Capital</t>
        </is>
      </c>
      <c r="B21" s="420" t="inlineStr">
        <is>
          <t>Financial Investor</t>
        </is>
      </c>
      <c r="C21" s="420" t="inlineStr">
        <is>
          <t>Engaged</t>
        </is>
      </c>
      <c r="D21" s="420" t="inlineStr">
        <is>
          <t>Tier 1</t>
        </is>
      </c>
      <c r="E21" s="420" t="n">
        <v>1</v>
      </c>
      <c r="F21" s="420" t="inlineStr">
        <is>
          <t>Eric Gomberg</t>
        </is>
      </c>
      <c r="G21" s="420" t="inlineStr">
        <is>
          <t>egomberg@odeoncap.com</t>
        </is>
      </c>
      <c r="H21" s="440" t="n">
        <v>46028</v>
      </c>
      <c r="I21" s="440">
        <f>IF(OR(C21="Passed",H21="",ISBLANK(H21)),"",H21+5)</f>
        <v/>
      </c>
      <c r="J21" s="420">
        <f>IF(I21="","",IF(I21&lt;=TODAY(),"DUE",IF(I21&lt;=TODAY()+3,"Next 3 Days","Later")))</f>
        <v/>
      </c>
      <c r="K21" s="420" t="inlineStr"/>
      <c r="L21" s="420" t="inlineStr">
        <is>
          <t>Capital Discussion</t>
        </is>
      </c>
      <c r="M21" s="420" t="inlineStr">
        <is>
          <t>MNDA + data room sent Dec 17. No response prior to year-end. Follow-up email sent today. | 01/15/2026 | 1. Reduced Retainer of $30,000 Upfront.
2. Success Fee of $400,000 at the back end.  We will credit the $30K Retainer back at the end upon a successful completion.
3. Any reasonable travel authorized by the client in advance of any travel.
Please let us know if this is okay, then we can proceed with the detailed proposal/engagement letter.
Regards, Bill
Bill Nicholson, MBA,  M&amp;AMI®, CM&amp;AA®</t>
        </is>
      </c>
    </row>
    <row r="22">
      <c r="A22" s="420" t="inlineStr">
        <is>
          <t>Red dropped</t>
        </is>
      </c>
      <c r="B22" s="420" t="inlineStr">
        <is>
          <t>Other / Review</t>
        </is>
      </c>
      <c r="C22" s="420" t="inlineStr">
        <is>
          <t>Engaged</t>
        </is>
      </c>
      <c r="D22" s="420" t="inlineStr">
        <is>
          <t>Tier 1</t>
        </is>
      </c>
      <c r="E22" s="420" t="n">
        <v>0</v>
      </c>
      <c r="F22" s="420" t="inlineStr"/>
      <c r="G22" s="420" t="inlineStr"/>
      <c r="H22" s="420" t="n"/>
      <c r="I22" s="440">
        <f>IF(OR(C22="Passed",H22="",ISBLANK(H22)),"",H22+5)</f>
        <v/>
      </c>
      <c r="J22" s="420">
        <f>IF(I22="","",IF(I22&lt;=TODAY(),"DUE",IF(I22&lt;=TODAY()+3,"Next 3 Days","Later")))</f>
        <v/>
      </c>
      <c r="K22" s="420" t="inlineStr"/>
      <c r="L22" s="420" t="inlineStr"/>
      <c r="M22" s="420" t="inlineStr"/>
    </row>
    <row r="23">
      <c r="A23" s="420" t="inlineStr">
        <is>
          <t>Ricci Global Partners</t>
        </is>
      </c>
      <c r="B23" s="420" t="inlineStr">
        <is>
          <t>Financial Investor</t>
        </is>
      </c>
      <c r="C23" s="420" t="inlineStr">
        <is>
          <t>Engaged</t>
        </is>
      </c>
      <c r="D23" s="420" t="inlineStr">
        <is>
          <t>Tier 1</t>
        </is>
      </c>
      <c r="E23" s="420" t="n">
        <v>1</v>
      </c>
      <c r="F23" s="420" t="inlineStr">
        <is>
          <t>Riccardo Ricci</t>
        </is>
      </c>
      <c r="G23" s="420" t="inlineStr">
        <is>
          <t>riccardo@riccicapitalpartners.com; riccardo-ricci@ricciglobalpartners.com</t>
        </is>
      </c>
      <c r="H23" s="440" t="n">
        <v>46028</v>
      </c>
      <c r="I23" s="440">
        <f>IF(OR(C23="Passed",H23="",ISBLANK(H23)),"",H23+5)</f>
        <v/>
      </c>
      <c r="J23" s="420">
        <f>IF(I23="","",IF(I23&lt;=TODAY(),"DUE",IF(I23&lt;=TODAY()+3,"Next 3 Days","Later")))</f>
        <v/>
      </c>
      <c r="K23" s="420" t="inlineStr">
        <is>
          <t>referred by Tom Wright</t>
        </is>
      </c>
      <c r="L23" s="420" t="inlineStr">
        <is>
          <t>Capital Partner (Equity / Strategic)</t>
        </is>
      </c>
      <c r="M23" s="420" t="inlineStr">
        <is>
          <t>MNDA executed and data room shared. Ricci requested finance working session and followed up again today to move forward | 01/15/2026 | 03/13/2026</t>
        </is>
      </c>
    </row>
    <row r="24">
      <c r="A24" s="420" t="inlineStr">
        <is>
          <t>Screen with Visual Conmpliance</t>
        </is>
      </c>
      <c r="B24" s="420" t="inlineStr">
        <is>
          <t>Other / Review</t>
        </is>
      </c>
      <c r="C24" s="420" t="inlineStr">
        <is>
          <t>Engaged</t>
        </is>
      </c>
      <c r="D24" s="420" t="inlineStr">
        <is>
          <t>Tier 1</t>
        </is>
      </c>
      <c r="E24" s="420" t="n">
        <v>0</v>
      </c>
      <c r="F24" s="420" t="inlineStr"/>
      <c r="G24" s="420" t="inlineStr"/>
      <c r="H24" s="420" t="n"/>
      <c r="I24" s="440">
        <f>IF(OR(C24="Passed",H24="",ISBLANK(H24)),"",H24+5)</f>
        <v/>
      </c>
      <c r="J24" s="420">
        <f>IF(I24="","",IF(I24&lt;=TODAY(),"DUE",IF(I24&lt;=TODAY()+3,"Next 3 Days","Later")))</f>
        <v/>
      </c>
      <c r="K24" s="420" t="inlineStr"/>
      <c r="L24" s="420" t="inlineStr"/>
      <c r="M24" s="420" t="inlineStr"/>
    </row>
    <row r="25">
      <c r="A25" s="420" t="inlineStr">
        <is>
          <t>The Unity Group</t>
        </is>
      </c>
      <c r="B25" s="420" t="inlineStr">
        <is>
          <t>Other / Review</t>
        </is>
      </c>
      <c r="C25" s="420" t="inlineStr">
        <is>
          <t>Engaged</t>
        </is>
      </c>
      <c r="D25" s="420" t="inlineStr">
        <is>
          <t>Tier 1</t>
        </is>
      </c>
      <c r="E25" s="420" t="n">
        <v>1</v>
      </c>
      <c r="F25" s="420" t="inlineStr">
        <is>
          <t>Alex Durie via Tahmina K</t>
        </is>
      </c>
      <c r="G25" s="420" t="inlineStr">
        <is>
          <t>alex@unity-group.com</t>
        </is>
      </c>
      <c r="H25" s="420" t="n"/>
      <c r="I25" s="440">
        <f>IF(OR(C25="Passed",H25="",ISBLANK(H25)),"",H25+5)</f>
        <v/>
      </c>
      <c r="J25" s="420">
        <f>IF(I25="","",IF(I25&lt;=TODAY(),"DUE",IF(I25&lt;=TODAY()+3,"Next 3 Days","Later")))</f>
        <v/>
      </c>
      <c r="K25" s="420" t="inlineStr"/>
      <c r="L25" s="420" t="inlineStr"/>
      <c r="M25" s="420" t="inlineStr"/>
    </row>
    <row r="26">
      <c r="A26" s="420" t="inlineStr">
        <is>
          <t>Tristate Capital</t>
        </is>
      </c>
      <c r="B26" s="420" t="inlineStr">
        <is>
          <t>Intermediary / Banker</t>
        </is>
      </c>
      <c r="C26" s="420" t="inlineStr">
        <is>
          <t>Engaged</t>
        </is>
      </c>
      <c r="D26" s="420" t="inlineStr">
        <is>
          <t>Tier 1</t>
        </is>
      </c>
      <c r="E26" s="420" t="n">
        <v>1</v>
      </c>
      <c r="F26" s="420" t="inlineStr">
        <is>
          <t>Sulaiman Sulaimani</t>
        </is>
      </c>
      <c r="G26" s="420" t="inlineStr">
        <is>
          <t>sulaiman@tristatecap.com</t>
        </is>
      </c>
      <c r="H26" s="440" t="n">
        <v>46054</v>
      </c>
      <c r="I26" s="440">
        <f>IF(OR(C26="Passed",H26="",ISBLANK(H26)),"",H26+5)</f>
        <v/>
      </c>
      <c r="J26" s="420">
        <f>IF(I26="","",IF(I26&lt;=TODAY(),"DUE",IF(I26&lt;=TODAY()+3,"Next 3 Days","Later")))</f>
        <v/>
      </c>
      <c r="K26" s="420" t="inlineStr">
        <is>
          <t>referred by Dereck</t>
        </is>
      </c>
      <c r="L26" s="420" t="inlineStr">
        <is>
          <t>Capital Introduction (Success Fee + Equity) 
Cost of finance under Tristate:
2.0% cash + 1.0% non-voting equity
Only on Tristate-sourced, closed capital</t>
        </is>
      </c>
      <c r="M26" s="420" t="inlineStr">
        <is>
          <t>https://www.irongatevc.com/ 
Contracted with Sulaiman Sulaimani
​John Quinn​
​Neil Milburn​
John,
I'm scheduled to speak with our strategic partner Ty McCoy tomorrow. He just emailed me a company now that appears to be a close contact of his as there is someone on their team that is former CIA. I think we found the right partner for you and your team. Please give me sometime as I work on this for you and your team. I'll be back in touch. 
Thanks for the call yesterday. I enjoyed speaking with you. I was able to connect with our strategic partner Ty McCoy with IronGate. He is available to speak with us next week at 12 pm CST on 2/10.
I was also able to circle up with our clients from ETL. Hanshin Lee emailed me that he is interested in Exos Aerospace and speaking with us next week at 8 am CST on 2/10.
If you can please send me calendar invites for both calls on 2/10 8 am CST with ETL, and 12 pm CST with IronGate. Once I receive both invites, I'll be sure to pass them along. | 01/15/2026 | 2/10 – Calls Held:</t>
        </is>
      </c>
    </row>
    <row r="27">
      <c r="A27" s="420" t="inlineStr">
        <is>
          <t>Viking Mergers &amp; Acquisitions</t>
        </is>
      </c>
      <c r="B27" s="420" t="inlineStr">
        <is>
          <t>Other / Review</t>
        </is>
      </c>
      <c r="C27" s="420" t="inlineStr">
        <is>
          <t>Engaged</t>
        </is>
      </c>
      <c r="D27" s="420" t="inlineStr">
        <is>
          <t>Tier 1</t>
        </is>
      </c>
      <c r="E27" s="420" t="n">
        <v>1</v>
      </c>
      <c r="F27" s="420" t="inlineStr">
        <is>
          <t>A. Rehwinkel</t>
        </is>
      </c>
      <c r="G27" s="420" t="inlineStr">
        <is>
          <t>arehwinkel@vikingmergers.com</t>
        </is>
      </c>
      <c r="H27" s="420" t="n"/>
      <c r="I27" s="440">
        <f>IF(OR(C27="Passed",H27="",ISBLANK(H27)),"",H27+5)</f>
        <v/>
      </c>
      <c r="J27" s="420">
        <f>IF(I27="","",IF(I27&lt;=TODAY(),"DUE",IF(I27&lt;=TODAY()+3,"Next 3 Days","Later")))</f>
        <v/>
      </c>
      <c r="K27" s="420" t="inlineStr"/>
      <c r="L27" s="420" t="inlineStr"/>
      <c r="M27" s="420" t="inlineStr">
        <is>
          <t>Initial engagement underway; reviewing materials in data room.</t>
        </is>
      </c>
    </row>
    <row r="28">
      <c r="A28" s="420" t="inlineStr">
        <is>
          <t>Collective Equity</t>
        </is>
      </c>
      <c r="B28" s="420" t="inlineStr">
        <is>
          <t>Financial Investor</t>
        </is>
      </c>
      <c r="C28" s="420" t="inlineStr">
        <is>
          <t>Meeting Requested</t>
        </is>
      </c>
      <c r="D28" s="420" t="inlineStr">
        <is>
          <t>Tier 1</t>
        </is>
      </c>
      <c r="E28" s="420" t="n">
        <v>1</v>
      </c>
      <c r="F28" s="420" t="inlineStr">
        <is>
          <t>Mike Royston</t>
        </is>
      </c>
      <c r="G28" s="420" t="inlineStr">
        <is>
          <t>mike@collectiveequity.com</t>
        </is>
      </c>
      <c r="H28" s="420" t="n"/>
      <c r="I28" s="440">
        <f>IF(OR(C28="Passed",H28="",ISBLANK(H28)),"",H28+2)</f>
        <v/>
      </c>
      <c r="J28" s="420">
        <f>IF(I28="","",IF(I28&lt;=TODAY(),"DUE",IF(I28&lt;=TODAY()+3,"Next 3 Days","Later")))</f>
        <v/>
      </c>
      <c r="K28" s="420" t="inlineStr"/>
      <c r="L28" s="420" t="inlineStr"/>
      <c r="M28" s="420" t="inlineStr">
        <is>
          <t>meeting on 6/25 / follow up meeting in the works / ziyi@collectiveequity.com</t>
        </is>
      </c>
    </row>
    <row r="29">
      <c r="A29" s="420" t="inlineStr">
        <is>
          <t>Gravitics</t>
        </is>
      </c>
      <c r="B29" s="420" t="inlineStr">
        <is>
          <t>Strategic / Corporate</t>
        </is>
      </c>
      <c r="C29" s="420" t="inlineStr">
        <is>
          <t>Meeting Requested</t>
        </is>
      </c>
      <c r="D29" s="420" t="inlineStr">
        <is>
          <t>Tier 1</t>
        </is>
      </c>
      <c r="E29" s="420" t="n">
        <v>4</v>
      </c>
      <c r="F29" s="420" t="inlineStr">
        <is>
          <t>Scott Macklin; Bill Tandy; Colin Doughan; Jiral Shah</t>
        </is>
      </c>
      <c r="G29" s="420" t="inlineStr">
        <is>
          <t>smacklin@gravitics.com; btandy@gravitics.com; cdoughan@gravitics.com; jshah@gravitics.com</t>
        </is>
      </c>
      <c r="H29" s="440" t="n">
        <v>45744</v>
      </c>
      <c r="I29" s="440">
        <f>IF(OR(C29="Passed",H29="",ISBLANK(H29)),"",H29+2)</f>
        <v/>
      </c>
      <c r="J29" s="420">
        <f>IF(I29="","",IF(I29&lt;=TODAY(),"DUE",IF(I29&lt;=TODAY()+3,"Next 3 Days","Later")))</f>
        <v/>
      </c>
      <c r="K29" s="420" t="inlineStr"/>
      <c r="L29" s="420" t="inlineStr"/>
      <c r="M29" s="420" t="inlineStr">
        <is>
          <t>meeting set for 4/3</t>
        </is>
      </c>
    </row>
    <row r="30">
      <c r="A30" s="420" t="inlineStr">
        <is>
          <t>Investor Ready Capital</t>
        </is>
      </c>
      <c r="B30" s="420" t="inlineStr">
        <is>
          <t>Financial Investor</t>
        </is>
      </c>
      <c r="C30" s="420" t="inlineStr">
        <is>
          <t>Meeting Requested</t>
        </is>
      </c>
      <c r="D30" s="420" t="inlineStr">
        <is>
          <t>Tier 1</t>
        </is>
      </c>
      <c r="E30" s="420" t="n">
        <v>1</v>
      </c>
      <c r="F30" s="420" t="inlineStr">
        <is>
          <t>Samuel Levitz</t>
        </is>
      </c>
      <c r="G30" s="420" t="inlineStr">
        <is>
          <t>samuel@investorreadycapital.com</t>
        </is>
      </c>
      <c r="H30" s="420" t="n"/>
      <c r="I30" s="440">
        <f>IF(OR(C30="Passed",H30="",ISBLANK(H30)),"",H30+2)</f>
        <v/>
      </c>
      <c r="J30" s="420">
        <f>IF(I30="","",IF(I30&lt;=TODAY(),"DUE",IF(I30&lt;=TODAY()+3,"Next 3 Days","Later")))</f>
        <v/>
      </c>
      <c r="K30" s="420" t="inlineStr"/>
      <c r="L30" s="420" t="inlineStr"/>
      <c r="M30" s="420" t="inlineStr">
        <is>
          <t>meeting held on 6/24 / follow up meeting on 6/27- Question replied to and followed up on 7-11</t>
        </is>
      </c>
    </row>
    <row r="31">
      <c r="A31" s="420" t="inlineStr">
        <is>
          <t>One Bow River</t>
        </is>
      </c>
      <c r="B31" s="420" t="inlineStr">
        <is>
          <t>Financial Investor</t>
        </is>
      </c>
      <c r="C31" s="420" t="inlineStr">
        <is>
          <t>Meeting Requested</t>
        </is>
      </c>
      <c r="D31" s="420" t="inlineStr">
        <is>
          <t>Tier 1</t>
        </is>
      </c>
      <c r="E31" s="420" t="n">
        <v>3</v>
      </c>
      <c r="F31" s="420" t="inlineStr">
        <is>
          <t>Stowe Faircloth; Kevin O'Neil; Steven Joanis</t>
        </is>
      </c>
      <c r="G31" s="420" t="inlineStr">
        <is>
          <t>shane.sherman@onebowriver.com; kevin.oneil@onebowriver.com; steven.joanis@onebowriver.com</t>
        </is>
      </c>
      <c r="H31" s="440" t="n">
        <v>45922</v>
      </c>
      <c r="I31" s="440">
        <f>IF(OR(C31="Passed",H31="",ISBLANK(H31)),"",H31+2)</f>
        <v/>
      </c>
      <c r="J31" s="420">
        <f>IF(I31="","",IF(I31&lt;=TODAY(),"DUE",IF(I31&lt;=TODAY()+3,"Next 3 Days","Later")))</f>
        <v/>
      </c>
      <c r="K31" s="420" t="inlineStr">
        <is>
          <t>https://www.linkedin.com/in/shane-sherman/</t>
        </is>
      </c>
      <c r="L31" s="420" t="inlineStr"/>
      <c r="M31" s="420" t="inlineStr">
        <is>
          <t>08/12/2025 | Stowe Faircloth &lt;Stowe.faircloth@onebowriver.com&gt;replied requesting a meeting on 9/22</t>
        </is>
      </c>
    </row>
    <row r="32">
      <c r="A32" s="420" t="inlineStr">
        <is>
          <t>TEL Venture Capital</t>
        </is>
      </c>
      <c r="B32" s="420" t="inlineStr">
        <is>
          <t>Financial Investor</t>
        </is>
      </c>
      <c r="C32" s="420" t="inlineStr">
        <is>
          <t>Meeting Requested</t>
        </is>
      </c>
      <c r="D32" s="420" t="inlineStr">
        <is>
          <t>Tier 1</t>
        </is>
      </c>
      <c r="E32" s="420" t="n">
        <v>1</v>
      </c>
      <c r="F32" s="420" t="inlineStr">
        <is>
          <t>Sergey Fedotov</t>
        </is>
      </c>
      <c r="G32" s="420" t="inlineStr">
        <is>
          <t>sergey.fedotov@tel.com</t>
        </is>
      </c>
      <c r="H32" s="440" t="n">
        <v>45912</v>
      </c>
      <c r="I32" s="440">
        <f>IF(OR(C32="Passed",H32="",ISBLANK(H32)),"",H32+2)</f>
        <v/>
      </c>
      <c r="J32" s="420">
        <f>IF(I32="","",IF(I32&lt;=TODAY(),"DUE",IF(I32&lt;=TODAY()+3,"Next 3 Days","Later")))</f>
        <v/>
      </c>
      <c r="K32" s="420" t="inlineStr">
        <is>
          <t>https://www.linkedin.com/in/sergey-a-fedotov/</t>
        </is>
      </c>
      <c r="L32" s="420" t="inlineStr"/>
      <c r="M32" s="420" t="inlineStr">
        <is>
          <t>9/24 - meeting set for 10/2</t>
        </is>
      </c>
    </row>
    <row r="33">
      <c r="A33" s="420" t="inlineStr">
        <is>
          <t>referred by andy@abucholtz.com</t>
        </is>
      </c>
      <c r="B33" s="420" t="inlineStr">
        <is>
          <t>Financial Investor</t>
        </is>
      </c>
      <c r="C33" s="420" t="inlineStr">
        <is>
          <t>Meeting Requested</t>
        </is>
      </c>
      <c r="D33" s="420" t="inlineStr">
        <is>
          <t>Tier 1</t>
        </is>
      </c>
      <c r="E33" s="420" t="n">
        <v>1</v>
      </c>
      <c r="F33" s="420" t="inlineStr">
        <is>
          <t>Richard Phillips</t>
        </is>
      </c>
      <c r="G33" s="420" t="inlineStr">
        <is>
          <t>phillips@crossroadscapitaldc.com</t>
        </is>
      </c>
      <c r="H33" s="440" t="n">
        <v>45903</v>
      </c>
      <c r="I33" s="440">
        <f>IF(OR(C33="Passed",H33="",ISBLANK(H33)),"",H33+2)</f>
        <v/>
      </c>
      <c r="J33" s="420">
        <f>IF(I33="","",IF(I33&lt;=TODAY(),"DUE",IF(I33&lt;=TODAY()+3,"Next 3 Days","Later")))</f>
        <v/>
      </c>
      <c r="K33" s="420" t="inlineStr">
        <is>
          <t>phillips@crossroadscapitaldc.com</t>
        </is>
      </c>
      <c r="L33" s="420" t="inlineStr"/>
      <c r="M33" s="420" t="inlineStr">
        <is>
          <t>meeting set 9/8/ NDA 9/12 | Suggested www.ctd.materials.com as a better fit and said he would schedule follow up meeting using your link | 9/17 – Richard sent draft ELA; John replied same day with detailed summary of requested revisions (removal of exclusivity, no retainer, Appendix D addition, clarified success fees). No reply since.</t>
        </is>
      </c>
    </row>
    <row r="34">
      <c r="A34" s="420" t="inlineStr">
        <is>
          <t>Cerebro Capital</t>
        </is>
      </c>
      <c r="B34" s="420" t="inlineStr">
        <is>
          <t>Financial Investor</t>
        </is>
      </c>
      <c r="C34" s="420" t="inlineStr">
        <is>
          <t>Meeting Held</t>
        </is>
      </c>
      <c r="D34" s="420" t="inlineStr">
        <is>
          <t>Tier 1</t>
        </is>
      </c>
      <c r="E34" s="420" t="n">
        <v>1</v>
      </c>
      <c r="F34" s="420" t="inlineStr">
        <is>
          <t>Steven Agathoklis</t>
        </is>
      </c>
      <c r="G34" s="420" t="inlineStr">
        <is>
          <t>sagathoklis@cerebrocapital.com</t>
        </is>
      </c>
      <c r="H34" s="440" t="n">
        <v>45951</v>
      </c>
      <c r="I34" s="440">
        <f>IF(OR(C34="Passed",H34="",ISBLANK(H34)),"",H34+5)</f>
        <v/>
      </c>
      <c r="J34" s="420">
        <f>IF(I34="","",IF(I34&lt;=TODAY(),"DUE",IF(I34&lt;=TODAY()+3,"Next 3 Days","Later")))</f>
        <v/>
      </c>
      <c r="K34" s="420" t="inlineStr"/>
      <c r="L34" s="420" t="inlineStr">
        <is>
          <t>Bridge Loan</t>
        </is>
      </c>
      <c r="M34" s="420" t="inlineStr">
        <is>
          <t>NDA signed; full financials provided. No response since; inactive. | meeting held on 10/16</t>
        </is>
      </c>
    </row>
    <row r="35">
      <c r="A35" s="420" t="inlineStr">
        <is>
          <t>IPO Club</t>
        </is>
      </c>
      <c r="B35" s="420" t="inlineStr">
        <is>
          <t>Financial Investor</t>
        </is>
      </c>
      <c r="C35" s="420" t="inlineStr">
        <is>
          <t>Meeting Held</t>
        </is>
      </c>
      <c r="D35" s="420" t="inlineStr">
        <is>
          <t>Tier 1</t>
        </is>
      </c>
      <c r="E35" s="420" t="n">
        <v>2</v>
      </c>
      <c r="F35" s="420" t="inlineStr">
        <is>
          <t>Edoardo Zarghetta; Jordan Yip</t>
        </is>
      </c>
      <c r="G35" s="420" t="inlineStr">
        <is>
          <t>edozar@gmail.com; jordan@preipo.club</t>
        </is>
      </c>
      <c r="H35" s="440" t="n">
        <v>46030</v>
      </c>
      <c r="I35" s="440">
        <f>IF(OR(C35="Passed",H35="",ISBLANK(H35)),"",H35+5)</f>
        <v/>
      </c>
      <c r="J35" s="420">
        <f>IF(I35="","",IF(I35&lt;=TODAY(),"DUE",IF(I35&lt;=TODAY()+3,"Next 3 Days","Later")))</f>
        <v/>
      </c>
      <c r="K35" s="420" t="inlineStr">
        <is>
          <t>linkedin.com/in/edozar | linkedin.com/in/jordan-yip-zhu-ern</t>
        </is>
      </c>
      <c r="L35" s="420" t="inlineStr"/>
      <c r="M35" s="420" t="inlineStr">
        <is>
          <t>meeting held on 1/13 - pitch deck sent for brother</t>
        </is>
      </c>
    </row>
    <row r="36">
      <c r="A36" s="420" t="inlineStr">
        <is>
          <t>Noblis Ventures</t>
        </is>
      </c>
      <c r="B36" s="420" t="inlineStr">
        <is>
          <t>Financial Investor</t>
        </is>
      </c>
      <c r="C36" s="420" t="inlineStr">
        <is>
          <t>Meeting Held</t>
        </is>
      </c>
      <c r="D36" s="420" t="inlineStr">
        <is>
          <t>Tier 1</t>
        </is>
      </c>
      <c r="E36" s="420" t="n">
        <v>3</v>
      </c>
      <c r="F36" s="420" t="inlineStr">
        <is>
          <t>Bill Collier; Matt Monaco; Matt Salter</t>
        </is>
      </c>
      <c r="G36" s="420" t="inlineStr">
        <is>
          <t>bill.collier@noblis.org; matthew.monaco@noblis.org; matt.salter@noblis.org</t>
        </is>
      </c>
      <c r="H36" s="440" t="n">
        <v>45972</v>
      </c>
      <c r="I36" s="440">
        <f>IF(OR(C36="Passed",H36="",ISBLANK(H36)),"",H36+5)</f>
        <v/>
      </c>
      <c r="J36" s="420">
        <f>IF(I36="","",IF(I36&lt;=TODAY(),"DUE",IF(I36&lt;=TODAY()+3,"Next 3 Days","Later")))</f>
        <v/>
      </c>
      <c r="K36" s="420" t="inlineStr">
        <is>
          <t>https://www.linkedin.com/in/williammarcuscollier/ | https://www.linkedin.com/in/matthewkmonaco/</t>
        </is>
      </c>
      <c r="L36" s="420" t="inlineStr"/>
      <c r="M36" s="420" t="inlineStr">
        <is>
          <t>12/5 follow up sent | meeting held and follow up emails sent. most recent follow up 12/5 | 12/05/2025</t>
        </is>
      </c>
    </row>
    <row r="37">
      <c r="A37" s="420" t="inlineStr">
        <is>
          <t>Palm Drive Capital</t>
        </is>
      </c>
      <c r="B37" s="420" t="inlineStr">
        <is>
          <t>Financial Investor</t>
        </is>
      </c>
      <c r="C37" s="420" t="inlineStr">
        <is>
          <t>Meeting Held</t>
        </is>
      </c>
      <c r="D37" s="420" t="inlineStr">
        <is>
          <t>Tier 1</t>
        </is>
      </c>
      <c r="E37" s="420" t="n">
        <v>1</v>
      </c>
      <c r="F37" s="420" t="inlineStr">
        <is>
          <t>Carter Dessommes</t>
        </is>
      </c>
      <c r="G37" s="420" t="inlineStr">
        <is>
          <t>carter@palmdrive.vc</t>
        </is>
      </c>
      <c r="H37" s="440" t="n">
        <v>45859</v>
      </c>
      <c r="I37" s="440">
        <f>IF(OR(C37="Passed",H37="",ISBLANK(H37)),"",H37+5)</f>
        <v/>
      </c>
      <c r="J37" s="420">
        <f>IF(I37="","",IF(I37&lt;=TODAY(),"DUE",IF(I37&lt;=TODAY()+3,"Next 3 Days","Later")))</f>
        <v/>
      </c>
      <c r="K37" s="420" t="inlineStr"/>
      <c r="L37" s="420" t="inlineStr"/>
      <c r="M37" s="420" t="inlineStr">
        <is>
          <t>meeting held</t>
        </is>
      </c>
    </row>
    <row r="38">
      <c r="A38" s="420" t="inlineStr">
        <is>
          <t>Prospect Capital</t>
        </is>
      </c>
      <c r="B38" s="420" t="inlineStr">
        <is>
          <t>Financial Investor</t>
        </is>
      </c>
      <c r="C38" s="420" t="inlineStr">
        <is>
          <t>Meeting Held</t>
        </is>
      </c>
      <c r="D38" s="420" t="inlineStr">
        <is>
          <t>Tier 1</t>
        </is>
      </c>
      <c r="E38" s="420" t="n">
        <v>1</v>
      </c>
      <c r="F38" s="420" t="inlineStr">
        <is>
          <t>Sulaiman Sulaimani</t>
        </is>
      </c>
      <c r="G38" s="420" t="inlineStr"/>
      <c r="H38" s="440" t="n">
        <v>46030</v>
      </c>
      <c r="I38" s="440">
        <f>IF(OR(C38="Passed",H38="",ISBLANK(H38)),"",H38+5)</f>
        <v/>
      </c>
      <c r="J38" s="420">
        <f>IF(I38="","",IF(I38&lt;=TODAY(),"DUE",IF(I38&lt;=TODAY()+3,"Next 3 Days","Later")))</f>
        <v/>
      </c>
      <c r="K38" s="420" t="inlineStr">
        <is>
          <t>sulaiman@prospectcapital.com</t>
        </is>
      </c>
      <c r="L38" s="420" t="inlineStr"/>
      <c r="M38" s="420" t="inlineStr">
        <is>
          <t>Introductory meeting held Jan 8. Prospect Capital operates through two distinct divisions; conversations are exploratory at this stage. Two divisions: core BDC credit and structured/special situations. EXOS aligns better with structured, event-driven capital vs traditional cash-flow lending.</t>
        </is>
      </c>
    </row>
    <row r="39">
      <c r="A39" s="420" t="inlineStr">
        <is>
          <t>REI</t>
        </is>
      </c>
      <c r="B39" s="420" t="inlineStr">
        <is>
          <t>Financial Investor</t>
        </is>
      </c>
      <c r="C39" s="420" t="inlineStr">
        <is>
          <t>Meeting Held</t>
        </is>
      </c>
      <c r="D39" s="420" t="inlineStr">
        <is>
          <t>Tier 1</t>
        </is>
      </c>
      <c r="E39" s="420" t="n">
        <v>0</v>
      </c>
      <c r="F39" s="420" t="inlineStr"/>
      <c r="G39" s="420" t="inlineStr"/>
      <c r="H39" s="440" t="n">
        <v>45917</v>
      </c>
      <c r="I39" s="440">
        <f>IF(OR(C39="Passed",H39="",ISBLANK(H39)),"",H39+5)</f>
        <v/>
      </c>
      <c r="J39" s="420">
        <f>IF(I39="","",IF(I39&lt;=TODAY(),"DUE",IF(I39&lt;=TODAY()+3,"Next 3 Days","Later")))</f>
        <v/>
      </c>
      <c r="K39" s="420" t="inlineStr">
        <is>
          <t>Nick Book</t>
        </is>
      </c>
      <c r="L39" s="420" t="inlineStr"/>
      <c r="M39" s="420" t="inlineStr">
        <is>
          <t>Choctaw nation investor group interested in Space investments. Requesting site tour on 9-26 If you could send me a new link for a warehouse visit over the next week or so I’d really like to continue to dig into this and see where or who we can fit in. 
Also, please send me the deck and anything else you would like me to consider.</t>
        </is>
      </c>
    </row>
    <row r="40">
      <c r="A40" s="420" t="inlineStr">
        <is>
          <t>Rockfleet Financial</t>
        </is>
      </c>
      <c r="B40" s="420" t="inlineStr">
        <is>
          <t>Financial Investor</t>
        </is>
      </c>
      <c r="C40" s="420" t="inlineStr">
        <is>
          <t>Meeting Held</t>
        </is>
      </c>
      <c r="D40" s="420" t="inlineStr">
        <is>
          <t>Tier 1</t>
        </is>
      </c>
      <c r="E40" s="420" t="n">
        <v>2</v>
      </c>
      <c r="F40" s="420" t="inlineStr">
        <is>
          <t>John Swift; Catherine Corrigan</t>
        </is>
      </c>
      <c r="G40" s="420" t="inlineStr">
        <is>
          <t>john.swift@rockfleetfinancial.com; catherine.corrigan@rockfleetfinancial.com</t>
        </is>
      </c>
      <c r="H40" s="440" t="n">
        <v>45831</v>
      </c>
      <c r="I40" s="440">
        <f>IF(OR(C40="Passed",H40="",ISBLANK(H40)),"",H40+5)</f>
        <v/>
      </c>
      <c r="J40" s="420">
        <f>IF(I40="","",IF(I40&lt;=TODAY(),"DUE",IF(I40&lt;=TODAY()+3,"Next 3 Days","Later")))</f>
        <v/>
      </c>
      <c r="K40" s="420" t="inlineStr">
        <is>
          <t>linkedin.com/in/jr-swift | https://www.linkedin.com/in/catherine-corrigan-18992b12/</t>
        </is>
      </c>
      <c r="L40" s="420" t="inlineStr"/>
      <c r="M40" s="420" t="inlineStr">
        <is>
          <t>meeting held on 7/2 &amp; NDA in process- Followed up 7-11</t>
        </is>
      </c>
    </row>
    <row r="41">
      <c r="A41" s="420" t="inlineStr">
        <is>
          <t>(No Company)</t>
        </is>
      </c>
      <c r="B41" s="420" t="inlineStr">
        <is>
          <t>Financial Investor</t>
        </is>
      </c>
      <c r="C41" s="420" t="inlineStr">
        <is>
          <t>Follow Up</t>
        </is>
      </c>
      <c r="D41" s="420" t="inlineStr">
        <is>
          <t>Tier 2</t>
        </is>
      </c>
      <c r="E41" s="420" t="n">
        <v>16</v>
      </c>
      <c r="F41" s="420" t="inlineStr">
        <is>
          <t>Clay; Drew Tulchin; EXOS + Plug &amp; Play: Introductions; James Cameron; Jason Schwartz / Paul Gloyer GTL</t>
        </is>
      </c>
      <c r="G41" s="420" t="inlineStr">
        <is>
          <t>claysba1@gmail.com; drew@nmangels.com; jacob.reedy@trinet.com; james@visionaryleadership.co.nz; jason@leagueadvisors.com</t>
        </is>
      </c>
      <c r="H41" s="440" t="n">
        <v>46045</v>
      </c>
      <c r="I41" s="440">
        <f>IF(OR(C41="Passed",H41="",ISBLANK(H41)),"",H41+7)</f>
        <v/>
      </c>
      <c r="J41" s="420">
        <f>IF(I41="","",IF(I41&lt;=TODAY(),"DUE",IF(I41&lt;=TODAY()+3,"Next 3 Days","Later")))</f>
        <v/>
      </c>
      <c r="K41" s="420" t="inlineStr">
        <is>
          <t>Tom referral</t>
        </is>
      </c>
      <c r="L41" s="420" t="inlineStr"/>
      <c r="M41" s="420" t="inlineStr">
        <is>
          <t>not sure what to do with this one?? | dns fail | 12/05/2025</t>
        </is>
      </c>
    </row>
    <row r="42">
      <c r="A42" s="420" t="inlineStr">
        <is>
          <t>.406 Ventures</t>
        </is>
      </c>
      <c r="B42" s="420" t="inlineStr">
        <is>
          <t>Financial Investor</t>
        </is>
      </c>
      <c r="C42" s="420" t="inlineStr">
        <is>
          <t>Follow Up</t>
        </is>
      </c>
      <c r="D42" s="420" t="inlineStr">
        <is>
          <t>Tier 2</t>
        </is>
      </c>
      <c r="E42" s="420" t="n">
        <v>4</v>
      </c>
      <c r="F42" s="420" t="inlineStr">
        <is>
          <t>Graham Brooks; Greg Dracon; Liam Donohue; Payal Agrawal Divakaran</t>
        </is>
      </c>
      <c r="G42" s="420" t="inlineStr">
        <is>
          <t>gbrooks@406ventures.com; gdracon@406ventures.com; ldonohue@406ventures.com; payal@406ventures.com</t>
        </is>
      </c>
      <c r="H42" s="440" t="n">
        <v>45841</v>
      </c>
      <c r="I42" s="440">
        <f>IF(OR(C42="Passed",H42="",ISBLANK(H42)),"",H42+7)</f>
        <v/>
      </c>
      <c r="J42" s="420">
        <f>IF(I42="","",IF(I42&lt;=TODAY(),"DUE",IF(I42&lt;=TODAY()+3,"Next 3 Days","Later")))</f>
        <v/>
      </c>
      <c r="K42" s="420" t="inlineStr">
        <is>
          <t>https://www.linkedin.com/in/grahambrooks/ | https://www.linkedin.com/in/gdracon/</t>
        </is>
      </c>
      <c r="L42" s="420" t="inlineStr"/>
      <c r="M42" s="420" t="inlineStr"/>
    </row>
    <row r="43">
      <c r="A43" s="420" t="inlineStr">
        <is>
          <t>137 Ventures</t>
        </is>
      </c>
      <c r="B43" s="420" t="inlineStr">
        <is>
          <t>Financial Investor</t>
        </is>
      </c>
      <c r="C43" s="420" t="inlineStr">
        <is>
          <t>Follow Up</t>
        </is>
      </c>
      <c r="D43" s="420" t="inlineStr">
        <is>
          <t>Tier 2</t>
        </is>
      </c>
      <c r="E43" s="420" t="n">
        <v>5</v>
      </c>
      <c r="F43" s="420" t="inlineStr">
        <is>
          <t>Alexander Jacobson; Andrew Hansen; Christian Garrett; James Pardee; Justin Fishner-Wolfson</t>
        </is>
      </c>
      <c r="G43" s="420" t="inlineStr">
        <is>
          <t>alex@137ventures.com; andrew@137ventures.com; christian@137ventures.com; james@137ventures.com; justin@137ventures.com</t>
        </is>
      </c>
      <c r="H43" s="440" t="n">
        <v>45973</v>
      </c>
      <c r="I43" s="440">
        <f>IF(OR(C43="Passed",H43="",ISBLANK(H43)),"",H43+7)</f>
        <v/>
      </c>
      <c r="J43" s="420">
        <f>IF(I43="","",IF(I43&lt;=TODAY(),"DUE",IF(I43&lt;=TODAY()+3,"Next 3 Days","Later")))</f>
        <v/>
      </c>
      <c r="K43" s="420" t="inlineStr">
        <is>
          <t>https://www.linkedin.com/in/jacobsonalex/ | https://www.linkedin.com/in/andrewhansen1/</t>
        </is>
      </c>
      <c r="L43" s="420" t="inlineStr"/>
      <c r="M43" s="420" t="inlineStr">
        <is>
          <t>12/30/2025</t>
        </is>
      </c>
    </row>
    <row r="44">
      <c r="A44" s="420" t="inlineStr">
        <is>
          <t>1Up Ventures</t>
        </is>
      </c>
      <c r="B44" s="420" t="inlineStr">
        <is>
          <t>Financial Investor</t>
        </is>
      </c>
      <c r="C44" s="420" t="inlineStr">
        <is>
          <t>Follow Up</t>
        </is>
      </c>
      <c r="D44" s="420" t="inlineStr">
        <is>
          <t>Tier 2</t>
        </is>
      </c>
      <c r="E44" s="420" t="n">
        <v>1</v>
      </c>
      <c r="F44" s="420" t="inlineStr">
        <is>
          <t>Ed Fries</t>
        </is>
      </c>
      <c r="G44" s="420" t="inlineStr">
        <is>
          <t>ed@1upfund.com</t>
        </is>
      </c>
      <c r="H44" s="440" t="n">
        <v>45973</v>
      </c>
      <c r="I44" s="440">
        <f>IF(OR(C44="Passed",H44="",ISBLANK(H44)),"",H44+7)</f>
        <v/>
      </c>
      <c r="J44" s="420">
        <f>IF(I44="","",IF(I44&lt;=TODAY(),"DUE",IF(I44&lt;=TODAY()+3,"Next 3 Days","Later")))</f>
        <v/>
      </c>
      <c r="K44" s="420" t="inlineStr">
        <is>
          <t>https://www.linkedin.com/in/edfries/</t>
        </is>
      </c>
      <c r="L44" s="420" t="inlineStr"/>
      <c r="M44" s="420" t="inlineStr">
        <is>
          <t>12/19/2025</t>
        </is>
      </c>
    </row>
    <row r="45">
      <c r="A45" s="420" t="inlineStr">
        <is>
          <t>3 Lines VC</t>
        </is>
      </c>
      <c r="B45" s="420" t="inlineStr">
        <is>
          <t>Financial Investor</t>
        </is>
      </c>
      <c r="C45" s="420" t="inlineStr">
        <is>
          <t>Follow Up</t>
        </is>
      </c>
      <c r="D45" s="420" t="inlineStr">
        <is>
          <t>Tier 2</t>
        </is>
      </c>
      <c r="E45" s="420" t="n">
        <v>6</v>
      </c>
      <c r="F45" s="420" t="inlineStr">
        <is>
          <t>Hemant Elhence; Kamalesh Dwivedi; Krishna Kunapuli; Pallab K. Chatterjee; Rajiv Roy</t>
        </is>
      </c>
      <c r="G45" s="420" t="inlineStr">
        <is>
          <t>hemant@3lines.vc; kamalesh.dwivedi@3lines.vc; krishna.kunapuli@3lines.vc; pallab.chatterjee@3lines.vc; rajiv.roy@3lines.vc</t>
        </is>
      </c>
      <c r="H45" s="440" t="n">
        <v>45861</v>
      </c>
      <c r="I45" s="440">
        <f>IF(OR(C45="Passed",H45="",ISBLANK(H45)),"",H45+7)</f>
        <v/>
      </c>
      <c r="J45" s="420">
        <f>IF(I45="","",IF(I45&lt;=TODAY(),"DUE",IF(I45&lt;=TODAY()+3,"Next 3 Days","Later")))</f>
        <v/>
      </c>
      <c r="K45" s="420" t="inlineStr">
        <is>
          <t>https://www.linkedin.com/in/hemantelhence/ | https://www.linkedin.com/in/krishna-kunapuli-3lines/</t>
        </is>
      </c>
      <c r="L45" s="420" t="inlineStr"/>
      <c r="M45" s="420" t="inlineStr">
        <is>
          <t>12/26/2025 | online application: https://3lines.vc/appl</t>
        </is>
      </c>
    </row>
    <row r="46">
      <c r="A46" s="420" t="inlineStr">
        <is>
          <t>3LB Seed Capital</t>
        </is>
      </c>
      <c r="B46" s="420" t="inlineStr">
        <is>
          <t>Financial Investor</t>
        </is>
      </c>
      <c r="C46" s="420" t="inlineStr">
        <is>
          <t>Follow Up</t>
        </is>
      </c>
      <c r="D46" s="420" t="inlineStr">
        <is>
          <t>Tier 2</t>
        </is>
      </c>
      <c r="E46" s="420" t="n">
        <v>1</v>
      </c>
      <c r="F46" s="420" t="inlineStr">
        <is>
          <t>Alberto Emprin</t>
        </is>
      </c>
      <c r="G46" s="420" t="inlineStr">
        <is>
          <t>a.emprin@3lbseed.com</t>
        </is>
      </c>
      <c r="H46" s="440" t="n">
        <v>46036</v>
      </c>
      <c r="I46" s="440">
        <f>IF(OR(C46="Passed",H46="",ISBLANK(H46)),"",H46+7)</f>
        <v/>
      </c>
      <c r="J46" s="420">
        <f>IF(I46="","",IF(I46&lt;=TODAY(),"DUE",IF(I46&lt;=TODAY()+3,"Next 3 Days","Later")))</f>
        <v/>
      </c>
      <c r="K46" s="420" t="inlineStr">
        <is>
          <t>https://www.linkedin.com/in/albertoemprin/</t>
        </is>
      </c>
      <c r="L46" s="420" t="inlineStr"/>
      <c r="M46" s="420" t="inlineStr">
        <is>
          <t>02/26/2026</t>
        </is>
      </c>
    </row>
    <row r="47">
      <c r="A47" s="420" t="inlineStr">
        <is>
          <t>4490 Ventures</t>
        </is>
      </c>
      <c r="B47" s="420" t="inlineStr">
        <is>
          <t>Financial Investor</t>
        </is>
      </c>
      <c r="C47" s="420" t="inlineStr">
        <is>
          <t>Follow Up</t>
        </is>
      </c>
      <c r="D47" s="420" t="inlineStr">
        <is>
          <t>Tier 2</t>
        </is>
      </c>
      <c r="E47" s="420" t="n">
        <v>1</v>
      </c>
      <c r="F47" s="420" t="inlineStr">
        <is>
          <t>Dan Malven</t>
        </is>
      </c>
      <c r="G47" s="420" t="inlineStr">
        <is>
          <t>dm@4490ventures.com</t>
        </is>
      </c>
      <c r="H47" s="440" t="n">
        <v>45929</v>
      </c>
      <c r="I47" s="440">
        <f>IF(OR(C47="Passed",H47="",ISBLANK(H47)),"",H47+7)</f>
        <v/>
      </c>
      <c r="J47" s="420">
        <f>IF(I47="","",IF(I47&lt;=TODAY(),"DUE",IF(I47&lt;=TODAY()+3,"Next 3 Days","Later")))</f>
        <v/>
      </c>
      <c r="K47" s="420" t="inlineStr">
        <is>
          <t>https://www.linkedin.com/in/danmalven</t>
        </is>
      </c>
      <c r="L47" s="420" t="inlineStr"/>
      <c r="M47" s="420" t="inlineStr">
        <is>
          <t>12/05/2025</t>
        </is>
      </c>
    </row>
    <row r="48">
      <c r="A48" s="420" t="inlineStr">
        <is>
          <t>776 Fund</t>
        </is>
      </c>
      <c r="B48" s="420" t="inlineStr">
        <is>
          <t>Financial Investor</t>
        </is>
      </c>
      <c r="C48" s="420" t="inlineStr">
        <is>
          <t>Follow Up</t>
        </is>
      </c>
      <c r="D48" s="420" t="inlineStr">
        <is>
          <t>Tier 2</t>
        </is>
      </c>
      <c r="E48" s="420" t="n">
        <v>1</v>
      </c>
      <c r="F48" s="420" t="inlineStr">
        <is>
          <t>Alexis Ohanian</t>
        </is>
      </c>
      <c r="G48" s="420" t="inlineStr">
        <is>
          <t>alexis.ohanian@sevensevensix.com</t>
        </is>
      </c>
      <c r="H48" s="440" t="n">
        <v>45929</v>
      </c>
      <c r="I48" s="440">
        <f>IF(OR(C48="Passed",H48="",ISBLANK(H48)),"",H48+7)</f>
        <v/>
      </c>
      <c r="J48" s="420">
        <f>IF(I48="","",IF(I48&lt;=TODAY(),"DUE",IF(I48&lt;=TODAY()+3,"Next 3 Days","Later")))</f>
        <v/>
      </c>
      <c r="K48" s="420" t="inlineStr">
        <is>
          <t>https://www.linkedin.com/in/alexisohanian/</t>
        </is>
      </c>
      <c r="L48" s="420" t="inlineStr"/>
      <c r="M48" s="420" t="inlineStr">
        <is>
          <t>12/05/2025</t>
        </is>
      </c>
    </row>
    <row r="49">
      <c r="A49" s="420" t="inlineStr">
        <is>
          <t>8VC</t>
        </is>
      </c>
      <c r="B49" s="420" t="inlineStr">
        <is>
          <t>Financial Investor</t>
        </is>
      </c>
      <c r="C49" s="420" t="inlineStr">
        <is>
          <t>Follow Up</t>
        </is>
      </c>
      <c r="D49" s="420" t="inlineStr">
        <is>
          <t>Tier 2</t>
        </is>
      </c>
      <c r="E49" s="420" t="n">
        <v>4</v>
      </c>
      <c r="F49" s="420" t="inlineStr">
        <is>
          <t>Alex Kolicich; Drew Oetting; Joe Lonsdale; Kimmy Scotti</t>
        </is>
      </c>
      <c r="G49" s="420" t="inlineStr">
        <is>
          <t>alex@8vc.com; drew@8vc.com; joe@8vc.com; kimmy@8vc.com</t>
        </is>
      </c>
      <c r="H49" s="440" t="n">
        <v>45985</v>
      </c>
      <c r="I49" s="440">
        <f>IF(OR(C49="Passed",H49="",ISBLANK(H49)),"",H49+7)</f>
        <v/>
      </c>
      <c r="J49" s="420">
        <f>IF(I49="","",IF(I49&lt;=TODAY(),"DUE",IF(I49&lt;=TODAY()+3,"Next 3 Days","Later")))</f>
        <v/>
      </c>
      <c r="K49" s="420" t="inlineStr">
        <is>
          <t>linkedin.com/in/alex-kolicich-b71732a | linkedin.com/in/drew-oetting-52463337</t>
        </is>
      </c>
      <c r="L49" s="420" t="inlineStr"/>
      <c r="M49" s="420" t="inlineStr">
        <is>
          <t>01/14/2026</t>
        </is>
      </c>
    </row>
    <row r="50">
      <c r="A50" s="420" t="inlineStr">
        <is>
          <t>97212 VC</t>
        </is>
      </c>
      <c r="B50" s="420" t="inlineStr">
        <is>
          <t>Financial Investor</t>
        </is>
      </c>
      <c r="C50" s="420" t="inlineStr">
        <is>
          <t>Follow Up</t>
        </is>
      </c>
      <c r="D50" s="420" t="inlineStr">
        <is>
          <t>Tier 2</t>
        </is>
      </c>
      <c r="E50" s="420" t="n">
        <v>2</v>
      </c>
      <c r="F50" s="420" t="inlineStr">
        <is>
          <t>Eyal Bino; Ronie Lavi</t>
        </is>
      </c>
      <c r="G50" s="420" t="inlineStr">
        <is>
          <t>eyalbino@gmail.com; ronnie@97212.vc</t>
        </is>
      </c>
      <c r="H50" s="440" t="n">
        <v>45890</v>
      </c>
      <c r="I50" s="440">
        <f>IF(OR(C50="Passed",H50="",ISBLANK(H50)),"",H50+7)</f>
        <v/>
      </c>
      <c r="J50" s="420">
        <f>IF(I50="","",IF(I50&lt;=TODAY(),"DUE",IF(I50&lt;=TODAY()+3,"Next 3 Days","Later")))</f>
        <v/>
      </c>
      <c r="K50" s="420" t="inlineStr">
        <is>
          <t>https://www.linkedin.com/in/eyal-bino/ | https://www.linkedin.com/in/ronnielavi/</t>
        </is>
      </c>
      <c r="L50" s="420" t="inlineStr"/>
      <c r="M50" s="420" t="inlineStr">
        <is>
          <t>12/29/2025</t>
        </is>
      </c>
    </row>
    <row r="51">
      <c r="A51" s="420" t="inlineStr">
        <is>
          <t>ACMI Group</t>
        </is>
      </c>
      <c r="B51" s="420" t="inlineStr">
        <is>
          <t>Financial Investor</t>
        </is>
      </c>
      <c r="C51" s="420" t="inlineStr">
        <is>
          <t>Follow Up</t>
        </is>
      </c>
      <c r="D51" s="420" t="inlineStr">
        <is>
          <t>Tier 2</t>
        </is>
      </c>
      <c r="E51" s="420" t="n">
        <v>1</v>
      </c>
      <c r="F51" s="420" t="inlineStr">
        <is>
          <t>Kishen Raghunath</t>
        </is>
      </c>
      <c r="G51" s="420" t="inlineStr">
        <is>
          <t>kraghunath@acmigroup.com</t>
        </is>
      </c>
      <c r="H51" s="420" t="n"/>
      <c r="I51" s="440">
        <f>IF(OR(C51="Passed",H51="",ISBLANK(H51)),"",H51+7)</f>
        <v/>
      </c>
      <c r="J51" s="420">
        <f>IF(I51="","",IF(I51&lt;=TODAY(),"DUE",IF(I51&lt;=TODAY()+3,"Next 3 Days","Later")))</f>
        <v/>
      </c>
      <c r="K51" s="420" t="inlineStr"/>
      <c r="L51" s="420" t="inlineStr"/>
      <c r="M51" s="420" t="inlineStr">
        <is>
          <t>follow up email sent 5/27 // put you in contact with vboelscher@acmigroup.com // also talking to jbowling@acmigroup.com</t>
        </is>
      </c>
    </row>
    <row r="52">
      <c r="A52" s="420" t="inlineStr">
        <is>
          <t>AIN Ventures</t>
        </is>
      </c>
      <c r="B52" s="420" t="inlineStr">
        <is>
          <t>Financial Investor</t>
        </is>
      </c>
      <c r="C52" s="420" t="inlineStr">
        <is>
          <t>Follow Up</t>
        </is>
      </c>
      <c r="D52" s="420" t="inlineStr">
        <is>
          <t>Tier 2</t>
        </is>
      </c>
      <c r="E52" s="420" t="n">
        <v>3</v>
      </c>
      <c r="F52" s="420" t="inlineStr">
        <is>
          <t>Emily McMahan; Forrest Underwood; Sherman Williams</t>
        </is>
      </c>
      <c r="G52" s="420" t="inlineStr">
        <is>
          <t>emily@academyinvestor.com; forrest@academyinvestor.com; sherman@academyinvestor.com</t>
        </is>
      </c>
      <c r="H52" s="440" t="n">
        <v>45973</v>
      </c>
      <c r="I52" s="440">
        <f>IF(OR(C52="Passed",H52="",ISBLANK(H52)),"",H52+7)</f>
        <v/>
      </c>
      <c r="J52" s="420">
        <f>IF(I52="","",IF(I52&lt;=TODAY(),"DUE",IF(I52&lt;=TODAY()+3,"Next 3 Days","Later")))</f>
        <v/>
      </c>
      <c r="K52" s="420" t="inlineStr">
        <is>
          <t>linkedin.com/in/emilymcmahan | https://www.linkedin.com/in/forrestunderwood</t>
        </is>
      </c>
      <c r="L52" s="420" t="inlineStr"/>
      <c r="M52" s="420" t="inlineStr">
        <is>
          <t>12/19/2025</t>
        </is>
      </c>
    </row>
    <row r="53">
      <c r="A53" s="420" t="inlineStr">
        <is>
          <t>APA Venture Partners</t>
        </is>
      </c>
      <c r="B53" s="420" t="inlineStr">
        <is>
          <t>Financial Investor</t>
        </is>
      </c>
      <c r="C53" s="420" t="inlineStr">
        <is>
          <t>Follow Up</t>
        </is>
      </c>
      <c r="D53" s="420" t="inlineStr">
        <is>
          <t>Tier 2</t>
        </is>
      </c>
      <c r="E53" s="420" t="n">
        <v>1</v>
      </c>
      <c r="F53" s="420" t="inlineStr">
        <is>
          <t>Alex Kaufman</t>
        </is>
      </c>
      <c r="G53" s="420" t="inlineStr">
        <is>
          <t>alex@apavp.com</t>
        </is>
      </c>
      <c r="H53" s="440" t="n">
        <v>45973</v>
      </c>
      <c r="I53" s="440">
        <f>IF(OR(C53="Passed",H53="",ISBLANK(H53)),"",H53+7)</f>
        <v/>
      </c>
      <c r="J53" s="420">
        <f>IF(I53="","",IF(I53&lt;=TODAY(),"DUE",IF(I53&lt;=TODAY()+3,"Next 3 Days","Later")))</f>
        <v/>
      </c>
      <c r="K53" s="420" t="inlineStr">
        <is>
          <t>https://www.linkedin.com/in/calexkaufman/</t>
        </is>
      </c>
      <c r="L53" s="420" t="inlineStr"/>
      <c r="M53" s="420" t="inlineStr">
        <is>
          <t>12/19/2025</t>
        </is>
      </c>
    </row>
    <row r="54">
      <c r="A54" s="420" t="inlineStr">
        <is>
          <t>ATEM Capital</t>
        </is>
      </c>
      <c r="B54" s="420" t="inlineStr">
        <is>
          <t>Financial Investor</t>
        </is>
      </c>
      <c r="C54" s="420" t="inlineStr">
        <is>
          <t>Follow Up</t>
        </is>
      </c>
      <c r="D54" s="420" t="inlineStr">
        <is>
          <t>Tier 2</t>
        </is>
      </c>
      <c r="E54" s="420" t="n">
        <v>2</v>
      </c>
      <c r="F54" s="420" t="inlineStr">
        <is>
          <t>Allan Gobbs; Elena Maley</t>
        </is>
      </c>
      <c r="G54" s="420" t="inlineStr">
        <is>
          <t>ag@atemcap.com; em@atemcap.com</t>
        </is>
      </c>
      <c r="H54" s="440" t="n">
        <v>45861</v>
      </c>
      <c r="I54" s="440">
        <f>IF(OR(C54="Passed",H54="",ISBLANK(H54)),"",H54+7)</f>
        <v/>
      </c>
      <c r="J54" s="420">
        <f>IF(I54="","",IF(I54&lt;=TODAY(),"DUE",IF(I54&lt;=TODAY()+3,"Next 3 Days","Later")))</f>
        <v/>
      </c>
      <c r="K54" s="420" t="inlineStr">
        <is>
          <t>https://www.linkedin.com/in/gobbs/ | https://www.linkedin.com/in/elena-maley-96627914/</t>
        </is>
      </c>
      <c r="L54" s="420" t="inlineStr"/>
      <c r="M54" s="420" t="inlineStr">
        <is>
          <t>12/26/2025</t>
        </is>
      </c>
    </row>
    <row r="55">
      <c r="A55" s="420" t="inlineStr">
        <is>
          <t>AV8 Ventures</t>
        </is>
      </c>
      <c r="B55" s="420" t="inlineStr">
        <is>
          <t>Financial Investor</t>
        </is>
      </c>
      <c r="C55" s="420" t="inlineStr">
        <is>
          <t>Follow Up</t>
        </is>
      </c>
      <c r="D55" s="420" t="inlineStr">
        <is>
          <t>Tier 2</t>
        </is>
      </c>
      <c r="E55" s="420" t="n">
        <v>4</v>
      </c>
      <c r="F55" s="420" t="inlineStr">
        <is>
          <t>Brett Battles; George Ugras; Ruchita Sinha; Shawn Kung</t>
        </is>
      </c>
      <c r="G55" s="420" t="inlineStr">
        <is>
          <t>brett@av8.vc; george@av8.vc; ruchita@av8.vc; shawn@av8.vc</t>
        </is>
      </c>
      <c r="H55" s="440" t="n">
        <v>45861</v>
      </c>
      <c r="I55" s="440">
        <f>IF(OR(C55="Passed",H55="",ISBLANK(H55)),"",H55+7)</f>
        <v/>
      </c>
      <c r="J55" s="420">
        <f>IF(I55="","",IF(I55&lt;=TODAY(),"DUE",IF(I55&lt;=TODAY()+3,"Next 3 Days","Later")))</f>
        <v/>
      </c>
      <c r="K55" s="420" t="inlineStr">
        <is>
          <t>https://www.linkedin.com/in/bbattles/ | https://www.linkedin.com/in/ugras/</t>
        </is>
      </c>
      <c r="L55" s="420" t="inlineStr"/>
      <c r="M55" s="420" t="inlineStr">
        <is>
          <t>12/26/2025</t>
        </is>
      </c>
    </row>
    <row r="56">
      <c r="A56" s="420" t="inlineStr">
        <is>
          <t>AVP (formerly AXA Venture Partners)</t>
        </is>
      </c>
      <c r="B56" s="420" t="inlineStr">
        <is>
          <t>Financial Investor</t>
        </is>
      </c>
      <c r="C56" s="420" t="inlineStr">
        <is>
          <t>Follow Up</t>
        </is>
      </c>
      <c r="D56" s="420" t="inlineStr">
        <is>
          <t>Tier 2</t>
        </is>
      </c>
      <c r="E56" s="420" t="n">
        <v>3</v>
      </c>
      <c r="F56" s="420" t="inlineStr">
        <is>
          <t>Amy Rudersdorf; Ethan Volk; Gregory Krisberg</t>
        </is>
      </c>
      <c r="G56" s="420" t="inlineStr">
        <is>
          <t>amy@weareavp.com; ethan.volk@axavp.com; gregory.krisberg@axavp.com</t>
        </is>
      </c>
      <c r="H56" s="440" t="n">
        <v>45861</v>
      </c>
      <c r="I56" s="440">
        <f>IF(OR(C56="Passed",H56="",ISBLANK(H56)),"",H56+7)</f>
        <v/>
      </c>
      <c r="J56" s="420">
        <f>IF(I56="","",IF(I56&lt;=TODAY(),"DUE",IF(I56&lt;=TODAY()+3,"Next 3 Days","Later")))</f>
        <v/>
      </c>
      <c r="K56" s="420" t="inlineStr">
        <is>
          <t>linkedin.com/in/amyrudersdorf | linkedin.com/in/ethanvolk</t>
        </is>
      </c>
      <c r="L56" s="420" t="inlineStr"/>
      <c r="M56" s="420" t="inlineStr">
        <is>
          <t>12/26/2025</t>
        </is>
      </c>
    </row>
    <row r="57">
      <c r="A57" s="420" t="inlineStr">
        <is>
          <t>Accel</t>
        </is>
      </c>
      <c r="B57" s="420" t="inlineStr">
        <is>
          <t>Financial Investor</t>
        </is>
      </c>
      <c r="C57" s="420" t="inlineStr">
        <is>
          <t>Follow Up</t>
        </is>
      </c>
      <c r="D57" s="420" t="inlineStr">
        <is>
          <t>Tier 2</t>
        </is>
      </c>
      <c r="E57" s="420" t="n">
        <v>3</v>
      </c>
      <c r="F57" s="420" t="inlineStr">
        <is>
          <t>Ben Fletcher; Harry Nelis; Prashanth Prakash</t>
        </is>
      </c>
      <c r="G57" s="420" t="inlineStr">
        <is>
          <t>bfletcher@accel.com; hnelis@accel.com; pprakash@accel.com</t>
        </is>
      </c>
      <c r="H57" s="440" t="n">
        <v>45841</v>
      </c>
      <c r="I57" s="440">
        <f>IF(OR(C57="Passed",H57="",ISBLANK(H57)),"",H57+7)</f>
        <v/>
      </c>
      <c r="J57" s="420">
        <f>IF(I57="","",IF(I57&lt;=TODAY(),"DUE",IF(I57&lt;=TODAY()+3,"Next 3 Days","Later")))</f>
        <v/>
      </c>
      <c r="K57" s="420" t="inlineStr">
        <is>
          <t>https://www.linkedin.com/in/bfletch11/ | https://www.linkedin.com/in/harry-nelis-429801/</t>
        </is>
      </c>
      <c r="L57" s="420" t="inlineStr"/>
      <c r="M57" s="420" t="inlineStr"/>
    </row>
    <row r="58">
      <c r="A58" s="420" t="inlineStr">
        <is>
          <t>Acequia Capital</t>
        </is>
      </c>
      <c r="B58" s="420" t="inlineStr">
        <is>
          <t>Financial Investor</t>
        </is>
      </c>
      <c r="C58" s="420" t="inlineStr">
        <is>
          <t>Follow Up</t>
        </is>
      </c>
      <c r="D58" s="420" t="inlineStr">
        <is>
          <t>Tier 2</t>
        </is>
      </c>
      <c r="E58" s="420" t="n">
        <v>6</v>
      </c>
      <c r="F58" s="420" t="inlineStr">
        <is>
          <t>Gregory Bernstein; Hank Vigil; Investor Relations; Leif Danielsen; Marc Jalabert</t>
        </is>
      </c>
      <c r="G58" s="420" t="inlineStr">
        <is>
          <t>gregory@acecap.com; hank@acecap.com; investor.relations@acecap.com; danielsen@acecap.com; marc@acecap.com</t>
        </is>
      </c>
      <c r="H58" s="440" t="n">
        <v>45994</v>
      </c>
      <c r="I58" s="440">
        <f>IF(OR(C58="Passed",H58="",ISBLANK(H58)),"",H58+7)</f>
        <v/>
      </c>
      <c r="J58" s="420">
        <f>IF(I58="","",IF(I58&lt;=TODAY(),"DUE",IF(I58&lt;=TODAY()+3,"Next 3 Days","Later")))</f>
        <v/>
      </c>
      <c r="K58" s="420" t="inlineStr">
        <is>
          <t>https://www.linkedin.com/in/gregory-m-bernstein-34a2b4127/ | https://www.linkedin.com/in/hank-vigil-447280160/</t>
        </is>
      </c>
      <c r="L58" s="420" t="inlineStr"/>
      <c r="M58" s="420" t="inlineStr">
        <is>
          <t>12/30/2025</t>
        </is>
      </c>
    </row>
    <row r="59">
      <c r="A59" s="420" t="inlineStr">
        <is>
          <t>Acorn Pacific Ventures</t>
        </is>
      </c>
      <c r="B59" s="420" t="inlineStr">
        <is>
          <t>Financial Investor</t>
        </is>
      </c>
      <c r="C59" s="420" t="inlineStr">
        <is>
          <t>Follow Up</t>
        </is>
      </c>
      <c r="D59" s="420" t="inlineStr">
        <is>
          <t>Tier 2</t>
        </is>
      </c>
      <c r="E59" s="420" t="n">
        <v>6</v>
      </c>
      <c r="F59" s="420" t="inlineStr">
        <is>
          <t>Benny Liao; David Wu; Derek Chau; Howard Chau; Peter Hsieh</t>
        </is>
      </c>
      <c r="G59" s="420" t="inlineStr">
        <is>
          <t>benny@acornpacific.ventures; david@acornpacific.ventures; derek@acornpacific.ventures; howard@acornpacific.ventures; peter@acornpacific.ventures</t>
        </is>
      </c>
      <c r="H59" s="440" t="n">
        <v>45890</v>
      </c>
      <c r="I59" s="440">
        <f>IF(OR(C59="Passed",H59="",ISBLANK(H59)),"",H59+7)</f>
        <v/>
      </c>
      <c r="J59" s="420">
        <f>IF(I59="","",IF(I59&lt;=TODAY(),"DUE",IF(I59&lt;=TODAY()+3,"Next 3 Days","Later")))</f>
        <v/>
      </c>
      <c r="K59" s="420" t="inlineStr">
        <is>
          <t>https://www.linkedin.com/in/bliao999/ | https://www.linkedin.com/in/davidwutw-0b038855/</t>
        </is>
      </c>
      <c r="L59" s="420" t="inlineStr"/>
      <c r="M59" s="420" t="inlineStr">
        <is>
          <t>12/29/2025</t>
        </is>
      </c>
    </row>
    <row r="60">
      <c r="A60" s="420" t="inlineStr">
        <is>
          <t>Advance Ventures</t>
        </is>
      </c>
      <c r="B60" s="420" t="inlineStr">
        <is>
          <t>Financial Investor</t>
        </is>
      </c>
      <c r="C60" s="420" t="inlineStr">
        <is>
          <t>Follow Up</t>
        </is>
      </c>
      <c r="D60" s="420" t="inlineStr">
        <is>
          <t>Tier 2</t>
        </is>
      </c>
      <c r="E60" s="420" t="n">
        <v>1</v>
      </c>
      <c r="F60" s="420" t="inlineStr">
        <is>
          <t>Ephraim Lindenbaum &amp; Daria</t>
        </is>
      </c>
      <c r="G60" s="420" t="inlineStr">
        <is>
          <t>eph@advanceventures.com</t>
        </is>
      </c>
      <c r="H60" s="440" t="n">
        <v>46010</v>
      </c>
      <c r="I60" s="440">
        <f>IF(OR(C60="Passed",H60="",ISBLANK(H60)),"",H60+7)</f>
        <v/>
      </c>
      <c r="J60" s="420">
        <f>IF(I60="","",IF(I60&lt;=TODAY(),"DUE",IF(I60&lt;=TODAY()+3,"Next 3 Days","Later")))</f>
        <v/>
      </c>
      <c r="K60" s="420" t="inlineStr">
        <is>
          <t>https://www.linkedin.com/in/ephraimlindenbaum/</t>
        </is>
      </c>
      <c r="L60" s="420" t="inlineStr"/>
      <c r="M60" s="420" t="inlineStr">
        <is>
          <t>sent pitch deck on 1/3 | 12/19/2025</t>
        </is>
      </c>
    </row>
    <row r="61">
      <c r="A61" s="420" t="inlineStr">
        <is>
          <t>Aero Equity</t>
        </is>
      </c>
      <c r="B61" s="420" t="inlineStr">
        <is>
          <t>Financial Investor</t>
        </is>
      </c>
      <c r="C61" s="420" t="inlineStr">
        <is>
          <t>Follow Up</t>
        </is>
      </c>
      <c r="D61" s="420" t="inlineStr">
        <is>
          <t>Tier 2</t>
        </is>
      </c>
      <c r="E61" s="420" t="n">
        <v>1</v>
      </c>
      <c r="F61" s="420" t="inlineStr">
        <is>
          <t>Lauren Graupman</t>
        </is>
      </c>
      <c r="G61" s="420" t="inlineStr">
        <is>
          <t>lgraupman@aeroequity.com</t>
        </is>
      </c>
      <c r="H61" s="440" t="n">
        <v>45881</v>
      </c>
      <c r="I61" s="440">
        <f>IF(OR(C61="Passed",H61="",ISBLANK(H61)),"",H61+7)</f>
        <v/>
      </c>
      <c r="J61" s="420">
        <f>IF(I61="","",IF(I61&lt;=TODAY(),"DUE",IF(I61&lt;=TODAY()+3,"Next 3 Days","Later")))</f>
        <v/>
      </c>
      <c r="K61" s="420" t="inlineStr">
        <is>
          <t>https://www.linkedin.com/in/lauren-graupman</t>
        </is>
      </c>
      <c r="L61" s="420" t="inlineStr"/>
      <c r="M61" s="420" t="inlineStr"/>
    </row>
    <row r="62">
      <c r="A62" s="420" t="inlineStr">
        <is>
          <t>Aero Equity / AE Industrial Parnters</t>
        </is>
      </c>
      <c r="B62" s="420" t="inlineStr">
        <is>
          <t>Financial Investor</t>
        </is>
      </c>
      <c r="C62" s="420" t="inlineStr">
        <is>
          <t>Follow Up</t>
        </is>
      </c>
      <c r="D62" s="420" t="inlineStr">
        <is>
          <t>Tier 2</t>
        </is>
      </c>
      <c r="E62" s="420" t="n">
        <v>3</v>
      </c>
      <c r="F62" s="420" t="inlineStr">
        <is>
          <t>Brian Schettler; David Rowe; Kirk Konert</t>
        </is>
      </c>
      <c r="G62" s="420" t="inlineStr">
        <is>
          <t>bschettler@aeroequity.com; drowe@aeroequity.com; kkonert@aeroequity.com</t>
        </is>
      </c>
      <c r="H62" s="440" t="n">
        <v>45994</v>
      </c>
      <c r="I62" s="440">
        <f>IF(OR(C62="Passed",H62="",ISBLANK(H62)),"",H62+7)</f>
        <v/>
      </c>
      <c r="J62" s="420">
        <f>IF(I62="","",IF(I62&lt;=TODAY(),"DUE",IF(I62&lt;=TODAY()+3,"Next 3 Days","Later")))</f>
        <v/>
      </c>
      <c r="K62" s="420" t="inlineStr">
        <is>
          <t>https://www.linkedin.com/in/brian-schettler-4ab87a5/ | https://www.linkedin.com/in/david-rowe-50018431/</t>
        </is>
      </c>
      <c r="L62" s="420" t="inlineStr"/>
      <c r="M62" s="420" t="inlineStr">
        <is>
          <t>12/30/2025</t>
        </is>
      </c>
    </row>
    <row r="63">
      <c r="A63" s="420" t="inlineStr">
        <is>
          <t>Allegory Capital</t>
        </is>
      </c>
      <c r="B63" s="420" t="inlineStr">
        <is>
          <t>Financial Investor</t>
        </is>
      </c>
      <c r="C63" s="420" t="inlineStr">
        <is>
          <t>Follow Up</t>
        </is>
      </c>
      <c r="D63" s="420" t="inlineStr">
        <is>
          <t>Tier 2</t>
        </is>
      </c>
      <c r="E63" s="420" t="n">
        <v>1</v>
      </c>
      <c r="F63" s="420" t="inlineStr">
        <is>
          <t>Haider Alleg</t>
        </is>
      </c>
      <c r="G63" s="420" t="inlineStr">
        <is>
          <t>haider.alleg@allegory.capital</t>
        </is>
      </c>
      <c r="H63" s="440" t="n">
        <v>45973</v>
      </c>
      <c r="I63" s="440">
        <f>IF(OR(C63="Passed",H63="",ISBLANK(H63)),"",H63+7)</f>
        <v/>
      </c>
      <c r="J63" s="420">
        <f>IF(I63="","",IF(I63&lt;=TODAY(),"DUE",IF(I63&lt;=TODAY()+3,"Next 3 Days","Later")))</f>
        <v/>
      </c>
      <c r="K63" s="420" t="inlineStr">
        <is>
          <t>https://www.linkedin.com/in/haideralleg/</t>
        </is>
      </c>
      <c r="L63" s="420" t="inlineStr"/>
      <c r="M63" s="420" t="inlineStr">
        <is>
          <t>12/19/2025</t>
        </is>
      </c>
    </row>
    <row r="64">
      <c r="A64" s="420" t="inlineStr">
        <is>
          <t>Allos Ventures</t>
        </is>
      </c>
      <c r="B64" s="420" t="inlineStr">
        <is>
          <t>Financial Investor</t>
        </is>
      </c>
      <c r="C64" s="420" t="inlineStr">
        <is>
          <t>Follow Up</t>
        </is>
      </c>
      <c r="D64" s="420" t="inlineStr">
        <is>
          <t>Tier 2</t>
        </is>
      </c>
      <c r="E64" s="420" t="n">
        <v>1</v>
      </c>
      <c r="F64" s="420" t="inlineStr">
        <is>
          <t>David Kerr</t>
        </is>
      </c>
      <c r="G64" s="420" t="inlineStr">
        <is>
          <t>david@allosventures.com</t>
        </is>
      </c>
      <c r="H64" s="440" t="n">
        <v>45929</v>
      </c>
      <c r="I64" s="440">
        <f>IF(OR(C64="Passed",H64="",ISBLANK(H64)),"",H64+7)</f>
        <v/>
      </c>
      <c r="J64" s="420">
        <f>IF(I64="","",IF(I64&lt;=TODAY(),"DUE",IF(I64&lt;=TODAY()+3,"Next 3 Days","Later")))</f>
        <v/>
      </c>
      <c r="K64" s="420" t="inlineStr">
        <is>
          <t>https://www.linkedin.com/in/david-kerr-9b0b501/</t>
        </is>
      </c>
      <c r="L64" s="420" t="inlineStr"/>
      <c r="M64" s="420" t="inlineStr">
        <is>
          <t>12/05/2025</t>
        </is>
      </c>
    </row>
    <row r="65">
      <c r="A65" s="420" t="inlineStr">
        <is>
          <t>Alsop Louie Partners</t>
        </is>
      </c>
      <c r="B65" s="420" t="inlineStr">
        <is>
          <t>Financial Investor</t>
        </is>
      </c>
      <c r="C65" s="420" t="inlineStr">
        <is>
          <t>Follow Up</t>
        </is>
      </c>
      <c r="D65" s="420" t="inlineStr">
        <is>
          <t>Tier 2</t>
        </is>
      </c>
      <c r="E65" s="420" t="n">
        <v>2</v>
      </c>
      <c r="F65" s="420" t="inlineStr">
        <is>
          <t>Bill Crowell; Stewart Alsop</t>
        </is>
      </c>
      <c r="G65" s="420" t="inlineStr">
        <is>
          <t>wcrowell@alsop-louie.com; salsop@alsop-louie.com</t>
        </is>
      </c>
      <c r="H65" s="440" t="n">
        <v>45973</v>
      </c>
      <c r="I65" s="440">
        <f>IF(OR(C65="Passed",H65="",ISBLANK(H65)),"",H65+7)</f>
        <v/>
      </c>
      <c r="J65" s="420">
        <f>IF(I65="","",IF(I65&lt;=TODAY(),"DUE",IF(I65&lt;=TODAY()+3,"Next 3 Days","Later")))</f>
        <v/>
      </c>
      <c r="K65" s="420" t="inlineStr">
        <is>
          <t>linkedin.com/in/william-crowell-65bb433a | https://www.linkedin.com/in/salsop/</t>
        </is>
      </c>
      <c r="L65" s="420" t="inlineStr"/>
      <c r="M65" s="420" t="inlineStr">
        <is>
          <t>12/30/2025</t>
        </is>
      </c>
    </row>
    <row r="66">
      <c r="A66" s="420" t="inlineStr">
        <is>
          <t>Alumni Venture Group</t>
        </is>
      </c>
      <c r="B66" s="420" t="inlineStr">
        <is>
          <t>Financial Investor</t>
        </is>
      </c>
      <c r="C66" s="420" t="inlineStr">
        <is>
          <t>Follow Up</t>
        </is>
      </c>
      <c r="D66" s="420" t="inlineStr">
        <is>
          <t>Tier 2</t>
        </is>
      </c>
      <c r="E66" s="420" t="n">
        <v>1</v>
      </c>
      <c r="F66" s="420" t="inlineStr">
        <is>
          <t>Erik Hammer</t>
        </is>
      </c>
      <c r="G66" s="420" t="inlineStr">
        <is>
          <t>erik@av.vc</t>
        </is>
      </c>
      <c r="H66" s="440" t="n">
        <v>45929</v>
      </c>
      <c r="I66" s="440">
        <f>IF(OR(C66="Passed",H66="",ISBLANK(H66)),"",H66+7)</f>
        <v/>
      </c>
      <c r="J66" s="420">
        <f>IF(I66="","",IF(I66&lt;=TODAY(),"DUE",IF(I66&lt;=TODAY()+3,"Next 3 Days","Later")))</f>
        <v/>
      </c>
      <c r="K66" s="420" t="inlineStr"/>
      <c r="L66" s="420" t="inlineStr"/>
      <c r="M66" s="420" t="inlineStr">
        <is>
          <t>12/05/2025</t>
        </is>
      </c>
    </row>
    <row r="67">
      <c r="A67" s="420" t="inlineStr">
        <is>
          <t>Alumni Ventures</t>
        </is>
      </c>
      <c r="B67" s="420" t="inlineStr">
        <is>
          <t>Financial Investor</t>
        </is>
      </c>
      <c r="C67" s="420" t="inlineStr">
        <is>
          <t>Follow Up</t>
        </is>
      </c>
      <c r="D67" s="420" t="inlineStr">
        <is>
          <t>Tier 2</t>
        </is>
      </c>
      <c r="E67" s="420" t="n">
        <v>10</v>
      </c>
      <c r="F67" s="420" t="inlineStr">
        <is>
          <t>Brian Keil; David Beazley; Greg Baker; Matt Caspari; Carl Choi</t>
        </is>
      </c>
      <c r="G67" s="420" t="inlineStr">
        <is>
          <t>brian.keil@av.vc; david@av.vc; greg@av.vc; matt.caspari@av.vc; carl@av.vc</t>
        </is>
      </c>
      <c r="H67" s="440" t="n">
        <v>45973</v>
      </c>
      <c r="I67" s="440">
        <f>IF(OR(C67="Passed",H67="",ISBLANK(H67)),"",H67+7)</f>
        <v/>
      </c>
      <c r="J67" s="420">
        <f>IF(I67="","",IF(I67&lt;=TODAY(),"DUE",IF(I67&lt;=TODAY()+3,"Next 3 Days","Later")))</f>
        <v/>
      </c>
      <c r="K67" s="420" t="inlineStr">
        <is>
          <t>https://www.linkedin.com/in/brianpkeil | https://www.linkedin.com/in/david-shapiro-2b328/</t>
        </is>
      </c>
      <c r="L67" s="420" t="inlineStr"/>
      <c r="M67" s="420" t="inlineStr">
        <is>
          <t>12/30/2025 | 12/19/2025</t>
        </is>
      </c>
    </row>
    <row r="68">
      <c r="A68" s="420" t="inlineStr">
        <is>
          <t>America's Fronteir</t>
        </is>
      </c>
      <c r="B68" s="420" t="inlineStr">
        <is>
          <t>Financial Investor</t>
        </is>
      </c>
      <c r="C68" s="420" t="inlineStr">
        <is>
          <t>Follow Up</t>
        </is>
      </c>
      <c r="D68" s="420" t="inlineStr">
        <is>
          <t>Tier 2</t>
        </is>
      </c>
      <c r="E68" s="420" t="n">
        <v>3</v>
      </c>
      <c r="F68" s="420" t="inlineStr">
        <is>
          <t>Faran Nouri; Investor Relations; Jeff Karras</t>
        </is>
      </c>
      <c r="G68" s="420" t="inlineStr">
        <is>
          <t>faran@americasfrontier.org; investor.relations@americasfrontier.com; jkarras@altervp.com</t>
        </is>
      </c>
      <c r="H68" s="440" t="n">
        <v>45922</v>
      </c>
      <c r="I68" s="440">
        <f>IF(OR(C68="Passed",H68="",ISBLANK(H68)),"",H68+7)</f>
        <v/>
      </c>
      <c r="J68" s="420">
        <f>IF(I68="","",IF(I68&lt;=TODAY(),"DUE",IF(I68&lt;=TODAY()+3,"Next 3 Days","Later")))</f>
        <v/>
      </c>
      <c r="K68" s="420" t="inlineStr"/>
      <c r="L68" s="420" t="inlineStr"/>
      <c r="M68" s="420" t="inlineStr"/>
    </row>
    <row r="69">
      <c r="A69" s="420" t="inlineStr">
        <is>
          <t>American Capital Partners, LLC</t>
        </is>
      </c>
      <c r="B69" s="420" t="inlineStr">
        <is>
          <t>Financial Investor</t>
        </is>
      </c>
      <c r="C69" s="420" t="inlineStr">
        <is>
          <t>Follow Up</t>
        </is>
      </c>
      <c r="D69" s="420" t="inlineStr">
        <is>
          <t>Tier 2</t>
        </is>
      </c>
      <c r="E69" s="420" t="n">
        <v>1</v>
      </c>
      <c r="F69" s="420" t="inlineStr">
        <is>
          <t>Lawrence</t>
        </is>
      </c>
      <c r="G69" s="420" t="inlineStr">
        <is>
          <t>ljust@acpweb.com</t>
        </is>
      </c>
      <c r="H69" s="440" t="n">
        <v>45841</v>
      </c>
      <c r="I69" s="440">
        <f>IF(OR(C69="Passed",H69="",ISBLANK(H69)),"",H69+7)</f>
        <v/>
      </c>
      <c r="J69" s="420">
        <f>IF(I69="","",IF(I69&lt;=TODAY(),"DUE",IF(I69&lt;=TODAY()+3,"Next 3 Days","Later")))</f>
        <v/>
      </c>
      <c r="K69" s="420" t="inlineStr">
        <is>
          <t>Tom referral</t>
        </is>
      </c>
      <c r="L69" s="420" t="inlineStr"/>
      <c r="M69" s="420" t="inlineStr"/>
    </row>
    <row r="70">
      <c r="A70" s="420" t="inlineStr">
        <is>
          <t>America’s Frontier Fund</t>
        </is>
      </c>
      <c r="B70" s="420" t="inlineStr">
        <is>
          <t>Financial Investor</t>
        </is>
      </c>
      <c r="C70" s="420" t="inlineStr">
        <is>
          <t>Follow Up</t>
        </is>
      </c>
      <c r="D70" s="420" t="inlineStr">
        <is>
          <t>Tier 2</t>
        </is>
      </c>
      <c r="E70" s="420" t="n">
        <v>3</v>
      </c>
      <c r="F70" s="420" t="inlineStr">
        <is>
          <t>Brian Wilcove; Gilman Louie; Jordan Blashek</t>
        </is>
      </c>
      <c r="G70" s="420" t="inlineStr">
        <is>
          <t>brian@americasfrontier.org; gilman@americasfrontier.org; jordan@americasfrontier.org</t>
        </is>
      </c>
      <c r="H70" s="440" t="n">
        <v>45922</v>
      </c>
      <c r="I70" s="440">
        <f>IF(OR(C70="Passed",H70="",ISBLANK(H70)),"",H70+7)</f>
        <v/>
      </c>
      <c r="J70" s="420">
        <f>IF(I70="","",IF(I70&lt;=TODAY(),"DUE",IF(I70&lt;=TODAY()+3,"Next 3 Days","Later")))</f>
        <v/>
      </c>
      <c r="K70" s="420" t="inlineStr">
        <is>
          <t>https://www.linkedin.com/in/brianwilcove/ | https://www.linkedin.com/in/gilmanlouie/</t>
        </is>
      </c>
      <c r="L70" s="420" t="inlineStr"/>
      <c r="M70" s="420" t="inlineStr"/>
    </row>
    <row r="71">
      <c r="A71" s="420" t="inlineStr">
        <is>
          <t>Amplify Partners</t>
        </is>
      </c>
      <c r="B71" s="420" t="inlineStr">
        <is>
          <t>Financial Investor</t>
        </is>
      </c>
      <c r="C71" s="420" t="inlineStr">
        <is>
          <t>Follow Up</t>
        </is>
      </c>
      <c r="D71" s="420" t="inlineStr">
        <is>
          <t>Tier 2</t>
        </is>
      </c>
      <c r="E71" s="420" t="n">
        <v>5</v>
      </c>
      <c r="F71" s="420" t="inlineStr">
        <is>
          <t>Grace Ge; Lenny Pruss; Mike Dauber; Sarah Catanzaro; Sunil Dhaliwal</t>
        </is>
      </c>
      <c r="G71" s="420" t="inlineStr">
        <is>
          <t>grace@amplifypartners.com; lenny@amplifypartners.com; mike@amplifypartners.com; sarah@amplifypartners.com; sunil@amplifypartners.com</t>
        </is>
      </c>
      <c r="H71" s="440" t="n">
        <v>45973</v>
      </c>
      <c r="I71" s="440">
        <f>IF(OR(C71="Passed",H71="",ISBLANK(H71)),"",H71+7)</f>
        <v/>
      </c>
      <c r="J71" s="420">
        <f>IF(I71="","",IF(I71&lt;=TODAY(),"DUE",IF(I71&lt;=TODAY()+3,"Next 3 Days","Later")))</f>
        <v/>
      </c>
      <c r="K71" s="420" t="inlineStr">
        <is>
          <t>https://www.linkedin.com/in/gracewenge/ | https://www.linkedin.com/in/lennypruss/</t>
        </is>
      </c>
      <c r="L71" s="420" t="inlineStr"/>
      <c r="M71" s="420" t="inlineStr">
        <is>
          <t>12/30/2025</t>
        </is>
      </c>
    </row>
    <row r="72">
      <c r="A72" s="420" t="inlineStr">
        <is>
          <t>Andreessen Horowitz</t>
        </is>
      </c>
      <c r="B72" s="420" t="inlineStr">
        <is>
          <t>Financial Investor</t>
        </is>
      </c>
      <c r="C72" s="420" t="inlineStr">
        <is>
          <t>Follow Up</t>
        </is>
      </c>
      <c r="D72" s="420" t="inlineStr">
        <is>
          <t>Tier 2</t>
        </is>
      </c>
      <c r="E72" s="420" t="n">
        <v>1</v>
      </c>
      <c r="F72" s="420" t="inlineStr">
        <is>
          <t>Katherine Boyle</t>
        </is>
      </c>
      <c r="G72" s="420" t="inlineStr">
        <is>
          <t>katherine@a16z.com</t>
        </is>
      </c>
      <c r="H72" s="440" t="n">
        <v>45841</v>
      </c>
      <c r="I72" s="440">
        <f>IF(OR(C72="Passed",H72="",ISBLANK(H72)),"",H72+7)</f>
        <v/>
      </c>
      <c r="J72" s="420">
        <f>IF(I72="","",IF(I72&lt;=TODAY(),"DUE",IF(I72&lt;=TODAY()+3,"Next 3 Days","Later")))</f>
        <v/>
      </c>
      <c r="K72" s="420" t="inlineStr">
        <is>
          <t>https://www.linkedin.com/in/katherine-boyle-4531a67/</t>
        </is>
      </c>
      <c r="L72" s="420" t="inlineStr"/>
      <c r="M72" s="420" t="inlineStr"/>
    </row>
    <row r="73">
      <c r="A73" s="420" t="inlineStr">
        <is>
          <t>Ansa</t>
        </is>
      </c>
      <c r="B73" s="420" t="inlineStr">
        <is>
          <t>Financial Investor</t>
        </is>
      </c>
      <c r="C73" s="420" t="inlineStr">
        <is>
          <t>Follow Up</t>
        </is>
      </c>
      <c r="D73" s="420" t="inlineStr">
        <is>
          <t>Tier 2</t>
        </is>
      </c>
      <c r="E73" s="420" t="n">
        <v>3</v>
      </c>
      <c r="F73" s="420" t="inlineStr">
        <is>
          <t>Allan Jean-Baptiste; Josh Chin; Marco DeMeireles</t>
        </is>
      </c>
      <c r="G73" s="420" t="inlineStr">
        <is>
          <t>allan@ansa.co; josh@ansa.co; marco.demeireles@ansa.co</t>
        </is>
      </c>
      <c r="H73" s="440" t="n">
        <v>45923</v>
      </c>
      <c r="I73" s="440">
        <f>IF(OR(C73="Passed",H73="",ISBLANK(H73)),"",H73+7)</f>
        <v/>
      </c>
      <c r="J73" s="420">
        <f>IF(I73="","",IF(I73&lt;=TODAY(),"DUE",IF(I73&lt;=TODAY()+3,"Next 3 Days","Later")))</f>
        <v/>
      </c>
      <c r="K73" s="420" t="inlineStr">
        <is>
          <t>linkedin.com/in/allanjeanbaptiste | https://www.linkedin.com/in/joshgwchin/</t>
        </is>
      </c>
      <c r="L73" s="420" t="inlineStr"/>
      <c r="M73" s="420" t="inlineStr">
        <is>
          <t>12/03/2025</t>
        </is>
      </c>
    </row>
    <row r="74">
      <c r="A74" s="420" t="inlineStr">
        <is>
          <t>Anthos Capital</t>
        </is>
      </c>
      <c r="B74" s="420" t="inlineStr">
        <is>
          <t>Financial Investor</t>
        </is>
      </c>
      <c r="C74" s="420" t="inlineStr">
        <is>
          <t>Follow Up</t>
        </is>
      </c>
      <c r="D74" s="420" t="inlineStr">
        <is>
          <t>Tier 2</t>
        </is>
      </c>
      <c r="E74" s="420" t="n">
        <v>1</v>
      </c>
      <c r="F74" s="420" t="inlineStr">
        <is>
          <t>Roy Stigall</t>
        </is>
      </c>
      <c r="G74" s="420" t="inlineStr">
        <is>
          <t>rstigall@anthoscapital.com</t>
        </is>
      </c>
      <c r="H74" s="440" t="n">
        <v>45929</v>
      </c>
      <c r="I74" s="440">
        <f>IF(OR(C74="Passed",H74="",ISBLANK(H74)),"",H74+7)</f>
        <v/>
      </c>
      <c r="J74" s="420">
        <f>IF(I74="","",IF(I74&lt;=TODAY(),"DUE",IF(I74&lt;=TODAY()+3,"Next 3 Days","Later")))</f>
        <v/>
      </c>
      <c r="K74" s="420" t="inlineStr">
        <is>
          <t>https://www.linkedin.com/in/roy-stigall-0b87a24a/</t>
        </is>
      </c>
      <c r="L74" s="420" t="inlineStr"/>
      <c r="M74" s="420" t="inlineStr">
        <is>
          <t>12/05/2025</t>
        </is>
      </c>
    </row>
    <row r="75">
      <c r="A75" s="420" t="inlineStr">
        <is>
          <t>Arbor Ventures</t>
        </is>
      </c>
      <c r="B75" s="420" t="inlineStr">
        <is>
          <t>Financial Investor</t>
        </is>
      </c>
      <c r="C75" s="420" t="inlineStr">
        <is>
          <t>Follow Up</t>
        </is>
      </c>
      <c r="D75" s="420" t="inlineStr">
        <is>
          <t>Tier 2</t>
        </is>
      </c>
      <c r="E75" s="420" t="n">
        <v>6</v>
      </c>
      <c r="F75" s="420" t="inlineStr">
        <is>
          <t>Khaled Lababidi; Matt Dill; Melissa Cannon Guzy; Stephanie Baum‑Zepeda; Wei Hopeman</t>
        </is>
      </c>
      <c r="G75" s="420" t="inlineStr">
        <is>
          <t>khaled@arborventures.com; matt@arborventures.com; melissa@arborventures.com; stephanie@arborventures.com; whopeman@arborventures.com</t>
        </is>
      </c>
      <c r="H75" s="440" t="n">
        <v>45861</v>
      </c>
      <c r="I75" s="440">
        <f>IF(OR(C75="Passed",H75="",ISBLANK(H75)),"",H75+7)</f>
        <v/>
      </c>
      <c r="J75" s="420">
        <f>IF(I75="","",IF(I75&lt;=TODAY(),"DUE",IF(I75&lt;=TODAY()+3,"Next 3 Days","Later")))</f>
        <v/>
      </c>
      <c r="K75" s="420" t="inlineStr">
        <is>
          <t>https://www.linkedin.com/in/khaled-lababidi-5793414/ | https://www.linkedin.com/in/melissa-c-guzy</t>
        </is>
      </c>
      <c r="L75" s="420" t="inlineStr"/>
      <c r="M75" s="420" t="inlineStr">
        <is>
          <t>12/26/2025</t>
        </is>
      </c>
    </row>
    <row r="76">
      <c r="A76" s="420" t="inlineStr">
        <is>
          <t>Arcis Group</t>
        </is>
      </c>
      <c r="B76" s="420" t="inlineStr">
        <is>
          <t>Financial Investor</t>
        </is>
      </c>
      <c r="C76" s="420" t="inlineStr">
        <is>
          <t>Follow Up</t>
        </is>
      </c>
      <c r="D76" s="420" t="inlineStr">
        <is>
          <t>Tier 2</t>
        </is>
      </c>
      <c r="E76" s="420" t="n">
        <v>5</v>
      </c>
      <c r="F76" s="420" t="inlineStr">
        <is>
          <t>Andrew Healey; Arnaud Isnard; David Coudray; Henri Isnard; Romain Bouché</t>
        </is>
      </c>
      <c r="G76" s="420" t="inlineStr">
        <is>
          <t>ahealey@arcisgroup.com; aisnard@arcisgroup.com; dcoudray@arcisgroup.com; hisnard@arcisgroup.com; rbouche@arcisgroup.com</t>
        </is>
      </c>
      <c r="H76" s="440" t="n">
        <v>45835</v>
      </c>
      <c r="I76" s="440">
        <f>IF(OR(C76="Passed",H76="",ISBLANK(H76)),"",H76+7)</f>
        <v/>
      </c>
      <c r="J76" s="420">
        <f>IF(I76="","",IF(I76&lt;=TODAY(),"DUE",IF(I76&lt;=TODAY()+3,"Next 3 Days","Later")))</f>
        <v/>
      </c>
      <c r="K76" s="420" t="inlineStr">
        <is>
          <t>https://www.linkedin.com/in/andrew-healey-39a61125/ | https://www.linkedin.com/in/arnaud-isnard-929603/</t>
        </is>
      </c>
      <c r="L76" s="420" t="inlineStr"/>
      <c r="M76" s="420" t="inlineStr">
        <is>
          <t>12/22/2025</t>
        </is>
      </c>
    </row>
    <row r="77">
      <c r="A77" s="420" t="inlineStr">
        <is>
          <t>Arlington Capital</t>
        </is>
      </c>
      <c r="B77" s="420" t="inlineStr">
        <is>
          <t>Financial Investor</t>
        </is>
      </c>
      <c r="C77" s="420" t="inlineStr">
        <is>
          <t>Follow Up</t>
        </is>
      </c>
      <c r="D77" s="420" t="inlineStr">
        <is>
          <t>Tier 2</t>
        </is>
      </c>
      <c r="E77" s="420" t="n">
        <v>4</v>
      </c>
      <c r="F77" s="420" t="inlineStr">
        <is>
          <t>David C Wodlinger; Matthew L Altman; Michael H Lustbader; Peter M Manos</t>
        </is>
      </c>
      <c r="G77" s="420" t="inlineStr">
        <is>
          <t>dwodlinger@arlingtoncap.com; maltman@arlingtoncap.com; mlustbader@arlingtoncap.com; pmanos@arlingtoncap.com</t>
        </is>
      </c>
      <c r="H77" s="440" t="n">
        <v>45986</v>
      </c>
      <c r="I77" s="440">
        <f>IF(OR(C77="Passed",H77="",ISBLANK(H77)),"",H77+7)</f>
        <v/>
      </c>
      <c r="J77" s="420">
        <f>IF(I77="","",IF(I77&lt;=TODAY(),"DUE",IF(I77&lt;=TODAY()+3,"Next 3 Days","Later")))</f>
        <v/>
      </c>
      <c r="K77" s="420" t="inlineStr">
        <is>
          <t>https://www.linkedin.com/in/david-wodlinger-886b154/ | https://www.linkedin.com/in/matt-altman-34ab134/</t>
        </is>
      </c>
      <c r="L77" s="420" t="inlineStr"/>
      <c r="M77" s="420" t="inlineStr">
        <is>
          <t>01/14/2026</t>
        </is>
      </c>
    </row>
    <row r="78">
      <c r="A78" s="420" t="inlineStr">
        <is>
          <t>Asymmetric Capital Partners</t>
        </is>
      </c>
      <c r="B78" s="420" t="inlineStr">
        <is>
          <t>Financial Investor</t>
        </is>
      </c>
      <c r="C78" s="420" t="inlineStr">
        <is>
          <t>Follow Up</t>
        </is>
      </c>
      <c r="D78" s="420" t="inlineStr">
        <is>
          <t>Tier 2</t>
        </is>
      </c>
      <c r="E78" s="420" t="n">
        <v>5</v>
      </c>
      <c r="F78" s="420" t="inlineStr">
        <is>
          <t>Michele Spitzer; Nancy Chou; Rob Biederman; Sam Clayman; Sarah Biggs</t>
        </is>
      </c>
      <c r="G78" s="420" t="inlineStr">
        <is>
          <t>michele@acp.vc; nancy@acp.vc; rob@acp.vc; sam@acp.vc; sarah@acp.vc</t>
        </is>
      </c>
      <c r="H78" s="440" t="n">
        <v>45835</v>
      </c>
      <c r="I78" s="440">
        <f>IF(OR(C78="Passed",H78="",ISBLANK(H78)),"",H78+7)</f>
        <v/>
      </c>
      <c r="J78" s="420">
        <f>IF(I78="","",IF(I78&lt;=TODAY(),"DUE",IF(I78&lt;=TODAY()+3,"Next 3 Days","Later")))</f>
        <v/>
      </c>
      <c r="K78" s="420" t="inlineStr">
        <is>
          <t>https://www.linkedin.com/in/michelespitzer/ | https://www.linkedin.com/in/nancy-chou-b8496b29/</t>
        </is>
      </c>
      <c r="L78" s="420" t="inlineStr"/>
      <c r="M78" s="420" t="inlineStr">
        <is>
          <t>12/23/2025</t>
        </is>
      </c>
    </row>
    <row r="79">
      <c r="A79" s="420" t="inlineStr">
        <is>
          <t>Athenian VC</t>
        </is>
      </c>
      <c r="B79" s="420" t="inlineStr">
        <is>
          <t>Financial Investor</t>
        </is>
      </c>
      <c r="C79" s="420" t="inlineStr">
        <is>
          <t>Follow Up</t>
        </is>
      </c>
      <c r="D79" s="420" t="inlineStr">
        <is>
          <t>Tier 2</t>
        </is>
      </c>
      <c r="E79" s="420" t="n">
        <v>1</v>
      </c>
      <c r="F79" s="420" t="inlineStr">
        <is>
          <t>Jason Mackey</t>
        </is>
      </c>
      <c r="G79" s="420" t="inlineStr">
        <is>
          <t>jason@athenian.vc</t>
        </is>
      </c>
      <c r="H79" s="440" t="n">
        <v>45973</v>
      </c>
      <c r="I79" s="440">
        <f>IF(OR(C79="Passed",H79="",ISBLANK(H79)),"",H79+7)</f>
        <v/>
      </c>
      <c r="J79" s="420">
        <f>IF(I79="","",IF(I79&lt;=TODAY(),"DUE",IF(I79&lt;=TODAY()+3,"Next 3 Days","Later")))</f>
        <v/>
      </c>
      <c r="K79" s="420" t="inlineStr">
        <is>
          <t>https://www.linkedin.com/in/mackeyjasond/</t>
        </is>
      </c>
      <c r="L79" s="420" t="inlineStr"/>
      <c r="M79" s="420" t="inlineStr">
        <is>
          <t>12/19/2025</t>
        </is>
      </c>
    </row>
    <row r="80">
      <c r="A80" s="420" t="inlineStr">
        <is>
          <t>Augment Ventures</t>
        </is>
      </c>
      <c r="B80" s="420" t="inlineStr">
        <is>
          <t>Financial Investor</t>
        </is>
      </c>
      <c r="C80" s="420" t="inlineStr">
        <is>
          <t>Follow Up</t>
        </is>
      </c>
      <c r="D80" s="420" t="inlineStr">
        <is>
          <t>Tier 2</t>
        </is>
      </c>
      <c r="E80" s="420" t="n">
        <v>5</v>
      </c>
      <c r="F80" s="420" t="inlineStr">
        <is>
          <t>Austin Churley; David Armstrong; Jeffrey Kontulis; Praachi Jain Mehta; Sonali Vijayavargiya</t>
        </is>
      </c>
      <c r="G80" s="420" t="inlineStr">
        <is>
          <t>austin@augmentventures.com; david@augmentventures.com; jeffrey@augmentventures.com; praachi@augmentventures.com; sonali@augmentventures.com</t>
        </is>
      </c>
      <c r="H80" s="440" t="n">
        <v>45924</v>
      </c>
      <c r="I80" s="440">
        <f>IF(OR(C80="Passed",H80="",ISBLANK(H80)),"",H80+7)</f>
        <v/>
      </c>
      <c r="J80" s="420">
        <f>IF(I80="","",IF(I80&lt;=TODAY(),"DUE",IF(I80&lt;=TODAY()+3,"Next 3 Days","Later")))</f>
        <v/>
      </c>
      <c r="K80" s="420" t="inlineStr">
        <is>
          <t>https://www.linkedin.com/in/austinchurley/ | https://www.linkedin.com/in/david-armstrong-74b9a8b/</t>
        </is>
      </c>
      <c r="L80" s="420" t="inlineStr"/>
      <c r="M80" s="420" t="inlineStr">
        <is>
          <t>12/04/2025</t>
        </is>
      </c>
    </row>
    <row r="81">
      <c r="A81" s="420" t="inlineStr">
        <is>
          <t>Aureolis Ventures</t>
        </is>
      </c>
      <c r="B81" s="420" t="inlineStr">
        <is>
          <t>Financial Investor</t>
        </is>
      </c>
      <c r="C81" s="420" t="inlineStr">
        <is>
          <t>Follow Up</t>
        </is>
      </c>
      <c r="D81" s="420" t="inlineStr">
        <is>
          <t>Tier 2</t>
        </is>
      </c>
      <c r="E81" s="420" t="n">
        <v>1</v>
      </c>
      <c r="F81" s="420" t="inlineStr">
        <is>
          <t>Arnav Mariwala</t>
        </is>
      </c>
      <c r="G81" s="420" t="inlineStr">
        <is>
          <t>arnav@aureolis.co.in</t>
        </is>
      </c>
      <c r="H81" s="440" t="n">
        <v>46010</v>
      </c>
      <c r="I81" s="440">
        <f>IF(OR(C81="Passed",H81="",ISBLANK(H81)),"",H81+7)</f>
        <v/>
      </c>
      <c r="J81" s="420">
        <f>IF(I81="","",IF(I81&lt;=TODAY(),"DUE",IF(I81&lt;=TODAY()+3,"Next 3 Days","Later")))</f>
        <v/>
      </c>
      <c r="K81" s="420" t="inlineStr">
        <is>
          <t>linkedin.com/in/arnavmariwala</t>
        </is>
      </c>
      <c r="L81" s="420" t="inlineStr"/>
      <c r="M81" s="420" t="inlineStr"/>
    </row>
    <row r="82">
      <c r="A82" s="420" t="inlineStr">
        <is>
          <t>Bain Capital</t>
        </is>
      </c>
      <c r="B82" s="420" t="inlineStr">
        <is>
          <t>Financial Investor</t>
        </is>
      </c>
      <c r="C82" s="420" t="inlineStr">
        <is>
          <t>Follow Up</t>
        </is>
      </c>
      <c r="D82" s="420" t="inlineStr">
        <is>
          <t>Tier 2</t>
        </is>
      </c>
      <c r="E82" s="420" t="n">
        <v>4</v>
      </c>
      <c r="F82" s="420" t="inlineStr">
        <is>
          <t>Aaref Hilaly; Ajay Agarwal; Kevin Zhang; Merritt Hummer</t>
        </is>
      </c>
      <c r="G82" s="420" t="inlineStr">
        <is>
          <t>ahilaly@baincapital.com; ajay@baincapital.com; kzhang@baincapital.com; mhummer@baincapital.com</t>
        </is>
      </c>
      <c r="H82" s="440" t="n">
        <v>45985</v>
      </c>
      <c r="I82" s="440">
        <f>IF(OR(C82="Passed",H82="",ISBLANK(H82)),"",H82+7)</f>
        <v/>
      </c>
      <c r="J82" s="420">
        <f>IF(I82="","",IF(I82&lt;=TODAY(),"DUE",IF(I82&lt;=TODAY()+3,"Next 3 Days","Later")))</f>
        <v/>
      </c>
      <c r="K82" s="420" t="inlineStr">
        <is>
          <t>https://www.linkedin.com/in/aarefhilaly/ | https://www.linkedin.com/in/ajay1agarwal</t>
        </is>
      </c>
      <c r="L82" s="420" t="inlineStr"/>
      <c r="M82" s="420" t="inlineStr">
        <is>
          <t>01/14/2026</t>
        </is>
      </c>
    </row>
    <row r="83">
      <c r="A83" s="420" t="inlineStr">
        <is>
          <t>Bandera Capital</t>
        </is>
      </c>
      <c r="B83" s="420" t="inlineStr">
        <is>
          <t>Financial Investor</t>
        </is>
      </c>
      <c r="C83" s="420" t="inlineStr">
        <is>
          <t>Follow Up</t>
        </is>
      </c>
      <c r="D83" s="420" t="inlineStr">
        <is>
          <t>Tier 2</t>
        </is>
      </c>
      <c r="E83" s="420" t="n">
        <v>3</v>
      </c>
      <c r="F83" s="420" t="inlineStr">
        <is>
          <t>David Solsky; Gabriel Reyna; Paul Bennett</t>
        </is>
      </c>
      <c r="G83" s="420" t="inlineStr">
        <is>
          <t>david@bandera.capital; gabriel@bandera.capital; paul@bandera.capital</t>
        </is>
      </c>
      <c r="H83" s="440" t="n">
        <v>45841</v>
      </c>
      <c r="I83" s="440">
        <f>IF(OR(C83="Passed",H83="",ISBLANK(H83)),"",H83+7)</f>
        <v/>
      </c>
      <c r="J83" s="420">
        <f>IF(I83="","",IF(I83&lt;=TODAY(),"DUE",IF(I83&lt;=TODAY()+3,"Next 3 Days","Later")))</f>
        <v/>
      </c>
      <c r="K83" s="420" t="inlineStr">
        <is>
          <t>https://www.linkedin.com/in/davidsolsky/ | https://www.linkedin.com/in/gabriel-reyna/</t>
        </is>
      </c>
      <c r="L83" s="420" t="inlineStr"/>
      <c r="M83" s="420" t="inlineStr"/>
    </row>
    <row r="84">
      <c r="A84" s="420" t="inlineStr">
        <is>
          <t>Battery Ventures</t>
        </is>
      </c>
      <c r="B84" s="420" t="inlineStr">
        <is>
          <t>Financial Investor</t>
        </is>
      </c>
      <c r="C84" s="420" t="inlineStr">
        <is>
          <t>Follow Up</t>
        </is>
      </c>
      <c r="D84" s="420" t="inlineStr">
        <is>
          <t>Tier 2</t>
        </is>
      </c>
      <c r="E84" s="420" t="n">
        <v>5</v>
      </c>
      <c r="F84" s="420" t="inlineStr">
        <is>
          <t>Jesse Feldman; Michael Brown; Morad Elhafed; Neeraj Agrawal; Russell Fleischer</t>
        </is>
      </c>
      <c r="G84" s="420" t="inlineStr">
        <is>
          <t>jesse@battery.com; mbrown@battery.com; morad@battery.com; nagrawal@battery.com; rfleischer@battery.com</t>
        </is>
      </c>
      <c r="H84" s="440" t="n">
        <v>45841</v>
      </c>
      <c r="I84" s="440">
        <f>IF(OR(C84="Passed",H84="",ISBLANK(H84)),"",H84+7)</f>
        <v/>
      </c>
      <c r="J84" s="420">
        <f>IF(I84="","",IF(I84&lt;=TODAY(),"DUE",IF(I84&lt;=TODAY()+3,"Next 3 Days","Later")))</f>
        <v/>
      </c>
      <c r="K84" s="420" t="inlineStr">
        <is>
          <t>https://www.linkedin.com/in/feldmanjesse/ | https://www.linkedin.com/in/michaelbrownvc/</t>
        </is>
      </c>
      <c r="L84" s="420" t="inlineStr"/>
      <c r="M84" s="420" t="inlineStr"/>
    </row>
    <row r="85">
      <c r="A85" s="420" t="inlineStr">
        <is>
          <t>BayMed Venture Partners</t>
        </is>
      </c>
      <c r="B85" s="420" t="inlineStr">
        <is>
          <t>Financial Investor</t>
        </is>
      </c>
      <c r="C85" s="420" t="inlineStr">
        <is>
          <t>Follow Up</t>
        </is>
      </c>
      <c r="D85" s="420" t="inlineStr">
        <is>
          <t>Tier 2</t>
        </is>
      </c>
      <c r="E85" s="420" t="n">
        <v>1</v>
      </c>
      <c r="F85" s="420" t="inlineStr">
        <is>
          <t>Gary Gershony</t>
        </is>
      </c>
      <c r="G85" s="420" t="inlineStr">
        <is>
          <t>gary@baymedvp.com</t>
        </is>
      </c>
      <c r="H85" s="440" t="n">
        <v>45973</v>
      </c>
      <c r="I85" s="440">
        <f>IF(OR(C85="Passed",H85="",ISBLANK(H85)),"",H85+7)</f>
        <v/>
      </c>
      <c r="J85" s="420">
        <f>IF(I85="","",IF(I85&lt;=TODAY(),"DUE",IF(I85&lt;=TODAY()+3,"Next 3 Days","Later")))</f>
        <v/>
      </c>
      <c r="K85" s="420" t="inlineStr">
        <is>
          <t>linkedin.com/in/garygershony</t>
        </is>
      </c>
      <c r="L85" s="420" t="inlineStr"/>
      <c r="M85" s="420" t="inlineStr">
        <is>
          <t>12/19/2025</t>
        </is>
      </c>
    </row>
    <row r="86">
      <c r="A86" s="420" t="inlineStr">
        <is>
          <t>Bessemer Venture</t>
        </is>
      </c>
      <c r="B86" s="420" t="inlineStr">
        <is>
          <t>Financial Investor</t>
        </is>
      </c>
      <c r="C86" s="420" t="inlineStr">
        <is>
          <t>Follow Up</t>
        </is>
      </c>
      <c r="D86" s="420" t="inlineStr">
        <is>
          <t>Tier 2</t>
        </is>
      </c>
      <c r="E86" s="420" t="n">
        <v>1</v>
      </c>
      <c r="F86" s="420" t="inlineStr">
        <is>
          <t>Ed Colloton</t>
        </is>
      </c>
      <c r="G86" s="420" t="inlineStr">
        <is>
          <t>ed@bvp.com</t>
        </is>
      </c>
      <c r="H86" s="440" t="n">
        <v>45878</v>
      </c>
      <c r="I86" s="440">
        <f>IF(OR(C86="Passed",H86="",ISBLANK(H86)),"",H86+7)</f>
        <v/>
      </c>
      <c r="J86" s="420">
        <f>IF(I86="","",IF(I86&lt;=TODAY(),"DUE",IF(I86&lt;=TODAY()+3,"Next 3 Days","Later")))</f>
        <v/>
      </c>
      <c r="K86" s="420" t="inlineStr"/>
      <c r="L86" s="420" t="inlineStr"/>
      <c r="M86" s="420" t="inlineStr">
        <is>
          <t>12/26/2025</t>
        </is>
      </c>
    </row>
    <row r="87">
      <c r="A87" s="420" t="inlineStr">
        <is>
          <t>Bessemer Venture Partners</t>
        </is>
      </c>
      <c r="B87" s="420" t="inlineStr">
        <is>
          <t>Financial Investor</t>
        </is>
      </c>
      <c r="C87" s="420" t="inlineStr">
        <is>
          <t>Follow Up</t>
        </is>
      </c>
      <c r="D87" s="420" t="inlineStr">
        <is>
          <t>Tier 2</t>
        </is>
      </c>
      <c r="E87" s="420" t="n">
        <v>6</v>
      </c>
      <c r="F87" s="420" t="inlineStr">
        <is>
          <t>Byron Deeter; David Cowan; Kent Bennett; Ray O Johnson; Mick Mountz</t>
        </is>
      </c>
      <c r="G87" s="420" t="inlineStr">
        <is>
          <t>bdeeter@bvp.com; david@bvp.com; bennett@bvp.com; rjohnson@bvp.com; mmountz@bvp.com</t>
        </is>
      </c>
      <c r="H87" s="440" t="n">
        <v>45841</v>
      </c>
      <c r="I87" s="440">
        <f>IF(OR(C87="Passed",H87="",ISBLANK(H87)),"",H87+7)</f>
        <v/>
      </c>
      <c r="J87" s="420">
        <f>IF(I87="","",IF(I87&lt;=TODAY(),"DUE",IF(I87&lt;=TODAY()+3,"Next 3 Days","Later")))</f>
        <v/>
      </c>
      <c r="K87" s="420" t="inlineStr">
        <is>
          <t>https://www.linkedin.com/in/byrondeeter/ | https://www.linkedin.com/in/davidjcowan/</t>
        </is>
      </c>
      <c r="L87" s="420" t="inlineStr"/>
      <c r="M87" s="420" t="inlineStr"/>
    </row>
    <row r="88">
      <c r="A88" s="420" t="inlineStr">
        <is>
          <t>Blitzscaling Ventures</t>
        </is>
      </c>
      <c r="B88" s="420" t="inlineStr">
        <is>
          <t>Financial Investor</t>
        </is>
      </c>
      <c r="C88" s="420" t="inlineStr">
        <is>
          <t>Follow Up</t>
        </is>
      </c>
      <c r="D88" s="420" t="inlineStr">
        <is>
          <t>Tier 2</t>
        </is>
      </c>
      <c r="E88" s="420" t="n">
        <v>4</v>
      </c>
      <c r="F88" s="420" t="inlineStr">
        <is>
          <t>Chris Yeh; Jeff Abbott; Jeremiah Owyang; Scott Johnson</t>
        </is>
      </c>
      <c r="G88" s="420" t="inlineStr">
        <is>
          <t>chris@blitzscalingventures.com; jeff@blitzscalingventures.com; jeremiah@blitzscalingventures.com; scott@blitzscalingventures.com</t>
        </is>
      </c>
      <c r="H88" s="440" t="n">
        <v>45835</v>
      </c>
      <c r="I88" s="440">
        <f>IF(OR(C88="Passed",H88="",ISBLANK(H88)),"",H88+7)</f>
        <v/>
      </c>
      <c r="J88" s="420">
        <f>IF(I88="","",IF(I88&lt;=TODAY(),"DUE",IF(I88&lt;=TODAY()+3,"Next 3 Days","Later")))</f>
        <v/>
      </c>
      <c r="K88" s="420" t="inlineStr">
        <is>
          <t>linkedin.com/in/chrisyeh | linkedin.com/in/jeffreydabbott</t>
        </is>
      </c>
      <c r="L88" s="420" t="inlineStr"/>
      <c r="M88" s="420" t="inlineStr">
        <is>
          <t>12/22/2025 | "out of thesis - more focused on AI startups"</t>
        </is>
      </c>
    </row>
    <row r="89">
      <c r="A89" s="420" t="inlineStr">
        <is>
          <t>Blue Delta Capital Partners</t>
        </is>
      </c>
      <c r="B89" s="420" t="inlineStr">
        <is>
          <t>Financial Investor</t>
        </is>
      </c>
      <c r="C89" s="420" t="inlineStr">
        <is>
          <t>Follow Up</t>
        </is>
      </c>
      <c r="D89" s="420" t="inlineStr">
        <is>
          <t>Tier 2</t>
        </is>
      </c>
      <c r="E89" s="420" t="n">
        <v>3</v>
      </c>
      <c r="F89" s="420" t="inlineStr">
        <is>
          <t>Chris Torti; Kevin Robbins; Phil Nolan</t>
        </is>
      </c>
      <c r="G89" s="420" t="inlineStr">
        <is>
          <t>chris@bluedeltacapitalpartners.com; kevin@bluedeltacapitalpartners.com; phil@bluedeltacapitalpartners.com</t>
        </is>
      </c>
      <c r="H89" s="440" t="n">
        <v>45922</v>
      </c>
      <c r="I89" s="440">
        <f>IF(OR(C89="Passed",H89="",ISBLANK(H89)),"",H89+7)</f>
        <v/>
      </c>
      <c r="J89" s="420">
        <f>IF(I89="","",IF(I89&lt;=TODAY(),"DUE",IF(I89&lt;=TODAY()+3,"Next 3 Days","Later")))</f>
        <v/>
      </c>
      <c r="K89" s="420" t="inlineStr"/>
      <c r="L89" s="420" t="inlineStr"/>
      <c r="M89" s="420" t="inlineStr"/>
    </row>
    <row r="90">
      <c r="A90" s="420" t="inlineStr">
        <is>
          <t>Blue Startups</t>
        </is>
      </c>
      <c r="B90" s="420" t="inlineStr">
        <is>
          <t>Financial Investor</t>
        </is>
      </c>
      <c r="C90" s="420" t="inlineStr">
        <is>
          <t>Follow Up</t>
        </is>
      </c>
      <c r="D90" s="420" t="inlineStr">
        <is>
          <t>Tier 2</t>
        </is>
      </c>
      <c r="E90" s="420" t="n">
        <v>1</v>
      </c>
      <c r="F90" s="420" t="inlineStr">
        <is>
          <t>Chenoa Farnsworth</t>
        </is>
      </c>
      <c r="G90" s="420" t="inlineStr">
        <is>
          <t>chenoa@bluestartups.com</t>
        </is>
      </c>
      <c r="H90" s="440" t="n">
        <v>45973</v>
      </c>
      <c r="I90" s="440">
        <f>IF(OR(C90="Passed",H90="",ISBLANK(H90)),"",H90+7)</f>
        <v/>
      </c>
      <c r="J90" s="420">
        <f>IF(I90="","",IF(I90&lt;=TODAY(),"DUE",IF(I90&lt;=TODAY()+3,"Next 3 Days","Later")))</f>
        <v/>
      </c>
      <c r="K90" s="420" t="inlineStr">
        <is>
          <t>https://www.linkedin.com/in/chenoafarnsworth/</t>
        </is>
      </c>
      <c r="L90" s="420" t="inlineStr"/>
      <c r="M90" s="420" t="inlineStr">
        <is>
          <t>12/19/2025</t>
        </is>
      </c>
    </row>
    <row r="91">
      <c r="A91" s="420" t="inlineStr">
        <is>
          <t>Blue Stone</t>
        </is>
      </c>
      <c r="B91" s="420" t="inlineStr">
        <is>
          <t>Financial Investor</t>
        </is>
      </c>
      <c r="C91" s="420" t="inlineStr">
        <is>
          <t>Follow Up</t>
        </is>
      </c>
      <c r="D91" s="420" t="inlineStr">
        <is>
          <t>Tier 2</t>
        </is>
      </c>
      <c r="E91" s="420" t="n">
        <v>5</v>
      </c>
      <c r="F91" s="420" t="inlineStr">
        <is>
          <t>Bill Strang; Eric Wolking; Joe Collins; John Allen; Mike Ivey</t>
        </is>
      </c>
      <c r="G91" s="420" t="inlineStr">
        <is>
          <t>bstrang@bluestoneinv.com; ewolking@bluestoneinv.com; jcollins@bluestoneinv.com; jallen@bluestoneinv.com; mivey@bluestoneinv.com</t>
        </is>
      </c>
      <c r="H91" s="440" t="n">
        <v>45922</v>
      </c>
      <c r="I91" s="440">
        <f>IF(OR(C91="Passed",H91="",ISBLANK(H91)),"",H91+7)</f>
        <v/>
      </c>
      <c r="J91" s="420">
        <f>IF(I91="","",IF(I91&lt;=TODAY(),"DUE",IF(I91&lt;=TODAY()+3,"Next 3 Days","Later")))</f>
        <v/>
      </c>
      <c r="K91" s="420" t="inlineStr">
        <is>
          <t>https://www.linkedin.com/in/eric-wolking-29a6701/</t>
        </is>
      </c>
      <c r="L91" s="420" t="inlineStr"/>
      <c r="M91" s="420" t="inlineStr">
        <is>
          <t>outside area of expertise | asked to set meeting</t>
        </is>
      </c>
    </row>
    <row r="92">
      <c r="A92" s="420" t="inlineStr">
        <is>
          <t>Blue Yard VC</t>
        </is>
      </c>
      <c r="B92" s="420" t="inlineStr">
        <is>
          <t>Financial Investor</t>
        </is>
      </c>
      <c r="C92" s="420" t="inlineStr">
        <is>
          <t>Follow Up</t>
        </is>
      </c>
      <c r="D92" s="420" t="inlineStr">
        <is>
          <t>Tier 2</t>
        </is>
      </c>
      <c r="E92" s="420" t="n">
        <v>4</v>
      </c>
      <c r="F92" s="420" t="inlineStr">
        <is>
          <t>Chad Fowler; Ciaran O'Leary; David Byrd; Jason Whitmire</t>
        </is>
      </c>
      <c r="G92" s="420" t="inlineStr">
        <is>
          <t>legal@blueyard.com; chad@blueyard.com; ciaran@blueyard.com; david@blueyard.com; jason@blueyard.com</t>
        </is>
      </c>
      <c r="H92" s="440" t="n">
        <v>45922</v>
      </c>
      <c r="I92" s="440">
        <f>IF(OR(C92="Passed",H92="",ISBLANK(H92)),"",H92+7)</f>
        <v/>
      </c>
      <c r="J92" s="420">
        <f>IF(I92="","",IF(I92&lt;=TODAY(),"DUE",IF(I92&lt;=TODAY()+3,"Next 3 Days","Later")))</f>
        <v/>
      </c>
      <c r="K92" s="420" t="inlineStr"/>
      <c r="L92" s="420" t="inlineStr"/>
      <c r="M92" s="420" t="inlineStr"/>
    </row>
    <row r="93">
      <c r="A93" s="420" t="inlineStr">
        <is>
          <t>Bright Pixel Capital</t>
        </is>
      </c>
      <c r="B93" s="420" t="inlineStr">
        <is>
          <t>Financial Investor</t>
        </is>
      </c>
      <c r="C93" s="420" t="inlineStr">
        <is>
          <t>Follow Up</t>
        </is>
      </c>
      <c r="D93" s="420" t="inlineStr">
        <is>
          <t>Tier 2</t>
        </is>
      </c>
      <c r="E93" s="420" t="n">
        <v>3</v>
      </c>
      <c r="F93" s="420" t="inlineStr">
        <is>
          <t>Eduardo Piedade; Fernando Martins; Filipa Costa</t>
        </is>
      </c>
      <c r="G93" s="420" t="inlineStr">
        <is>
          <t>eduardo.piedade@brpx.com; fernando.martins@brpx.com; filipa.costa@brpx.com</t>
        </is>
      </c>
      <c r="H93" s="440" t="n">
        <v>45973</v>
      </c>
      <c r="I93" s="440">
        <f>IF(OR(C93="Passed",H93="",ISBLANK(H93)),"",H93+7)</f>
        <v/>
      </c>
      <c r="J93" s="420">
        <f>IF(I93="","",IF(I93&lt;=TODAY(),"DUE",IF(I93&lt;=TODAY()+3,"Next 3 Days","Later")))</f>
        <v/>
      </c>
      <c r="K93" s="420" t="inlineStr">
        <is>
          <t>https://www.linkedin.com/in/eduardopiedade/ | https://www.linkedin.com/in/fernandomartinscybersecurity</t>
        </is>
      </c>
      <c r="L93" s="420" t="inlineStr"/>
      <c r="M93" s="420" t="inlineStr">
        <is>
          <t>12/30/2025</t>
        </is>
      </c>
    </row>
    <row r="94">
      <c r="A94" s="420" t="inlineStr">
        <is>
          <t>Brightstar Capital Partners</t>
        </is>
      </c>
      <c r="B94" s="420" t="inlineStr">
        <is>
          <t>Financial Investor</t>
        </is>
      </c>
      <c r="C94" s="420" t="inlineStr">
        <is>
          <t>Follow Up</t>
        </is>
      </c>
      <c r="D94" s="420" t="inlineStr">
        <is>
          <t>Tier 2</t>
        </is>
      </c>
      <c r="E94" s="420" t="n">
        <v>5</v>
      </c>
      <c r="F94" s="420" t="inlineStr">
        <is>
          <t>Andrew Weinberg; Bruce Roberson; Kevin Deemer; Michael Singer; Shana Bochinis</t>
        </is>
      </c>
      <c r="G94" s="420" t="inlineStr">
        <is>
          <t>info@brightstarcp.com; andrew@brightstarcp.com; broberson@brightstarcp.com; kdeemer@brightstarcp.com; msinger@brightstarcp.com</t>
        </is>
      </c>
      <c r="H94" s="440" t="n">
        <v>45922</v>
      </c>
      <c r="I94" s="440">
        <f>IF(OR(C94="Passed",H94="",ISBLANK(H94)),"",H94+7)</f>
        <v/>
      </c>
      <c r="J94" s="420">
        <f>IF(I94="","",IF(I94&lt;=TODAY(),"DUE",IF(I94&lt;=TODAY()+3,"Next 3 Days","Later")))</f>
        <v/>
      </c>
      <c r="K94" s="420" t="inlineStr"/>
      <c r="L94" s="420" t="inlineStr"/>
      <c r="M94" s="420" t="inlineStr"/>
    </row>
    <row r="95">
      <c r="A95" s="420" t="inlineStr">
        <is>
          <t>BuildGroup</t>
        </is>
      </c>
      <c r="B95" s="420" t="inlineStr">
        <is>
          <t>Financial Investor</t>
        </is>
      </c>
      <c r="C95" s="420" t="inlineStr">
        <is>
          <t>Follow Up</t>
        </is>
      </c>
      <c r="D95" s="420" t="inlineStr">
        <is>
          <t>Tier 2</t>
        </is>
      </c>
      <c r="E95" s="420" t="n">
        <v>5</v>
      </c>
      <c r="F95" s="420" t="inlineStr">
        <is>
          <t>Eric Levine; Jim Curry; Klee Kleber; Lanham Napier; Miguel Perez</t>
        </is>
      </c>
      <c r="G95" s="420" t="inlineStr">
        <is>
          <t>eric@buildgroup.com; jim@buildgroup.com; klee@buildgroup.com; lanham@buildgroup.com; miguel@buildgroup.com</t>
        </is>
      </c>
      <c r="H95" s="440" t="n">
        <v>45890</v>
      </c>
      <c r="I95" s="440">
        <f>IF(OR(C95="Passed",H95="",ISBLANK(H95)),"",H95+7)</f>
        <v/>
      </c>
      <c r="J95" s="420">
        <f>IF(I95="","",IF(I95&lt;=TODAY(),"DUE",IF(I95&lt;=TODAY()+3,"Next 3 Days","Later")))</f>
        <v/>
      </c>
      <c r="K95" s="420" t="inlineStr">
        <is>
          <t>linkedin.com/in/eric-levine-740923a3 | linkedin.com/in/jimncurry</t>
        </is>
      </c>
      <c r="L95" s="420" t="inlineStr"/>
      <c r="M95" s="420" t="inlineStr">
        <is>
          <t>12/29/2025</t>
        </is>
      </c>
    </row>
    <row r="96">
      <c r="A96" s="420" t="inlineStr">
        <is>
          <t>CEO</t>
        </is>
      </c>
      <c r="B96" s="420" t="inlineStr">
        <is>
          <t>Financial Investor</t>
        </is>
      </c>
      <c r="C96" s="420" t="inlineStr">
        <is>
          <t>Follow Up</t>
        </is>
      </c>
      <c r="D96" s="420" t="inlineStr">
        <is>
          <t>Tier 2</t>
        </is>
      </c>
      <c r="E96" s="420" t="n">
        <v>2</v>
      </c>
      <c r="F96" s="420" t="inlineStr">
        <is>
          <t>Graeme Black; Mikael Lundman</t>
        </is>
      </c>
      <c r="G96" s="420" t="inlineStr">
        <is>
          <t>graeme.a.black.tu24@tuck.dartmouth.edu; mikael@exminvest.com</t>
        </is>
      </c>
      <c r="H96" s="440" t="n">
        <v>46037</v>
      </c>
      <c r="I96" s="440">
        <f>IF(OR(C96="Passed",H96="",ISBLANK(H96)),"",H96+7)</f>
        <v/>
      </c>
      <c r="J96" s="420">
        <f>IF(I96="","",IF(I96&lt;=TODAY(),"DUE",IF(I96&lt;=TODAY()+3,"Next 3 Days","Later")))</f>
        <v/>
      </c>
      <c r="K96" s="420" t="inlineStr">
        <is>
          <t>https://www.linkedin.com/in/graeme-a-black/ | https://www.linkedin.com/in/mikaellundman/</t>
        </is>
      </c>
      <c r="L96" s="420" t="inlineStr"/>
      <c r="M96" s="420" t="inlineStr"/>
    </row>
    <row r="97">
      <c r="A97" s="420" t="inlineStr">
        <is>
          <t>CEO/ Managing Partner - SENCO Hydrogen Capital</t>
        </is>
      </c>
      <c r="B97" s="420" t="inlineStr">
        <is>
          <t>Financial Investor</t>
        </is>
      </c>
      <c r="C97" s="420" t="inlineStr">
        <is>
          <t>Follow Up</t>
        </is>
      </c>
      <c r="D97" s="420" t="inlineStr">
        <is>
          <t>Tier 2</t>
        </is>
      </c>
      <c r="E97" s="420" t="n">
        <v>1</v>
      </c>
      <c r="F97" s="420" t="inlineStr">
        <is>
          <t>Carsten Schmeding</t>
        </is>
      </c>
      <c r="G97" s="420" t="inlineStr">
        <is>
          <t>schmeding@senco-capital.com</t>
        </is>
      </c>
      <c r="H97" s="440" t="n">
        <v>46010</v>
      </c>
      <c r="I97" s="440">
        <f>IF(OR(C97="Passed",H97="",ISBLANK(H97)),"",H97+7)</f>
        <v/>
      </c>
      <c r="J97" s="420">
        <f>IF(I97="","",IF(I97&lt;=TODAY(),"DUE",IF(I97&lt;=TODAY()+3,"Next 3 Days","Later")))</f>
        <v/>
      </c>
      <c r="K97" s="420" t="inlineStr">
        <is>
          <t>linkedin.com/in/carsten-schmeding-a351a5</t>
        </is>
      </c>
      <c r="L97" s="420" t="inlineStr"/>
      <c r="M97" s="420" t="inlineStr"/>
    </row>
    <row r="98">
      <c r="A98" s="420" t="inlineStr">
        <is>
          <t>CFO</t>
        </is>
      </c>
      <c r="B98" s="420" t="inlineStr">
        <is>
          <t>Financial Investor</t>
        </is>
      </c>
      <c r="C98" s="420" t="inlineStr">
        <is>
          <t>Follow Up</t>
        </is>
      </c>
      <c r="D98" s="420" t="inlineStr">
        <is>
          <t>Tier 2</t>
        </is>
      </c>
      <c r="E98" s="420" t="n">
        <v>2</v>
      </c>
      <c r="F98" s="420" t="inlineStr">
        <is>
          <t>Ben Tidd; Eillot Attie</t>
        </is>
      </c>
      <c r="G98" s="420" t="inlineStr">
        <is>
          <t>ben.tidd@hydrogenonecapital.com; elliot.attie@trilantic.com</t>
        </is>
      </c>
      <c r="H98" s="440" t="n">
        <v>46037</v>
      </c>
      <c r="I98" s="440">
        <f>IF(OR(C98="Passed",H98="",ISBLANK(H98)),"",H98+7)</f>
        <v/>
      </c>
      <c r="J98" s="420">
        <f>IF(I98="","",IF(I98&lt;=TODAY(),"DUE",IF(I98&lt;=TODAY()+3,"Next 3 Days","Later")))</f>
        <v/>
      </c>
      <c r="K98" s="420" t="inlineStr">
        <is>
          <t>https://www.linkedin.com/in/ben-tidd/ | https://www.linkedin.com/in/elliot-attie-a5483b247/</t>
        </is>
      </c>
      <c r="L98" s="420" t="inlineStr"/>
      <c r="M98" s="420" t="inlineStr"/>
    </row>
    <row r="99">
      <c r="A99" s="420" t="inlineStr">
        <is>
          <t>Candou Ventures</t>
        </is>
      </c>
      <c r="B99" s="420" t="inlineStr">
        <is>
          <t>Financial Investor</t>
        </is>
      </c>
      <c r="C99" s="420" t="inlineStr">
        <is>
          <t>Follow Up</t>
        </is>
      </c>
      <c r="D99" s="420" t="inlineStr">
        <is>
          <t>Tier 2</t>
        </is>
      </c>
      <c r="E99" s="420" t="n">
        <v>1</v>
      </c>
      <c r="F99" s="420" t="inlineStr">
        <is>
          <t>Laleh Masnavi</t>
        </is>
      </c>
      <c r="G99" s="420" t="inlineStr">
        <is>
          <t>laleh@candouventures.com</t>
        </is>
      </c>
      <c r="H99" s="440" t="n">
        <v>46036</v>
      </c>
      <c r="I99" s="440">
        <f>IF(OR(C99="Passed",H99="",ISBLANK(H99)),"",H99+7)</f>
        <v/>
      </c>
      <c r="J99" s="420">
        <f>IF(I99="","",IF(I99&lt;=TODAY(),"DUE",IF(I99&lt;=TODAY()+3,"Next 3 Days","Later")))</f>
        <v/>
      </c>
      <c r="K99" s="420" t="inlineStr">
        <is>
          <t>https://www.linkedin.com/in/laleh-masnavi-06b4347/</t>
        </is>
      </c>
      <c r="L99" s="420" t="inlineStr"/>
      <c r="M99" s="420" t="inlineStr"/>
    </row>
    <row r="100">
      <c r="A100" s="420" t="inlineStr">
        <is>
          <t>Canvas Prime</t>
        </is>
      </c>
      <c r="B100" s="420" t="inlineStr">
        <is>
          <t>Financial Investor</t>
        </is>
      </c>
      <c r="C100" s="420" t="inlineStr">
        <is>
          <t>Follow Up</t>
        </is>
      </c>
      <c r="D100" s="420" t="inlineStr">
        <is>
          <t>Tier 2</t>
        </is>
      </c>
      <c r="E100" s="420" t="n">
        <v>5</v>
      </c>
      <c r="F100" s="420" t="inlineStr">
        <is>
          <t>Gary Little; Harrison Lieberfarb; Justin Pirzadeh; Rebecca Lynn; Xan Wood</t>
        </is>
      </c>
      <c r="G100" s="420" t="inlineStr">
        <is>
          <t>glittle@canvas.vc; harrison@canvas.vc; jpirzadeh@canvas.vc; rebecca@canvas.vc; xan@canvas.vc</t>
        </is>
      </c>
      <c r="H100" s="440" t="n">
        <v>45929</v>
      </c>
      <c r="I100" s="440">
        <f>IF(OR(C100="Passed",H100="",ISBLANK(H100)),"",H100+7)</f>
        <v/>
      </c>
      <c r="J100" s="420">
        <f>IF(I100="","",IF(I100&lt;=TODAY(),"DUE",IF(I100&lt;=TODAY()+3,"Next 3 Days","Later")))</f>
        <v/>
      </c>
      <c r="K100" s="420" t="inlineStr">
        <is>
          <t>linkedin.com/in/garylittle1 | linkedin.com/in/lieberfarb</t>
        </is>
      </c>
      <c r="L100" s="420" t="inlineStr"/>
      <c r="M100" s="420" t="inlineStr">
        <is>
          <t>12/04/2025 | 12/05/2025 | not a fit at this time</t>
        </is>
      </c>
    </row>
    <row r="101">
      <c r="A101" s="420" t="inlineStr">
        <is>
          <t>Caprae Capital</t>
        </is>
      </c>
      <c r="B101" s="420" t="inlineStr">
        <is>
          <t>Financial Investor</t>
        </is>
      </c>
      <c r="C101" s="420" t="inlineStr">
        <is>
          <t>Follow Up</t>
        </is>
      </c>
      <c r="D101" s="420" t="inlineStr">
        <is>
          <t>Tier 2</t>
        </is>
      </c>
      <c r="E101" s="420" t="n">
        <v>2</v>
      </c>
      <c r="F101" s="420" t="inlineStr">
        <is>
          <t>Kevin Hong; Partners</t>
        </is>
      </c>
      <c r="G101" s="420" t="inlineStr">
        <is>
          <t>kevinhshong@gmail.com; partners@capraecapital.com</t>
        </is>
      </c>
      <c r="H101" s="440" t="n">
        <v>45848</v>
      </c>
      <c r="I101" s="440">
        <f>IF(OR(C101="Passed",H101="",ISBLANK(H101)),"",H101+7)</f>
        <v/>
      </c>
      <c r="J101" s="420">
        <f>IF(I101="","",IF(I101&lt;=TODAY(),"DUE",IF(I101&lt;=TODAY()+3,"Next 3 Days","Later")))</f>
        <v/>
      </c>
      <c r="K101" s="420" t="inlineStr">
        <is>
          <t>linkedin.com/in/kevinhshong</t>
        </is>
      </c>
      <c r="L101" s="420" t="inlineStr"/>
      <c r="M101" s="420" t="inlineStr">
        <is>
          <t>12/23/2025</t>
        </is>
      </c>
    </row>
    <row r="102">
      <c r="A102" s="420" t="inlineStr">
        <is>
          <t>Caprice Capital</t>
        </is>
      </c>
      <c r="B102" s="420" t="inlineStr">
        <is>
          <t>Financial Investor</t>
        </is>
      </c>
      <c r="C102" s="420" t="inlineStr">
        <is>
          <t>Follow Up</t>
        </is>
      </c>
      <c r="D102" s="420" t="inlineStr">
        <is>
          <t>Tier 2</t>
        </is>
      </c>
      <c r="E102" s="420" t="n">
        <v>4</v>
      </c>
      <c r="F102" s="420" t="inlineStr">
        <is>
          <t>Joe Li; Michael Vinci; Rich Thomson; Investor Reations</t>
        </is>
      </c>
      <c r="G102" s="420" t="inlineStr">
        <is>
          <t>jli@capricecapital.com; mvinci@capricecapital.com; rthomson@capricecapital.com; investor-relations@capricecapital.com</t>
        </is>
      </c>
      <c r="H102" s="440" t="n">
        <v>45841</v>
      </c>
      <c r="I102" s="440">
        <f>IF(OR(C102="Passed",H102="",ISBLANK(H102)),"",H102+7)</f>
        <v/>
      </c>
      <c r="J102" s="420">
        <f>IF(I102="","",IF(I102&lt;=TODAY(),"DUE",IF(I102&lt;=TODAY()+3,"Next 3 Days","Later")))</f>
        <v/>
      </c>
      <c r="K102" s="420" t="inlineStr">
        <is>
          <t>https://www.linkedin.com/in/joe-li-b3520922/ | https://www.linkedin.com/in/michael-vinci-aa8152207/</t>
        </is>
      </c>
      <c r="L102" s="420" t="inlineStr"/>
      <c r="M102" s="420" t="inlineStr">
        <is>
          <t>12/23/2025</t>
        </is>
      </c>
    </row>
    <row r="103">
      <c r="A103" s="420" t="inlineStr">
        <is>
          <t>Carlyle</t>
        </is>
      </c>
      <c r="B103" s="420" t="inlineStr">
        <is>
          <t>Financial Investor</t>
        </is>
      </c>
      <c r="C103" s="420" t="inlineStr">
        <is>
          <t>Follow Up</t>
        </is>
      </c>
      <c r="D103" s="420" t="inlineStr">
        <is>
          <t>Tier 2</t>
        </is>
      </c>
      <c r="E103" s="420" t="n">
        <v>3</v>
      </c>
      <c r="F103" s="420" t="inlineStr">
        <is>
          <t>Aaref Hilaly; Ajay Agarwal; Enrique Salem</t>
        </is>
      </c>
      <c r="G103" s="420" t="inlineStr">
        <is>
          <t>aaref.hilaly@carlyle.com; ajay.agarwal@carlyle.com; enrique.salem@carlyle.com</t>
        </is>
      </c>
      <c r="H103" s="440" t="n">
        <v>45986</v>
      </c>
      <c r="I103" s="440">
        <f>IF(OR(C103="Passed",H103="",ISBLANK(H103)),"",H103+7)</f>
        <v/>
      </c>
      <c r="J103" s="420">
        <f>IF(I103="","",IF(I103&lt;=TODAY(),"DUE",IF(I103&lt;=TODAY()+3,"Next 3 Days","Later")))</f>
        <v/>
      </c>
      <c r="K103" s="420" t="inlineStr"/>
      <c r="L103" s="420" t="inlineStr"/>
      <c r="M103" s="420" t="inlineStr">
        <is>
          <t>msg undeliverable | 01/14/2026</t>
        </is>
      </c>
    </row>
    <row r="104">
      <c r="A104" s="420" t="inlineStr">
        <is>
          <t>Castle Placement</t>
        </is>
      </c>
      <c r="B104" s="420" t="inlineStr">
        <is>
          <t>Intermediary / Banker</t>
        </is>
      </c>
      <c r="C104" s="420" t="inlineStr">
        <is>
          <t>Follow Up</t>
        </is>
      </c>
      <c r="D104" s="420" t="inlineStr">
        <is>
          <t>Tier 2</t>
        </is>
      </c>
      <c r="E104" s="420" t="n">
        <v>1</v>
      </c>
      <c r="F104" s="420" t="inlineStr">
        <is>
          <t>Diana Ruddy</t>
        </is>
      </c>
      <c r="G104" s="420" t="inlineStr"/>
      <c r="H104" s="440" t="n">
        <v>45821</v>
      </c>
      <c r="I104" s="440">
        <f>IF(OR(C104="Passed",H104="",ISBLANK(H104)),"",H104+7)</f>
        <v/>
      </c>
      <c r="J104" s="420">
        <f>IF(I104="","",IF(I104&lt;=TODAY(),"DUE",IF(I104&lt;=TODAY()+3,"Next 3 Days","Later")))</f>
        <v/>
      </c>
      <c r="K104" s="420" t="inlineStr">
        <is>
          <t>https://www.linkedin.com/in/dianaruddy/</t>
        </is>
      </c>
      <c r="L104" s="420" t="inlineStr"/>
      <c r="M104" s="420" t="inlineStr"/>
    </row>
    <row r="105">
      <c r="A105" s="420" t="inlineStr">
        <is>
          <t>Catalyst Investors</t>
        </is>
      </c>
      <c r="B105" s="420" t="inlineStr">
        <is>
          <t>Financial Investor</t>
        </is>
      </c>
      <c r="C105" s="420" t="inlineStr">
        <is>
          <t>Follow Up</t>
        </is>
      </c>
      <c r="D105" s="420" t="inlineStr">
        <is>
          <t>Tier 2</t>
        </is>
      </c>
      <c r="E105" s="420" t="n">
        <v>2</v>
      </c>
      <c r="F105" s="420" t="inlineStr">
        <is>
          <t>Brian Rich; Tyler Newton</t>
        </is>
      </c>
      <c r="G105" s="420" t="inlineStr">
        <is>
          <t>brian@catalyst.com; tyler@catalyst.com</t>
        </is>
      </c>
      <c r="H105" s="440" t="n">
        <v>45924</v>
      </c>
      <c r="I105" s="440">
        <f>IF(OR(C105="Passed",H105="",ISBLANK(H105)),"",H105+7)</f>
        <v/>
      </c>
      <c r="J105" s="420">
        <f>IF(I105="","",IF(I105&lt;=TODAY(),"DUE",IF(I105&lt;=TODAY()+3,"Next 3 Days","Later")))</f>
        <v/>
      </c>
      <c r="K105" s="420" t="inlineStr">
        <is>
          <t>linkedin.com/in/brian-rich-b6021b4b | https://www.linkedin.com/in/tylercnewton/</t>
        </is>
      </c>
      <c r="L105" s="420" t="inlineStr"/>
      <c r="M105" s="420" t="inlineStr">
        <is>
          <t>12/04/2025</t>
        </is>
      </c>
    </row>
    <row r="106">
      <c r="A106" s="420" t="inlineStr">
        <is>
          <t>Cathay Innovation</t>
        </is>
      </c>
      <c r="B106" s="420" t="inlineStr">
        <is>
          <t>Financial Investor</t>
        </is>
      </c>
      <c r="C106" s="420" t="inlineStr">
        <is>
          <t>Follow Up</t>
        </is>
      </c>
      <c r="D106" s="420" t="inlineStr">
        <is>
          <t>Tier 2</t>
        </is>
      </c>
      <c r="E106" s="420" t="n">
        <v>1</v>
      </c>
      <c r="F106" s="420" t="inlineStr">
        <is>
          <t>Jonathan Healy</t>
        </is>
      </c>
      <c r="G106" s="420" t="inlineStr">
        <is>
          <t>jonathan.healy@cathayinnovation.com</t>
        </is>
      </c>
      <c r="H106" s="440" t="n">
        <v>45973</v>
      </c>
      <c r="I106" s="440">
        <f>IF(OR(C106="Passed",H106="",ISBLANK(H106)),"",H106+7)</f>
        <v/>
      </c>
      <c r="J106" s="420">
        <f>IF(I106="","",IF(I106&lt;=TODAY(),"DUE",IF(I106&lt;=TODAY()+3,"Next 3 Days","Later")))</f>
        <v/>
      </c>
      <c r="K106" s="420" t="inlineStr">
        <is>
          <t>https://www.linkedin.com/in/jon-healy/</t>
        </is>
      </c>
      <c r="L106" s="420" t="inlineStr"/>
      <c r="M106" s="420" t="inlineStr">
        <is>
          <t>12/19/2025</t>
        </is>
      </c>
    </row>
    <row r="107">
      <c r="A107" s="420" t="inlineStr">
        <is>
          <t>Centana Growth</t>
        </is>
      </c>
      <c r="B107" s="420" t="inlineStr">
        <is>
          <t>Financial Investor</t>
        </is>
      </c>
      <c r="C107" s="420" t="inlineStr">
        <is>
          <t>Follow Up</t>
        </is>
      </c>
      <c r="D107" s="420" t="inlineStr">
        <is>
          <t>Tier 2</t>
        </is>
      </c>
      <c r="E107" s="420" t="n">
        <v>6</v>
      </c>
      <c r="F107" s="420" t="inlineStr">
        <is>
          <t>Ben Cukier; Devi Malhotra; Eric Byunn; Jack Babbush; Matthew Alfieri</t>
        </is>
      </c>
      <c r="G107" s="420" t="inlineStr">
        <is>
          <t>bcukier@centanagrowth.com; dmalhotra@centanagrowth.com; ebyunn@centanagrowth.com; jbabbush@centanagrowth.com; malfieri@centanagrowth.com</t>
        </is>
      </c>
      <c r="H107" s="440" t="n">
        <v>45878</v>
      </c>
      <c r="I107" s="440">
        <f>IF(OR(C107="Passed",H107="",ISBLANK(H107)),"",H107+7)</f>
        <v/>
      </c>
      <c r="J107" s="420">
        <f>IF(I107="","",IF(I107&lt;=TODAY(),"DUE",IF(I107&lt;=TODAY()+3,"Next 3 Days","Later")))</f>
        <v/>
      </c>
      <c r="K107" s="420" t="inlineStr">
        <is>
          <t>https://www.linkedin.com/in/bcukier/ | https://www.linkedin.com/in/devi-malhotra-1638767b/</t>
        </is>
      </c>
      <c r="L107" s="420" t="inlineStr"/>
      <c r="M107" s="420" t="inlineStr">
        <is>
          <t>12/26/2025</t>
        </is>
      </c>
    </row>
    <row r="108">
      <c r="A108" s="420" t="inlineStr">
        <is>
          <t>Chairman</t>
        </is>
      </c>
      <c r="B108" s="420" t="inlineStr">
        <is>
          <t>Financial Investor</t>
        </is>
      </c>
      <c r="C108" s="420" t="inlineStr">
        <is>
          <t>Follow Up</t>
        </is>
      </c>
      <c r="D108" s="420" t="inlineStr">
        <is>
          <t>Tier 2</t>
        </is>
      </c>
      <c r="E108" s="420" t="n">
        <v>1</v>
      </c>
      <c r="F108" s="420" t="inlineStr">
        <is>
          <t>Simon Hogan</t>
        </is>
      </c>
      <c r="G108" s="420" t="inlineStr">
        <is>
          <t>simon.hogan@hydrogenonecapital.com</t>
        </is>
      </c>
      <c r="H108" s="440" t="n">
        <v>46037</v>
      </c>
      <c r="I108" s="440">
        <f>IF(OR(C108="Passed",H108="",ISBLANK(H108)),"",H108+7)</f>
        <v/>
      </c>
      <c r="J108" s="420">
        <f>IF(I108="","",IF(I108&lt;=TODAY(),"DUE",IF(I108&lt;=TODAY()+3,"Next 3 Days","Later")))</f>
        <v/>
      </c>
      <c r="K108" s="420" t="inlineStr">
        <is>
          <t>https://www.linkedin.com/in/simon-hogan-94296964/</t>
        </is>
      </c>
      <c r="L108" s="420" t="inlineStr"/>
      <c r="M108" s="420" t="inlineStr"/>
    </row>
    <row r="109">
      <c r="A109" s="420" t="inlineStr">
        <is>
          <t>Character VC</t>
        </is>
      </c>
      <c r="B109" s="420" t="inlineStr">
        <is>
          <t>Financial Investor</t>
        </is>
      </c>
      <c r="C109" s="420" t="inlineStr">
        <is>
          <t>Follow Up</t>
        </is>
      </c>
      <c r="D109" s="420" t="inlineStr">
        <is>
          <t>Tier 2</t>
        </is>
      </c>
      <c r="E109" s="420" t="n">
        <v>1</v>
      </c>
      <c r="F109" s="420" t="inlineStr">
        <is>
          <t>Eli Blee-Goldman</t>
        </is>
      </c>
      <c r="G109" s="420" t="inlineStr">
        <is>
          <t>eli@character.vc</t>
        </is>
      </c>
      <c r="H109" s="440" t="n">
        <v>45929</v>
      </c>
      <c r="I109" s="440">
        <f>IF(OR(C109="Passed",H109="",ISBLANK(H109)),"",H109+7)</f>
        <v/>
      </c>
      <c r="J109" s="420">
        <f>IF(I109="","",IF(I109&lt;=TODAY(),"DUE",IF(I109&lt;=TODAY()+3,"Next 3 Days","Later")))</f>
        <v/>
      </c>
      <c r="K109" s="420" t="inlineStr">
        <is>
          <t>https://www.linkedin.com/in/eli-blee-goldman/</t>
        </is>
      </c>
      <c r="L109" s="420" t="inlineStr"/>
      <c r="M109" s="420" t="inlineStr">
        <is>
          <t>12/05/2025</t>
        </is>
      </c>
    </row>
    <row r="110">
      <c r="A110" s="420" t="inlineStr">
        <is>
          <t>Chicago Ventures</t>
        </is>
      </c>
      <c r="B110" s="420" t="inlineStr">
        <is>
          <t>Financial Investor</t>
        </is>
      </c>
      <c r="C110" s="420" t="inlineStr">
        <is>
          <t>Follow Up</t>
        </is>
      </c>
      <c r="D110" s="420" t="inlineStr">
        <is>
          <t>Tier 2</t>
        </is>
      </c>
      <c r="E110" s="420" t="n">
        <v>1</v>
      </c>
      <c r="F110" s="420" t="inlineStr">
        <is>
          <t>Stuart Larkins</t>
        </is>
      </c>
      <c r="G110" s="420" t="inlineStr">
        <is>
          <t>stuart@chicagoventures.com</t>
        </is>
      </c>
      <c r="H110" s="440" t="n">
        <v>45929</v>
      </c>
      <c r="I110" s="440">
        <f>IF(OR(C110="Passed",H110="",ISBLANK(H110)),"",H110+7)</f>
        <v/>
      </c>
      <c r="J110" s="420">
        <f>IF(I110="","",IF(I110&lt;=TODAY(),"DUE",IF(I110&lt;=TODAY()+3,"Next 3 Days","Later")))</f>
        <v/>
      </c>
      <c r="K110" s="420" t="inlineStr">
        <is>
          <t>https://www.linkedin.com/in/stuartlarkins/</t>
        </is>
      </c>
      <c r="L110" s="420" t="inlineStr"/>
      <c r="M110" s="420" t="inlineStr">
        <is>
          <t>12/05/2025</t>
        </is>
      </c>
    </row>
    <row r="111">
      <c r="A111" s="420" t="inlineStr">
        <is>
          <t>Chief Financial Officer</t>
        </is>
      </c>
      <c r="B111" s="420" t="inlineStr">
        <is>
          <t>Financial Investor</t>
        </is>
      </c>
      <c r="C111" s="420" t="inlineStr">
        <is>
          <t>Follow Up</t>
        </is>
      </c>
      <c r="D111" s="420" t="inlineStr">
        <is>
          <t>Tier 2</t>
        </is>
      </c>
      <c r="E111" s="420" t="n">
        <v>2</v>
      </c>
      <c r="F111" s="420" t="inlineStr">
        <is>
          <t>Jeff Bauder; Peter Gombert</t>
        </is>
      </c>
      <c r="G111" s="420" t="inlineStr">
        <is>
          <t>jbauder@longship.us; gombert@seafort.de</t>
        </is>
      </c>
      <c r="H111" s="440" t="n">
        <v>46037</v>
      </c>
      <c r="I111" s="440">
        <f>IF(OR(C111="Passed",H111="",ISBLANK(H111)),"",H111+7)</f>
        <v/>
      </c>
      <c r="J111" s="420">
        <f>IF(I111="","",IF(I111&lt;=TODAY(),"DUE",IF(I111&lt;=TODAY()+3,"Next 3 Days","Later")))</f>
        <v/>
      </c>
      <c r="K111" s="420" t="inlineStr">
        <is>
          <t>linkedin.com/in/jeff-bauder-7a969758 | linkedin.com/in/peter-gombert-b312a74</t>
        </is>
      </c>
      <c r="L111" s="420" t="inlineStr"/>
      <c r="M111" s="420" t="inlineStr"/>
    </row>
    <row r="112">
      <c r="A112" s="420" t="inlineStr">
        <is>
          <t>Chief Information Officer</t>
        </is>
      </c>
      <c r="B112" s="420" t="inlineStr">
        <is>
          <t>Financial Investor</t>
        </is>
      </c>
      <c r="C112" s="420" t="inlineStr">
        <is>
          <t>Follow Up</t>
        </is>
      </c>
      <c r="D112" s="420" t="inlineStr">
        <is>
          <t>Tier 2</t>
        </is>
      </c>
      <c r="E112" s="420" t="n">
        <v>1</v>
      </c>
      <c r="F112" s="420" t="inlineStr">
        <is>
          <t>Maximo Bredfeldt</t>
        </is>
      </c>
      <c r="G112" s="420" t="inlineStr">
        <is>
          <t>mbredfeldt@longship.us</t>
        </is>
      </c>
      <c r="H112" s="440" t="n">
        <v>46037</v>
      </c>
      <c r="I112" s="440">
        <f>IF(OR(C112="Passed",H112="",ISBLANK(H112)),"",H112+7)</f>
        <v/>
      </c>
      <c r="J112" s="420">
        <f>IF(I112="","",IF(I112&lt;=TODAY(),"DUE",IF(I112&lt;=TODAY()+3,"Next 3 Days","Later")))</f>
        <v/>
      </c>
      <c r="K112" s="420" t="inlineStr">
        <is>
          <t>linkedin.com/in/mbredfeldt</t>
        </is>
      </c>
      <c r="L112" s="420" t="inlineStr"/>
      <c r="M112" s="420" t="inlineStr"/>
    </row>
    <row r="113">
      <c r="A113" s="420" t="inlineStr">
        <is>
          <t>Chief Investment Officer of Hy24 / Senior Managing Director at Ardian</t>
        </is>
      </c>
      <c r="B113" s="420" t="inlineStr">
        <is>
          <t>Financial Investor</t>
        </is>
      </c>
      <c r="C113" s="420" t="inlineStr">
        <is>
          <t>Follow Up</t>
        </is>
      </c>
      <c r="D113" s="420" t="inlineStr">
        <is>
          <t>Tier 2</t>
        </is>
      </c>
      <c r="E113" s="420" t="n">
        <v>1</v>
      </c>
      <c r="F113" s="420" t="inlineStr">
        <is>
          <t>Amir Sharifi</t>
        </is>
      </c>
      <c r="G113" s="420" t="inlineStr">
        <is>
          <t>a.sharifi@hy24partners.com</t>
        </is>
      </c>
      <c r="H113" s="440" t="n">
        <v>46010</v>
      </c>
      <c r="I113" s="440">
        <f>IF(OR(C113="Passed",H113="",ISBLANK(H113)),"",H113+7)</f>
        <v/>
      </c>
      <c r="J113" s="420">
        <f>IF(I113="","",IF(I113&lt;=TODAY(),"DUE",IF(I113&lt;=TODAY()+3,"Next 3 Days","Later")))</f>
        <v/>
      </c>
      <c r="K113" s="420" t="inlineStr">
        <is>
          <t>https://www.linkedin.com/in/amirsharifi/</t>
        </is>
      </c>
      <c r="L113" s="420" t="inlineStr"/>
      <c r="M113" s="420" t="inlineStr"/>
    </row>
    <row r="114">
      <c r="A114" s="420" t="inlineStr">
        <is>
          <t>Chingona Ventures</t>
        </is>
      </c>
      <c r="B114" s="420" t="inlineStr">
        <is>
          <t>Financial Investor</t>
        </is>
      </c>
      <c r="C114" s="420" t="inlineStr">
        <is>
          <t>Follow Up</t>
        </is>
      </c>
      <c r="D114" s="420" t="inlineStr">
        <is>
          <t>Tier 2</t>
        </is>
      </c>
      <c r="E114" s="420" t="n">
        <v>1</v>
      </c>
      <c r="F114" s="420" t="inlineStr">
        <is>
          <t>Samara Hernandez</t>
        </is>
      </c>
      <c r="G114" s="420" t="inlineStr">
        <is>
          <t>samara@chingona.ventures</t>
        </is>
      </c>
      <c r="H114" s="440" t="n">
        <v>45929</v>
      </c>
      <c r="I114" s="440">
        <f>IF(OR(C114="Passed",H114="",ISBLANK(H114)),"",H114+7)</f>
        <v/>
      </c>
      <c r="J114" s="420">
        <f>IF(I114="","",IF(I114&lt;=TODAY(),"DUE",IF(I114&lt;=TODAY()+3,"Next 3 Days","Later")))</f>
        <v/>
      </c>
      <c r="K114" s="420" t="inlineStr">
        <is>
          <t>https://www.linkedin.com/in/samaramejia/</t>
        </is>
      </c>
      <c r="L114" s="420" t="inlineStr"/>
      <c r="M114" s="420" t="inlineStr">
        <is>
          <t>12/05/2025</t>
        </is>
      </c>
    </row>
    <row r="115">
      <c r="A115" s="420" t="inlineStr">
        <is>
          <t>Clear Current Capital</t>
        </is>
      </c>
      <c r="B115" s="420" t="inlineStr">
        <is>
          <t>Financial Investor</t>
        </is>
      </c>
      <c r="C115" s="420" t="inlineStr">
        <is>
          <t>Follow Up</t>
        </is>
      </c>
      <c r="D115" s="420" t="inlineStr">
        <is>
          <t>Tier 2</t>
        </is>
      </c>
      <c r="E115" s="420" t="n">
        <v>2</v>
      </c>
      <c r="F115" s="420" t="inlineStr">
        <is>
          <t>Curt Albright; Kim Flores</t>
        </is>
      </c>
      <c r="G115" s="420" t="inlineStr">
        <is>
          <t>curta@clearcurrentcapital.com; kimf@clearcurrentcapital.com</t>
        </is>
      </c>
      <c r="H115" s="440" t="n">
        <v>45924</v>
      </c>
      <c r="I115" s="440">
        <f>IF(OR(C115="Passed",H115="",ISBLANK(H115)),"",H115+7)</f>
        <v/>
      </c>
      <c r="J115" s="420">
        <f>IF(I115="","",IF(I115&lt;=TODAY(),"DUE",IF(I115&lt;=TODAY()+3,"Next 3 Days","Later")))</f>
        <v/>
      </c>
      <c r="K115" s="420" t="inlineStr">
        <is>
          <t>https://www.linkedin.com/in/curt-albright-37694986/ | linkedin.com/in/kimfloresstrategy</t>
        </is>
      </c>
      <c r="L115" s="420" t="inlineStr"/>
      <c r="M115" s="420" t="inlineStr">
        <is>
          <t>12/03/2025</t>
        </is>
      </c>
    </row>
    <row r="116">
      <c r="A116" s="420" t="inlineStr">
        <is>
          <t>Cleveland Avenue</t>
        </is>
      </c>
      <c r="B116" s="420" t="inlineStr">
        <is>
          <t>Financial Investor</t>
        </is>
      </c>
      <c r="C116" s="420" t="inlineStr">
        <is>
          <t>Follow Up</t>
        </is>
      </c>
      <c r="D116" s="420" t="inlineStr">
        <is>
          <t>Tier 2</t>
        </is>
      </c>
      <c r="E116" s="420" t="n">
        <v>1</v>
      </c>
      <c r="F116" s="420" t="inlineStr">
        <is>
          <t>Jason Mercer</t>
        </is>
      </c>
      <c r="G116" s="420" t="inlineStr">
        <is>
          <t>jmercer@clevelandave.com</t>
        </is>
      </c>
      <c r="H116" s="440" t="n">
        <v>45929</v>
      </c>
      <c r="I116" s="440">
        <f>IF(OR(C116="Passed",H116="",ISBLANK(H116)),"",H116+7)</f>
        <v/>
      </c>
      <c r="J116" s="420">
        <f>IF(I116="","",IF(I116&lt;=TODAY(),"DUE",IF(I116&lt;=TODAY()+3,"Next 3 Days","Later")))</f>
        <v/>
      </c>
      <c r="K116" s="420" t="inlineStr">
        <is>
          <t>https://www.linkedin.com/in/jason-mercer-4801b22b/</t>
        </is>
      </c>
      <c r="L116" s="420" t="inlineStr"/>
      <c r="M116" s="420" t="inlineStr">
        <is>
          <t>12/05/2025</t>
        </is>
      </c>
    </row>
    <row r="117">
      <c r="A117" s="420" t="inlineStr">
        <is>
          <t>Co founder and CEO of Hy24, Chairman of FiveT Hydrogen</t>
        </is>
      </c>
      <c r="B117" s="420" t="inlineStr">
        <is>
          <t>Financial Investor</t>
        </is>
      </c>
      <c r="C117" s="420" t="inlineStr">
        <is>
          <t>Follow Up</t>
        </is>
      </c>
      <c r="D117" s="420" t="inlineStr">
        <is>
          <t>Tier 2</t>
        </is>
      </c>
      <c r="E117" s="420" t="n">
        <v>1</v>
      </c>
      <c r="F117" s="420" t="inlineStr">
        <is>
          <t>Pierre-Etienne Franc</t>
        </is>
      </c>
      <c r="G117" s="420" t="inlineStr">
        <is>
          <t>pe.franc@hy24partners.com</t>
        </is>
      </c>
      <c r="H117" s="440" t="n">
        <v>46010</v>
      </c>
      <c r="I117" s="440">
        <f>IF(OR(C117="Passed",H117="",ISBLANK(H117)),"",H117+7)</f>
        <v/>
      </c>
      <c r="J117" s="420">
        <f>IF(I117="","",IF(I117&lt;=TODAY(),"DUE",IF(I117&lt;=TODAY()+3,"Next 3 Days","Later")))</f>
        <v/>
      </c>
      <c r="K117" s="420" t="inlineStr">
        <is>
          <t>https://www.linkedin.com/in/pierre-etienne-franc-63a8941b/</t>
        </is>
      </c>
      <c r="L117" s="420" t="inlineStr"/>
      <c r="M117" s="420" t="inlineStr"/>
    </row>
    <row r="118">
      <c r="A118" s="420" t="inlineStr">
        <is>
          <t>Collinson Howe Venture Partners</t>
        </is>
      </c>
      <c r="B118" s="420" t="inlineStr">
        <is>
          <t>Financial Investor</t>
        </is>
      </c>
      <c r="C118" s="420" t="inlineStr">
        <is>
          <t>Follow Up</t>
        </is>
      </c>
      <c r="D118" s="420" t="inlineStr">
        <is>
          <t>Tier 2</t>
        </is>
      </c>
      <c r="E118" s="420" t="n">
        <v>1</v>
      </c>
      <c r="F118" s="420" t="inlineStr">
        <is>
          <t>Tim Howe</t>
        </is>
      </c>
      <c r="G118" s="420" t="inlineStr">
        <is>
          <t>thowe@chlmedical.com</t>
        </is>
      </c>
      <c r="H118" s="440" t="n">
        <v>45841</v>
      </c>
      <c r="I118" s="440">
        <f>IF(OR(C118="Passed",H118="",ISBLANK(H118)),"",H118+7)</f>
        <v/>
      </c>
      <c r="J118" s="420">
        <f>IF(I118="","",IF(I118&lt;=TODAY(),"DUE",IF(I118&lt;=TODAY()+3,"Next 3 Days","Later")))</f>
        <v/>
      </c>
      <c r="K118" s="420" t="inlineStr">
        <is>
          <t>linkedin.com/in/timothy-f-howe</t>
        </is>
      </c>
      <c r="L118" s="420" t="inlineStr"/>
      <c r="M118" s="420" t="inlineStr">
        <is>
          <t>12/23/2025</t>
        </is>
      </c>
    </row>
    <row r="119">
      <c r="A119" s="420" t="inlineStr">
        <is>
          <t>Comcast Ventures</t>
        </is>
      </c>
      <c r="B119" s="420" t="inlineStr">
        <is>
          <t>Financial Investor</t>
        </is>
      </c>
      <c r="C119" s="420" t="inlineStr">
        <is>
          <t>Follow Up</t>
        </is>
      </c>
      <c r="D119" s="420" t="inlineStr">
        <is>
          <t>Tier 2</t>
        </is>
      </c>
      <c r="E119" s="420" t="n">
        <v>4</v>
      </c>
      <c r="F119" s="420" t="inlineStr">
        <is>
          <t>Allison Goldberg; Marc Silberman; Michelle Chang; Ryan Lee</t>
        </is>
      </c>
      <c r="G119" s="420" t="inlineStr">
        <is>
          <t>allison_goldberg@comcast.com; marc_silberman@comcast.com; michelle_chang@comcast.com; ryan_lee3@comcast.com</t>
        </is>
      </c>
      <c r="H119" s="440" t="n">
        <v>45890</v>
      </c>
      <c r="I119" s="440">
        <f>IF(OR(C119="Passed",H119="",ISBLANK(H119)),"",H119+7)</f>
        <v/>
      </c>
      <c r="J119" s="420">
        <f>IF(I119="","",IF(I119&lt;=TODAY(),"DUE",IF(I119&lt;=TODAY()+3,"Next 3 Days","Later")))</f>
        <v/>
      </c>
      <c r="K119" s="420" t="inlineStr">
        <is>
          <t>https://www.linkedin.com/in/goldbergallison/ | https://www.linkedin.com/in/marcsilberman/</t>
        </is>
      </c>
      <c r="L119" s="420" t="inlineStr"/>
      <c r="M119" s="420" t="inlineStr">
        <is>
          <t>12/29/2025</t>
        </is>
      </c>
    </row>
    <row r="120">
      <c r="A120" s="420" t="inlineStr">
        <is>
          <t>Commonweal Ventures</t>
        </is>
      </c>
      <c r="B120" s="420" t="inlineStr">
        <is>
          <t>Financial Investor</t>
        </is>
      </c>
      <c r="C120" s="420" t="inlineStr">
        <is>
          <t>Follow Up</t>
        </is>
      </c>
      <c r="D120" s="420" t="inlineStr">
        <is>
          <t>Tier 2</t>
        </is>
      </c>
      <c r="E120" s="420" t="n">
        <v>3</v>
      </c>
      <c r="F120" s="420" t="inlineStr">
        <is>
          <t>Nate Loewentheil; Ron Bloom; Zac Geinzer</t>
        </is>
      </c>
      <c r="G120" s="420" t="inlineStr">
        <is>
          <t>nate@commonwealventures.com; ron@commonwealventures.com; zac@commonwealventures.com</t>
        </is>
      </c>
      <c r="H120" s="440" t="n">
        <v>45861</v>
      </c>
      <c r="I120" s="440">
        <f>IF(OR(C120="Passed",H120="",ISBLANK(H120)),"",H120+7)</f>
        <v/>
      </c>
      <c r="J120" s="420">
        <f>IF(I120="","",IF(I120&lt;=TODAY(),"DUE",IF(I120&lt;=TODAY()+3,"Next 3 Days","Later")))</f>
        <v/>
      </c>
      <c r="K120" s="420" t="inlineStr">
        <is>
          <t>https://www.linkedin.com/in/nate-loewentheil/ | linkedin.com/in/ron-bloom-6180145</t>
        </is>
      </c>
      <c r="L120" s="420" t="inlineStr"/>
      <c r="M120" s="420" t="inlineStr">
        <is>
          <t>12/26/2025 | not a fit</t>
        </is>
      </c>
    </row>
    <row r="121">
      <c r="A121" s="420" t="inlineStr">
        <is>
          <t>Community Capital</t>
        </is>
      </c>
      <c r="B121" s="420" t="inlineStr">
        <is>
          <t>Financial Investor</t>
        </is>
      </c>
      <c r="C121" s="420" t="inlineStr">
        <is>
          <t>Follow Up</t>
        </is>
      </c>
      <c r="D121" s="420" t="inlineStr">
        <is>
          <t>Tier 2</t>
        </is>
      </c>
      <c r="E121" s="420" t="n">
        <v>1</v>
      </c>
      <c r="F121" s="420" t="inlineStr">
        <is>
          <t>Greg Shore</t>
        </is>
      </c>
      <c r="G121" s="420" t="inlineStr">
        <is>
          <t>greg@communityct.com</t>
        </is>
      </c>
      <c r="H121" s="440" t="n">
        <v>45841</v>
      </c>
      <c r="I121" s="440">
        <f>IF(OR(C121="Passed",H121="",ISBLANK(H121)),"",H121+7)</f>
        <v/>
      </c>
      <c r="J121" s="420">
        <f>IF(I121="","",IF(I121&lt;=TODAY(),"DUE",IF(I121&lt;=TODAY()+3,"Next 3 Days","Later")))</f>
        <v/>
      </c>
      <c r="K121" s="420" t="inlineStr">
        <is>
          <t>https://www.linkedin.com/in/gregoryshore/</t>
        </is>
      </c>
      <c r="L121" s="420" t="inlineStr"/>
      <c r="M121" s="420" t="inlineStr">
        <is>
          <t>07/03/2025 | 12/22/2025</t>
        </is>
      </c>
    </row>
    <row r="122">
      <c r="A122" s="420" t="inlineStr">
        <is>
          <t>Core Angels</t>
        </is>
      </c>
      <c r="B122" s="420" t="inlineStr">
        <is>
          <t>Financial Investor</t>
        </is>
      </c>
      <c r="C122" s="420" t="inlineStr">
        <is>
          <t>Follow Up</t>
        </is>
      </c>
      <c r="D122" s="420" t="inlineStr">
        <is>
          <t>Tier 2</t>
        </is>
      </c>
      <c r="E122" s="420" t="n">
        <v>5</v>
      </c>
      <c r="F122" s="420" t="inlineStr">
        <is>
          <t>Ela Zohrevandi; Marjorie Ferro; Pedro Bandeira; Rui Falcão; Terry Huang</t>
        </is>
      </c>
      <c r="G122" s="420" t="inlineStr">
        <is>
          <t>ezohrevandi@coreangels.com; mferro@coreangels.com; pbandeira@coreangels.com; rfalcao@coreangels.com; thuang@coreangels.com</t>
        </is>
      </c>
      <c r="H122" s="440" t="n">
        <v>45861</v>
      </c>
      <c r="I122" s="440">
        <f>IF(OR(C122="Passed",H122="",ISBLANK(H122)),"",H122+7)</f>
        <v/>
      </c>
      <c r="J122" s="420">
        <f>IF(I122="","",IF(I122&lt;=TODAY(),"DUE",IF(I122&lt;=TODAY()+3,"Next 3 Days","Later")))</f>
        <v/>
      </c>
      <c r="K122" s="420" t="inlineStr">
        <is>
          <t>https://www.linkedin.com/in/elazohrevandi/ | https://www.linkedin.com/in/marjorie-ferro/</t>
        </is>
      </c>
      <c r="L122" s="420" t="inlineStr"/>
      <c r="M122" s="420" t="inlineStr">
        <is>
          <t>12/26/2025</t>
        </is>
      </c>
    </row>
    <row r="123">
      <c r="A123" s="420" t="inlineStr">
        <is>
          <t>Craft Ventures</t>
        </is>
      </c>
      <c r="B123" s="420" t="inlineStr">
        <is>
          <t>Financial Investor</t>
        </is>
      </c>
      <c r="C123" s="420" t="inlineStr">
        <is>
          <t>Follow Up</t>
        </is>
      </c>
      <c r="D123" s="420" t="inlineStr">
        <is>
          <t>Tier 2</t>
        </is>
      </c>
      <c r="E123" s="420" t="n">
        <v>3</v>
      </c>
      <c r="F123" s="420" t="inlineStr">
        <is>
          <t>David Sacks; Michael Robinson; Mike Marg</t>
        </is>
      </c>
      <c r="G123" s="420" t="inlineStr">
        <is>
          <t>david@craftventures.com; mrobinson@craftventures.com; mike@craftventures.com</t>
        </is>
      </c>
      <c r="H123" s="440" t="n">
        <v>45985</v>
      </c>
      <c r="I123" s="440">
        <f>IF(OR(C123="Passed",H123="",ISBLANK(H123)),"",H123+7)</f>
        <v/>
      </c>
      <c r="J123" s="420">
        <f>IF(I123="","",IF(I123&lt;=TODAY(),"DUE",IF(I123&lt;=TODAY()+3,"Next 3 Days","Later")))</f>
        <v/>
      </c>
      <c r="K123" s="420" t="inlineStr">
        <is>
          <t>https://www.linkedin.com/in/davidoliversacks/ | https://www.linkedin.com/in/michael-robinson-93221659/</t>
        </is>
      </c>
      <c r="L123" s="420" t="inlineStr"/>
      <c r="M123" s="420" t="inlineStr">
        <is>
          <t>01/14/2026</t>
        </is>
      </c>
    </row>
    <row r="124">
      <c r="A124" s="420" t="inlineStr">
        <is>
          <t>Cross Ocean Ventures</t>
        </is>
      </c>
      <c r="B124" s="420" t="inlineStr">
        <is>
          <t>Financial Investor</t>
        </is>
      </c>
      <c r="C124" s="420" t="inlineStr">
        <is>
          <t>Follow Up</t>
        </is>
      </c>
      <c r="D124" s="420" t="inlineStr">
        <is>
          <t>Tier 2</t>
        </is>
      </c>
      <c r="E124" s="420" t="n">
        <v>4</v>
      </c>
      <c r="F124" s="420" t="inlineStr">
        <is>
          <t>Alex Altomare; Milan Saes; Serhat Pala; Zeynep Ilgaz</t>
        </is>
      </c>
      <c r="G124" s="420" t="inlineStr">
        <is>
          <t>alex.altomare@gmail.com; milan@crossoceanfund.com; serhat@crossoceanfund.com; zeynep@crossoceanfund.com</t>
        </is>
      </c>
      <c r="H124" s="440" t="n">
        <v>45835</v>
      </c>
      <c r="I124" s="440">
        <f>IF(OR(C124="Passed",H124="",ISBLANK(H124)),"",H124+7)</f>
        <v/>
      </c>
      <c r="J124" s="420">
        <f>IF(I124="","",IF(I124&lt;=TODAY(),"DUE",IF(I124&lt;=TODAY()+3,"Next 3 Days","Later")))</f>
        <v/>
      </c>
      <c r="K124" s="420" t="inlineStr">
        <is>
          <t>https://www.linkedin.com/in/alexaltomare | https://www.linkedin.com/in/milan-saes/</t>
        </is>
      </c>
      <c r="L124" s="420" t="inlineStr"/>
      <c r="M124" s="420" t="inlineStr">
        <is>
          <t>12/23/2025 | 12/22/2025</t>
        </is>
      </c>
    </row>
    <row r="125">
      <c r="A125" s="420" t="inlineStr">
        <is>
          <t>Crosscut VC</t>
        </is>
      </c>
      <c r="B125" s="420" t="inlineStr">
        <is>
          <t>Financial Investor</t>
        </is>
      </c>
      <c r="C125" s="420" t="inlineStr">
        <is>
          <t>Follow Up</t>
        </is>
      </c>
      <c r="D125" s="420" t="inlineStr">
        <is>
          <t>Tier 2</t>
        </is>
      </c>
      <c r="E125" s="420" t="n">
        <v>3</v>
      </c>
      <c r="F125" s="420" t="inlineStr">
        <is>
          <t>Brett Brewer; Brian Garrett; Rick Smith</t>
        </is>
      </c>
      <c r="G125" s="420" t="inlineStr">
        <is>
          <t>brett@crosscut.vc; brian@crosscut.vc; rick@crosscut.vc</t>
        </is>
      </c>
      <c r="H125" s="440" t="n">
        <v>45972</v>
      </c>
      <c r="I125" s="440">
        <f>IF(OR(C125="Passed",H125="",ISBLANK(H125)),"",H125+7)</f>
        <v/>
      </c>
      <c r="J125" s="420">
        <f>IF(I125="","",IF(I125&lt;=TODAY(),"DUE",IF(I125&lt;=TODAY()+3,"Next 3 Days","Later")))</f>
        <v/>
      </c>
      <c r="K125" s="420" t="inlineStr">
        <is>
          <t>linkedin.com/in/briangarrett1 | https://www.linkedin.com/in/ricksmithvc/</t>
        </is>
      </c>
      <c r="L125" s="420" t="inlineStr"/>
      <c r="M125" s="420" t="inlineStr">
        <is>
          <t>12/05/2025</t>
        </is>
      </c>
    </row>
    <row r="126">
      <c r="A126" s="420" t="inlineStr">
        <is>
          <t>Cultivation Capital</t>
        </is>
      </c>
      <c r="B126" s="420" t="inlineStr">
        <is>
          <t>Financial Investor</t>
        </is>
      </c>
      <c r="C126" s="420" t="inlineStr">
        <is>
          <t>Follow Up</t>
        </is>
      </c>
      <c r="D126" s="420" t="inlineStr">
        <is>
          <t>Tier 2</t>
        </is>
      </c>
      <c r="E126" s="420" t="n">
        <v>1</v>
      </c>
      <c r="F126" s="420" t="inlineStr">
        <is>
          <t>Cliff Holekamp</t>
        </is>
      </c>
      <c r="G126" s="420" t="inlineStr">
        <is>
          <t>cholekamp@cultivationcapital.com</t>
        </is>
      </c>
      <c r="H126" s="440" t="n">
        <v>45929</v>
      </c>
      <c r="I126" s="440">
        <f>IF(OR(C126="Passed",H126="",ISBLANK(H126)),"",H126+7)</f>
        <v/>
      </c>
      <c r="J126" s="420">
        <f>IF(I126="","",IF(I126&lt;=TODAY(),"DUE",IF(I126&lt;=TODAY()+3,"Next 3 Days","Later")))</f>
        <v/>
      </c>
      <c r="K126" s="420" t="inlineStr">
        <is>
          <t>https://www.linkedin.com/in/cliffholekamp/</t>
        </is>
      </c>
      <c r="L126" s="420" t="inlineStr"/>
      <c r="M126" s="420" t="inlineStr">
        <is>
          <t>12/05/2025</t>
        </is>
      </c>
    </row>
    <row r="127">
      <c r="A127" s="420" t="inlineStr">
        <is>
          <t>Cycle Capital</t>
        </is>
      </c>
      <c r="B127" s="420" t="inlineStr">
        <is>
          <t>Financial Investor</t>
        </is>
      </c>
      <c r="C127" s="420" t="inlineStr">
        <is>
          <t>Follow Up</t>
        </is>
      </c>
      <c r="D127" s="420" t="inlineStr">
        <is>
          <t>Tier 2</t>
        </is>
      </c>
      <c r="E127" s="420" t="n">
        <v>1</v>
      </c>
      <c r="F127" s="420" t="inlineStr">
        <is>
          <t>Gerd Goette</t>
        </is>
      </c>
      <c r="G127" s="420" t="inlineStr">
        <is>
          <t>ggoette@cyclecapital.com</t>
        </is>
      </c>
      <c r="H127" s="440" t="n">
        <v>45973</v>
      </c>
      <c r="I127" s="440">
        <f>IF(OR(C127="Passed",H127="",ISBLANK(H127)),"",H127+7)</f>
        <v/>
      </c>
      <c r="J127" s="420">
        <f>IF(I127="","",IF(I127&lt;=TODAY(),"DUE",IF(I127&lt;=TODAY()+3,"Next 3 Days","Later")))</f>
        <v/>
      </c>
      <c r="K127" s="420" t="inlineStr">
        <is>
          <t>https://www.linkedin.com/in/gerd-goette-5167b64/</t>
        </is>
      </c>
      <c r="L127" s="420" t="inlineStr"/>
      <c r="M127" s="420" t="inlineStr"/>
    </row>
    <row r="128">
      <c r="A128" s="420" t="inlineStr">
        <is>
          <t>DCVC Ventures</t>
        </is>
      </c>
      <c r="B128" s="420" t="inlineStr">
        <is>
          <t>Financial Investor</t>
        </is>
      </c>
      <c r="C128" s="420" t="inlineStr">
        <is>
          <t>Follow Up</t>
        </is>
      </c>
      <c r="D128" s="420" t="inlineStr">
        <is>
          <t>Tier 2</t>
        </is>
      </c>
      <c r="E128" s="420" t="n">
        <v>4</v>
      </c>
      <c r="F128" s="420" t="inlineStr">
        <is>
          <t>Ali Tamaseb; John Hamer; Matt Ocko; Zachary Bogue</t>
        </is>
      </c>
      <c r="G128" s="420" t="inlineStr">
        <is>
          <t>ali@dcvc.com; john@dcvc.com; matt@dcvc.com; zack@dcvc.com</t>
        </is>
      </c>
      <c r="H128" s="440" t="n">
        <v>45985</v>
      </c>
      <c r="I128" s="440">
        <f>IF(OR(C128="Passed",H128="",ISBLANK(H128)),"",H128+7)</f>
        <v/>
      </c>
      <c r="J128" s="420">
        <f>IF(I128="","",IF(I128&lt;=TODAY(),"DUE",IF(I128&lt;=TODAY()+3,"Next 3 Days","Later")))</f>
        <v/>
      </c>
      <c r="K128" s="420" t="inlineStr">
        <is>
          <t>https://www.linkedin.com/in/alitamaseb/ | https://www.linkedin.com/in/johnhamer/</t>
        </is>
      </c>
      <c r="L128" s="420" t="inlineStr"/>
      <c r="M128" s="420" t="inlineStr">
        <is>
          <t>12/30/2025</t>
        </is>
      </c>
    </row>
    <row r="129">
      <c r="A129" s="420" t="inlineStr">
        <is>
          <t>Dallas VC</t>
        </is>
      </c>
      <c r="B129" s="420" t="inlineStr">
        <is>
          <t>Financial Investor</t>
        </is>
      </c>
      <c r="C129" s="420" t="inlineStr">
        <is>
          <t>Follow Up</t>
        </is>
      </c>
      <c r="D129" s="420" t="inlineStr">
        <is>
          <t>Tier 2</t>
        </is>
      </c>
      <c r="E129" s="420" t="n">
        <v>3</v>
      </c>
      <c r="F129" s="420" t="inlineStr">
        <is>
          <t>Dayakar Puskoor; Romen Kuloor; Tariq Akbar</t>
        </is>
      </c>
      <c r="G129" s="420" t="inlineStr">
        <is>
          <t>dayakar@dallasvc.com; romen@dallasvc.com; tariq@dallasvc.com</t>
        </is>
      </c>
      <c r="H129" s="440" t="n">
        <v>45973</v>
      </c>
      <c r="I129" s="440">
        <f>IF(OR(C129="Passed",H129="",ISBLANK(H129)),"",H129+7)</f>
        <v/>
      </c>
      <c r="J129" s="420">
        <f>IF(I129="","",IF(I129&lt;=TODAY(),"DUE",IF(I129&lt;=TODAY()+3,"Next 3 Days","Later")))</f>
        <v/>
      </c>
      <c r="K129" s="420" t="inlineStr">
        <is>
          <t>https://www.linkedin.com/in/dayakarp/ | https://www.linkedin.com/in/romen-kuloor/</t>
        </is>
      </c>
      <c r="L129" s="420" t="inlineStr"/>
      <c r="M129" s="420" t="inlineStr">
        <is>
          <t>12/15/2025</t>
        </is>
      </c>
    </row>
    <row r="130">
      <c r="A130" s="420" t="inlineStr">
        <is>
          <t>Dauntless Ventures</t>
        </is>
      </c>
      <c r="B130" s="420" t="inlineStr">
        <is>
          <t>Financial Investor</t>
        </is>
      </c>
      <c r="C130" s="420" t="inlineStr">
        <is>
          <t>Follow Up</t>
        </is>
      </c>
      <c r="D130" s="420" t="inlineStr">
        <is>
          <t>Tier 2</t>
        </is>
      </c>
      <c r="E130" s="420" t="n">
        <v>1</v>
      </c>
      <c r="F130" s="420" t="inlineStr">
        <is>
          <t>Pete Koziol</t>
        </is>
      </c>
      <c r="G130" s="420" t="inlineStr">
        <is>
          <t>pete@dauntlessvc.com</t>
        </is>
      </c>
      <c r="H130" s="440" t="n">
        <v>45922</v>
      </c>
      <c r="I130" s="440">
        <f>IF(OR(C130="Passed",H130="",ISBLANK(H130)),"",H130+7)</f>
        <v/>
      </c>
      <c r="J130" s="420">
        <f>IF(I130="","",IF(I130&lt;=TODAY(),"DUE",IF(I130&lt;=TODAY()+3,"Next 3 Days","Later")))</f>
        <v/>
      </c>
      <c r="K130" s="420" t="inlineStr">
        <is>
          <t>https://breakline.org/pete-koziol-co-founder-of-dauntless-ventures-investing-in-americas-future/</t>
        </is>
      </c>
      <c r="L130" s="420" t="inlineStr"/>
      <c r="M130" s="420" t="inlineStr"/>
    </row>
    <row r="131">
      <c r="A131" s="420" t="inlineStr">
        <is>
          <t>Dcode Capital</t>
        </is>
      </c>
      <c r="B131" s="420" t="inlineStr">
        <is>
          <t>Financial Investor</t>
        </is>
      </c>
      <c r="C131" s="420" t="inlineStr">
        <is>
          <t>Follow Up</t>
        </is>
      </c>
      <c r="D131" s="420" t="inlineStr">
        <is>
          <t>Tier 2</t>
        </is>
      </c>
      <c r="E131" s="420" t="n">
        <v>4</v>
      </c>
      <c r="F131" s="420" t="inlineStr">
        <is>
          <t>Meagan Metzger; Meg Vorland; Rebecca Gevalt; the team</t>
        </is>
      </c>
      <c r="G131" s="420" t="inlineStr">
        <is>
          <t>meagan@dcodecapital.com; meg@dcodecapital.com; rebecca@dcodecapital.com; info@dcodecapital.com</t>
        </is>
      </c>
      <c r="H131" s="440" t="n">
        <v>45835</v>
      </c>
      <c r="I131" s="440">
        <f>IF(OR(C131="Passed",H131="",ISBLANK(H131)),"",H131+7)</f>
        <v/>
      </c>
      <c r="J131" s="420">
        <f>IF(I131="","",IF(I131&lt;=TODAY(),"DUE",IF(I131&lt;=TODAY()+3,"Next 3 Days","Later")))</f>
        <v/>
      </c>
      <c r="K131" s="420" t="inlineStr">
        <is>
          <t>https://www.linkedin.com/in/meaganmetzger/ | https://www.linkedin.com/in/meganvorland/</t>
        </is>
      </c>
      <c r="L131" s="420" t="inlineStr"/>
      <c r="M131" s="420" t="inlineStr">
        <is>
          <t>12/22/2025 | "don't invest in hardware"</t>
        </is>
      </c>
    </row>
    <row r="132">
      <c r="A132" s="420" t="inlineStr">
        <is>
          <t>Decibel Ventures</t>
        </is>
      </c>
      <c r="B132" s="420" t="inlineStr">
        <is>
          <t>Financial Investor</t>
        </is>
      </c>
      <c r="C132" s="420" t="inlineStr">
        <is>
          <t>Follow Up</t>
        </is>
      </c>
      <c r="D132" s="420" t="inlineStr">
        <is>
          <t>Tier 2</t>
        </is>
      </c>
      <c r="E132" s="420" t="n">
        <v>1</v>
      </c>
      <c r="F132" s="420" t="inlineStr">
        <is>
          <t>Jon Sakoda</t>
        </is>
      </c>
      <c r="G132" s="420" t="inlineStr">
        <is>
          <t>jon@decibel.vc</t>
        </is>
      </c>
      <c r="H132" s="440" t="n">
        <v>45929</v>
      </c>
      <c r="I132" s="440">
        <f>IF(OR(C132="Passed",H132="",ISBLANK(H132)),"",H132+7)</f>
        <v/>
      </c>
      <c r="J132" s="420">
        <f>IF(I132="","",IF(I132&lt;=TODAY(),"DUE",IF(I132&lt;=TODAY()+3,"Next 3 Days","Later")))</f>
        <v/>
      </c>
      <c r="K132" s="420" t="inlineStr">
        <is>
          <t>https://www.linkedin.com/in/jonsakoda/</t>
        </is>
      </c>
      <c r="L132" s="420" t="inlineStr"/>
      <c r="M132" s="420" t="inlineStr">
        <is>
          <t>12/05/2025</t>
        </is>
      </c>
    </row>
    <row r="133">
      <c r="A133" s="420" t="inlineStr">
        <is>
          <t>Decisive Point</t>
        </is>
      </c>
      <c r="B133" s="420" t="inlineStr">
        <is>
          <t>Financial Investor</t>
        </is>
      </c>
      <c r="C133" s="420" t="inlineStr">
        <is>
          <t>Follow Up</t>
        </is>
      </c>
      <c r="D133" s="420" t="inlineStr">
        <is>
          <t>Tier 2</t>
        </is>
      </c>
      <c r="E133" s="420" t="n">
        <v>3</v>
      </c>
      <c r="F133" s="420" t="inlineStr">
        <is>
          <t>Andrew Price; Eric Horan; Thomas Hendrix</t>
        </is>
      </c>
      <c r="G133" s="420" t="inlineStr">
        <is>
          <t>info@decisivepoint.com; andrew@decisivepoint.com; eric@decisivepoint.com; tommy@decisivepoint.com</t>
        </is>
      </c>
      <c r="H133" s="440" t="n">
        <v>45922</v>
      </c>
      <c r="I133" s="440">
        <f>IF(OR(C133="Passed",H133="",ISBLANK(H133)),"",H133+7)</f>
        <v/>
      </c>
      <c r="J133" s="420">
        <f>IF(I133="","",IF(I133&lt;=TODAY(),"DUE",IF(I133&lt;=TODAY()+3,"Next 3 Days","Later")))</f>
        <v/>
      </c>
      <c r="K133" s="420" t="inlineStr"/>
      <c r="L133" s="420" t="inlineStr"/>
      <c r="M133" s="420" t="inlineStr"/>
    </row>
    <row r="134">
      <c r="A134" s="420" t="inlineStr">
        <is>
          <t>Detroit Venture Partners</t>
        </is>
      </c>
      <c r="B134" s="420" t="inlineStr">
        <is>
          <t>Financial Investor</t>
        </is>
      </c>
      <c r="C134" s="420" t="inlineStr">
        <is>
          <t>Follow Up</t>
        </is>
      </c>
      <c r="D134" s="420" t="inlineStr">
        <is>
          <t>Tier 2</t>
        </is>
      </c>
      <c r="E134" s="420" t="n">
        <v>1</v>
      </c>
      <c r="F134" s="420" t="inlineStr">
        <is>
          <t>Jake Cohen</t>
        </is>
      </c>
      <c r="G134" s="420" t="inlineStr">
        <is>
          <t>jake@detroit.vc</t>
        </is>
      </c>
      <c r="H134" s="440" t="n">
        <v>45929</v>
      </c>
      <c r="I134" s="440">
        <f>IF(OR(C134="Passed",H134="",ISBLANK(H134)),"",H134+7)</f>
        <v/>
      </c>
      <c r="J134" s="420">
        <f>IF(I134="","",IF(I134&lt;=TODAY(),"DUE",IF(I134&lt;=TODAY()+3,"Next 3 Days","Later")))</f>
        <v/>
      </c>
      <c r="K134" s="420" t="inlineStr">
        <is>
          <t>https://www.linkedin.com/in/jacobdavidcohen/</t>
        </is>
      </c>
      <c r="L134" s="420" t="inlineStr"/>
      <c r="M134" s="420" t="inlineStr">
        <is>
          <t>12/05/2025</t>
        </is>
      </c>
    </row>
    <row r="135">
      <c r="A135" s="420" t="inlineStr">
        <is>
          <t>Differential VC</t>
        </is>
      </c>
      <c r="B135" s="420" t="inlineStr">
        <is>
          <t>Financial Investor</t>
        </is>
      </c>
      <c r="C135" s="420" t="inlineStr">
        <is>
          <t>Follow Up</t>
        </is>
      </c>
      <c r="D135" s="420" t="inlineStr">
        <is>
          <t>Tier 2</t>
        </is>
      </c>
      <c r="E135" s="420" t="n">
        <v>3</v>
      </c>
      <c r="F135" s="420" t="inlineStr">
        <is>
          <t>David Magerman; Jeremy Kirsch; Nick Adams</t>
        </is>
      </c>
      <c r="G135" s="420" t="inlineStr">
        <is>
          <t>david@differential.vc; jeremy@differential.vc; nick@differential.vc</t>
        </is>
      </c>
      <c r="H135" s="440" t="n">
        <v>45835</v>
      </c>
      <c r="I135" s="440">
        <f>IF(OR(C135="Passed",H135="",ISBLANK(H135)),"",H135+7)</f>
        <v/>
      </c>
      <c r="J135" s="420">
        <f>IF(I135="","",IF(I135&lt;=TODAY(),"DUE",IF(I135&lt;=TODAY()+3,"Next 3 Days","Later")))</f>
        <v/>
      </c>
      <c r="K135" s="420" t="inlineStr">
        <is>
          <t>https://www.linkedin.com/in/david-magerman-954b25174/ | https://www.linkedin.com/in/jeremy-kirsch-73b15a/</t>
        </is>
      </c>
      <c r="L135" s="420" t="inlineStr"/>
      <c r="M135" s="420" t="inlineStr">
        <is>
          <t>12/22/2025</t>
        </is>
      </c>
    </row>
    <row r="136">
      <c r="A136" s="420" t="inlineStr">
        <is>
          <t>Digital DX Ventures</t>
        </is>
      </c>
      <c r="B136" s="420" t="inlineStr">
        <is>
          <t>Financial Investor</t>
        </is>
      </c>
      <c r="C136" s="420" t="inlineStr">
        <is>
          <t>Follow Up</t>
        </is>
      </c>
      <c r="D136" s="420" t="inlineStr">
        <is>
          <t>Tier 2</t>
        </is>
      </c>
      <c r="E136" s="420" t="n">
        <v>6</v>
      </c>
      <c r="F136" s="420" t="inlineStr">
        <is>
          <t>David Kirk; Eric Weiss; Maureen Downey; Melody Po; Michele Colucci</t>
        </is>
      </c>
      <c r="G136" s="420" t="inlineStr">
        <is>
          <t>david@digitaldx.com; eric@digitaldx.com; maureen@digitaldx.com; melody@digitaldx.com; michele@digitaldx.com</t>
        </is>
      </c>
      <c r="H136" s="440" t="n">
        <v>45878</v>
      </c>
      <c r="I136" s="440">
        <f>IF(OR(C136="Passed",H136="",ISBLANK(H136)),"",H136+7)</f>
        <v/>
      </c>
      <c r="J136" s="420">
        <f>IF(I136="","",IF(I136&lt;=TODAY(),"DUE",IF(I136&lt;=TODAY()+3,"Next 3 Days","Later")))</f>
        <v/>
      </c>
      <c r="K136" s="420" t="inlineStr">
        <is>
          <t>linkedin.com/in/david-kirk-057a867b | https://www.linkedin.com/in/ericweissmd/</t>
        </is>
      </c>
      <c r="L136" s="420" t="inlineStr"/>
      <c r="M136" s="420" t="inlineStr"/>
    </row>
    <row r="137">
      <c r="A137" s="420" t="inlineStr">
        <is>
          <t>Dipalo Ventures</t>
        </is>
      </c>
      <c r="B137" s="420" t="inlineStr">
        <is>
          <t>Financial Investor</t>
        </is>
      </c>
      <c r="C137" s="420" t="inlineStr">
        <is>
          <t>Follow Up</t>
        </is>
      </c>
      <c r="D137" s="420" t="inlineStr">
        <is>
          <t>Tier 2</t>
        </is>
      </c>
      <c r="E137" s="420" t="n">
        <v>1</v>
      </c>
      <c r="F137" s="420" t="inlineStr">
        <is>
          <t>Rafiq Ahmed</t>
        </is>
      </c>
      <c r="G137" s="420" t="inlineStr">
        <is>
          <t>rafiq@dipaloventures.com</t>
        </is>
      </c>
      <c r="H137" s="440" t="n">
        <v>45929</v>
      </c>
      <c r="I137" s="440">
        <f>IF(OR(C137="Passed",H137="",ISBLANK(H137)),"",H137+7)</f>
        <v/>
      </c>
      <c r="J137" s="420">
        <f>IF(I137="","",IF(I137&lt;=TODAY(),"DUE",IF(I137&lt;=TODAY()+3,"Next 3 Days","Later")))</f>
        <v/>
      </c>
      <c r="K137" s="420" t="inlineStr">
        <is>
          <t>https://www.linkedin.com/in/ahmedrafiq/</t>
        </is>
      </c>
      <c r="L137" s="420" t="inlineStr"/>
      <c r="M137" s="420" t="inlineStr">
        <is>
          <t>12/05/2025</t>
        </is>
      </c>
    </row>
    <row r="138">
      <c r="A138" s="420" t="inlineStr">
        <is>
          <t>Draper Associates</t>
        </is>
      </c>
      <c r="B138" s="420" t="inlineStr">
        <is>
          <t>Financial Investor</t>
        </is>
      </c>
      <c r="C138" s="420" t="inlineStr">
        <is>
          <t>Follow Up</t>
        </is>
      </c>
      <c r="D138" s="420" t="inlineStr">
        <is>
          <t>Tier 2</t>
        </is>
      </c>
      <c r="E138" s="420" t="n">
        <v>5</v>
      </c>
      <c r="F138" s="420" t="inlineStr">
        <is>
          <t>Andy Tang; James Walker; Maxime Bucaille; Tim Draper; Tyrone Lee</t>
        </is>
      </c>
      <c r="G138" s="420" t="inlineStr">
        <is>
          <t>andy@draper.vc; james@draper.vc; maxime@draper.vc; tim@draper.vc; tyrone@draper.vc</t>
        </is>
      </c>
      <c r="H138" s="440" t="n">
        <v>45972</v>
      </c>
      <c r="I138" s="440">
        <f>IF(OR(C138="Passed",H138="",ISBLANK(H138)),"",H138+7)</f>
        <v/>
      </c>
      <c r="J138" s="420">
        <f>IF(I138="","",IF(I138&lt;=TODAY(),"DUE",IF(I138&lt;=TODAY()+3,"Next 3 Days","Later")))</f>
        <v/>
      </c>
      <c r="K138" s="420" t="inlineStr">
        <is>
          <t>https://www.linkedin.com/in/andytangvc/ | linkedin.com/in/jamespatrickwalker</t>
        </is>
      </c>
      <c r="L138" s="420" t="inlineStr"/>
      <c r="M138" s="420" t="inlineStr">
        <is>
          <t>12/23/2025 | you can email a pitch to draper: plans@draper.vc | 12/05/2025</t>
        </is>
      </c>
    </row>
    <row r="139">
      <c r="A139" s="420" t="inlineStr">
        <is>
          <t>Draper Dragon</t>
        </is>
      </c>
      <c r="B139" s="420" t="inlineStr">
        <is>
          <t>Financial Investor</t>
        </is>
      </c>
      <c r="C139" s="420" t="inlineStr">
        <is>
          <t>Follow Up</t>
        </is>
      </c>
      <c r="D139" s="420" t="inlineStr">
        <is>
          <t>Tier 2</t>
        </is>
      </c>
      <c r="E139" s="420" t="n">
        <v>7</v>
      </c>
      <c r="F139" s="420" t="inlineStr">
        <is>
          <t>Frank Miaw; Hiro Kakiya; James Cantre; Kavan Canekeratne; Larry Li</t>
        </is>
      </c>
      <c r="G139" s="420" t="inlineStr">
        <is>
          <t>frank@draperdragon.com; hiro@draperdragon.com; james@draperdragon.com; kavan@draperdragon.com; larry@draperdragon.com</t>
        </is>
      </c>
      <c r="H139" s="440" t="n">
        <v>45835</v>
      </c>
      <c r="I139" s="440">
        <f>IF(OR(C139="Passed",H139="",ISBLANK(H139)),"",H139+7)</f>
        <v/>
      </c>
      <c r="J139" s="420">
        <f>IF(I139="","",IF(I139&lt;=TODAY(),"DUE",IF(I139&lt;=TODAY()+3,"Next 3 Days","Later")))</f>
        <v/>
      </c>
      <c r="K139" s="420" t="inlineStr">
        <is>
          <t>https://www.linkedin.com/in/s-frank-miaw-550a253/ | http://linkedin.com/in/james-r-cantre/</t>
        </is>
      </c>
      <c r="L139" s="420" t="inlineStr"/>
      <c r="M139" s="420" t="inlineStr">
        <is>
          <t>12/23/2025 | online application: https://draperdragon.com/contact</t>
        </is>
      </c>
    </row>
    <row r="140">
      <c r="A140" s="420" t="inlineStr">
        <is>
          <t>Dual Use Ventures</t>
        </is>
      </c>
      <c r="B140" s="420" t="inlineStr">
        <is>
          <t>Financial Investor</t>
        </is>
      </c>
      <c r="C140" s="420" t="inlineStr">
        <is>
          <t>Follow Up</t>
        </is>
      </c>
      <c r="D140" s="420" t="inlineStr">
        <is>
          <t>Tier 2</t>
        </is>
      </c>
      <c r="E140" s="420" t="n">
        <v>1</v>
      </c>
      <c r="F140" s="420" t="inlineStr">
        <is>
          <t>Rahul Singh - Kipton intro</t>
        </is>
      </c>
      <c r="G140" s="420" t="inlineStr">
        <is>
          <t>rsingh@dualuseventures.com</t>
        </is>
      </c>
      <c r="H140" s="440" t="n">
        <v>45985</v>
      </c>
      <c r="I140" s="440">
        <f>IF(OR(C140="Passed",H140="",ISBLANK(H140)),"",H140+7)</f>
        <v/>
      </c>
      <c r="J140" s="420">
        <f>IF(I140="","",IF(I140&lt;=TODAY(),"DUE",IF(I140&lt;=TODAY()+3,"Next 3 Days","Later")))</f>
        <v/>
      </c>
      <c r="K140" s="420" t="inlineStr">
        <is>
          <t>https://www.linkedin.com/in/rahulasingh/</t>
        </is>
      </c>
      <c r="L140" s="420" t="inlineStr"/>
      <c r="M140" s="420" t="inlineStr">
        <is>
          <t>12/24/2025 | sent on pager 7/23</t>
        </is>
      </c>
    </row>
    <row r="141">
      <c r="A141" s="420" t="inlineStr">
        <is>
          <t>Dundee Venture Capital</t>
        </is>
      </c>
      <c r="B141" s="420" t="inlineStr">
        <is>
          <t>Financial Investor</t>
        </is>
      </c>
      <c r="C141" s="420" t="inlineStr">
        <is>
          <t>Follow Up</t>
        </is>
      </c>
      <c r="D141" s="420" t="inlineStr">
        <is>
          <t>Tier 2</t>
        </is>
      </c>
      <c r="E141" s="420" t="n">
        <v>1</v>
      </c>
      <c r="F141" s="420" t="inlineStr">
        <is>
          <t>Catherine Williams</t>
        </is>
      </c>
      <c r="G141" s="420" t="inlineStr">
        <is>
          <t>catherine@dundeevc.com</t>
        </is>
      </c>
      <c r="H141" s="440" t="n">
        <v>45929</v>
      </c>
      <c r="I141" s="440">
        <f>IF(OR(C141="Passed",H141="",ISBLANK(H141)),"",H141+7)</f>
        <v/>
      </c>
      <c r="J141" s="420">
        <f>IF(I141="","",IF(I141&lt;=TODAY(),"DUE",IF(I141&lt;=TODAY()+3,"Next 3 Days","Later")))</f>
        <v/>
      </c>
      <c r="K141" s="420" t="inlineStr">
        <is>
          <t>https://www.linkedin.com/in/cwilliams0801/</t>
        </is>
      </c>
      <c r="L141" s="420" t="inlineStr"/>
      <c r="M141" s="420" t="inlineStr">
        <is>
          <t>12/05/2025</t>
        </is>
      </c>
    </row>
    <row r="142">
      <c r="A142" s="420" t="inlineStr">
        <is>
          <t>Dynabrand Ventures</t>
        </is>
      </c>
      <c r="B142" s="420" t="inlineStr">
        <is>
          <t>Financial Investor</t>
        </is>
      </c>
      <c r="C142" s="420" t="inlineStr">
        <is>
          <t>Follow Up</t>
        </is>
      </c>
      <c r="D142" s="420" t="inlineStr">
        <is>
          <t>Tier 2</t>
        </is>
      </c>
      <c r="E142" s="420" t="n">
        <v>1</v>
      </c>
      <c r="F142" s="420" t="inlineStr">
        <is>
          <t>Carla Stanmyre McDonald</t>
        </is>
      </c>
      <c r="G142" s="420" t="inlineStr">
        <is>
          <t>carlamcdonald@dynabrand.com</t>
        </is>
      </c>
      <c r="H142" s="440" t="n">
        <v>45841</v>
      </c>
      <c r="I142" s="440">
        <f>IF(OR(C142="Passed",H142="",ISBLANK(H142)),"",H142+7)</f>
        <v/>
      </c>
      <c r="J142" s="420">
        <f>IF(I142="","",IF(I142&lt;=TODAY(),"DUE",IF(I142&lt;=TODAY()+3,"Next 3 Days","Later")))</f>
        <v/>
      </c>
      <c r="K142" s="420" t="inlineStr">
        <is>
          <t>https://www.linkedin.com/in/carlastanmyremcdonald/</t>
        </is>
      </c>
      <c r="L142" s="420" t="inlineStr"/>
      <c r="M142" s="420" t="inlineStr">
        <is>
          <t>contact form on website | I submitted an email through the website as well on 6/5</t>
        </is>
      </c>
    </row>
    <row r="143">
      <c r="A143" s="420" t="inlineStr">
        <is>
          <t>Earl Grey Capital</t>
        </is>
      </c>
      <c r="B143" s="420" t="inlineStr">
        <is>
          <t>Financial Investor</t>
        </is>
      </c>
      <c r="C143" s="420" t="inlineStr">
        <is>
          <t>Follow Up</t>
        </is>
      </c>
      <c r="D143" s="420" t="inlineStr">
        <is>
          <t>Tier 2</t>
        </is>
      </c>
      <c r="E143" s="420" t="n">
        <v>3</v>
      </c>
      <c r="F143" s="420" t="inlineStr">
        <is>
          <t>Amit Vasudev; Matt Sornson; whole team</t>
        </is>
      </c>
      <c r="G143" s="420" t="inlineStr">
        <is>
          <t>avasudev@gmail.com; matt@earlgrey.capital; team@earlgrey.capital</t>
        </is>
      </c>
      <c r="H143" s="440" t="n">
        <v>45841</v>
      </c>
      <c r="I143" s="440">
        <f>IF(OR(C143="Passed",H143="",ISBLANK(H143)),"",H143+7)</f>
        <v/>
      </c>
      <c r="J143" s="420">
        <f>IF(I143="","",IF(I143&lt;=TODAY(),"DUE",IF(I143&lt;=TODAY()+3,"Next 3 Days","Later")))</f>
        <v/>
      </c>
      <c r="K143" s="420" t="inlineStr">
        <is>
          <t>https://www.linkedin.com/in/amitpvasudev/ | https://www.linkedin.com/in/mattsornson/</t>
        </is>
      </c>
      <c r="L143" s="420" t="inlineStr"/>
      <c r="M143" s="420" t="inlineStr"/>
    </row>
    <row r="144">
      <c r="A144" s="420" t="inlineStr">
        <is>
          <t>Earthshot Ventures</t>
        </is>
      </c>
      <c r="B144" s="420" t="inlineStr">
        <is>
          <t>Financial Investor</t>
        </is>
      </c>
      <c r="C144" s="420" t="inlineStr">
        <is>
          <t>Follow Up</t>
        </is>
      </c>
      <c r="D144" s="420" t="inlineStr">
        <is>
          <t>Tier 2</t>
        </is>
      </c>
      <c r="E144" s="420" t="n">
        <v>1</v>
      </c>
      <c r="F144" s="420" t="inlineStr">
        <is>
          <t>Ramsay Siegal</t>
        </is>
      </c>
      <c r="G144" s="420" t="inlineStr">
        <is>
          <t>ramsay@earthshot.vc</t>
        </is>
      </c>
      <c r="H144" s="440" t="n">
        <v>46036</v>
      </c>
      <c r="I144" s="440">
        <f>IF(OR(C144="Passed",H144="",ISBLANK(H144)),"",H144+7)</f>
        <v/>
      </c>
      <c r="J144" s="420">
        <f>IF(I144="","",IF(I144&lt;=TODAY(),"DUE",IF(I144&lt;=TODAY()+3,"Next 3 Days","Later")))</f>
        <v/>
      </c>
      <c r="K144" s="420" t="inlineStr">
        <is>
          <t>https://www.linkedin.com/in/ramsaysiegal/</t>
        </is>
      </c>
      <c r="L144" s="420" t="inlineStr"/>
      <c r="M144" s="420" t="inlineStr"/>
    </row>
    <row r="145">
      <c r="A145" s="420" t="inlineStr">
        <is>
          <t>Eclipse Ventures</t>
        </is>
      </c>
      <c r="B145" s="420" t="inlineStr">
        <is>
          <t>Financial Investor</t>
        </is>
      </c>
      <c r="C145" s="420" t="inlineStr">
        <is>
          <t>Follow Up</t>
        </is>
      </c>
      <c r="D145" s="420" t="inlineStr">
        <is>
          <t>Tier 2</t>
        </is>
      </c>
      <c r="E145" s="420" t="n">
        <v>5</v>
      </c>
      <c r="F145" s="420" t="inlineStr">
        <is>
          <t>Aidan Madigan-Curtis; Justin Butler; Lior Susan; Seth Winterroth; Charly Mwangi</t>
        </is>
      </c>
      <c r="G145" s="420" t="inlineStr">
        <is>
          <t>aidan@eclipse.vc; justin@eclipse.vc; lior@eclipse.vc; seth@eclipse.vc; charly@eclipse.vc</t>
        </is>
      </c>
      <c r="H145" s="440" t="n">
        <v>45972</v>
      </c>
      <c r="I145" s="440">
        <f>IF(OR(C145="Passed",H145="",ISBLANK(H145)),"",H145+7)</f>
        <v/>
      </c>
      <c r="J145" s="420">
        <f>IF(I145="","",IF(I145&lt;=TODAY(),"DUE",IF(I145&lt;=TODAY()+3,"Next 3 Days","Later")))</f>
        <v/>
      </c>
      <c r="K145" s="420" t="inlineStr">
        <is>
          <t>https://www.linkedin.com/in/aidan-madigan-curtis | https://www.linkedin.com/in/justinwbutler/</t>
        </is>
      </c>
      <c r="L145" s="420" t="inlineStr"/>
      <c r="M145" s="420" t="inlineStr">
        <is>
          <t>12/05/2025 | sent one pager 9/11 | not a fit right now</t>
        </is>
      </c>
    </row>
    <row r="146">
      <c r="A146" s="420" t="inlineStr">
        <is>
          <t>Embedded Ventures</t>
        </is>
      </c>
      <c r="B146" s="420" t="inlineStr">
        <is>
          <t>Financial Investor</t>
        </is>
      </c>
      <c r="C146" s="420" t="inlineStr">
        <is>
          <t>Follow Up</t>
        </is>
      </c>
      <c r="D146" s="420" t="inlineStr">
        <is>
          <t>Tier 2</t>
        </is>
      </c>
      <c r="E146" s="420" t="n">
        <v>5</v>
      </c>
      <c r="F146" s="420" t="inlineStr">
        <is>
          <t>Bill Cramsie; Farah Ali; Jenna Bryant; Jordan Noone; Vonni Williams</t>
        </is>
      </c>
      <c r="G146" s="420" t="inlineStr">
        <is>
          <t>william@embedded.ventures; farah@embedded.ventures; jenna@embedded.ventures; jordan@embedded.ventures; vonni@embedded.ventures</t>
        </is>
      </c>
      <c r="H146" s="440" t="n">
        <v>45994</v>
      </c>
      <c r="I146" s="440">
        <f>IF(OR(C146="Passed",H146="",ISBLANK(H146)),"",H146+7)</f>
        <v/>
      </c>
      <c r="J146" s="420">
        <f>IF(I146="","",IF(I146&lt;=TODAY(),"DUE",IF(I146&lt;=TODAY()+3,"Next 3 Days","Later")))</f>
        <v/>
      </c>
      <c r="K146" s="420" t="inlineStr">
        <is>
          <t>https://www.linkedin.com/in/williamcramsie/ | https://www.linkedin.com/in/farahmali/</t>
        </is>
      </c>
      <c r="L146" s="420" t="inlineStr"/>
      <c r="M146" s="420" t="inlineStr">
        <is>
          <t>12/30/2025</t>
        </is>
      </c>
    </row>
    <row r="147">
      <c r="A147" s="420" t="inlineStr">
        <is>
          <t>Enlightenment Capital</t>
        </is>
      </c>
      <c r="B147" s="420" t="inlineStr">
        <is>
          <t>Financial Investor</t>
        </is>
      </c>
      <c r="C147" s="420" t="inlineStr">
        <is>
          <t>Follow Up</t>
        </is>
      </c>
      <c r="D147" s="420" t="inlineStr">
        <is>
          <t>Tier 2</t>
        </is>
      </c>
      <c r="E147" s="420" t="n">
        <v>3</v>
      </c>
      <c r="F147" s="420" t="inlineStr">
        <is>
          <t>Devin Talbott; Jeff Guffey; Thomas Young</t>
        </is>
      </c>
      <c r="G147" s="420" t="inlineStr">
        <is>
          <t>dltalbott@enlightenment-cap.com; jsguffey@enlightenment-cap.com; tbyoung@enlightenment-cap.com</t>
        </is>
      </c>
      <c r="H147" s="440" t="n">
        <v>45986</v>
      </c>
      <c r="I147" s="440">
        <f>IF(OR(C147="Passed",H147="",ISBLANK(H147)),"",H147+7)</f>
        <v/>
      </c>
      <c r="J147" s="420">
        <f>IF(I147="","",IF(I147&lt;=TODAY(),"DUE",IF(I147&lt;=TODAY()+3,"Next 3 Days","Later")))</f>
        <v/>
      </c>
      <c r="K147" s="420" t="inlineStr">
        <is>
          <t>https://www.linkedin.com/in/devin-talbott-444711/ | https://www.linkedin.com/in/jeff-guffey-43aa6a52/</t>
        </is>
      </c>
      <c r="L147" s="420" t="inlineStr"/>
      <c r="M147" s="420" t="inlineStr">
        <is>
          <t>01/14/2026 | asked for one pager / 1/14 follow up</t>
        </is>
      </c>
    </row>
    <row r="148">
      <c r="A148" s="420" t="inlineStr">
        <is>
          <t>Eunike Ventures</t>
        </is>
      </c>
      <c r="B148" s="420" t="inlineStr">
        <is>
          <t>Financial Investor</t>
        </is>
      </c>
      <c r="C148" s="420" t="inlineStr">
        <is>
          <t>Follow Up</t>
        </is>
      </c>
      <c r="D148" s="420" t="inlineStr">
        <is>
          <t>Tier 2</t>
        </is>
      </c>
      <c r="E148" s="420" t="n">
        <v>3</v>
      </c>
      <c r="F148" s="420" t="inlineStr">
        <is>
          <t>Amy Henry; Thomas Henry; William Frazier</t>
        </is>
      </c>
      <c r="G148" s="420" t="inlineStr">
        <is>
          <t>amy.henry@eunikeventures.com; thomas.henry@eunikeventures.com; william.fraizer@eunikeventures.com; info@eunikeventures.com</t>
        </is>
      </c>
      <c r="H148" s="440" t="n">
        <v>45841</v>
      </c>
      <c r="I148" s="440">
        <f>IF(OR(C148="Passed",H148="",ISBLANK(H148)),"",H148+7)</f>
        <v/>
      </c>
      <c r="J148" s="420">
        <f>IF(I148="","",IF(I148&lt;=TODAY(),"DUE",IF(I148&lt;=TODAY()+3,"Next 3 Days","Later")))</f>
        <v/>
      </c>
      <c r="K148" s="420" t="inlineStr">
        <is>
          <t>https://www.linkedin.com/in/amyhenry/ | linkedin.com/in/thomasbhenry</t>
        </is>
      </c>
      <c r="L148" s="420" t="inlineStr"/>
      <c r="M148" s="420" t="inlineStr">
        <is>
          <t>12/23/2025 | online application: https://www.eunikeventures.com/application</t>
        </is>
      </c>
    </row>
    <row r="149">
      <c r="A149" s="420" t="inlineStr">
        <is>
          <t>Evolito</t>
        </is>
      </c>
      <c r="B149" s="420" t="inlineStr">
        <is>
          <t>Financial Investor</t>
        </is>
      </c>
      <c r="C149" s="420" t="inlineStr">
        <is>
          <t>Follow Up</t>
        </is>
      </c>
      <c r="D149" s="420" t="inlineStr">
        <is>
          <t>Tier 2</t>
        </is>
      </c>
      <c r="E149" s="420" t="n">
        <v>1</v>
      </c>
      <c r="F149" s="420" t="inlineStr">
        <is>
          <t>Mukesh Patel</t>
        </is>
      </c>
      <c r="G149" s="420" t="inlineStr">
        <is>
          <t>mukesh.patel@evolito.aero</t>
        </is>
      </c>
      <c r="H149" s="440" t="n">
        <v>45841</v>
      </c>
      <c r="I149" s="440">
        <f>IF(OR(C149="Passed",H149="",ISBLANK(H149)),"",H149+7)</f>
        <v/>
      </c>
      <c r="J149" s="420">
        <f>IF(I149="","",IF(I149&lt;=TODAY(),"DUE",IF(I149&lt;=TODAY()+3,"Next 3 Days","Later")))</f>
        <v/>
      </c>
      <c r="K149" s="420" t="inlineStr">
        <is>
          <t>https://www.linkedin.com/in/mukesh--patel/</t>
        </is>
      </c>
      <c r="L149" s="420" t="inlineStr"/>
      <c r="M149" s="420" t="inlineStr"/>
    </row>
    <row r="150">
      <c r="A150" s="420" t="inlineStr">
        <is>
          <t>Feld Ventures</t>
        </is>
      </c>
      <c r="B150" s="420" t="inlineStr">
        <is>
          <t>Financial Investor</t>
        </is>
      </c>
      <c r="C150" s="420" t="inlineStr">
        <is>
          <t>Follow Up</t>
        </is>
      </c>
      <c r="D150" s="420" t="inlineStr">
        <is>
          <t>Tier 2</t>
        </is>
      </c>
      <c r="E150" s="420" t="n">
        <v>3</v>
      </c>
      <c r="F150" s="420" t="inlineStr">
        <is>
          <t>Adam Liposky; John Lema; Shane Feldberg</t>
        </is>
      </c>
      <c r="G150" s="420" t="inlineStr">
        <is>
          <t>adam@feldventures.com; john@feldventures.com; shane@feldventures.com</t>
        </is>
      </c>
      <c r="H150" s="440" t="n">
        <v>45861</v>
      </c>
      <c r="I150" s="440">
        <f>IF(OR(C150="Passed",H150="",ISBLANK(H150)),"",H150+7)</f>
        <v/>
      </c>
      <c r="J150" s="420">
        <f>IF(I150="","",IF(I150&lt;=TODAY(),"DUE",IF(I150&lt;=TODAY()+3,"Next 3 Days","Later")))</f>
        <v/>
      </c>
      <c r="K150" s="420" t="inlineStr">
        <is>
          <t>linkedin.com/in/adamliposky | linkedin.com/in/johnlema</t>
        </is>
      </c>
      <c r="L150" s="420" t="inlineStr"/>
      <c r="M150" s="420" t="inlineStr">
        <is>
          <t>12/26/2025 | online application: https://feldventures.com/contact-us/</t>
        </is>
      </c>
    </row>
    <row r="151">
      <c r="A151" s="420" t="inlineStr">
        <is>
          <t>Felicis Ventures</t>
        </is>
      </c>
      <c r="B151" s="420" t="inlineStr">
        <is>
          <t>Financial Investor</t>
        </is>
      </c>
      <c r="C151" s="420" t="inlineStr">
        <is>
          <t>Follow Up</t>
        </is>
      </c>
      <c r="D151" s="420" t="inlineStr">
        <is>
          <t>Tier 2</t>
        </is>
      </c>
      <c r="E151" s="420" t="n">
        <v>4</v>
      </c>
      <c r="F151" s="420" t="inlineStr">
        <is>
          <t>Astasia Myers; Aydin Senkut; Nancy Wang; Viviana Faga</t>
        </is>
      </c>
      <c r="G151" s="420" t="inlineStr">
        <is>
          <t>astasia@felicis.com; aydin@felicis.com; nancy@felicis.com; viviana@felicis.com</t>
        </is>
      </c>
      <c r="H151" s="440" t="n">
        <v>46036</v>
      </c>
      <c r="I151" s="440">
        <f>IF(OR(C151="Passed",H151="",ISBLANK(H151)),"",H151+7)</f>
        <v/>
      </c>
      <c r="J151" s="420">
        <f>IF(I151="","",IF(I151&lt;=TODAY(),"DUE",IF(I151&lt;=TODAY()+3,"Next 3 Days","Later")))</f>
        <v/>
      </c>
      <c r="K151" s="420" t="inlineStr">
        <is>
          <t>https://www.linkedin.com/in/astasiamyers/ | https://www.linkedin.com/in/aydins/</t>
        </is>
      </c>
      <c r="L151" s="420" t="inlineStr"/>
      <c r="M151" s="420" t="inlineStr"/>
    </row>
    <row r="152">
      <c r="A152" s="420" t="inlineStr">
        <is>
          <t>Fine Structure Ventures</t>
        </is>
      </c>
      <c r="B152" s="420" t="inlineStr">
        <is>
          <t>Financial Investor</t>
        </is>
      </c>
      <c r="C152" s="420" t="inlineStr">
        <is>
          <t>Follow Up</t>
        </is>
      </c>
      <c r="D152" s="420" t="inlineStr">
        <is>
          <t>Tier 2</t>
        </is>
      </c>
      <c r="E152" s="420" t="n">
        <v>3</v>
      </c>
      <c r="F152" s="420" t="inlineStr">
        <is>
          <t>David Needell; Jennifer Uhrig; Shyam Kamadolli</t>
        </is>
      </c>
      <c r="G152" s="420" t="inlineStr">
        <is>
          <t>david@finestructure.vc; jennifer@finestructure.vc; shyam@finestructure.vc</t>
        </is>
      </c>
      <c r="H152" s="440" t="n">
        <v>45841</v>
      </c>
      <c r="I152" s="440">
        <f>IF(OR(C152="Passed",H152="",ISBLANK(H152)),"",H152+7)</f>
        <v/>
      </c>
      <c r="J152" s="420">
        <f>IF(I152="","",IF(I152&lt;=TODAY(),"DUE",IF(I152&lt;=TODAY()+3,"Next 3 Days","Later")))</f>
        <v/>
      </c>
      <c r="K152" s="420" t="inlineStr">
        <is>
          <t>https://www.linkedin.com/in/davidrneedell/ | https://www.linkedin.com/in/jennifer-uhrig-3b876812/</t>
        </is>
      </c>
      <c r="L152" s="420" t="inlineStr"/>
      <c r="M152" s="420" t="inlineStr">
        <is>
          <t>12/23/2025</t>
        </is>
      </c>
    </row>
    <row r="153">
      <c r="A153" s="420" t="inlineStr">
        <is>
          <t>First Bight Ventures</t>
        </is>
      </c>
      <c r="B153" s="420" t="inlineStr">
        <is>
          <t>Financial Investor</t>
        </is>
      </c>
      <c r="C153" s="420" t="inlineStr">
        <is>
          <t>Follow Up</t>
        </is>
      </c>
      <c r="D153" s="420" t="inlineStr">
        <is>
          <t>Tier 2</t>
        </is>
      </c>
      <c r="E153" s="420" t="n">
        <v>1</v>
      </c>
      <c r="F153" s="420" t="inlineStr">
        <is>
          <t>Veronica Wu</t>
        </is>
      </c>
      <c r="G153" s="420" t="inlineStr">
        <is>
          <t>veronica@firstbight.com</t>
        </is>
      </c>
      <c r="H153" s="440" t="n">
        <v>46036</v>
      </c>
      <c r="I153" s="440">
        <f>IF(OR(C153="Passed",H153="",ISBLANK(H153)),"",H153+7)</f>
        <v/>
      </c>
      <c r="J153" s="420">
        <f>IF(I153="","",IF(I153&lt;=TODAY(),"DUE",IF(I153&lt;=TODAY()+3,"Next 3 Days","Later")))</f>
        <v/>
      </c>
      <c r="K153" s="420" t="inlineStr">
        <is>
          <t>https://www.linkedin.com/in/wuveronica/</t>
        </is>
      </c>
      <c r="L153" s="420" t="inlineStr"/>
      <c r="M153" s="420" t="inlineStr"/>
    </row>
    <row r="154">
      <c r="A154" s="420" t="inlineStr">
        <is>
          <t>First Mark</t>
        </is>
      </c>
      <c r="B154" s="420" t="inlineStr">
        <is>
          <t>Financial Investor</t>
        </is>
      </c>
      <c r="C154" s="420" t="inlineStr">
        <is>
          <t>Follow Up</t>
        </is>
      </c>
      <c r="D154" s="420" t="inlineStr">
        <is>
          <t>Tier 2</t>
        </is>
      </c>
      <c r="E154" s="420" t="n">
        <v>4</v>
      </c>
      <c r="F154" s="420" t="inlineStr">
        <is>
          <t>Adam Nelson; Amish Jani; Matt Turck; Rick Heitzmann</t>
        </is>
      </c>
      <c r="G154" s="420" t="inlineStr">
        <is>
          <t>adam@firstmark.com; amish@firstmark.com; matt@firstmark.com; rick@firstmark.com</t>
        </is>
      </c>
      <c r="H154" s="440" t="n">
        <v>45841</v>
      </c>
      <c r="I154" s="440">
        <f>IF(OR(C154="Passed",H154="",ISBLANK(H154)),"",H154+7)</f>
        <v/>
      </c>
      <c r="J154" s="420">
        <f>IF(I154="","",IF(I154&lt;=TODAY(),"DUE",IF(I154&lt;=TODAY()+3,"Next 3 Days","Later")))</f>
        <v/>
      </c>
      <c r="K154" s="420" t="inlineStr"/>
      <c r="L154" s="420" t="inlineStr"/>
      <c r="M154" s="420" t="inlineStr"/>
    </row>
    <row r="155">
      <c r="A155" s="420" t="inlineStr">
        <is>
          <t>First Park Ventures</t>
        </is>
      </c>
      <c r="B155" s="420" t="inlineStr">
        <is>
          <t>Financial Investor</t>
        </is>
      </c>
      <c r="C155" s="420" t="inlineStr">
        <is>
          <t>Follow Up</t>
        </is>
      </c>
      <c r="D155" s="420" t="inlineStr">
        <is>
          <t>Tier 2</t>
        </is>
      </c>
      <c r="E155" s="420" t="n">
        <v>1</v>
      </c>
      <c r="F155" s="420" t="inlineStr">
        <is>
          <t>info</t>
        </is>
      </c>
      <c r="G155" s="420" t="inlineStr">
        <is>
          <t>info@firstsparkventures.com</t>
        </is>
      </c>
      <c r="H155" s="440" t="n">
        <v>45922</v>
      </c>
      <c r="I155" s="440">
        <f>IF(OR(C155="Passed",H155="",ISBLANK(H155)),"",H155+7)</f>
        <v/>
      </c>
      <c r="J155" s="420">
        <f>IF(I155="","",IF(I155&lt;=TODAY(),"DUE",IF(I155&lt;=TODAY()+3,"Next 3 Days","Later")))</f>
        <v/>
      </c>
      <c r="K155" s="420" t="inlineStr"/>
      <c r="L155" s="420" t="inlineStr"/>
      <c r="M155" s="420" t="inlineStr"/>
    </row>
    <row r="156">
      <c r="A156" s="420" t="inlineStr">
        <is>
          <t>First Spark Ventures</t>
        </is>
      </c>
      <c r="B156" s="420" t="inlineStr">
        <is>
          <t>Financial Investor</t>
        </is>
      </c>
      <c r="C156" s="420" t="inlineStr">
        <is>
          <t>Follow Up</t>
        </is>
      </c>
      <c r="D156" s="420" t="inlineStr">
        <is>
          <t>Tier 2</t>
        </is>
      </c>
      <c r="E156" s="420" t="n">
        <v>7</v>
      </c>
      <c r="F156" s="420" t="inlineStr">
        <is>
          <t>Aaron Sisto; Danny Chen; Gal Treger; Haitao Zhu; Peter Olcott</t>
        </is>
      </c>
      <c r="G156" s="420" t="inlineStr">
        <is>
          <t>aaron@firstsparkventures.com; danny@firstsparkventures.com; gt@firstsparkventures.com; haitao@firstsparkventures.com; polcott@firstsparkventures.com</t>
        </is>
      </c>
      <c r="H156" s="440" t="n">
        <v>45994</v>
      </c>
      <c r="I156" s="440">
        <f>IF(OR(C156="Passed",H156="",ISBLANK(H156)),"",H156+7)</f>
        <v/>
      </c>
      <c r="J156" s="420">
        <f>IF(I156="","",IF(I156&lt;=TODAY(),"DUE",IF(I156&lt;=TODAY()+3,"Next 3 Days","Later")))</f>
        <v/>
      </c>
      <c r="K156" s="420" t="inlineStr">
        <is>
          <t>https://www.linkedin.com/in/aaronsisto/ | https://www.linkedin.com/in/danny-chen-177671177/</t>
        </is>
      </c>
      <c r="L156" s="420" t="inlineStr"/>
      <c r="M156" s="420" t="inlineStr">
        <is>
          <t>12/30/2025</t>
        </is>
      </c>
    </row>
    <row r="157">
      <c r="A157" s="420" t="inlineStr">
        <is>
          <t>Flare Capital</t>
        </is>
      </c>
      <c r="B157" s="420" t="inlineStr">
        <is>
          <t>Financial Investor</t>
        </is>
      </c>
      <c r="C157" s="420" t="inlineStr">
        <is>
          <t>Follow Up</t>
        </is>
      </c>
      <c r="D157" s="420" t="inlineStr">
        <is>
          <t>Tier 2</t>
        </is>
      </c>
      <c r="E157" s="420" t="n">
        <v>7</v>
      </c>
      <c r="F157" s="420" t="inlineStr">
        <is>
          <t>Bill Geary; Dan Gebremedhin; Ian Chiang; Johnathon George; Michael Greeley</t>
        </is>
      </c>
      <c r="G157" s="420" t="inlineStr">
        <is>
          <t>bill@flarecapital.com; dan@flarecapital.com; ian@flarecapital.com; jon@flarecapital.com; michael@flarecapital.com</t>
        </is>
      </c>
      <c r="H157" s="440" t="n">
        <v>45861</v>
      </c>
      <c r="I157" s="440">
        <f>IF(OR(C157="Passed",H157="",ISBLANK(H157)),"",H157+7)</f>
        <v/>
      </c>
      <c r="J157" s="420">
        <f>IF(I157="","",IF(I157&lt;=TODAY(),"DUE",IF(I157&lt;=TODAY()+3,"Next 3 Days","Later")))</f>
        <v/>
      </c>
      <c r="K157" s="420" t="inlineStr">
        <is>
          <t>linkedin.com/in/bgeary | linkedin.com/in/dgebremedhin</t>
        </is>
      </c>
      <c r="L157" s="420" t="inlineStr"/>
      <c r="M157" s="420" t="inlineStr">
        <is>
          <t>12/26/2025</t>
        </is>
      </c>
    </row>
    <row r="158">
      <c r="A158" s="420" t="inlineStr">
        <is>
          <t>Forepont Capital Partners</t>
        </is>
      </c>
      <c r="B158" s="420" t="inlineStr">
        <is>
          <t>Financial Investor</t>
        </is>
      </c>
      <c r="C158" s="420" t="inlineStr">
        <is>
          <t>Follow Up</t>
        </is>
      </c>
      <c r="D158" s="420" t="inlineStr">
        <is>
          <t>Tier 2</t>
        </is>
      </c>
      <c r="E158" s="420" t="n">
        <v>3</v>
      </c>
      <c r="F158" s="420" t="inlineStr">
        <is>
          <t>Ali Cheikh Lahlou; Guillaume Bouyoux; Louis Moulin</t>
        </is>
      </c>
      <c r="G158" s="420" t="inlineStr">
        <is>
          <t>ali.cheikhlahlou@forepont.com; guillaume.bouyoux@forepont.com; louis.moulin@forepont.com</t>
        </is>
      </c>
      <c r="H158" s="440" t="n">
        <v>45835</v>
      </c>
      <c r="I158" s="440">
        <f>IF(OR(C158="Passed",H158="",ISBLANK(H158)),"",H158+7)</f>
        <v/>
      </c>
      <c r="J158" s="420">
        <f>IF(I158="","",IF(I158&lt;=TODAY(),"DUE",IF(I158&lt;=TODAY()+3,"Next 3 Days","Later")))</f>
        <v/>
      </c>
      <c r="K158" s="420" t="inlineStr">
        <is>
          <t>https://www.linkedin.com/in/ali-cheikh-lahlou-90a52736/ | https://www.linkedin.com/in/guillaume-bouyoux/</t>
        </is>
      </c>
      <c r="L158" s="420" t="inlineStr"/>
      <c r="M158" s="420" t="inlineStr">
        <is>
          <t>12/23/2025</t>
        </is>
      </c>
    </row>
    <row r="159">
      <c r="A159" s="420" t="inlineStr">
        <is>
          <t>Forgepoint Capital</t>
        </is>
      </c>
      <c r="B159" s="420" t="inlineStr">
        <is>
          <t>Financial Investor</t>
        </is>
      </c>
      <c r="C159" s="420" t="inlineStr">
        <is>
          <t>Follow Up</t>
        </is>
      </c>
      <c r="D159" s="420" t="inlineStr">
        <is>
          <t>Tier 2</t>
        </is>
      </c>
      <c r="E159" s="420" t="n">
        <v>4</v>
      </c>
      <c r="F159" s="420" t="inlineStr">
        <is>
          <t>Alberto Yépez; Andrew McClure; Don Dixon; Ernie Bio</t>
        </is>
      </c>
      <c r="G159" s="420" t="inlineStr">
        <is>
          <t>ayepez@forgepointcap.com; amcclure@forgepointcap.com; ddixon@forgepointcap.com; ebio@forgepointcap.com</t>
        </is>
      </c>
      <c r="H159" s="440" t="n">
        <v>45973</v>
      </c>
      <c r="I159" s="440">
        <f>IF(OR(C159="Passed",H159="",ISBLANK(H159)),"",H159+7)</f>
        <v/>
      </c>
      <c r="J159" s="420">
        <f>IF(I159="","",IF(I159&lt;=TODAY(),"DUE",IF(I159&lt;=TODAY()+3,"Next 3 Days","Later")))</f>
        <v/>
      </c>
      <c r="K159" s="420" t="inlineStr">
        <is>
          <t>https://www.linkedin.com/in/albertoyepez/ | https://www.linkedin.com/in/andrewjmcclure/</t>
        </is>
      </c>
      <c r="L159" s="420" t="inlineStr"/>
      <c r="M159" s="420" t="inlineStr">
        <is>
          <t>12/30/2025</t>
        </is>
      </c>
    </row>
    <row r="160">
      <c r="A160" s="420" t="inlineStr">
        <is>
          <t>Foundation Capital</t>
        </is>
      </c>
      <c r="B160" s="420" t="inlineStr">
        <is>
          <t>Financial Investor</t>
        </is>
      </c>
      <c r="C160" s="420" t="inlineStr">
        <is>
          <t>Follow Up</t>
        </is>
      </c>
      <c r="D160" s="420" t="inlineStr">
        <is>
          <t>Tier 2</t>
        </is>
      </c>
      <c r="E160" s="420" t="n">
        <v>4</v>
      </c>
      <c r="F160" s="420" t="inlineStr">
        <is>
          <t>Ashu Garg; Charles Moldow; Joanne Chen; Steve Vassallo</t>
        </is>
      </c>
      <c r="G160" s="420" t="inlineStr">
        <is>
          <t>agarg@foundationcap.com; cmoldow@foundationcap.com; jchen@foundationcap.com; svassallo@foundationcap.com</t>
        </is>
      </c>
      <c r="H160" s="440" t="n">
        <v>45985</v>
      </c>
      <c r="I160" s="440">
        <f>IF(OR(C160="Passed",H160="",ISBLANK(H160)),"",H160+7)</f>
        <v/>
      </c>
      <c r="J160" s="420">
        <f>IF(I160="","",IF(I160&lt;=TODAY(),"DUE",IF(I160&lt;=TODAY()+3,"Next 3 Days","Later")))</f>
        <v/>
      </c>
      <c r="K160" s="420" t="inlineStr">
        <is>
          <t>https://www.linkedin.com/in/ashugargvc/ | https://www.linkedin.com/in/charlesmoldow/</t>
        </is>
      </c>
      <c r="L160" s="420" t="inlineStr"/>
      <c r="M160" s="420" t="inlineStr">
        <is>
          <t>01/14/2026</t>
        </is>
      </c>
    </row>
    <row r="161">
      <c r="A161" s="420" t="inlineStr">
        <is>
          <t>Founders Fund</t>
        </is>
      </c>
      <c r="B161" s="420" t="inlineStr">
        <is>
          <t>Financial Investor</t>
        </is>
      </c>
      <c r="C161" s="420" t="inlineStr">
        <is>
          <t>Follow Up</t>
        </is>
      </c>
      <c r="D161" s="420" t="inlineStr">
        <is>
          <t>Tier 2</t>
        </is>
      </c>
      <c r="E161" s="420" t="n">
        <v>4</v>
      </c>
      <c r="F161" s="420" t="inlineStr">
        <is>
          <t>Delian Asparouhov; John Luttig; Scott Nolan; Trae Stephens</t>
        </is>
      </c>
      <c r="G161" s="420" t="inlineStr">
        <is>
          <t>delian@foundersfund.com; john@foundersfund.com; scott@foundersfund.com; trae@foundersfund.com</t>
        </is>
      </c>
      <c r="H161" s="440" t="n">
        <v>45972</v>
      </c>
      <c r="I161" s="440">
        <f>IF(OR(C161="Passed",H161="",ISBLANK(H161)),"",H161+7)</f>
        <v/>
      </c>
      <c r="J161" s="420">
        <f>IF(I161="","",IF(I161&lt;=TODAY(),"DUE",IF(I161&lt;=TODAY()+3,"Next 3 Days","Later")))</f>
        <v/>
      </c>
      <c r="K161" s="420" t="inlineStr">
        <is>
          <t>https://www.linkedin.com/in/delian-asparouhov-87447742/ | https://www.linkedin.com/in/luttig</t>
        </is>
      </c>
      <c r="L161" s="420" t="inlineStr"/>
      <c r="M161" s="420" t="inlineStr">
        <is>
          <t>12/05/2025</t>
        </is>
      </c>
    </row>
    <row r="162">
      <c r="A162" s="420" t="inlineStr">
        <is>
          <t>Freya Capital</t>
        </is>
      </c>
      <c r="B162" s="420" t="inlineStr">
        <is>
          <t>Financial Investor</t>
        </is>
      </c>
      <c r="C162" s="420" t="inlineStr">
        <is>
          <t>Follow Up</t>
        </is>
      </c>
      <c r="D162" s="420" t="inlineStr">
        <is>
          <t>Tier 2</t>
        </is>
      </c>
      <c r="E162" s="420" t="n">
        <v>3</v>
      </c>
      <c r="F162" s="420" t="inlineStr">
        <is>
          <t>Jan Grochowicz; Michał Lewandowski; Zbigniew Barwicz</t>
        </is>
      </c>
      <c r="G162" s="420" t="inlineStr">
        <is>
          <t>jan@freyacap.com; michal@freyacap.com; zbigniew@freyacap.com</t>
        </is>
      </c>
      <c r="H162" s="440" t="n">
        <v>45835</v>
      </c>
      <c r="I162" s="440">
        <f>IF(OR(C162="Passed",H162="",ISBLANK(H162)),"",H162+7)</f>
        <v/>
      </c>
      <c r="J162" s="420">
        <f>IF(I162="","",IF(I162&lt;=TODAY(),"DUE",IF(I162&lt;=TODAY()+3,"Next 3 Days","Later")))</f>
        <v/>
      </c>
      <c r="K162" s="420" t="inlineStr">
        <is>
          <t>https://www.linkedin.com/in/jangrochowicz/ | https://www.linkedin.com/in/ACoAABRT4boBSN5xN6sPXZ17nQhUceC-WvLHPXQ/</t>
        </is>
      </c>
      <c r="L162" s="420" t="inlineStr"/>
      <c r="M162" s="420" t="inlineStr">
        <is>
          <t>12/23/2025</t>
        </is>
      </c>
    </row>
    <row r="163">
      <c r="A163" s="420" t="inlineStr">
        <is>
          <t>Frontier Ventures</t>
        </is>
      </c>
      <c r="B163" s="420" t="inlineStr">
        <is>
          <t>Financial Investor</t>
        </is>
      </c>
      <c r="C163" s="420" t="inlineStr">
        <is>
          <t>Follow Up</t>
        </is>
      </c>
      <c r="D163" s="420" t="inlineStr">
        <is>
          <t>Tier 2</t>
        </is>
      </c>
      <c r="E163" s="420" t="n">
        <v>3</v>
      </c>
      <c r="F163" s="420" t="inlineStr">
        <is>
          <t>Dmitry Alimov; Fabian Flatz; Najam Kidwai</t>
        </is>
      </c>
      <c r="G163" s="420" t="inlineStr">
        <is>
          <t>dmitry@frontier.ventures; fabian@frontier.ventures; ir@frontier.ventures</t>
        </is>
      </c>
      <c r="H163" s="440" t="n">
        <v>45861</v>
      </c>
      <c r="I163" s="440">
        <f>IF(OR(C163="Passed",H163="",ISBLANK(H163)),"",H163+7)</f>
        <v/>
      </c>
      <c r="J163" s="420">
        <f>IF(I163="","",IF(I163&lt;=TODAY(),"DUE",IF(I163&lt;=TODAY()+3,"Next 3 Days","Later")))</f>
        <v/>
      </c>
      <c r="K163" s="420" t="inlineStr">
        <is>
          <t>https://www.linkedin.com/in/dalimov/ | https://www.linkedin.com/in/fabian-flatz/</t>
        </is>
      </c>
      <c r="L163" s="420" t="inlineStr"/>
      <c r="M163" s="420" t="inlineStr">
        <is>
          <t>12/26/2025 | online application: https://frontier.ventures/contacts/</t>
        </is>
      </c>
    </row>
    <row r="164">
      <c r="A164" s="420" t="inlineStr">
        <is>
          <t>General Catalyst</t>
        </is>
      </c>
      <c r="B164" s="420" t="inlineStr">
        <is>
          <t>Financial Investor</t>
        </is>
      </c>
      <c r="C164" s="420" t="inlineStr">
        <is>
          <t>Follow Up</t>
        </is>
      </c>
      <c r="D164" s="420" t="inlineStr">
        <is>
          <t>Tier 2</t>
        </is>
      </c>
      <c r="E164" s="420" t="n">
        <v>4</v>
      </c>
      <c r="F164" s="420" t="inlineStr">
        <is>
          <t>David Fialkow; Hemant Taneja; Joel Cutler; Niko Bonatsos</t>
        </is>
      </c>
      <c r="G164" s="420" t="inlineStr">
        <is>
          <t>dfialkow@generalcatalyst.com; hemant.taneja@gmail.com; jcutler@generalcatalyst.com; nbonatsos@generalcatalyst.com</t>
        </is>
      </c>
      <c r="H164" s="440" t="n">
        <v>45929</v>
      </c>
      <c r="I164" s="440">
        <f>IF(OR(C164="Passed",H164="",ISBLANK(H164)),"",H164+7)</f>
        <v/>
      </c>
      <c r="J164" s="420">
        <f>IF(I164="","",IF(I164&lt;=TODAY(),"DUE",IF(I164&lt;=TODAY()+3,"Next 3 Days","Later")))</f>
        <v/>
      </c>
      <c r="K164" s="420" t="inlineStr">
        <is>
          <t>https://www.linkedin.com/in/david-fialkow-20085852/ | https://www.linkedin.com/in/hemanttaneja/</t>
        </is>
      </c>
      <c r="L164" s="420" t="inlineStr"/>
      <c r="M164" s="420" t="inlineStr">
        <is>
          <t>12/05/2025</t>
        </is>
      </c>
    </row>
    <row r="165">
      <c r="A165" s="420" t="inlineStr">
        <is>
          <t>Geodesic Capital</t>
        </is>
      </c>
      <c r="B165" s="420" t="inlineStr">
        <is>
          <t>Financial Investor</t>
        </is>
      </c>
      <c r="C165" s="420" t="inlineStr">
        <is>
          <t>Follow Up</t>
        </is>
      </c>
      <c r="D165" s="420" t="inlineStr">
        <is>
          <t>Tier 2</t>
        </is>
      </c>
      <c r="E165" s="420" t="n">
        <v>4</v>
      </c>
      <c r="F165" s="420" t="inlineStr">
        <is>
          <t>Arvind Ayyala; John Roos; Jon Rezneck; Matt Fuller</t>
        </is>
      </c>
      <c r="G165" s="420" t="inlineStr">
        <is>
          <t>aayyala@geodesiccap.com; jroos@geodesiccap.com; jrezneck@geodesiccap.com; mfuller@geodesiccap.com</t>
        </is>
      </c>
      <c r="H165" s="440" t="n">
        <v>45835</v>
      </c>
      <c r="I165" s="440">
        <f>IF(OR(C165="Passed",H165="",ISBLANK(H165)),"",H165+7)</f>
        <v/>
      </c>
      <c r="J165" s="420">
        <f>IF(I165="","",IF(I165&lt;=TODAY(),"DUE",IF(I165&lt;=TODAY()+3,"Next 3 Days","Later")))</f>
        <v/>
      </c>
      <c r="K165" s="420" t="inlineStr">
        <is>
          <t>https://www.linkedin.com/in/arvindayyala1/ | https://www.linkedin.com/in/john-roos-99978a57/</t>
        </is>
      </c>
      <c r="L165" s="420" t="inlineStr"/>
      <c r="M165" s="420" t="inlineStr">
        <is>
          <t>12/23/2025</t>
        </is>
      </c>
    </row>
    <row r="166">
      <c r="A166" s="420" t="inlineStr">
        <is>
          <t>Good AI Capital</t>
        </is>
      </c>
      <c r="B166" s="420" t="inlineStr">
        <is>
          <t>Financial Investor</t>
        </is>
      </c>
      <c r="C166" s="420" t="inlineStr">
        <is>
          <t>Follow Up</t>
        </is>
      </c>
      <c r="D166" s="420" t="inlineStr">
        <is>
          <t>Tier 2</t>
        </is>
      </c>
      <c r="E166" s="420" t="n">
        <v>1</v>
      </c>
      <c r="F166" s="420" t="inlineStr">
        <is>
          <t>Darwin Ling</t>
        </is>
      </c>
      <c r="G166" s="420" t="inlineStr">
        <is>
          <t>darwin@goodai.capital</t>
        </is>
      </c>
      <c r="H166" s="440" t="n">
        <v>45973</v>
      </c>
      <c r="I166" s="440">
        <f>IF(OR(C166="Passed",H166="",ISBLANK(H166)),"",H166+7)</f>
        <v/>
      </c>
      <c r="J166" s="420">
        <f>IF(I166="","",IF(I166&lt;=TODAY(),"DUE",IF(I166&lt;=TODAY()+3,"Next 3 Days","Later")))</f>
        <v/>
      </c>
      <c r="K166" s="420" t="inlineStr">
        <is>
          <t>https://www.linkedin.com/in/darwinling/</t>
        </is>
      </c>
      <c r="L166" s="420" t="inlineStr"/>
      <c r="M166" s="420" t="inlineStr">
        <is>
          <t>12/19/2025</t>
        </is>
      </c>
    </row>
    <row r="167">
      <c r="A167" s="420" t="inlineStr">
        <is>
          <t>Goose Capital</t>
        </is>
      </c>
      <c r="B167" s="420" t="inlineStr">
        <is>
          <t>Financial Investor</t>
        </is>
      </c>
      <c r="C167" s="420" t="inlineStr">
        <is>
          <t>Follow Up</t>
        </is>
      </c>
      <c r="D167" s="420" t="inlineStr">
        <is>
          <t>Tier 2</t>
        </is>
      </c>
      <c r="E167" s="420" t="n">
        <v>1</v>
      </c>
      <c r="F167" s="420" t="inlineStr">
        <is>
          <t>Alex Krantz</t>
        </is>
      </c>
      <c r="G167" s="420" t="inlineStr">
        <is>
          <t>alex@goose.capital</t>
        </is>
      </c>
      <c r="H167" s="440" t="n">
        <v>45841</v>
      </c>
      <c r="I167" s="440">
        <f>IF(OR(C167="Passed",H167="",ISBLANK(H167)),"",H167+7)</f>
        <v/>
      </c>
      <c r="J167" s="420">
        <f>IF(I167="","",IF(I167&lt;=TODAY(),"DUE",IF(I167&lt;=TODAY()+3,"Next 3 Days","Later")))</f>
        <v/>
      </c>
      <c r="K167" s="420" t="inlineStr">
        <is>
          <t>https://www.linkedin.com/in/alexander-krantz-connect/</t>
        </is>
      </c>
      <c r="L167" s="420" t="inlineStr"/>
      <c r="M167" s="420" t="inlineStr">
        <is>
          <t>Goose Application: https://www.goose.capital/goose-capital-screening</t>
        </is>
      </c>
    </row>
    <row r="168">
      <c r="A168" s="420" t="inlineStr">
        <is>
          <t>Great North Labs</t>
        </is>
      </c>
      <c r="B168" s="420" t="inlineStr">
        <is>
          <t>Financial Investor</t>
        </is>
      </c>
      <c r="C168" s="420" t="inlineStr">
        <is>
          <t>Follow Up</t>
        </is>
      </c>
      <c r="D168" s="420" t="inlineStr">
        <is>
          <t>Tier 2</t>
        </is>
      </c>
      <c r="E168" s="420" t="n">
        <v>1</v>
      </c>
      <c r="F168" s="420" t="inlineStr">
        <is>
          <t>Ryan Webber</t>
        </is>
      </c>
      <c r="G168" s="420" t="inlineStr">
        <is>
          <t>ryan@greatnorthventures.com</t>
        </is>
      </c>
      <c r="H168" s="440" t="n">
        <v>45929</v>
      </c>
      <c r="I168" s="440">
        <f>IF(OR(C168="Passed",H168="",ISBLANK(H168)),"",H168+7)</f>
        <v/>
      </c>
      <c r="J168" s="420">
        <f>IF(I168="","",IF(I168&lt;=TODAY(),"DUE",IF(I168&lt;=TODAY()+3,"Next 3 Days","Later")))</f>
        <v/>
      </c>
      <c r="K168" s="420" t="inlineStr">
        <is>
          <t>https://www.linkedin.com/in/ryweber/</t>
        </is>
      </c>
      <c r="L168" s="420" t="inlineStr"/>
      <c r="M168" s="420" t="inlineStr"/>
    </row>
    <row r="169">
      <c r="A169" s="420" t="inlineStr">
        <is>
          <t>Great Point Ventures</t>
        </is>
      </c>
      <c r="B169" s="420" t="inlineStr">
        <is>
          <t>Financial Investor</t>
        </is>
      </c>
      <c r="C169" s="420" t="inlineStr">
        <is>
          <t>Follow Up</t>
        </is>
      </c>
      <c r="D169" s="420" t="inlineStr">
        <is>
          <t>Tier 2</t>
        </is>
      </c>
      <c r="E169" s="420" t="n">
        <v>4</v>
      </c>
      <c r="F169" s="420" t="inlineStr">
        <is>
          <t>Andrew Perlman; DJ Patil; David Resnekov; Joseph Tuchman</t>
        </is>
      </c>
      <c r="G169" s="420" t="inlineStr">
        <is>
          <t>andrew@gpv.com; dj@gpv.com; david@gpv.com; joseph@gpv.com</t>
        </is>
      </c>
      <c r="H169" s="440" t="n">
        <v>45924</v>
      </c>
      <c r="I169" s="440">
        <f>IF(OR(C169="Passed",H169="",ISBLANK(H169)),"",H169+7)</f>
        <v/>
      </c>
      <c r="J169" s="420">
        <f>IF(I169="","",IF(I169&lt;=TODAY(),"DUE",IF(I169&lt;=TODAY()+3,"Next 3 Days","Later")))</f>
        <v/>
      </c>
      <c r="K169" s="420" t="inlineStr">
        <is>
          <t>https://www.linkedin.com/in/andrew-perlman-372316b9/ | linkedin.com/in/dpatil</t>
        </is>
      </c>
      <c r="L169" s="420" t="inlineStr"/>
      <c r="M169" s="420" t="inlineStr">
        <is>
          <t>12/04/2025</t>
        </is>
      </c>
    </row>
    <row r="170">
      <c r="A170" s="420" t="inlineStr">
        <is>
          <t>Greenfield Partners</t>
        </is>
      </c>
      <c r="B170" s="420" t="inlineStr">
        <is>
          <t>Financial Investor</t>
        </is>
      </c>
      <c r="C170" s="420" t="inlineStr">
        <is>
          <t>Follow Up</t>
        </is>
      </c>
      <c r="D170" s="420" t="inlineStr">
        <is>
          <t>Tier 2</t>
        </is>
      </c>
      <c r="E170" s="420" t="n">
        <v>5</v>
      </c>
      <c r="F170" s="420" t="inlineStr">
        <is>
          <t>Avery Schwartz; Nir Goldstein; Raz Mangel; Shay Grinfeld; Yuda Doron</t>
        </is>
      </c>
      <c r="G170" s="420" t="inlineStr">
        <is>
          <t>avery@greenfield-growth.com; nir@greenfield-growth.com; raz@greenfield-growth.com; shay@greenfield-growth.com; yuda@greenfield-growth.com</t>
        </is>
      </c>
      <c r="H170" s="440" t="n">
        <v>45973</v>
      </c>
      <c r="I170" s="440">
        <f>IF(OR(C170="Passed",H170="",ISBLANK(H170)),"",H170+7)</f>
        <v/>
      </c>
      <c r="J170" s="420">
        <f>IF(I170="","",IF(I170&lt;=TODAY(),"DUE",IF(I170&lt;=TODAY()+3,"Next 3 Days","Later")))</f>
        <v/>
      </c>
      <c r="K170" s="420" t="inlineStr">
        <is>
          <t>linkedin.com/in/avery-e-schwartz | https://www.linkedin.com/in/goldsteinnir/</t>
        </is>
      </c>
      <c r="L170" s="420" t="inlineStr"/>
      <c r="M170" s="420" t="inlineStr">
        <is>
          <t>12/30/2025</t>
        </is>
      </c>
    </row>
    <row r="171">
      <c r="A171" s="420" t="inlineStr">
        <is>
          <t>Greylock Partners</t>
        </is>
      </c>
      <c r="B171" s="420" t="inlineStr">
        <is>
          <t>Financial Investor</t>
        </is>
      </c>
      <c r="C171" s="420" t="inlineStr">
        <is>
          <t>Follow Up</t>
        </is>
      </c>
      <c r="D171" s="420" t="inlineStr">
        <is>
          <t>Tier 2</t>
        </is>
      </c>
      <c r="E171" s="420" t="n">
        <v>4</v>
      </c>
      <c r="F171" s="420" t="inlineStr">
        <is>
          <t>Asheem Chandna; Corinne Riley; Jerry Chen; Seth Rosenberg</t>
        </is>
      </c>
      <c r="G171" s="420" t="inlineStr">
        <is>
          <t>achandna@greylock.com; criley@greylock.com; jchen@greylock.com; srosenberg@greylock.com</t>
        </is>
      </c>
      <c r="H171" s="440" t="n">
        <v>45841</v>
      </c>
      <c r="I171" s="440">
        <f>IF(OR(C171="Passed",H171="",ISBLANK(H171)),"",H171+7)</f>
        <v/>
      </c>
      <c r="J171" s="420">
        <f>IF(I171="","",IF(I171&lt;=TODAY(),"DUE",IF(I171&lt;=TODAY()+3,"Next 3 Days","Later")))</f>
        <v/>
      </c>
      <c r="K171" s="420" t="inlineStr">
        <is>
          <t>https://www.linkedin.com/in/chandna/ | https://www.linkedin.com/in/corinne-marie-riley/</t>
        </is>
      </c>
      <c r="L171" s="420" t="inlineStr"/>
      <c r="M171" s="420" t="inlineStr"/>
    </row>
    <row r="172">
      <c r="A172" s="420" t="inlineStr">
        <is>
          <t>H7 BioCapital</t>
        </is>
      </c>
      <c r="B172" s="420" t="inlineStr">
        <is>
          <t>Financial Investor</t>
        </is>
      </c>
      <c r="C172" s="420" t="inlineStr">
        <is>
          <t>Follow Up</t>
        </is>
      </c>
      <c r="D172" s="420" t="inlineStr">
        <is>
          <t>Tier 2</t>
        </is>
      </c>
      <c r="E172" s="420" t="n">
        <v>1</v>
      </c>
      <c r="F172" s="420" t="inlineStr">
        <is>
          <t>Ella Li</t>
        </is>
      </c>
      <c r="G172" s="420" t="inlineStr">
        <is>
          <t>ella@h7biocapital.com</t>
        </is>
      </c>
      <c r="H172" s="440" t="n">
        <v>45973</v>
      </c>
      <c r="I172" s="440">
        <f>IF(OR(C172="Passed",H172="",ISBLANK(H172)),"",H172+7)</f>
        <v/>
      </c>
      <c r="J172" s="420">
        <f>IF(I172="","",IF(I172&lt;=TODAY(),"DUE",IF(I172&lt;=TODAY()+3,"Next 3 Days","Later")))</f>
        <v/>
      </c>
      <c r="K172" s="420" t="inlineStr">
        <is>
          <t>https://www.linkedin.com/in/ellal/</t>
        </is>
      </c>
      <c r="L172" s="420" t="inlineStr"/>
      <c r="M172" s="420" t="inlineStr">
        <is>
          <t>12/19/2025</t>
        </is>
      </c>
    </row>
    <row r="173">
      <c r="A173" s="420" t="inlineStr">
        <is>
          <t>HCVC</t>
        </is>
      </c>
      <c r="B173" s="420" t="inlineStr">
        <is>
          <t>Financial Investor</t>
        </is>
      </c>
      <c r="C173" s="420" t="inlineStr">
        <is>
          <t>Follow Up</t>
        </is>
      </c>
      <c r="D173" s="420" t="inlineStr">
        <is>
          <t>Tier 2</t>
        </is>
      </c>
      <c r="E173" s="420" t="n">
        <v>2</v>
      </c>
      <c r="F173" s="420" t="inlineStr">
        <is>
          <t>Alexis Houssou; Aymerik Renard</t>
        </is>
      </c>
      <c r="G173" s="420" t="inlineStr">
        <is>
          <t>alexis@hardwareclub.co; aymerik@hardwareclub.co</t>
        </is>
      </c>
      <c r="H173" s="440" t="n">
        <v>45985</v>
      </c>
      <c r="I173" s="440">
        <f>IF(OR(C173="Passed",H173="",ISBLANK(H173)),"",H173+7)</f>
        <v/>
      </c>
      <c r="J173" s="420">
        <f>IF(I173="","",IF(I173&lt;=TODAY(),"DUE",IF(I173&lt;=TODAY()+3,"Next 3 Days","Later")))</f>
        <v/>
      </c>
      <c r="K173" s="420" t="inlineStr">
        <is>
          <t>https://www.linkedin.com/in/alexis-houssou-4b157a38/ | https://www.linkedin.com/in/aymerik/</t>
        </is>
      </c>
      <c r="L173" s="420" t="inlineStr"/>
      <c r="M173" s="420" t="inlineStr">
        <is>
          <t>12/30/2025</t>
        </is>
      </c>
    </row>
    <row r="174">
      <c r="A174" s="420" t="inlineStr">
        <is>
          <t>Hale Capital</t>
        </is>
      </c>
      <c r="B174" s="420" t="inlineStr">
        <is>
          <t>Financial Investor</t>
        </is>
      </c>
      <c r="C174" s="420" t="inlineStr">
        <is>
          <t>Follow Up</t>
        </is>
      </c>
      <c r="D174" s="420" t="inlineStr">
        <is>
          <t>Tier 2</t>
        </is>
      </c>
      <c r="E174" s="420" t="n">
        <v>2</v>
      </c>
      <c r="F174" s="420" t="inlineStr">
        <is>
          <t>Martin Hale; Nathan Foos</t>
        </is>
      </c>
      <c r="G174" s="420" t="inlineStr">
        <is>
          <t>martin@halefunds.com; nate@halefunds.com</t>
        </is>
      </c>
      <c r="H174" s="440" t="n">
        <v>46031</v>
      </c>
      <c r="I174" s="440">
        <f>IF(OR(C174="Passed",H174="",ISBLANK(H174)),"",H174+7)</f>
        <v/>
      </c>
      <c r="J174" s="420">
        <f>IF(I174="","",IF(I174&lt;=TODAY(),"DUE",IF(I174&lt;=TODAY()+3,"Next 3 Days","Later")))</f>
        <v/>
      </c>
      <c r="K174" s="420" t="inlineStr">
        <is>
          <t>linkedin.com/in/halemartin | https://www.linkedin.com/in/nathan-foos/</t>
        </is>
      </c>
      <c r="L174" s="420" t="inlineStr"/>
      <c r="M174" s="420" t="inlineStr">
        <is>
          <t>02/26/2026</t>
        </is>
      </c>
    </row>
    <row r="175">
      <c r="A175" s="420" t="inlineStr">
        <is>
          <t>Harbert Management</t>
        </is>
      </c>
      <c r="B175" s="420" t="inlineStr">
        <is>
          <t>Financial Investor</t>
        </is>
      </c>
      <c r="C175" s="420" t="inlineStr">
        <is>
          <t>Follow Up</t>
        </is>
      </c>
      <c r="D175" s="420" t="inlineStr">
        <is>
          <t>Tier 2</t>
        </is>
      </c>
      <c r="E175" s="420" t="n">
        <v>6</v>
      </c>
      <c r="F175" s="420" t="inlineStr">
        <is>
          <t>Amanda Brown; Jon-Paul Momsen; Jordan Redella; Mike Bauder; Travis Pritchett</t>
        </is>
      </c>
      <c r="G175" s="420" t="inlineStr">
        <is>
          <t>abrown@harbert.net; jmomsen@harbert.net; jredella@harbert.net; mbauder@harbert.net; tpritchett@harbert.net</t>
        </is>
      </c>
      <c r="H175" s="440" t="n">
        <v>45922</v>
      </c>
      <c r="I175" s="440">
        <f>IF(OR(C175="Passed",H175="",ISBLANK(H175)),"",H175+7)</f>
        <v/>
      </c>
      <c r="J175" s="420">
        <f>IF(I175="","",IF(I175&lt;=TODAY(),"DUE",IF(I175&lt;=TODAY()+3,"Next 3 Days","Later")))</f>
        <v/>
      </c>
      <c r="K175" s="420" t="inlineStr"/>
      <c r="L175" s="420" t="inlineStr"/>
      <c r="M175" s="420" t="inlineStr"/>
    </row>
    <row r="176">
      <c r="A176" s="420" t="inlineStr">
        <is>
          <t>Helium-3 Ventures</t>
        </is>
      </c>
      <c r="B176" s="420" t="inlineStr">
        <is>
          <t>Financial Investor</t>
        </is>
      </c>
      <c r="C176" s="420" t="inlineStr">
        <is>
          <t>Follow Up</t>
        </is>
      </c>
      <c r="D176" s="420" t="inlineStr">
        <is>
          <t>Tier 2</t>
        </is>
      </c>
      <c r="E176" s="420" t="n">
        <v>4</v>
      </c>
      <c r="F176" s="420" t="inlineStr">
        <is>
          <t>David Hendrickson; John Dauer; Matthew Bellamy; the team</t>
        </is>
      </c>
      <c r="G176" s="420" t="inlineStr">
        <is>
          <t>dave@helium-3ventures.com; john@helium-3ventures.com; matt@helium-3ventures.com; contact@helium-3ventures.com</t>
        </is>
      </c>
      <c r="H176" s="440" t="n">
        <v>45861</v>
      </c>
      <c r="I176" s="440">
        <f>IF(OR(C176="Passed",H176="",ISBLANK(H176)),"",H176+7)</f>
        <v/>
      </c>
      <c r="J176" s="420">
        <f>IF(I176="","",IF(I176&lt;=TODAY(),"DUE",IF(I176&lt;=TODAY()+3,"Next 3 Days","Later")))</f>
        <v/>
      </c>
      <c r="K176" s="420" t="inlineStr">
        <is>
          <t>https://www.linkedin.com/in/david-hendrickson-4aa0347/ | https://www.linkedin.com/in/john-dauer-893871141/</t>
        </is>
      </c>
      <c r="L176" s="420" t="inlineStr"/>
      <c r="M176" s="420" t="inlineStr">
        <is>
          <t>12/26/2025 | timing doesn't work</t>
        </is>
      </c>
    </row>
    <row r="177">
      <c r="A177" s="420" t="inlineStr">
        <is>
          <t>Higher Orbits</t>
        </is>
      </c>
      <c r="B177" s="420" t="inlineStr">
        <is>
          <t>Financial Investor</t>
        </is>
      </c>
      <c r="C177" s="420" t="inlineStr">
        <is>
          <t>Follow Up</t>
        </is>
      </c>
      <c r="D177" s="420" t="inlineStr">
        <is>
          <t>Tier 2</t>
        </is>
      </c>
      <c r="E177" s="420" t="n">
        <v>1</v>
      </c>
      <c r="F177" s="420" t="inlineStr">
        <is>
          <t>Michelle Lucas</t>
        </is>
      </c>
      <c r="G177" s="420" t="inlineStr">
        <is>
          <t>michelle@higherorbits.org</t>
        </is>
      </c>
      <c r="H177" s="420" t="n"/>
      <c r="I177" s="440">
        <f>IF(OR(C177="Passed",H177="",ISBLANK(H177)),"",H177+7)</f>
        <v/>
      </c>
      <c r="J177" s="420">
        <f>IF(I177="","",IF(I177&lt;=TODAY(),"DUE",IF(I177&lt;=TODAY()+3,"Next 3 Days","Later")))</f>
        <v/>
      </c>
      <c r="K177" s="420" t="inlineStr"/>
      <c r="L177" s="420" t="inlineStr"/>
      <c r="M177" s="420" t="inlineStr">
        <is>
          <t>sent to Lizi for follow up - not a VC opportunity</t>
        </is>
      </c>
    </row>
    <row r="178">
      <c r="A178" s="420" t="inlineStr">
        <is>
          <t>Houston Angel Network</t>
        </is>
      </c>
      <c r="B178" s="420" t="inlineStr">
        <is>
          <t>Financial Investor</t>
        </is>
      </c>
      <c r="C178" s="420" t="inlineStr">
        <is>
          <t>Follow Up</t>
        </is>
      </c>
      <c r="D178" s="420" t="inlineStr">
        <is>
          <t>Tier 2</t>
        </is>
      </c>
      <c r="E178" s="420" t="n">
        <v>2</v>
      </c>
      <c r="F178" s="420" t="inlineStr">
        <is>
          <t>Eric Schneider; Samia Ahsan</t>
        </is>
      </c>
      <c r="G178" s="420" t="inlineStr">
        <is>
          <t>e.schneider@comcast.net; samia@houstonangelnetwork.org</t>
        </is>
      </c>
      <c r="H178" s="440" t="n">
        <v>45841</v>
      </c>
      <c r="I178" s="440">
        <f>IF(OR(C178="Passed",H178="",ISBLANK(H178)),"",H178+7)</f>
        <v/>
      </c>
      <c r="J178" s="420">
        <f>IF(I178="","",IF(I178&lt;=TODAY(),"DUE",IF(I178&lt;=TODAY()+3,"Next 3 Days","Later")))</f>
        <v/>
      </c>
      <c r="K178" s="420" t="inlineStr">
        <is>
          <t>https://www.linkedin.com/in/eric-schneider-cfa-4396664/ | https://www.linkedin.com/in/samia-ahsan-894a28186/</t>
        </is>
      </c>
      <c r="L178" s="420" t="inlineStr"/>
      <c r="M178" s="420" t="inlineStr">
        <is>
          <t>decided to start working with Joby Aviation | HAN Application $100 Fee: https://www.houstonangelnetwork.org/entrepreneurs</t>
        </is>
      </c>
    </row>
    <row r="179">
      <c r="A179" s="420" t="inlineStr">
        <is>
          <t>Hyde Park Angels</t>
        </is>
      </c>
      <c r="B179" s="420" t="inlineStr">
        <is>
          <t>Financial Investor</t>
        </is>
      </c>
      <c r="C179" s="420" t="inlineStr">
        <is>
          <t>Follow Up</t>
        </is>
      </c>
      <c r="D179" s="420" t="inlineStr">
        <is>
          <t>Tier 2</t>
        </is>
      </c>
      <c r="E179" s="420" t="n">
        <v>1</v>
      </c>
      <c r="F179" s="420" t="inlineStr">
        <is>
          <t>Bess Goodfellow</t>
        </is>
      </c>
      <c r="G179" s="420" t="inlineStr">
        <is>
          <t>bess@hydeparkangels.com</t>
        </is>
      </c>
      <c r="H179" s="440" t="n">
        <v>45929</v>
      </c>
      <c r="I179" s="440">
        <f>IF(OR(C179="Passed",H179="",ISBLANK(H179)),"",H179+7)</f>
        <v/>
      </c>
      <c r="J179" s="420">
        <f>IF(I179="","",IF(I179&lt;=TODAY(),"DUE",IF(I179&lt;=TODAY()+3,"Next 3 Days","Later")))</f>
        <v/>
      </c>
      <c r="K179" s="420" t="inlineStr">
        <is>
          <t>https://www.linkedin.com/in/bess-goodfellow-00329199/</t>
        </is>
      </c>
      <c r="L179" s="420" t="inlineStr"/>
      <c r="M179" s="420" t="inlineStr">
        <is>
          <t>12/05/2025</t>
        </is>
      </c>
    </row>
    <row r="180">
      <c r="A180" s="420" t="inlineStr">
        <is>
          <t>IAG Capital Partners</t>
        </is>
      </c>
      <c r="B180" s="420" t="inlineStr">
        <is>
          <t>Financial Investor</t>
        </is>
      </c>
      <c r="C180" s="420" t="inlineStr">
        <is>
          <t>Follow Up</t>
        </is>
      </c>
      <c r="D180" s="420" t="inlineStr">
        <is>
          <t>Tier 2</t>
        </is>
      </c>
      <c r="E180" s="420" t="n">
        <v>4</v>
      </c>
      <c r="F180" s="420" t="inlineStr">
        <is>
          <t>Alex Kash; Dennis Sacha; Ehsan Jabbarzadeh; Joel Whitley</t>
        </is>
      </c>
      <c r="G180" s="420" t="inlineStr">
        <is>
          <t>alex@iagcapitalpartners.com; ds@iagcapitalpartners.com; ehsan@iagcapitalpartners.com; joel@iagcapitalpartners.com</t>
        </is>
      </c>
      <c r="H180" s="440" t="n">
        <v>45861</v>
      </c>
      <c r="I180" s="440">
        <f>IF(OR(C180="Passed",H180="",ISBLANK(H180)),"",H180+7)</f>
        <v/>
      </c>
      <c r="J180" s="420">
        <f>IF(I180="","",IF(I180&lt;=TODAY(),"DUE",IF(I180&lt;=TODAY()+3,"Next 3 Days","Later")))</f>
        <v/>
      </c>
      <c r="K180" s="420" t="inlineStr">
        <is>
          <t>linkedin.com/in/alex-kash-03894b159 | https://www.linkedin.com/in/dennis-sacha-11623a5/</t>
        </is>
      </c>
      <c r="L180" s="420" t="inlineStr"/>
      <c r="M180" s="420" t="inlineStr">
        <is>
          <t>not a fit | 12/26/2025</t>
        </is>
      </c>
    </row>
    <row r="181">
      <c r="A181" s="420" t="inlineStr">
        <is>
          <t>Index Ventures</t>
        </is>
      </c>
      <c r="B181" s="420" t="inlineStr">
        <is>
          <t>Financial Investor</t>
        </is>
      </c>
      <c r="C181" s="420" t="inlineStr">
        <is>
          <t>Follow Up</t>
        </is>
      </c>
      <c r="D181" s="420" t="inlineStr">
        <is>
          <t>Tier 2</t>
        </is>
      </c>
      <c r="E181" s="420" t="n">
        <v>2</v>
      </c>
      <c r="F181" s="420" t="inlineStr">
        <is>
          <t>Danny Rimer; Jan Hammer</t>
        </is>
      </c>
      <c r="G181" s="420" t="inlineStr">
        <is>
          <t>danny@indexventures.com; jan@indexventures.com</t>
        </is>
      </c>
      <c r="H181" s="440" t="n">
        <v>45841</v>
      </c>
      <c r="I181" s="440">
        <f>IF(OR(C181="Passed",H181="",ISBLANK(H181)),"",H181+7)</f>
        <v/>
      </c>
      <c r="J181" s="420">
        <f>IF(I181="","",IF(I181&lt;=TODAY(),"DUE",IF(I181&lt;=TODAY()+3,"Next 3 Days","Later")))</f>
        <v/>
      </c>
      <c r="K181" s="420" t="inlineStr">
        <is>
          <t>https://www.linkedin.com/in/dannyrimer/ | https://www.linkedin.com/in/hammerjan/</t>
        </is>
      </c>
      <c r="L181" s="420" t="inlineStr"/>
      <c r="M181" s="420" t="inlineStr"/>
    </row>
    <row r="182">
      <c r="A182" s="420" t="inlineStr">
        <is>
          <t>Indie Bio</t>
        </is>
      </c>
      <c r="B182" s="420" t="inlineStr">
        <is>
          <t>Financial Investor</t>
        </is>
      </c>
      <c r="C182" s="420" t="inlineStr">
        <is>
          <t>Follow Up</t>
        </is>
      </c>
      <c r="D182" s="420" t="inlineStr">
        <is>
          <t>Tier 2</t>
        </is>
      </c>
      <c r="E182" s="420" t="n">
        <v>5</v>
      </c>
      <c r="F182" s="420" t="inlineStr">
        <is>
          <t>Alex Kopelyan; Deborah Zajac; Parikshit Sharma; Po Bronson; Stephen Chambers</t>
        </is>
      </c>
      <c r="G182" s="420" t="inlineStr">
        <is>
          <t>alexkopelyan@indiebio.co; deborahzajac@indiebio.co; parikshit.sharma@indiebio.co; po.bronson@indiebio.co; stephen.chambers@indiebio.co</t>
        </is>
      </c>
      <c r="H182" s="440" t="n">
        <v>45848</v>
      </c>
      <c r="I182" s="440">
        <f>IF(OR(C182="Passed",H182="",ISBLANK(H182)),"",H182+7)</f>
        <v/>
      </c>
      <c r="J182" s="420">
        <f>IF(I182="","",IF(I182&lt;=TODAY(),"DUE",IF(I182&lt;=TODAY()+3,"Next 3 Days","Later")))</f>
        <v/>
      </c>
      <c r="K182" s="420" t="inlineStr">
        <is>
          <t>https://indiebio.co/team/alex-kopelyan/ | https://www.linkedin.com/in/parikshit-sharma-indiebio/</t>
        </is>
      </c>
      <c r="L182" s="420" t="inlineStr"/>
      <c r="M182" s="420" t="inlineStr">
        <is>
          <t>12/26/2025</t>
        </is>
      </c>
    </row>
    <row r="183">
      <c r="A183" s="420" t="inlineStr">
        <is>
          <t>Inertia Ventures</t>
        </is>
      </c>
      <c r="B183" s="420" t="inlineStr">
        <is>
          <t>Financial Investor</t>
        </is>
      </c>
      <c r="C183" s="420" t="inlineStr">
        <is>
          <t>Follow Up</t>
        </is>
      </c>
      <c r="D183" s="420" t="inlineStr">
        <is>
          <t>Tier 2</t>
        </is>
      </c>
      <c r="E183" s="420" t="n">
        <v>2</v>
      </c>
      <c r="F183" s="420" t="inlineStr">
        <is>
          <t>Nicolas Jacques-Bouchard; Nish Patel</t>
        </is>
      </c>
      <c r="G183" s="420" t="inlineStr">
        <is>
          <t>nick@inertia.vc; nish@inertia.vc</t>
        </is>
      </c>
      <c r="H183" s="440" t="n">
        <v>45924</v>
      </c>
      <c r="I183" s="440">
        <f>IF(OR(C183="Passed",H183="",ISBLANK(H183)),"",H183+7)</f>
        <v/>
      </c>
      <c r="J183" s="420">
        <f>IF(I183="","",IF(I183&lt;=TODAY(),"DUE",IF(I183&lt;=TODAY()+3,"Next 3 Days","Later")))</f>
        <v/>
      </c>
      <c r="K183" s="420" t="inlineStr">
        <is>
          <t>linkedin.com/in/njacquesbouchard | https://www.linkedin.com/in/nish1/</t>
        </is>
      </c>
      <c r="L183" s="420" t="inlineStr"/>
      <c r="M183" s="420" t="inlineStr">
        <is>
          <t>12/04/2025</t>
        </is>
      </c>
    </row>
    <row r="184">
      <c r="A184" s="420" t="inlineStr">
        <is>
          <t>Investment manager</t>
        </is>
      </c>
      <c r="B184" s="420" t="inlineStr">
        <is>
          <t>Financial Investor</t>
        </is>
      </c>
      <c r="C184" s="420" t="inlineStr">
        <is>
          <t>Follow Up</t>
        </is>
      </c>
      <c r="D184" s="420" t="inlineStr">
        <is>
          <t>Tier 2</t>
        </is>
      </c>
      <c r="E184" s="420" t="n">
        <v>1</v>
      </c>
      <c r="F184" s="420" t="inlineStr">
        <is>
          <t>Carsten Schindler</t>
        </is>
      </c>
      <c r="G184" s="420" t="inlineStr">
        <is>
          <t>schindler@senco-capital.com</t>
        </is>
      </c>
      <c r="H184" s="440" t="n">
        <v>46010</v>
      </c>
      <c r="I184" s="440">
        <f>IF(OR(C184="Passed",H184="",ISBLANK(H184)),"",H184+7)</f>
        <v/>
      </c>
      <c r="J184" s="420">
        <f>IF(I184="","",IF(I184&lt;=TODAY(),"DUE",IF(I184&lt;=TODAY()+3,"Next 3 Days","Later")))</f>
        <v/>
      </c>
      <c r="K184" s="420" t="inlineStr">
        <is>
          <t>linkedin.com/in/carsten-schindler</t>
        </is>
      </c>
      <c r="L184" s="420" t="inlineStr"/>
      <c r="M184" s="420" t="inlineStr"/>
    </row>
    <row r="185">
      <c r="A185" s="420" t="inlineStr">
        <is>
          <t>J&amp;T Ventures</t>
        </is>
      </c>
      <c r="B185" s="420" t="inlineStr">
        <is>
          <t>Financial Investor</t>
        </is>
      </c>
      <c r="C185" s="420" t="inlineStr">
        <is>
          <t>Follow Up</t>
        </is>
      </c>
      <c r="D185" s="420" t="inlineStr">
        <is>
          <t>Tier 2</t>
        </is>
      </c>
      <c r="E185" s="420" t="n">
        <v>1</v>
      </c>
      <c r="F185" s="420" t="inlineStr">
        <is>
          <t>Jakub Zimola</t>
        </is>
      </c>
      <c r="G185" s="420" t="inlineStr">
        <is>
          <t>zimola@jtventures.cz</t>
        </is>
      </c>
      <c r="H185" s="440" t="n">
        <v>46036</v>
      </c>
      <c r="I185" s="440">
        <f>IF(OR(C185="Passed",H185="",ISBLANK(H185)),"",H185+7)</f>
        <v/>
      </c>
      <c r="J185" s="420">
        <f>IF(I185="","",IF(I185&lt;=TODAY(),"DUE",IF(I185&lt;=TODAY()+3,"Next 3 Days","Later")))</f>
        <v/>
      </c>
      <c r="K185" s="420" t="inlineStr">
        <is>
          <t>https://www.linkedin.com/in/jakub-zimola/</t>
        </is>
      </c>
      <c r="L185" s="420" t="inlineStr"/>
      <c r="M185" s="420" t="inlineStr"/>
    </row>
    <row r="186">
      <c r="A186" s="420" t="inlineStr">
        <is>
          <t>J2 Ventures</t>
        </is>
      </c>
      <c r="B186" s="420" t="inlineStr">
        <is>
          <t>Financial Investor</t>
        </is>
      </c>
      <c r="C186" s="420" t="inlineStr">
        <is>
          <t>Follow Up</t>
        </is>
      </c>
      <c r="D186" s="420" t="inlineStr">
        <is>
          <t>Tier 2</t>
        </is>
      </c>
      <c r="E186" s="420" t="n">
        <v>4</v>
      </c>
      <c r="F186" s="420" t="inlineStr">
        <is>
          <t>Adam Briley; Alexander Harstrick; Jonathan Bronson; Matt Goldman</t>
        </is>
      </c>
      <c r="G186" s="420" t="inlineStr">
        <is>
          <t>adam@j2vp.com; alex@j2vp.com; jon@j2vp.com; matt@j2vp.com</t>
        </is>
      </c>
      <c r="H186" s="440" t="n">
        <v>45972</v>
      </c>
      <c r="I186" s="440">
        <f>IF(OR(C186="Passed",H186="",ISBLANK(H186)),"",H186+7)</f>
        <v/>
      </c>
      <c r="J186" s="420">
        <f>IF(I186="","",IF(I186&lt;=TODAY(),"DUE",IF(I186&lt;=TODAY()+3,"Next 3 Days","Later")))</f>
        <v/>
      </c>
      <c r="K186" s="420" t="inlineStr">
        <is>
          <t>linkedin.com/in/adam-briley | https://www.linkedin.com/in/alexanderharstrick/</t>
        </is>
      </c>
      <c r="L186" s="420" t="inlineStr"/>
      <c r="M186" s="420" t="inlineStr">
        <is>
          <t>requested deck</t>
        </is>
      </c>
    </row>
    <row r="187">
      <c r="A187" s="420" t="inlineStr">
        <is>
          <t>JFLCO</t>
        </is>
      </c>
      <c r="B187" s="420" t="inlineStr">
        <is>
          <t>Financial Investor</t>
        </is>
      </c>
      <c r="C187" s="420" t="inlineStr">
        <is>
          <t>Follow Up</t>
        </is>
      </c>
      <c r="D187" s="420" t="inlineStr">
        <is>
          <t>Tier 2</t>
        </is>
      </c>
      <c r="E187" s="420" t="n">
        <v>3</v>
      </c>
      <c r="F187" s="420" t="inlineStr">
        <is>
          <t>Louis N Mintz; Natalie Ramos; Peter C Kuper</t>
        </is>
      </c>
      <c r="G187" s="420" t="inlineStr">
        <is>
          <t>lnm@jflpartners.com; nr@jflpartners.com; pck@jflpartners.com</t>
        </is>
      </c>
      <c r="H187" s="440" t="n">
        <v>45985</v>
      </c>
      <c r="I187" s="440">
        <f>IF(OR(C187="Passed",H187="",ISBLANK(H187)),"",H187+7)</f>
        <v/>
      </c>
      <c r="J187" s="420">
        <f>IF(I187="","",IF(I187&lt;=TODAY(),"DUE",IF(I187&lt;=TODAY()+3,"Next 3 Days","Later")))</f>
        <v/>
      </c>
      <c r="K187" s="420" t="inlineStr">
        <is>
          <t>https://www.linkedin.com/in/peterkuper/</t>
        </is>
      </c>
      <c r="L187" s="420" t="inlineStr"/>
      <c r="M187" s="420" t="inlineStr">
        <is>
          <t>01/14/2026</t>
        </is>
      </c>
    </row>
    <row r="188">
      <c r="A188" s="420" t="inlineStr">
        <is>
          <t>JH Whitney Capital Partners</t>
        </is>
      </c>
      <c r="B188" s="420" t="inlineStr">
        <is>
          <t>Financial Investor</t>
        </is>
      </c>
      <c r="C188" s="420" t="inlineStr">
        <is>
          <t>Follow Up</t>
        </is>
      </c>
      <c r="D188" s="420" t="inlineStr">
        <is>
          <t>Tier 2</t>
        </is>
      </c>
      <c r="E188" s="420" t="n">
        <v>0</v>
      </c>
      <c r="F188" s="420" t="inlineStr"/>
      <c r="G188" s="420" t="inlineStr">
        <is>
          <t>info@whitney.com</t>
        </is>
      </c>
      <c r="H188" s="440" t="n">
        <v>45922</v>
      </c>
      <c r="I188" s="440">
        <f>IF(OR(C188="Passed",H188="",ISBLANK(H188)),"",H188+7)</f>
        <v/>
      </c>
      <c r="J188" s="420">
        <f>IF(I188="","",IF(I188&lt;=TODAY(),"DUE",IF(I188&lt;=TODAY()+3,"Next 3 Days","Later")))</f>
        <v/>
      </c>
      <c r="K188" s="420" t="inlineStr"/>
      <c r="L188" s="420" t="inlineStr"/>
      <c r="M188" s="420" t="inlineStr"/>
    </row>
    <row r="189">
      <c r="A189" s="420" t="inlineStr">
        <is>
          <t>Jack Industries</t>
        </is>
      </c>
      <c r="B189" s="420" t="inlineStr">
        <is>
          <t>Financial Investor</t>
        </is>
      </c>
      <c r="C189" s="420" t="inlineStr">
        <is>
          <t>Follow Up</t>
        </is>
      </c>
      <c r="D189" s="420" t="inlineStr">
        <is>
          <t>Tier 2</t>
        </is>
      </c>
      <c r="E189" s="420" t="n">
        <v>1</v>
      </c>
      <c r="F189" s="420" t="inlineStr">
        <is>
          <t>Rafferty Jackson</t>
        </is>
      </c>
      <c r="G189" s="420" t="inlineStr">
        <is>
          <t>rafferty@jack.industries</t>
        </is>
      </c>
      <c r="H189" s="440" t="n">
        <v>45841</v>
      </c>
      <c r="I189" s="440">
        <f>IF(OR(C189="Passed",H189="",ISBLANK(H189)),"",H189+7)</f>
        <v/>
      </c>
      <c r="J189" s="420">
        <f>IF(I189="","",IF(I189&lt;=TODAY(),"DUE",IF(I189&lt;=TODAY()+3,"Next 3 Days","Later")))</f>
        <v/>
      </c>
      <c r="K189" s="420" t="inlineStr">
        <is>
          <t>https://www.linkedin.com/in/rafferty-jackson-1626162/</t>
        </is>
      </c>
      <c r="L189" s="420" t="inlineStr"/>
      <c r="M189" s="420" t="inlineStr"/>
    </row>
    <row r="190">
      <c r="A190" s="420" t="inlineStr">
        <is>
          <t>Jump Capital</t>
        </is>
      </c>
      <c r="B190" s="420" t="inlineStr">
        <is>
          <t>Financial Investor</t>
        </is>
      </c>
      <c r="C190" s="420" t="inlineStr">
        <is>
          <t>Follow Up</t>
        </is>
      </c>
      <c r="D190" s="420" t="inlineStr">
        <is>
          <t>Tier 2</t>
        </is>
      </c>
      <c r="E190" s="420" t="n">
        <v>1</v>
      </c>
      <c r="F190" s="420" t="inlineStr">
        <is>
          <t>Saaya Nath</t>
        </is>
      </c>
      <c r="G190" s="420" t="inlineStr">
        <is>
          <t>saaya@jumpcap.com</t>
        </is>
      </c>
      <c r="H190" s="440" t="n">
        <v>45929</v>
      </c>
      <c r="I190" s="440">
        <f>IF(OR(C190="Passed",H190="",ISBLANK(H190)),"",H190+7)</f>
        <v/>
      </c>
      <c r="J190" s="420">
        <f>IF(I190="","",IF(I190&lt;=TODAY(),"DUE",IF(I190&lt;=TODAY()+3,"Next 3 Days","Later")))</f>
        <v/>
      </c>
      <c r="K190" s="420" t="inlineStr">
        <is>
          <t>https://www.linkedin.com/in/saaya-pal-12ba82a3/</t>
        </is>
      </c>
      <c r="L190" s="420" t="inlineStr"/>
      <c r="M190" s="420" t="inlineStr">
        <is>
          <t>12/05/2025</t>
        </is>
      </c>
    </row>
    <row r="191">
      <c r="A191" s="420" t="inlineStr">
        <is>
          <t>KKR</t>
        </is>
      </c>
      <c r="B191" s="420" t="inlineStr">
        <is>
          <t>Financial Investor</t>
        </is>
      </c>
      <c r="C191" s="420" t="inlineStr">
        <is>
          <t>Follow Up</t>
        </is>
      </c>
      <c r="D191" s="420" t="inlineStr">
        <is>
          <t>Tier 2</t>
        </is>
      </c>
      <c r="E191" s="420" t="n">
        <v>2</v>
      </c>
      <c r="F191" s="420" t="inlineStr">
        <is>
          <t>Dave Welsh; John Park</t>
        </is>
      </c>
      <c r="G191" s="420" t="inlineStr">
        <is>
          <t>dave.welsh@kkr.com; john.park@kkr.com</t>
        </is>
      </c>
      <c r="H191" s="440" t="n">
        <v>45986</v>
      </c>
      <c r="I191" s="440">
        <f>IF(OR(C191="Passed",H191="",ISBLANK(H191)),"",H191+7)</f>
        <v/>
      </c>
      <c r="J191" s="420">
        <f>IF(I191="","",IF(I191&lt;=TODAY(),"DUE",IF(I191&lt;=TODAY()+3,"Next 3 Days","Later")))</f>
        <v/>
      </c>
      <c r="K191" s="420" t="inlineStr">
        <is>
          <t>https://www.linkedin.com/in/dave-welsh-903b0a8/ | https://www.linkedin.com/in/ian-sj-park/</t>
        </is>
      </c>
      <c r="L191" s="420" t="inlineStr"/>
      <c r="M191" s="420" t="inlineStr">
        <is>
          <t>01/14/2026</t>
        </is>
      </c>
    </row>
    <row r="192">
      <c r="A192" s="420" t="inlineStr">
        <is>
          <t>Kerosene Ventures</t>
        </is>
      </c>
      <c r="B192" s="420" t="inlineStr">
        <is>
          <t>Financial Investor</t>
        </is>
      </c>
      <c r="C192" s="420" t="inlineStr">
        <is>
          <t>Follow Up</t>
        </is>
      </c>
      <c r="D192" s="420" t="inlineStr">
        <is>
          <t>Tier 2</t>
        </is>
      </c>
      <c r="E192" s="420" t="n">
        <v>1</v>
      </c>
      <c r="F192" s="420" t="inlineStr">
        <is>
          <t>Janine Kick</t>
        </is>
      </c>
      <c r="G192" s="420" t="inlineStr">
        <is>
          <t>janine@kerosene.vc</t>
        </is>
      </c>
      <c r="H192" s="440" t="n">
        <v>45929</v>
      </c>
      <c r="I192" s="440">
        <f>IF(OR(C192="Passed",H192="",ISBLANK(H192)),"",H192+7)</f>
        <v/>
      </c>
      <c r="J192" s="420">
        <f>IF(I192="","",IF(I192&lt;=TODAY(),"DUE",IF(I192&lt;=TODAY()+3,"Next 3 Days","Later")))</f>
        <v/>
      </c>
      <c r="K192" s="420" t="inlineStr">
        <is>
          <t>https://www.linkedin.com/in/janinekick/</t>
        </is>
      </c>
      <c r="L192" s="420" t="inlineStr"/>
      <c r="M192" s="420" t="inlineStr">
        <is>
          <t>12/05/2025</t>
        </is>
      </c>
    </row>
    <row r="193">
      <c r="A193" s="420" t="inlineStr">
        <is>
          <t>Khosla Ventures</t>
        </is>
      </c>
      <c r="B193" s="420" t="inlineStr">
        <is>
          <t>Financial Investor</t>
        </is>
      </c>
      <c r="C193" s="420" t="inlineStr">
        <is>
          <t>Follow Up</t>
        </is>
      </c>
      <c r="D193" s="420" t="inlineStr">
        <is>
          <t>Tier 2</t>
        </is>
      </c>
      <c r="E193" s="420" t="n">
        <v>4</v>
      </c>
      <c r="F193" s="420" t="inlineStr">
        <is>
          <t>Alice Brooks; Jon Chu; Kanu Gulati; Rajesh Swaminathan</t>
        </is>
      </c>
      <c r="G193" s="420" t="inlineStr">
        <is>
          <t>abrooks@khoslaventures.com; jc@khoslaventures.com; kg@khoslaventures.com; rs@khoslaventures.com</t>
        </is>
      </c>
      <c r="H193" s="440" t="n">
        <v>45814</v>
      </c>
      <c r="I193" s="440">
        <f>IF(OR(C193="Passed",H193="",ISBLANK(H193)),"",H193+7)</f>
        <v/>
      </c>
      <c r="J193" s="420">
        <f>IF(I193="","",IF(I193&lt;=TODAY(),"DUE",IF(I193&lt;=TODAY()+3,"Next 3 Days","Later")))</f>
        <v/>
      </c>
      <c r="K193" s="420" t="inlineStr">
        <is>
          <t>https://www.linkedin.com/in/alice-brooks-1786992a/ | http://linkedin.com/in/jchu/</t>
        </is>
      </c>
      <c r="L193" s="420" t="inlineStr"/>
      <c r="M193" s="420" t="inlineStr">
        <is>
          <t>asked for deck / 7/7 sent deck | Deck 7-7-25</t>
        </is>
      </c>
    </row>
    <row r="194">
      <c r="A194" s="420" t="inlineStr">
        <is>
          <t>Left Lane Capital</t>
        </is>
      </c>
      <c r="B194" s="420" t="inlineStr">
        <is>
          <t>Financial Investor</t>
        </is>
      </c>
      <c r="C194" s="420" t="inlineStr">
        <is>
          <t>Follow Up</t>
        </is>
      </c>
      <c r="D194" s="420" t="inlineStr">
        <is>
          <t>Tier 2</t>
        </is>
      </c>
      <c r="E194" s="420" t="n">
        <v>4</v>
      </c>
      <c r="F194" s="420" t="inlineStr">
        <is>
          <t>Dan Ahrens; Harley Miller; Jason Fiedler; Vinny Pujji</t>
        </is>
      </c>
      <c r="G194" s="420" t="inlineStr">
        <is>
          <t>dan@leftlanecap.com; harley@leftlanecap.com; jason@leftlanecap.com; vinny@leftlanecap.com</t>
        </is>
      </c>
      <c r="H194" s="440" t="n">
        <v>45861</v>
      </c>
      <c r="I194" s="440">
        <f>IF(OR(C194="Passed",H194="",ISBLANK(H194)),"",H194+7)</f>
        <v/>
      </c>
      <c r="J194" s="420">
        <f>IF(I194="","",IF(I194&lt;=TODAY(),"DUE",IF(I194&lt;=TODAY()+3,"Next 3 Days","Later")))</f>
        <v/>
      </c>
      <c r="K194" s="420" t="inlineStr">
        <is>
          <t>https://www.linkedin.com/in/dan-ahrens-bb77a337/ | https://www.linkedin.com/in/harley-miller-4aab0521/</t>
        </is>
      </c>
      <c r="L194" s="420" t="inlineStr"/>
      <c r="M194" s="420" t="inlineStr">
        <is>
          <t>12/26/2025</t>
        </is>
      </c>
    </row>
    <row r="195">
      <c r="A195" s="420" t="inlineStr">
        <is>
          <t>Level 8 Ventures</t>
        </is>
      </c>
      <c r="B195" s="420" t="inlineStr">
        <is>
          <t>Financial Investor</t>
        </is>
      </c>
      <c r="C195" s="420" t="inlineStr">
        <is>
          <t>Follow Up</t>
        </is>
      </c>
      <c r="D195" s="420" t="inlineStr">
        <is>
          <t>Tier 2</t>
        </is>
      </c>
      <c r="E195" s="420" t="n">
        <v>1</v>
      </c>
      <c r="F195" s="420" t="inlineStr">
        <is>
          <t>Séamus Hatch</t>
        </is>
      </c>
      <c r="G195" s="420" t="inlineStr">
        <is>
          <t>seamus@level8.vc</t>
        </is>
      </c>
      <c r="H195" s="440" t="n">
        <v>45973</v>
      </c>
      <c r="I195" s="440">
        <f>IF(OR(C195="Passed",H195="",ISBLANK(H195)),"",H195+7)</f>
        <v/>
      </c>
      <c r="J195" s="420">
        <f>IF(I195="","",IF(I195&lt;=TODAY(),"DUE",IF(I195&lt;=TODAY()+3,"Next 3 Days","Later")))</f>
        <v/>
      </c>
      <c r="K195" s="420" t="inlineStr">
        <is>
          <t>https://www.linkedin.com/in/seamushatch/</t>
        </is>
      </c>
      <c r="L195" s="420" t="inlineStr"/>
      <c r="M195" s="420" t="inlineStr">
        <is>
          <t>12/19/2025</t>
        </is>
      </c>
    </row>
    <row r="196">
      <c r="A196" s="420" t="inlineStr">
        <is>
          <t>Level Equity Management</t>
        </is>
      </c>
      <c r="B196" s="420" t="inlineStr">
        <is>
          <t>Financial Investor</t>
        </is>
      </c>
      <c r="C196" s="420" t="inlineStr">
        <is>
          <t>Follow Up</t>
        </is>
      </c>
      <c r="D196" s="420" t="inlineStr">
        <is>
          <t>Tier 2</t>
        </is>
      </c>
      <c r="E196" s="420" t="n">
        <v>5</v>
      </c>
      <c r="F196" s="420" t="inlineStr">
        <is>
          <t>Arthur Tingas; Benjamin Levin; Charles Chen; Daniel Zhang; Hanna Yu</t>
        </is>
      </c>
      <c r="G196" s="420" t="inlineStr">
        <is>
          <t>info@levelequity.com; atingas@levelequity.com; blevin@levelequity.com; cchen@levelequity.com; dzhang@levelequity.com</t>
        </is>
      </c>
      <c r="H196" s="440" t="n">
        <v>45922</v>
      </c>
      <c r="I196" s="440">
        <f>IF(OR(C196="Passed",H196="",ISBLANK(H196)),"",H196+7)</f>
        <v/>
      </c>
      <c r="J196" s="420">
        <f>IF(I196="","",IF(I196&lt;=TODAY(),"DUE",IF(I196&lt;=TODAY()+3,"Next 3 Days","Later")))</f>
        <v/>
      </c>
      <c r="K196" s="420" t="inlineStr"/>
      <c r="L196" s="420" t="inlineStr"/>
      <c r="M196" s="420" t="inlineStr"/>
    </row>
    <row r="197">
      <c r="A197" s="420" t="inlineStr">
        <is>
          <t>Lewis &amp; Clark</t>
        </is>
      </c>
      <c r="B197" s="420" t="inlineStr">
        <is>
          <t>Financial Investor</t>
        </is>
      </c>
      <c r="C197" s="420" t="inlineStr">
        <is>
          <t>Follow Up</t>
        </is>
      </c>
      <c r="D197" s="420" t="inlineStr">
        <is>
          <t>Tier 2</t>
        </is>
      </c>
      <c r="E197" s="420" t="n">
        <v>1</v>
      </c>
      <c r="F197" s="420" t="inlineStr">
        <is>
          <t>Brian Hopcraft</t>
        </is>
      </c>
      <c r="G197" s="420" t="inlineStr">
        <is>
          <t>brian@lacventures.com</t>
        </is>
      </c>
      <c r="H197" s="440" t="n">
        <v>45929</v>
      </c>
      <c r="I197" s="440">
        <f>IF(OR(C197="Passed",H197="",ISBLANK(H197)),"",H197+7)</f>
        <v/>
      </c>
      <c r="J197" s="420">
        <f>IF(I197="","",IF(I197&lt;=TODAY(),"DUE",IF(I197&lt;=TODAY()+3,"Next 3 Days","Later")))</f>
        <v/>
      </c>
      <c r="K197" s="420" t="inlineStr">
        <is>
          <t>https://www.linkedin.com/in/brian-hopcraft/</t>
        </is>
      </c>
      <c r="L197" s="420" t="inlineStr"/>
      <c r="M197" s="420" t="inlineStr">
        <is>
          <t>12/05/2025</t>
        </is>
      </c>
    </row>
    <row r="198">
      <c r="A198" s="420" t="inlineStr">
        <is>
          <t>Lightbank</t>
        </is>
      </c>
      <c r="B198" s="420" t="inlineStr">
        <is>
          <t>Financial Investor</t>
        </is>
      </c>
      <c r="C198" s="420" t="inlineStr">
        <is>
          <t>Follow Up</t>
        </is>
      </c>
      <c r="D198" s="420" t="inlineStr">
        <is>
          <t>Tier 2</t>
        </is>
      </c>
      <c r="E198" s="420" t="n">
        <v>1</v>
      </c>
      <c r="F198" s="420" t="inlineStr">
        <is>
          <t>Eric Ong</t>
        </is>
      </c>
      <c r="G198" s="420" t="inlineStr">
        <is>
          <t>ong@lightbank.com</t>
        </is>
      </c>
      <c r="H198" s="440" t="n">
        <v>45929</v>
      </c>
      <c r="I198" s="440">
        <f>IF(OR(C198="Passed",H198="",ISBLANK(H198)),"",H198+7)</f>
        <v/>
      </c>
      <c r="J198" s="420">
        <f>IF(I198="","",IF(I198&lt;=TODAY(),"DUE",IF(I198&lt;=TODAY()+3,"Next 3 Days","Later")))</f>
        <v/>
      </c>
      <c r="K198" s="420" t="inlineStr">
        <is>
          <t>https://www.linkedin.com/in/eric0ng/</t>
        </is>
      </c>
      <c r="L198" s="420" t="inlineStr"/>
      <c r="M198" s="420" t="inlineStr">
        <is>
          <t>12/05/2025</t>
        </is>
      </c>
    </row>
    <row r="199">
      <c r="A199" s="420" t="inlineStr">
        <is>
          <t>Lightspeed Venture Partners</t>
        </is>
      </c>
      <c r="B199" s="420" t="inlineStr">
        <is>
          <t>Financial Investor</t>
        </is>
      </c>
      <c r="C199" s="420" t="inlineStr">
        <is>
          <t>Follow Up</t>
        </is>
      </c>
      <c r="D199" s="420" t="inlineStr">
        <is>
          <t>Tier 2</t>
        </is>
      </c>
      <c r="E199" s="420" t="n">
        <v>3</v>
      </c>
      <c r="F199" s="420" t="inlineStr">
        <is>
          <t>Anoushka Vaswani; Nicole Neumarker; Samer Hamadeh</t>
        </is>
      </c>
      <c r="G199" s="420" t="inlineStr">
        <is>
          <t>anoushka@lsvp.com; nicole.neumarker@lsvp.com; samer@lsvp.com</t>
        </is>
      </c>
      <c r="H199" s="440" t="n">
        <v>45985</v>
      </c>
      <c r="I199" s="440">
        <f>IF(OR(C199="Passed",H199="",ISBLANK(H199)),"",H199+7)</f>
        <v/>
      </c>
      <c r="J199" s="420">
        <f>IF(I199="","",IF(I199&lt;=TODAY(),"DUE",IF(I199&lt;=TODAY()+3,"Next 3 Days","Later")))</f>
        <v/>
      </c>
      <c r="K199" s="420" t="inlineStr">
        <is>
          <t>https://www.linkedin.com/in/anoushka-vaswani-aa330017/ | https://www.linkedin.com/in/neumarker/</t>
        </is>
      </c>
      <c r="L199" s="420" t="inlineStr"/>
      <c r="M199" s="420" t="inlineStr">
        <is>
          <t>01/14/2026</t>
        </is>
      </c>
    </row>
    <row r="200">
      <c r="A200" s="420" t="inlineStr">
        <is>
          <t>Liquid 2 Ventures</t>
        </is>
      </c>
      <c r="B200" s="420" t="inlineStr">
        <is>
          <t>Financial Investor</t>
        </is>
      </c>
      <c r="C200" s="420" t="inlineStr">
        <is>
          <t>Follow Up</t>
        </is>
      </c>
      <c r="D200" s="420" t="inlineStr">
        <is>
          <t>Tier 2</t>
        </is>
      </c>
      <c r="E200" s="420" t="n">
        <v>5</v>
      </c>
      <c r="F200" s="420" t="inlineStr">
        <is>
          <t>Joe Montana; Matthew Mulvey; Michael Ma; Mike Miller; Nathaniel Montana</t>
        </is>
      </c>
      <c r="G200" s="420" t="inlineStr">
        <is>
          <t>joe@liquid2.vc; matt@liquid2.vc; mm@liquid2.vc; mlm@liquid2.vc; nate@liquid2.vc</t>
        </is>
      </c>
      <c r="H200" s="440" t="n">
        <v>45973</v>
      </c>
      <c r="I200" s="440">
        <f>IF(OR(C200="Passed",H200="",ISBLANK(H200)),"",H200+7)</f>
        <v/>
      </c>
      <c r="J200" s="420">
        <f>IF(I200="","",IF(I200&lt;=TODAY(),"DUE",IF(I200&lt;=TODAY()+3,"Next 3 Days","Later")))</f>
        <v/>
      </c>
      <c r="K200" s="420" t="inlineStr">
        <is>
          <t>https://www.linkedin.com/in/joe-montana-464701b/ | https://www.linkedin.com/in/mattmulvey/</t>
        </is>
      </c>
      <c r="L200" s="420" t="inlineStr"/>
      <c r="M200" s="420" t="inlineStr">
        <is>
          <t>12/15/2025 | 12/08/2025</t>
        </is>
      </c>
    </row>
    <row r="201">
      <c r="A201" s="425" t="inlineStr">
        <is>
          <t>Listen Ventures</t>
        </is>
      </c>
      <c r="B201" s="425" t="inlineStr">
        <is>
          <t>Financial Investor</t>
        </is>
      </c>
      <c r="C201" s="425" t="inlineStr">
        <is>
          <t>Follow Up</t>
        </is>
      </c>
      <c r="D201" s="425" t="inlineStr">
        <is>
          <t>Tier 2</t>
        </is>
      </c>
      <c r="E201" s="425" t="n">
        <v>1</v>
      </c>
      <c r="F201" s="425" t="inlineStr">
        <is>
          <t>Rick Desai</t>
        </is>
      </c>
      <c r="G201" s="425" t="inlineStr">
        <is>
          <t>rick@listen.co</t>
        </is>
      </c>
      <c r="H201" s="441" t="n">
        <v>45972</v>
      </c>
      <c r="I201" s="441">
        <f>IF(OR(C201="Passed",H201="",ISBLANK(H201)),"",H201+7)</f>
        <v/>
      </c>
      <c r="J201" s="425">
        <f>IF(I201="","",IF(I201&lt;=TODAY(),"DUE",IF(I201&lt;=TODAY()+3,"Next 3 Days","Later")))</f>
        <v/>
      </c>
      <c r="K201" s="425" t="inlineStr">
        <is>
          <t>https://www.linkedin.com/in/rickpdesai/</t>
        </is>
      </c>
      <c r="L201" s="425" t="inlineStr"/>
      <c r="M201" s="425" t="inlineStr">
        <is>
          <t>12/05/2025</t>
        </is>
      </c>
    </row>
    <row r="202">
      <c r="A202" s="425" t="inlineStr">
        <is>
          <t>Live Oak VC</t>
        </is>
      </c>
      <c r="B202" s="425" t="inlineStr">
        <is>
          <t>Financial Investor</t>
        </is>
      </c>
      <c r="C202" s="425" t="inlineStr">
        <is>
          <t>Follow Up</t>
        </is>
      </c>
      <c r="D202" s="425" t="inlineStr">
        <is>
          <t>Tier 2</t>
        </is>
      </c>
      <c r="E202" s="425" t="n">
        <v>5</v>
      </c>
      <c r="F202" s="425" t="inlineStr">
        <is>
          <t>Creighton Hicks; David Stewart; Krishna Srinivasan; Mike Marcantonio; Venu Shamapant</t>
        </is>
      </c>
      <c r="G202" s="425" t="inlineStr">
        <is>
          <t>creighton@liveoakvp.com; david@liveoakvp.com; krishna@liveoakvp.com; mike@liveoakvp.com; venu@liveoakvp.com</t>
        </is>
      </c>
      <c r="H202" s="441" t="n">
        <v>45924</v>
      </c>
      <c r="I202" s="441">
        <f>IF(OR(C202="Passed",H202="",ISBLANK(H202)),"",H202+7)</f>
        <v/>
      </c>
      <c r="J202" s="425">
        <f>IF(I202="","",IF(I202&lt;=TODAY(),"DUE",IF(I202&lt;=TODAY()+3,"Next 3 Days","Later")))</f>
        <v/>
      </c>
      <c r="K202" s="425" t="inlineStr">
        <is>
          <t>linkedin.com/in/creightonhicks | linkedin.com/in/stewartdavid</t>
        </is>
      </c>
      <c r="L202" s="425" t="inlineStr"/>
      <c r="M202" s="425" t="inlineStr">
        <is>
          <t>12/04/2025</t>
        </is>
      </c>
    </row>
    <row r="203">
      <c r="A203" s="425" t="inlineStr">
        <is>
          <t>Longitude Capital</t>
        </is>
      </c>
      <c r="B203" s="425" t="inlineStr">
        <is>
          <t>Financial Investor</t>
        </is>
      </c>
      <c r="C203" s="425" t="inlineStr">
        <is>
          <t>Follow Up</t>
        </is>
      </c>
      <c r="D203" s="425" t="inlineStr">
        <is>
          <t>Tier 2</t>
        </is>
      </c>
      <c r="E203" s="425" t="n">
        <v>7</v>
      </c>
      <c r="F203" s="425" t="inlineStr">
        <is>
          <t>Bethany Chen; Juliet Tammenoms Bakker; Marc-Henri Galetti; Matthew Young; Patrick G. Enright</t>
        </is>
      </c>
      <c r="G203" s="425" t="inlineStr">
        <is>
          <t>bchen@longitudecapital.com; jbakker@longitudecapital.com; mgalletti@longitudecapital.com; myoung@longitudecapital.com; penright@longitudecapital.com</t>
        </is>
      </c>
      <c r="H203" s="441" t="n">
        <v>46036</v>
      </c>
      <c r="I203" s="441">
        <f>IF(OR(C203="Passed",H203="",ISBLANK(H203)),"",H203+7)</f>
        <v/>
      </c>
      <c r="J203" s="425">
        <f>IF(I203="","",IF(I203&lt;=TODAY(),"DUE",IF(I203&lt;=TODAY()+3,"Next 3 Days","Later")))</f>
        <v/>
      </c>
      <c r="K203" s="425" t="inlineStr">
        <is>
          <t>linkedin.com/in/bethany-chen | https://www.linkedin.com/in/juliet-tammenoms-bakker-2a8a6240/</t>
        </is>
      </c>
      <c r="L203" s="425" t="inlineStr"/>
      <c r="M203" s="425" t="inlineStr">
        <is>
          <t>12/26/2025</t>
        </is>
      </c>
    </row>
    <row r="204">
      <c r="A204" s="425" t="inlineStr">
        <is>
          <t>Loud Capital</t>
        </is>
      </c>
      <c r="B204" s="425" t="inlineStr">
        <is>
          <t>Financial Investor</t>
        </is>
      </c>
      <c r="C204" s="425" t="inlineStr">
        <is>
          <t>Follow Up</t>
        </is>
      </c>
      <c r="D204" s="425" t="inlineStr">
        <is>
          <t>Tier 2</t>
        </is>
      </c>
      <c r="E204" s="425" t="n">
        <v>1</v>
      </c>
      <c r="F204" s="425" t="inlineStr">
        <is>
          <t>Darshan Vyas</t>
        </is>
      </c>
      <c r="G204" s="425" t="inlineStr">
        <is>
          <t>darshan@loud.vc</t>
        </is>
      </c>
      <c r="H204" s="441" t="n">
        <v>45929</v>
      </c>
      <c r="I204" s="441">
        <f>IF(OR(C204="Passed",H204="",ISBLANK(H204)),"",H204+7)</f>
        <v/>
      </c>
      <c r="J204" s="425">
        <f>IF(I204="","",IF(I204&lt;=TODAY(),"DUE",IF(I204&lt;=TODAY()+3,"Next 3 Days","Later")))</f>
        <v/>
      </c>
      <c r="K204" s="425" t="inlineStr">
        <is>
          <t>https://www.linkedin.com/in/darshan-vyas-02316426/</t>
        </is>
      </c>
      <c r="L204" s="425" t="inlineStr"/>
      <c r="M204" s="425" t="inlineStr">
        <is>
          <t>12/05/2025</t>
        </is>
      </c>
    </row>
    <row r="205">
      <c r="A205" s="425" t="inlineStr">
        <is>
          <t>Lux Capital</t>
        </is>
      </c>
      <c r="B205" s="425" t="inlineStr">
        <is>
          <t>Financial Investor</t>
        </is>
      </c>
      <c r="C205" s="425" t="inlineStr">
        <is>
          <t>Follow Up</t>
        </is>
      </c>
      <c r="D205" s="425" t="inlineStr">
        <is>
          <t>Tier 2</t>
        </is>
      </c>
      <c r="E205" s="425" t="n">
        <v>5</v>
      </c>
      <c r="F205" s="425" t="inlineStr">
        <is>
          <t>Brandon Reeves; Deena Shakir; Josh Wolfe; Lan Jiang; Peter Hebert</t>
        </is>
      </c>
      <c r="G205" s="425" t="inlineStr">
        <is>
          <t>brandon.reeves@luxcapital.com; deena.shakir@luxcapital.com; josh.wolfe@luxcapital.com; lan.jiang@luxcapital.com; peter.hebert@luxcapital.com</t>
        </is>
      </c>
      <c r="H205" s="441" t="n">
        <v>45972</v>
      </c>
      <c r="I205" s="441">
        <f>IF(OR(C205="Passed",H205="",ISBLANK(H205)),"",H205+7)</f>
        <v/>
      </c>
      <c r="J205" s="425">
        <f>IF(I205="","",IF(I205&lt;=TODAY(),"DUE",IF(I205&lt;=TODAY()+3,"Next 3 Days","Later")))</f>
        <v/>
      </c>
      <c r="K205" s="425" t="inlineStr">
        <is>
          <t>linkedin.com/in/brandonreeves1 | linkedin.com/in/deenashakir</t>
        </is>
      </c>
      <c r="L205" s="425" t="inlineStr"/>
      <c r="M205" s="425" t="inlineStr">
        <is>
          <t>12/05/2025</t>
        </is>
      </c>
    </row>
    <row r="206">
      <c r="A206" s="425" t="inlineStr">
        <is>
          <t>Lythical Ventures</t>
        </is>
      </c>
      <c r="B206" s="425" t="inlineStr">
        <is>
          <t>Financial Investor</t>
        </is>
      </c>
      <c r="C206" s="425" t="inlineStr">
        <is>
          <t>Follow Up</t>
        </is>
      </c>
      <c r="D206" s="425" t="inlineStr">
        <is>
          <t>Tier 2</t>
        </is>
      </c>
      <c r="E206" s="425" t="n">
        <v>4</v>
      </c>
      <c r="F206" s="425" t="inlineStr">
        <is>
          <t>Craig Lifschutz; Graham Carroll; Lucas Nelson; Steve Berg</t>
        </is>
      </c>
      <c r="G206" s="425" t="inlineStr">
        <is>
          <t>craig@lyticalventures.com; graham@lyticalventures.com; lucas@lyticalventures.com; steve@lyticalventures.com</t>
        </is>
      </c>
      <c r="H206" s="441" t="n">
        <v>45973</v>
      </c>
      <c r="I206" s="441">
        <f>IF(OR(C206="Passed",H206="",ISBLANK(H206)),"",H206+7)</f>
        <v/>
      </c>
      <c r="J206" s="425">
        <f>IF(I206="","",IF(I206&lt;=TODAY(),"DUE",IF(I206&lt;=TODAY()+3,"Next 3 Days","Later")))</f>
        <v/>
      </c>
      <c r="K206" s="425" t="inlineStr">
        <is>
          <t>https://www.linkedin.com/in/craiglifschutz/ | https://www.linkedin.com/in/carroll1/</t>
        </is>
      </c>
      <c r="L206" s="425" t="inlineStr"/>
      <c r="M206" s="425" t="inlineStr">
        <is>
          <t>12/30/2025</t>
        </is>
      </c>
    </row>
    <row r="207">
      <c r="A207" s="425" t="inlineStr">
        <is>
          <t>M Capital Group</t>
        </is>
      </c>
      <c r="B207" s="425" t="inlineStr">
        <is>
          <t>Financial Investor</t>
        </is>
      </c>
      <c r="C207" s="425" t="inlineStr">
        <is>
          <t>Follow Up</t>
        </is>
      </c>
      <c r="D207" s="425" t="inlineStr">
        <is>
          <t>Tier 2</t>
        </is>
      </c>
      <c r="E207" s="425" t="n">
        <v>1</v>
      </c>
      <c r="F207" s="425" t="inlineStr">
        <is>
          <t>Christian Mouchbahani</t>
        </is>
      </c>
      <c r="G207" s="425" t="inlineStr">
        <is>
          <t>rhobin@mcapital-group.com</t>
        </is>
      </c>
      <c r="H207" s="425" t="n"/>
      <c r="I207" s="441">
        <f>IF(OR(C207="Passed",H207="",ISBLANK(H207)),"",H207+7)</f>
        <v/>
      </c>
      <c r="J207" s="425">
        <f>IF(I207="","",IF(I207&lt;=TODAY(),"DUE",IF(I207&lt;=TODAY()+3,"Next 3 Days","Later")))</f>
        <v/>
      </c>
      <c r="K207" s="425" t="inlineStr"/>
      <c r="L207" s="425" t="inlineStr"/>
      <c r="M207" s="425" t="inlineStr">
        <is>
          <t>materials sent / no follow up</t>
        </is>
      </c>
    </row>
    <row r="208">
      <c r="A208" s="425" t="inlineStr">
        <is>
          <t>M25</t>
        </is>
      </c>
      <c r="B208" s="425" t="inlineStr">
        <is>
          <t>Financial Investor</t>
        </is>
      </c>
      <c r="C208" s="425" t="inlineStr">
        <is>
          <t>Follow Up</t>
        </is>
      </c>
      <c r="D208" s="425" t="inlineStr">
        <is>
          <t>Tier 2</t>
        </is>
      </c>
      <c r="E208" s="425" t="n">
        <v>1</v>
      </c>
      <c r="F208" s="425" t="inlineStr">
        <is>
          <t>Abhinaya Konduru</t>
        </is>
      </c>
      <c r="G208" s="425" t="inlineStr">
        <is>
          <t>abhinaya@m25vc.com</t>
        </is>
      </c>
      <c r="H208" s="441" t="n">
        <v>45929</v>
      </c>
      <c r="I208" s="441">
        <f>IF(OR(C208="Passed",H208="",ISBLANK(H208)),"",H208+7)</f>
        <v/>
      </c>
      <c r="J208" s="425">
        <f>IF(I208="","",IF(I208&lt;=TODAY(),"DUE",IF(I208&lt;=TODAY()+3,"Next 3 Days","Later")))</f>
        <v/>
      </c>
      <c r="K208" s="425" t="inlineStr">
        <is>
          <t>https://www.linkedin.com/in/itsabhinaya/</t>
        </is>
      </c>
      <c r="L208" s="425" t="inlineStr"/>
      <c r="M208" s="425" t="inlineStr"/>
    </row>
    <row r="209">
      <c r="A209" s="425" t="inlineStr">
        <is>
          <t>MATH Venture Partners</t>
        </is>
      </c>
      <c r="B209" s="425" t="inlineStr">
        <is>
          <t>Financial Investor</t>
        </is>
      </c>
      <c r="C209" s="425" t="inlineStr">
        <is>
          <t>Follow Up</t>
        </is>
      </c>
      <c r="D209" s="425" t="inlineStr">
        <is>
          <t>Tier 2</t>
        </is>
      </c>
      <c r="E209" s="425" t="n">
        <v>1</v>
      </c>
      <c r="F209" s="425" t="inlineStr">
        <is>
          <t>Mark Achler</t>
        </is>
      </c>
      <c r="G209" s="425" t="inlineStr">
        <is>
          <t>mark.achler@mathventurepartners.com</t>
        </is>
      </c>
      <c r="H209" s="441" t="n">
        <v>45929</v>
      </c>
      <c r="I209" s="441">
        <f>IF(OR(C209="Passed",H209="",ISBLANK(H209)),"",H209+7)</f>
        <v/>
      </c>
      <c r="J209" s="425">
        <f>IF(I209="","",IF(I209&lt;=TODAY(),"DUE",IF(I209&lt;=TODAY()+3,"Next 3 Days","Later")))</f>
        <v/>
      </c>
      <c r="K209" s="425" t="inlineStr">
        <is>
          <t>https://www.linkedin.com/in/markachler/</t>
        </is>
      </c>
      <c r="L209" s="425" t="inlineStr"/>
      <c r="M209" s="425" t="inlineStr">
        <is>
          <t>12/05/2025</t>
        </is>
      </c>
    </row>
    <row r="210">
      <c r="A210" s="425" t="inlineStr">
        <is>
          <t>Managing Director</t>
        </is>
      </c>
      <c r="B210" s="425" t="inlineStr">
        <is>
          <t>Financial Investor</t>
        </is>
      </c>
      <c r="C210" s="425" t="inlineStr">
        <is>
          <t>Follow Up</t>
        </is>
      </c>
      <c r="D210" s="425" t="inlineStr">
        <is>
          <t>Tier 2</t>
        </is>
      </c>
      <c r="E210" s="425" t="n">
        <v>1</v>
      </c>
      <c r="F210" s="425" t="inlineStr">
        <is>
          <t>Neil Bansal</t>
        </is>
      </c>
      <c r="G210" s="425" t="inlineStr">
        <is>
          <t>nbansal@omers.com</t>
        </is>
      </c>
      <c r="H210" s="441" t="n">
        <v>46037</v>
      </c>
      <c r="I210" s="441">
        <f>IF(OR(C210="Passed",H210="",ISBLANK(H210)),"",H210+7)</f>
        <v/>
      </c>
      <c r="J210" s="425">
        <f>IF(I210="","",IF(I210&lt;=TODAY(),"DUE",IF(I210&lt;=TODAY()+3,"Next 3 Days","Later")))</f>
        <v/>
      </c>
      <c r="K210" s="425" t="inlineStr">
        <is>
          <t>https://www.linkedin.com/in/neilbansal/</t>
        </is>
      </c>
      <c r="L210" s="425" t="inlineStr"/>
      <c r="M210" s="425" t="inlineStr"/>
    </row>
    <row r="211">
      <c r="A211" s="425" t="inlineStr">
        <is>
          <t>Managing Director PE Multi-Managers</t>
        </is>
      </c>
      <c r="B211" s="425" t="inlineStr">
        <is>
          <t>Financial Investor</t>
        </is>
      </c>
      <c r="C211" s="425" t="inlineStr">
        <is>
          <t>Follow Up</t>
        </is>
      </c>
      <c r="D211" s="425" t="inlineStr">
        <is>
          <t>Tier 2</t>
        </is>
      </c>
      <c r="E211" s="425" t="n">
        <v>1</v>
      </c>
      <c r="F211" s="425" t="inlineStr">
        <is>
          <t>Jean-Philippe Richaud</t>
        </is>
      </c>
      <c r="G211" s="425" t="inlineStr">
        <is>
          <t>jrichaud@swen-cp.fr</t>
        </is>
      </c>
      <c r="H211" s="441" t="n">
        <v>46036</v>
      </c>
      <c r="I211" s="441">
        <f>IF(OR(C211="Passed",H211="",ISBLANK(H211)),"",H211+7)</f>
        <v/>
      </c>
      <c r="J211" s="425">
        <f>IF(I211="","",IF(I211&lt;=TODAY(),"DUE",IF(I211&lt;=TODAY()+3,"Next 3 Days","Later")))</f>
        <v/>
      </c>
      <c r="K211" s="425" t="inlineStr">
        <is>
          <t>linkedin.com/in/jean-philippe-richaud</t>
        </is>
      </c>
      <c r="L211" s="425" t="inlineStr"/>
      <c r="M211" s="425" t="inlineStr"/>
    </row>
    <row r="212">
      <c r="A212" s="425" t="inlineStr">
        <is>
          <t>Managing Director at SWEN Capital Partners</t>
        </is>
      </c>
      <c r="B212" s="425" t="inlineStr">
        <is>
          <t>Financial Investor</t>
        </is>
      </c>
      <c r="C212" s="425" t="inlineStr">
        <is>
          <t>Follow Up</t>
        </is>
      </c>
      <c r="D212" s="425" t="inlineStr">
        <is>
          <t>Tier 2</t>
        </is>
      </c>
      <c r="E212" s="425" t="n">
        <v>1</v>
      </c>
      <c r="F212" s="425" t="inlineStr">
        <is>
          <t>Diego Felipe Aponte Vargas</t>
        </is>
      </c>
      <c r="G212" s="425" t="inlineStr">
        <is>
          <t>dapontevargas@swen-cp.fr</t>
        </is>
      </c>
      <c r="H212" s="441" t="n">
        <v>46037</v>
      </c>
      <c r="I212" s="441">
        <f>IF(OR(C212="Passed",H212="",ISBLANK(H212)),"",H212+7)</f>
        <v/>
      </c>
      <c r="J212" s="425">
        <f>IF(I212="","",IF(I212&lt;=TODAY(),"DUE",IF(I212&lt;=TODAY()+3,"Next 3 Days","Later")))</f>
        <v/>
      </c>
      <c r="K212" s="425" t="inlineStr">
        <is>
          <t>linkedin.com/in/diegoaponte</t>
        </is>
      </c>
      <c r="L212" s="425" t="inlineStr"/>
      <c r="M212" s="425" t="inlineStr"/>
    </row>
    <row r="213">
      <c r="A213" s="425" t="inlineStr">
        <is>
          <t>Managing Director chez Swen Capital Partners</t>
        </is>
      </c>
      <c r="B213" s="425" t="inlineStr">
        <is>
          <t>Financial Investor</t>
        </is>
      </c>
      <c r="C213" s="425" t="inlineStr">
        <is>
          <t>Follow Up</t>
        </is>
      </c>
      <c r="D213" s="425" t="inlineStr">
        <is>
          <t>Tier 2</t>
        </is>
      </c>
      <c r="E213" s="425" t="n">
        <v>1</v>
      </c>
      <c r="F213" s="425" t="inlineStr">
        <is>
          <t>Laurent Ghilardi</t>
        </is>
      </c>
      <c r="G213" s="425" t="inlineStr">
        <is>
          <t>lghilardi@swen-cp.fr</t>
        </is>
      </c>
      <c r="H213" s="441" t="n">
        <v>46037</v>
      </c>
      <c r="I213" s="441">
        <f>IF(OR(C213="Passed",H213="",ISBLANK(H213)),"",H213+7)</f>
        <v/>
      </c>
      <c r="J213" s="425">
        <f>IF(I213="","",IF(I213&lt;=TODAY(),"DUE",IF(I213&lt;=TODAY()+3,"Next 3 Days","Later")))</f>
        <v/>
      </c>
      <c r="K213" s="425" t="inlineStr">
        <is>
          <t>linkedin.com/in/laurentghilardi</t>
        </is>
      </c>
      <c r="L213" s="425" t="inlineStr"/>
      <c r="M213" s="425" t="inlineStr"/>
    </row>
    <row r="214">
      <c r="A214" s="425" t="inlineStr">
        <is>
          <t>Managing General Partner</t>
        </is>
      </c>
      <c r="B214" s="425" t="inlineStr">
        <is>
          <t>Financial Investor</t>
        </is>
      </c>
      <c r="C214" s="425" t="inlineStr">
        <is>
          <t>Follow Up</t>
        </is>
      </c>
      <c r="D214" s="425" t="inlineStr">
        <is>
          <t>Tier 2</t>
        </is>
      </c>
      <c r="E214" s="425" t="n">
        <v>1</v>
      </c>
      <c r="F214" s="425" t="inlineStr">
        <is>
          <t>Patrick Hennings-Huep</t>
        </is>
      </c>
      <c r="G214" s="425" t="inlineStr">
        <is>
          <t>henningshuep@bo4.de</t>
        </is>
      </c>
      <c r="H214" s="441" t="n">
        <v>46037</v>
      </c>
      <c r="I214" s="441">
        <f>IF(OR(C214="Passed",H214="",ISBLANK(H214)),"",H214+7)</f>
        <v/>
      </c>
      <c r="J214" s="425">
        <f>IF(I214="","",IF(I214&lt;=TODAY(),"DUE",IF(I214&lt;=TODAY()+3,"Next 3 Days","Later")))</f>
        <v/>
      </c>
      <c r="K214" s="425" t="inlineStr">
        <is>
          <t>linkedin.com/in/patrick-hennings-huep-a8a758a0</t>
        </is>
      </c>
      <c r="L214" s="425" t="inlineStr"/>
      <c r="M214" s="425" t="inlineStr"/>
    </row>
    <row r="215">
      <c r="A215" s="425" t="inlineStr">
        <is>
          <t>Managing Partner</t>
        </is>
      </c>
      <c r="B215" s="425" t="inlineStr">
        <is>
          <t>Financial Investor</t>
        </is>
      </c>
      <c r="C215" s="425" t="inlineStr">
        <is>
          <t>Follow Up</t>
        </is>
      </c>
      <c r="D215" s="425" t="inlineStr">
        <is>
          <t>Tier 2</t>
        </is>
      </c>
      <c r="E215" s="425" t="n">
        <v>1</v>
      </c>
      <c r="F215" s="425" t="inlineStr">
        <is>
          <t>Max Almodovar</t>
        </is>
      </c>
      <c r="G215" s="425" t="inlineStr">
        <is>
          <t>max.almodovar@trilantic.com</t>
        </is>
      </c>
      <c r="H215" s="441" t="n">
        <v>46037</v>
      </c>
      <c r="I215" s="441">
        <f>IF(OR(C215="Passed",H215="",ISBLANK(H215)),"",H215+7)</f>
        <v/>
      </c>
      <c r="J215" s="425">
        <f>IF(I215="","",IF(I215&lt;=TODAY(),"DUE",IF(I215&lt;=TODAY()+3,"Next 3 Days","Later")))</f>
        <v/>
      </c>
      <c r="K215" s="425" t="inlineStr">
        <is>
          <t>https://www.linkedin.com/in/max-almodovar-04676a63/</t>
        </is>
      </c>
      <c r="L215" s="425" t="inlineStr"/>
      <c r="M215" s="425" t="inlineStr"/>
    </row>
    <row r="216">
      <c r="A216" s="425" t="inlineStr">
        <is>
          <t>MarlinSpike</t>
        </is>
      </c>
      <c r="B216" s="425" t="inlineStr">
        <is>
          <t>Financial Investor</t>
        </is>
      </c>
      <c r="C216" s="425" t="inlineStr">
        <is>
          <t>Follow Up</t>
        </is>
      </c>
      <c r="D216" s="425" t="inlineStr">
        <is>
          <t>Tier 2</t>
        </is>
      </c>
      <c r="E216" s="425" t="n">
        <v>5</v>
      </c>
      <c r="F216" s="425" t="inlineStr">
        <is>
          <t>Mislav Tolusic; Neil Keegan; Nick Snoad; Paul Haddock; Tim Buzby</t>
        </is>
      </c>
      <c r="G216" s="425" t="inlineStr">
        <is>
          <t>mt@marlinspike.us; neil@marlinspike.us; nick@marlinspike.us; paul.haddock888@gmail.com; tim@marlinspike.us</t>
        </is>
      </c>
      <c r="H216" s="441" t="n">
        <v>46031</v>
      </c>
      <c r="I216" s="441">
        <f>IF(OR(C216="Passed",H216="",ISBLANK(H216)),"",H216+7)</f>
        <v/>
      </c>
      <c r="J216" s="425">
        <f>IF(I216="","",IF(I216&lt;=TODAY(),"DUE",IF(I216&lt;=TODAY()+3,"Next 3 Days","Later")))</f>
        <v/>
      </c>
      <c r="K216" s="425" t="inlineStr">
        <is>
          <t>https://www.linkedin.com/in/mislav-tolusic-525a58/ | https://www.linkedin.com/in/neil-keegan-7a845866/</t>
        </is>
      </c>
      <c r="L216" s="425" t="inlineStr"/>
      <c r="M216" s="425" t="inlineStr">
        <is>
          <t>02/26/2026</t>
        </is>
      </c>
    </row>
    <row r="217">
      <c r="A217" s="425" t="inlineStr">
        <is>
          <t>Massive VC</t>
        </is>
      </c>
      <c r="B217" s="425" t="inlineStr">
        <is>
          <t>Financial Investor</t>
        </is>
      </c>
      <c r="C217" s="425" t="inlineStr">
        <is>
          <t>Follow Up</t>
        </is>
      </c>
      <c r="D217" s="425" t="inlineStr">
        <is>
          <t>Tier 2</t>
        </is>
      </c>
      <c r="E217" s="425" t="n">
        <v>3</v>
      </c>
      <c r="F217" s="425" t="inlineStr">
        <is>
          <t>Ari Newman; David Mandell; Maggie Rodney</t>
        </is>
      </c>
      <c r="G217" s="425" t="inlineStr">
        <is>
          <t>ari@massive.vc; david@massive.vc; maggie@massive.vc</t>
        </is>
      </c>
      <c r="H217" s="441" t="n">
        <v>45973</v>
      </c>
      <c r="I217" s="441">
        <f>IF(OR(C217="Passed",H217="",ISBLANK(H217)),"",H217+7)</f>
        <v/>
      </c>
      <c r="J217" s="425">
        <f>IF(I217="","",IF(I217&lt;=TODAY(),"DUE",IF(I217&lt;=TODAY()+3,"Next 3 Days","Later")))</f>
        <v/>
      </c>
      <c r="K217" s="425" t="inlineStr">
        <is>
          <t>https://www.linkedin.com/in/arinewman/ | https://www.linkedin.com/in/davidgmandell/</t>
        </is>
      </c>
      <c r="L217" s="425" t="inlineStr"/>
      <c r="M217" s="425" t="inlineStr">
        <is>
          <t>12/15/2025</t>
        </is>
      </c>
    </row>
    <row r="218">
      <c r="A218" s="425" t="inlineStr">
        <is>
          <t>Matchstick Ventures</t>
        </is>
      </c>
      <c r="B218" s="425" t="inlineStr">
        <is>
          <t>Financial Investor</t>
        </is>
      </c>
      <c r="C218" s="425" t="inlineStr">
        <is>
          <t>Follow Up</t>
        </is>
      </c>
      <c r="D218" s="425" t="inlineStr">
        <is>
          <t>Tier 2</t>
        </is>
      </c>
      <c r="E218" s="425" t="n">
        <v>1</v>
      </c>
      <c r="F218" s="425" t="inlineStr">
        <is>
          <t>Ryan Broshar</t>
        </is>
      </c>
      <c r="G218" s="425" t="inlineStr">
        <is>
          <t>ryan@matchstick.vc</t>
        </is>
      </c>
      <c r="H218" s="441" t="n">
        <v>45929</v>
      </c>
      <c r="I218" s="441">
        <f>IF(OR(C218="Passed",H218="",ISBLANK(H218)),"",H218+7)</f>
        <v/>
      </c>
      <c r="J218" s="425">
        <f>IF(I218="","",IF(I218&lt;=TODAY(),"DUE",IF(I218&lt;=TODAY()+3,"Next 3 Days","Later")))</f>
        <v/>
      </c>
      <c r="K218" s="425" t="inlineStr">
        <is>
          <t>https://www.linkedin.com/in/ryanbroshar/</t>
        </is>
      </c>
      <c r="L218" s="425" t="inlineStr"/>
      <c r="M218" s="425" t="inlineStr">
        <is>
          <t>12/05/2025</t>
        </is>
      </c>
    </row>
    <row r="219">
      <c r="A219" s="425" t="inlineStr">
        <is>
          <t>Matrix Partners</t>
        </is>
      </c>
      <c r="B219" s="425" t="inlineStr">
        <is>
          <t>Financial Investor</t>
        </is>
      </c>
      <c r="C219" s="425" t="inlineStr">
        <is>
          <t>Follow Up</t>
        </is>
      </c>
      <c r="D219" s="425" t="inlineStr">
        <is>
          <t>Tier 2</t>
        </is>
      </c>
      <c r="E219" s="425" t="n">
        <v>4</v>
      </c>
      <c r="F219" s="425" t="inlineStr">
        <is>
          <t>Dana Stalder; Ilya Sukhar; Kojo Osei; Stan Reiss</t>
        </is>
      </c>
      <c r="G219" s="425" t="inlineStr">
        <is>
          <t>dana@matrix.vc; ilya@matrix.vc; kojo@matrix.vc; stan@matrix.vc</t>
        </is>
      </c>
      <c r="H219" s="441" t="n">
        <v>45841</v>
      </c>
      <c r="I219" s="441">
        <f>IF(OR(C219="Passed",H219="",ISBLANK(H219)),"",H219+7)</f>
        <v/>
      </c>
      <c r="J219" s="425">
        <f>IF(I219="","",IF(I219&lt;=TODAY(),"DUE",IF(I219&lt;=TODAY()+3,"Next 3 Days","Later")))</f>
        <v/>
      </c>
      <c r="K219" s="425" t="inlineStr">
        <is>
          <t>https://www.linkedin.com/in/dcstalder/ | https://www.linkedin.com/in/ilyasukhar/</t>
        </is>
      </c>
      <c r="L219" s="425" t="inlineStr"/>
      <c r="M219" s="425" t="inlineStr"/>
    </row>
    <row r="220">
      <c r="A220" s="425" t="inlineStr">
        <is>
          <t>Maveron</t>
        </is>
      </c>
      <c r="B220" s="425" t="inlineStr">
        <is>
          <t>Financial Investor</t>
        </is>
      </c>
      <c r="C220" s="425" t="inlineStr">
        <is>
          <t>Follow Up</t>
        </is>
      </c>
      <c r="D220" s="425" t="inlineStr">
        <is>
          <t>Tier 2</t>
        </is>
      </c>
      <c r="E220" s="425" t="n">
        <v>1</v>
      </c>
      <c r="F220" s="425" t="inlineStr">
        <is>
          <t>Dan Levitan</t>
        </is>
      </c>
      <c r="G220" s="425" t="inlineStr">
        <is>
          <t>dlevitan@maveron.com</t>
        </is>
      </c>
      <c r="H220" s="441" t="n">
        <v>45841</v>
      </c>
      <c r="I220" s="441">
        <f>IF(OR(C220="Passed",H220="",ISBLANK(H220)),"",H220+7)</f>
        <v/>
      </c>
      <c r="J220" s="425">
        <f>IF(I220="","",IF(I220&lt;=TODAY(),"DUE",IF(I220&lt;=TODAY()+3,"Next 3 Days","Later")))</f>
        <v/>
      </c>
      <c r="K220" s="425" t="inlineStr">
        <is>
          <t>https://www.linkedin.com/in/dlevitan/</t>
        </is>
      </c>
      <c r="L220" s="425" t="inlineStr"/>
      <c r="M220" s="425" t="inlineStr">
        <is>
          <t>out of office till 6/15</t>
        </is>
      </c>
    </row>
    <row r="221">
      <c r="A221" s="425" t="inlineStr">
        <is>
          <t>McKesson Ventures</t>
        </is>
      </c>
      <c r="B221" s="425" t="inlineStr">
        <is>
          <t>Financial Investor</t>
        </is>
      </c>
      <c r="C221" s="425" t="inlineStr">
        <is>
          <t>Follow Up</t>
        </is>
      </c>
      <c r="D221" s="425" t="inlineStr">
        <is>
          <t>Tier 2</t>
        </is>
      </c>
      <c r="E221" s="425" t="n">
        <v>1</v>
      </c>
      <c r="F221" s="425" t="inlineStr">
        <is>
          <t>Lizzie Lee</t>
        </is>
      </c>
      <c r="G221" s="425" t="inlineStr">
        <is>
          <t>elizabeth.lee@mckesson.com</t>
        </is>
      </c>
      <c r="H221" s="441" t="n">
        <v>45973</v>
      </c>
      <c r="I221" s="441">
        <f>IF(OR(C221="Passed",H221="",ISBLANK(H221)),"",H221+7)</f>
        <v/>
      </c>
      <c r="J221" s="425">
        <f>IF(I221="","",IF(I221&lt;=TODAY(),"DUE",IF(I221&lt;=TODAY()+3,"Next 3 Days","Later")))</f>
        <v/>
      </c>
      <c r="K221" s="425" t="inlineStr">
        <is>
          <t>https://www.linkedin.com/in/elizabeth-evans-lee/</t>
        </is>
      </c>
      <c r="L221" s="425" t="inlineStr"/>
      <c r="M221" s="425" t="inlineStr">
        <is>
          <t>12/19/2025</t>
        </is>
      </c>
    </row>
    <row r="222">
      <c r="A222" s="425" t="inlineStr">
        <is>
          <t>Menlo Ventures</t>
        </is>
      </c>
      <c r="B222" s="425" t="inlineStr">
        <is>
          <t>Financial Investor</t>
        </is>
      </c>
      <c r="C222" s="425" t="inlineStr">
        <is>
          <t>Follow Up</t>
        </is>
      </c>
      <c r="D222" s="425" t="inlineStr">
        <is>
          <t>Tier 2</t>
        </is>
      </c>
      <c r="E222" s="425" t="n">
        <v>2</v>
      </c>
      <c r="F222" s="425" t="inlineStr">
        <is>
          <t>Matt Murphy; Tim Tully</t>
        </is>
      </c>
      <c r="G222" s="425" t="inlineStr">
        <is>
          <t>matt@menlovc.com; tim@menlovc.com</t>
        </is>
      </c>
      <c r="H222" s="441" t="n">
        <v>45841</v>
      </c>
      <c r="I222" s="441">
        <f>IF(OR(C222="Passed",H222="",ISBLANK(H222)),"",H222+7)</f>
        <v/>
      </c>
      <c r="J222" s="425">
        <f>IF(I222="","",IF(I222&lt;=TODAY(),"DUE",IF(I222&lt;=TODAY()+3,"Next 3 Days","Later")))</f>
        <v/>
      </c>
      <c r="K222" s="425" t="inlineStr">
        <is>
          <t>https://www.linkedin.com/in/matt-murphy-0415543/ | https://www.linkedin.com/in/timothytully/</t>
        </is>
      </c>
      <c r="L222" s="425" t="inlineStr"/>
      <c r="M222" s="425" t="inlineStr"/>
    </row>
    <row r="223">
      <c r="A223" s="425" t="inlineStr">
        <is>
          <t>Mercury Fund</t>
        </is>
      </c>
      <c r="B223" s="425" t="inlineStr">
        <is>
          <t>Financial Investor</t>
        </is>
      </c>
      <c r="C223" s="425" t="inlineStr">
        <is>
          <t>Follow Up</t>
        </is>
      </c>
      <c r="D223" s="425" t="inlineStr">
        <is>
          <t>Tier 2</t>
        </is>
      </c>
      <c r="E223" s="425" t="n">
        <v>1</v>
      </c>
      <c r="F223" s="425" t="inlineStr">
        <is>
          <t>Adrian Fortino</t>
        </is>
      </c>
      <c r="G223" s="425" t="inlineStr">
        <is>
          <t>adrian@mercuryfund.com</t>
        </is>
      </c>
      <c r="H223" s="441" t="n">
        <v>45929</v>
      </c>
      <c r="I223" s="441">
        <f>IF(OR(C223="Passed",H223="",ISBLANK(H223)),"",H223+7)</f>
        <v/>
      </c>
      <c r="J223" s="425">
        <f>IF(I223="","",IF(I223&lt;=TODAY(),"DUE",IF(I223&lt;=TODAY()+3,"Next 3 Days","Later")))</f>
        <v/>
      </c>
      <c r="K223" s="425" t="inlineStr">
        <is>
          <t>https://www.linkedin.com/in/adrianfortino/</t>
        </is>
      </c>
      <c r="L223" s="425" t="inlineStr"/>
      <c r="M223" s="425" t="inlineStr">
        <is>
          <t>12/05/2025</t>
        </is>
      </c>
    </row>
    <row r="224">
      <c r="A224" s="425" t="inlineStr">
        <is>
          <t>Michigan Capital</t>
        </is>
      </c>
      <c r="B224" s="425" t="inlineStr">
        <is>
          <t>Financial Investor</t>
        </is>
      </c>
      <c r="C224" s="425" t="inlineStr">
        <is>
          <t>Follow Up</t>
        </is>
      </c>
      <c r="D224" s="425" t="inlineStr">
        <is>
          <t>Tier 2</t>
        </is>
      </c>
      <c r="E224" s="425" t="n">
        <v>3</v>
      </c>
      <c r="F224" s="425" t="inlineStr">
        <is>
          <t>Dale Grogan; Paul Damato; Sapna Patel</t>
        </is>
      </c>
      <c r="G224" s="425" t="inlineStr">
        <is>
          <t>dale@michigancapitalnetwork.com; paul@michigancapitalnetwork.com; sapna@michigancapitalnetwork.com</t>
        </is>
      </c>
      <c r="H224" s="441" t="n">
        <v>45922</v>
      </c>
      <c r="I224" s="441">
        <f>IF(OR(C224="Passed",H224="",ISBLANK(H224)),"",H224+7)</f>
        <v/>
      </c>
      <c r="J224" s="425">
        <f>IF(I224="","",IF(I224&lt;=TODAY(),"DUE",IF(I224&lt;=TODAY()+3,"Next 3 Days","Later")))</f>
        <v/>
      </c>
      <c r="K224" s="425" t="inlineStr">
        <is>
          <t>https://www.linkedin.com/in/paul-damato-405536a</t>
        </is>
      </c>
      <c r="L224" s="425" t="inlineStr"/>
      <c r="M224" s="425" t="inlineStr"/>
    </row>
    <row r="225">
      <c r="A225" s="425" t="inlineStr">
        <is>
          <t>Mighty Capital</t>
        </is>
      </c>
      <c r="B225" s="425" t="inlineStr">
        <is>
          <t>Financial Investor</t>
        </is>
      </c>
      <c r="C225" s="425" t="inlineStr">
        <is>
          <t>Follow Up</t>
        </is>
      </c>
      <c r="D225" s="425" t="inlineStr">
        <is>
          <t>Tier 2</t>
        </is>
      </c>
      <c r="E225" s="425" t="n">
        <v>4</v>
      </c>
      <c r="F225" s="425" t="inlineStr">
        <is>
          <t>Iris S. Chan; Jennifer Vancini; SC Moatti; Sharran Deora</t>
        </is>
      </c>
      <c r="G225" s="425" t="inlineStr">
        <is>
          <t>iris@mighty.capital; jennifer@mighty.capital; sc@mighty.capital; sharran@mighty.capital</t>
        </is>
      </c>
      <c r="H225" s="441" t="n">
        <v>46036</v>
      </c>
      <c r="I225" s="441">
        <f>IF(OR(C225="Passed",H225="",ISBLANK(H225)),"",H225+7)</f>
        <v/>
      </c>
      <c r="J225" s="425">
        <f>IF(I225="","",IF(I225&lt;=TODAY(),"DUE",IF(I225&lt;=TODAY()+3,"Next 3 Days","Later")))</f>
        <v/>
      </c>
      <c r="K225" s="425" t="inlineStr">
        <is>
          <t>https://www.linkedin.com/in/iris-s-chan-b0622535/ | https://www.linkedin.com/in/jennifer-vancini-2765b4/</t>
        </is>
      </c>
      <c r="L225" s="425" t="inlineStr"/>
      <c r="M225" s="425" t="inlineStr">
        <is>
          <t>12/03/2025 | (2 email threads going - also sent email on 12/2)</t>
        </is>
      </c>
    </row>
    <row r="226">
      <c r="A226" s="425" t="inlineStr">
        <is>
          <t>Mikal Ventures</t>
        </is>
      </c>
      <c r="B226" s="425" t="inlineStr">
        <is>
          <t>Financial Investor</t>
        </is>
      </c>
      <c r="C226" s="425" t="inlineStr">
        <is>
          <t>Follow Up</t>
        </is>
      </c>
      <c r="D226" s="425" t="inlineStr">
        <is>
          <t>Tier 2</t>
        </is>
      </c>
      <c r="E226" s="425" t="n">
        <v>3</v>
      </c>
      <c r="F226" s="425" t="inlineStr">
        <is>
          <t>Christopher Malter; Michael Cunningham; the team</t>
        </is>
      </c>
      <c r="G226" s="425" t="inlineStr">
        <is>
          <t>chris.malter@mikalventures.com; mike.cunningham@mikalventures.com; info@mikalventures.com</t>
        </is>
      </c>
      <c r="H226" s="441" t="n">
        <v>45923</v>
      </c>
      <c r="I226" s="441">
        <f>IF(OR(C226="Passed",H226="",ISBLANK(H226)),"",H226+7)</f>
        <v/>
      </c>
      <c r="J226" s="425">
        <f>IF(I226="","",IF(I226&lt;=TODAY(),"DUE",IF(I226&lt;=TODAY()+3,"Next 3 Days","Later")))</f>
        <v/>
      </c>
      <c r="K226" s="425" t="inlineStr">
        <is>
          <t>https://www.linkedin.com/in/christopher-malter-035636/ | linkedin.com/in/christopher-malter-035636</t>
        </is>
      </c>
      <c r="L226" s="425" t="inlineStr"/>
      <c r="M226" s="425" t="inlineStr">
        <is>
          <t>12/26/2025 | 12/03/2025</t>
        </is>
      </c>
    </row>
    <row r="227">
      <c r="A227" s="425" t="inlineStr">
        <is>
          <t>Mirante Partners</t>
        </is>
      </c>
      <c r="B227" s="425" t="inlineStr">
        <is>
          <t>Financial Investor</t>
        </is>
      </c>
      <c r="C227" s="425" t="inlineStr">
        <is>
          <t>Follow Up</t>
        </is>
      </c>
      <c r="D227" s="425" t="inlineStr">
        <is>
          <t>Tier 2</t>
        </is>
      </c>
      <c r="E227" s="425" t="n">
        <v>3</v>
      </c>
      <c r="F227" s="425" t="inlineStr">
        <is>
          <t>Diego Rosario; Fred Wang; Contact Page</t>
        </is>
      </c>
      <c r="G227" s="425" t="inlineStr">
        <is>
          <t>diego.rosario@mirantepartners.com; fred.wang@mirantepartners.com</t>
        </is>
      </c>
      <c r="H227" s="441" t="n">
        <v>45848</v>
      </c>
      <c r="I227" s="441">
        <f>IF(OR(C227="Passed",H227="",ISBLANK(H227)),"",H227+7)</f>
        <v/>
      </c>
      <c r="J227" s="425">
        <f>IF(I227="","",IF(I227&lt;=TODAY(),"DUE",IF(I227&lt;=TODAY()+3,"Next 3 Days","Later")))</f>
        <v/>
      </c>
      <c r="K227" s="425" t="inlineStr">
        <is>
          <t>linkedin.com/in/diego-pimentel-do-rosario | https://www.linkedin.com/in/fredswang</t>
        </is>
      </c>
      <c r="L227" s="425" t="inlineStr"/>
      <c r="M227" s="425" t="inlineStr">
        <is>
          <t>12/23/2025</t>
        </is>
      </c>
    </row>
    <row r="228">
      <c r="A228" s="425" t="inlineStr">
        <is>
          <t>Mission OG</t>
        </is>
      </c>
      <c r="B228" s="425" t="inlineStr">
        <is>
          <t>Financial Investor</t>
        </is>
      </c>
      <c r="C228" s="425" t="inlineStr">
        <is>
          <t>Follow Up</t>
        </is>
      </c>
      <c r="D228" s="425" t="inlineStr">
        <is>
          <t>Tier 2</t>
        </is>
      </c>
      <c r="E228" s="425" t="n">
        <v>4</v>
      </c>
      <c r="F228" s="425" t="inlineStr">
        <is>
          <t>Andy Newcomb; George Krautzel; Kevin Leonard; Michael Heller</t>
        </is>
      </c>
      <c r="G228" s="425" t="inlineStr">
        <is>
          <t>andy@missionog.com; george@missionog.com; kleonard@missionog.com; michael@missionog.com</t>
        </is>
      </c>
      <c r="H228" s="441" t="n">
        <v>45890</v>
      </c>
      <c r="I228" s="441">
        <f>IF(OR(C228="Passed",H228="",ISBLANK(H228)),"",H228+7)</f>
        <v/>
      </c>
      <c r="J228" s="425">
        <f>IF(I228="","",IF(I228&lt;=TODAY(),"DUE",IF(I228&lt;=TODAY()+3,"Next 3 Days","Later")))</f>
        <v/>
      </c>
      <c r="K228" s="425" t="inlineStr">
        <is>
          <t>https://www.linkedin.com/in/andy-newcomb-a37454/ | https://www.linkedin.com/in/georgekrautzel/</t>
        </is>
      </c>
      <c r="L228" s="425" t="inlineStr"/>
      <c r="M228" s="425" t="inlineStr">
        <is>
          <t>12/29/2025 | submit a business plan: submissions@missionog.com | hello@vesey.vc</t>
        </is>
      </c>
    </row>
    <row r="229">
      <c r="A229" s="425" t="inlineStr">
        <is>
          <t>Moderne Ventures</t>
        </is>
      </c>
      <c r="B229" s="425" t="inlineStr">
        <is>
          <t>Financial Investor</t>
        </is>
      </c>
      <c r="C229" s="425" t="inlineStr">
        <is>
          <t>Follow Up</t>
        </is>
      </c>
      <c r="D229" s="425" t="inlineStr">
        <is>
          <t>Tier 2</t>
        </is>
      </c>
      <c r="E229" s="425" t="n">
        <v>1</v>
      </c>
      <c r="F229" s="425" t="inlineStr">
        <is>
          <t>Carolyn Kwon</t>
        </is>
      </c>
      <c r="G229" s="425" t="inlineStr">
        <is>
          <t>carolyn@moderneventures.com</t>
        </is>
      </c>
      <c r="H229" s="441" t="n">
        <v>45972</v>
      </c>
      <c r="I229" s="441">
        <f>IF(OR(C229="Passed",H229="",ISBLANK(H229)),"",H229+7)</f>
        <v/>
      </c>
      <c r="J229" s="425">
        <f>IF(I229="","",IF(I229&lt;=TODAY(),"DUE",IF(I229&lt;=TODAY()+3,"Next 3 Days","Later")))</f>
        <v/>
      </c>
      <c r="K229" s="425" t="inlineStr">
        <is>
          <t>https://www.linkedin.com/in/carolynkwon/</t>
        </is>
      </c>
      <c r="L229" s="425" t="inlineStr"/>
      <c r="M229" s="425" t="inlineStr">
        <is>
          <t>12/05/2025</t>
        </is>
      </c>
    </row>
    <row r="230">
      <c r="A230" s="425" t="inlineStr">
        <is>
          <t>Moneta VC</t>
        </is>
      </c>
      <c r="B230" s="425" t="inlineStr">
        <is>
          <t>Financial Investor</t>
        </is>
      </c>
      <c r="C230" s="425" t="inlineStr">
        <is>
          <t>Follow Up</t>
        </is>
      </c>
      <c r="D230" s="425" t="inlineStr">
        <is>
          <t>Tier 2</t>
        </is>
      </c>
      <c r="E230" s="425" t="n">
        <v>5</v>
      </c>
      <c r="F230" s="425" t="inlineStr">
        <is>
          <t>Aasim Hasan; Ashu Bhalla; Brent Kelton; Lokesh Sikaria; Vaibhav Nadgauda</t>
        </is>
      </c>
      <c r="G230" s="425" t="inlineStr">
        <is>
          <t>ahasan@monetaventures.com; ashu@moneta.vc; brent@moneta.vc; lsikaria@monetaventures.com; vnadgauda@monetaventures.com</t>
        </is>
      </c>
      <c r="H230" s="441" t="n">
        <v>45821</v>
      </c>
      <c r="I230" s="441">
        <f>IF(OR(C230="Passed",H230="",ISBLANK(H230)),"",H230+7)</f>
        <v/>
      </c>
      <c r="J230" s="425">
        <f>IF(I230="","",IF(I230&lt;=TODAY(),"DUE",IF(I230&lt;=TODAY()+3,"Next 3 Days","Later")))</f>
        <v/>
      </c>
      <c r="K230" s="425" t="inlineStr">
        <is>
          <t>https://www.linkedin.com/in/aasimhasan/ | https://www.linkedin.com/in/ashu-bhalla-b44bb73/</t>
        </is>
      </c>
      <c r="L230" s="425" t="inlineStr"/>
      <c r="M230" s="425" t="inlineStr">
        <is>
          <t>outside their scope | Moneta Application: https://moneta.vc/get-funding/</t>
        </is>
      </c>
    </row>
    <row r="231">
      <c r="A231" s="425" t="inlineStr">
        <is>
          <t>Moonshots Capital</t>
        </is>
      </c>
      <c r="B231" s="425" t="inlineStr">
        <is>
          <t>Financial Investor</t>
        </is>
      </c>
      <c r="C231" s="425" t="inlineStr">
        <is>
          <t>Follow Up</t>
        </is>
      </c>
      <c r="D231" s="425" t="inlineStr">
        <is>
          <t>Tier 2</t>
        </is>
      </c>
      <c r="E231" s="425" t="n">
        <v>4</v>
      </c>
      <c r="F231" s="425" t="inlineStr">
        <is>
          <t>Craig Cummings; LTC Brian Titus Noble; Mac Hoffman; Kelly Perdew</t>
        </is>
      </c>
      <c r="G231" s="425" t="inlineStr">
        <is>
          <t>craig@moonshotscapital.com; titus@moonshotscapital.com; mac@moonshotscapital.com; k.perdew@moonshotscapital.com</t>
        </is>
      </c>
      <c r="H231" s="441" t="n">
        <v>45848</v>
      </c>
      <c r="I231" s="441">
        <f>IF(OR(C231="Passed",H231="",ISBLANK(H231)),"",H231+7)</f>
        <v/>
      </c>
      <c r="J231" s="425">
        <f>IF(I231="","",IF(I231&lt;=TODAY(),"DUE",IF(I231&lt;=TODAY()+3,"Next 3 Days","Later")))</f>
        <v/>
      </c>
      <c r="K231" s="425" t="inlineStr">
        <is>
          <t>https://www.linkedin.com/in/unleashcraig/ | https://www.linkedin.com/in/unleashcraig</t>
        </is>
      </c>
      <c r="L231" s="425" t="inlineStr"/>
      <c r="M231" s="425" t="inlineStr">
        <is>
          <t>sent one pager on 6/23 OSC direct question 7-11 | Moonshots Application:  https://www.moonshotscapital.com/submit-your-startup-for-early-stage-investment/</t>
        </is>
      </c>
    </row>
    <row r="232">
      <c r="A232" s="425" t="inlineStr">
        <is>
          <t>Moxxie VC</t>
        </is>
      </c>
      <c r="B232" s="425" t="inlineStr">
        <is>
          <t>Financial Investor</t>
        </is>
      </c>
      <c r="C232" s="425" t="inlineStr">
        <is>
          <t>Follow Up</t>
        </is>
      </c>
      <c r="D232" s="425" t="inlineStr">
        <is>
          <t>Tier 2</t>
        </is>
      </c>
      <c r="E232" s="425" t="n">
        <v>4</v>
      </c>
      <c r="F232" s="425" t="inlineStr">
        <is>
          <t>Alex Roetter; Ashwin Lalendran; Katie Jacobs Stanton; Prateek Joshi</t>
        </is>
      </c>
      <c r="G232" s="425" t="inlineStr">
        <is>
          <t>alex@moxxie.vc; ashwin@moxxie.vc; katie@moxxie.vc; prateek@moxxie.vc</t>
        </is>
      </c>
      <c r="H232" s="441" t="n">
        <v>45861</v>
      </c>
      <c r="I232" s="441">
        <f>IF(OR(C232="Passed",H232="",ISBLANK(H232)),"",H232+7)</f>
        <v/>
      </c>
      <c r="J232" s="425">
        <f>IF(I232="","",IF(I232&lt;=TODAY(),"DUE",IF(I232&lt;=TODAY()+3,"Next 3 Days","Later")))</f>
        <v/>
      </c>
      <c r="K232" s="425" t="inlineStr">
        <is>
          <t>linkedin.com/in/alex-roetter | https://www.linkedin.com/in/ashwinl/</t>
        </is>
      </c>
      <c r="L232" s="425" t="inlineStr"/>
      <c r="M232" s="425" t="inlineStr">
        <is>
          <t>12/26/2025</t>
        </is>
      </c>
    </row>
    <row r="233">
      <c r="A233" s="425" t="inlineStr">
        <is>
          <t>Mutual Capital Partners</t>
        </is>
      </c>
      <c r="B233" s="425" t="inlineStr">
        <is>
          <t>Financial Investor</t>
        </is>
      </c>
      <c r="C233" s="425" t="inlineStr">
        <is>
          <t>Follow Up</t>
        </is>
      </c>
      <c r="D233" s="425" t="inlineStr">
        <is>
          <t>Tier 2</t>
        </is>
      </c>
      <c r="E233" s="425" t="n">
        <v>1</v>
      </c>
      <c r="F233" s="425" t="inlineStr">
        <is>
          <t>Liz Todia</t>
        </is>
      </c>
      <c r="G233" s="425" t="inlineStr">
        <is>
          <t>ltodia@mutualcapitalpartners.com</t>
        </is>
      </c>
      <c r="H233" s="441" t="n">
        <v>45972</v>
      </c>
      <c r="I233" s="441">
        <f>IF(OR(C233="Passed",H233="",ISBLANK(H233)),"",H233+7)</f>
        <v/>
      </c>
      <c r="J233" s="425">
        <f>IF(I233="","",IF(I233&lt;=TODAY(),"DUE",IF(I233&lt;=TODAY()+3,"Next 3 Days","Later")))</f>
        <v/>
      </c>
      <c r="K233" s="425" t="inlineStr">
        <is>
          <t>https://www.linkedin.com/in/ltodia/</t>
        </is>
      </c>
      <c r="L233" s="425" t="inlineStr"/>
      <c r="M233" s="425" t="inlineStr">
        <is>
          <t>12/05/2025</t>
        </is>
      </c>
    </row>
    <row r="234">
      <c r="A234" s="425" t="inlineStr">
        <is>
          <t>NA Ventures</t>
        </is>
      </c>
      <c r="B234" s="425" t="inlineStr">
        <is>
          <t>Financial Investor</t>
        </is>
      </c>
      <c r="C234" s="425" t="inlineStr">
        <is>
          <t>Follow Up</t>
        </is>
      </c>
      <c r="D234" s="425" t="inlineStr">
        <is>
          <t>Tier 2</t>
        </is>
      </c>
      <c r="E234" s="425" t="n">
        <v>2</v>
      </c>
      <c r="F234" s="425" t="inlineStr">
        <is>
          <t>Simon Cote; the team</t>
        </is>
      </c>
      <c r="G234" s="425" t="inlineStr">
        <is>
          <t>sim.cote@bnc.ca; naventures@nbc.ca</t>
        </is>
      </c>
      <c r="H234" s="441" t="n">
        <v>45861</v>
      </c>
      <c r="I234" s="441">
        <f>IF(OR(C234="Passed",H234="",ISBLANK(H234)),"",H234+7)</f>
        <v/>
      </c>
      <c r="J234" s="425">
        <f>IF(I234="","",IF(I234&lt;=TODAY(),"DUE",IF(I234&lt;=TODAY()+3,"Next 3 Days","Later")))</f>
        <v/>
      </c>
      <c r="K234" s="425" t="inlineStr">
        <is>
          <t>https://www.linkedin.com/in/simon-cote-35072a7/</t>
        </is>
      </c>
      <c r="L234" s="425" t="inlineStr"/>
      <c r="M234" s="425" t="inlineStr">
        <is>
          <t>12/26/2025</t>
        </is>
      </c>
    </row>
    <row r="235">
      <c r="A235" s="425" t="inlineStr">
        <is>
          <t>NEA</t>
        </is>
      </c>
      <c r="B235" s="425" t="inlineStr">
        <is>
          <t>Financial Investor</t>
        </is>
      </c>
      <c r="C235" s="425" t="inlineStr">
        <is>
          <t>Follow Up</t>
        </is>
      </c>
      <c r="D235" s="425" t="inlineStr">
        <is>
          <t>Tier 2</t>
        </is>
      </c>
      <c r="E235" s="425" t="n">
        <v>6</v>
      </c>
      <c r="F235" s="425" t="inlineStr">
        <is>
          <t>Andrew Schoen; Aya Somai; Mohamad Makhzoumi; Mustafa Neemuchwala; Rick Yang</t>
        </is>
      </c>
      <c r="G235" s="425" t="inlineStr">
        <is>
          <t>aschoen@nea.com; asomai@nea.com; mmakhzoumi@nea.com; mneemuchwala@nea.com; ryang@nea.com</t>
        </is>
      </c>
      <c r="H235" s="441" t="n">
        <v>46036</v>
      </c>
      <c r="I235" s="441">
        <f>IF(OR(C235="Passed",H235="",ISBLANK(H235)),"",H235+7)</f>
        <v/>
      </c>
      <c r="J235" s="425">
        <f>IF(I235="","",IF(I235&lt;=TODAY(),"DUE",IF(I235&lt;=TODAY()+3,"Next 3 Days","Later")))</f>
        <v/>
      </c>
      <c r="K235" s="425" t="inlineStr">
        <is>
          <t>linkedin.com/in/andrewaschoen | https://www.linkedin.com/in/aya-somai-25612080/</t>
        </is>
      </c>
      <c r="L235" s="425" t="inlineStr"/>
      <c r="M235" s="425" t="inlineStr">
        <is>
          <t>12/30/2025 | interested but no new investments until begining of 2026, wants to chat then</t>
        </is>
      </c>
    </row>
    <row r="236">
      <c r="A236" s="425" t="inlineStr">
        <is>
          <t>NEXA Capital Partners</t>
        </is>
      </c>
      <c r="B236" s="425" t="inlineStr">
        <is>
          <t>Financial Investor</t>
        </is>
      </c>
      <c r="C236" s="425" t="inlineStr">
        <is>
          <t>Follow Up</t>
        </is>
      </c>
      <c r="D236" s="425" t="inlineStr">
        <is>
          <t>Tier 2</t>
        </is>
      </c>
      <c r="E236" s="425" t="n">
        <v>1</v>
      </c>
      <c r="F236" s="425" t="inlineStr">
        <is>
          <t>Michael Dyment</t>
        </is>
      </c>
      <c r="G236" s="425" t="inlineStr">
        <is>
          <t>michael.j.dyment@nexacapital.com</t>
        </is>
      </c>
      <c r="H236" s="441" t="n">
        <v>45841</v>
      </c>
      <c r="I236" s="441">
        <f>IF(OR(C236="Passed",H236="",ISBLANK(H236)),"",H236+7)</f>
        <v/>
      </c>
      <c r="J236" s="425">
        <f>IF(I236="","",IF(I236&lt;=TODAY(),"DUE",IF(I236&lt;=TODAY()+3,"Next 3 Days","Later")))</f>
        <v/>
      </c>
      <c r="K236" s="425" t="inlineStr">
        <is>
          <t>https://www.linkedin.com/in/michael-j-dyment-85b2688/</t>
        </is>
      </c>
      <c r="L236" s="425" t="inlineStr"/>
      <c r="M236" s="425" t="inlineStr"/>
    </row>
    <row r="237">
      <c r="A237" s="425" t="inlineStr">
        <is>
          <t>Narya Capital Management</t>
        </is>
      </c>
      <c r="B237" s="425" t="inlineStr">
        <is>
          <t>Financial Investor</t>
        </is>
      </c>
      <c r="C237" s="425" t="inlineStr">
        <is>
          <t>Follow Up</t>
        </is>
      </c>
      <c r="D237" s="425" t="inlineStr">
        <is>
          <t>Tier 2</t>
        </is>
      </c>
      <c r="E237" s="425" t="n">
        <v>1</v>
      </c>
      <c r="F237" s="425" t="inlineStr">
        <is>
          <t>Falon Donohue</t>
        </is>
      </c>
      <c r="G237" s="425" t="inlineStr">
        <is>
          <t>falon@naryavc.com</t>
        </is>
      </c>
      <c r="H237" s="441" t="n">
        <v>45972</v>
      </c>
      <c r="I237" s="441">
        <f>IF(OR(C237="Passed",H237="",ISBLANK(H237)),"",H237+7)</f>
        <v/>
      </c>
      <c r="J237" s="425">
        <f>IF(I237="","",IF(I237&lt;=TODAY(),"DUE",IF(I237&lt;=TODAY()+3,"Next 3 Days","Later")))</f>
        <v/>
      </c>
      <c r="K237" s="425" t="inlineStr">
        <is>
          <t>https://www.linkedin.com/in/falondonohue/</t>
        </is>
      </c>
      <c r="L237" s="425" t="inlineStr"/>
      <c r="M237" s="425" t="inlineStr">
        <is>
          <t>12/05/2025</t>
        </is>
      </c>
    </row>
    <row r="238">
      <c r="A238" s="425" t="inlineStr">
        <is>
          <t>New North VC</t>
        </is>
      </c>
      <c r="B238" s="425" t="inlineStr">
        <is>
          <t>Financial Investor</t>
        </is>
      </c>
      <c r="C238" s="425" t="inlineStr">
        <is>
          <t>Follow Up</t>
        </is>
      </c>
      <c r="D238" s="425" t="inlineStr">
        <is>
          <t>Tier 2</t>
        </is>
      </c>
      <c r="E238" s="425" t="n">
        <v>1</v>
      </c>
      <c r="F238" s="425" t="inlineStr">
        <is>
          <t>Jeremy Hitchcock</t>
        </is>
      </c>
      <c r="G238" s="425" t="inlineStr">
        <is>
          <t>jeremy@newnorthventures.com</t>
        </is>
      </c>
      <c r="H238" s="441" t="n">
        <v>45841</v>
      </c>
      <c r="I238" s="441">
        <f>IF(OR(C238="Passed",H238="",ISBLANK(H238)),"",H238+7)</f>
        <v/>
      </c>
      <c r="J238" s="425">
        <f>IF(I238="","",IF(I238&lt;=TODAY(),"DUE",IF(I238&lt;=TODAY()+3,"Next 3 Days","Later")))</f>
        <v/>
      </c>
      <c r="K238" s="425" t="inlineStr">
        <is>
          <t>https://www.newnorthvc.com/jeremyhitchcock</t>
        </is>
      </c>
      <c r="L238" s="425" t="inlineStr"/>
      <c r="M238" s="425" t="inlineStr">
        <is>
          <t>Clayton is no longer with NNV | sent deck to Clayton on 6/12- resend to alex@newnorthventures.com)  Clayton gone and Jeremy?</t>
        </is>
      </c>
    </row>
    <row r="239">
      <c r="A239" s="425" t="inlineStr">
        <is>
          <t>Next Gen Growth Partners</t>
        </is>
      </c>
      <c r="B239" s="425" t="inlineStr">
        <is>
          <t>Financial Investor</t>
        </is>
      </c>
      <c r="C239" s="425" t="inlineStr">
        <is>
          <t>Follow Up</t>
        </is>
      </c>
      <c r="D239" s="425" t="inlineStr">
        <is>
          <t>Tier 2</t>
        </is>
      </c>
      <c r="E239" s="425" t="n">
        <v>6</v>
      </c>
      <c r="F239" s="425" t="inlineStr">
        <is>
          <t>Brian O'Connor; Eric Wilson; Jim Bland; Nicholas Olmstead; Rich Herrick</t>
        </is>
      </c>
      <c r="G239" s="425" t="inlineStr">
        <is>
          <t>boconnor@nextgengp.com; ewilson@nextgengp.com; jbland@nextgengp.com; nolmstead@nextgengp.com; rherrick@nextgengp.com</t>
        </is>
      </c>
      <c r="H239" s="441" t="n">
        <v>45848</v>
      </c>
      <c r="I239" s="441">
        <f>IF(OR(C239="Passed",H239="",ISBLANK(H239)),"",H239+7)</f>
        <v/>
      </c>
      <c r="J239" s="425">
        <f>IF(I239="","",IF(I239&lt;=TODAY(),"DUE",IF(I239&lt;=TODAY()+3,"Next 3 Days","Later")))</f>
        <v/>
      </c>
      <c r="K239" s="425" t="inlineStr">
        <is>
          <t>linkedin.com/in/brian-o-connor-7638204 | https://www.linkedin.com/in/ericrwilson/</t>
        </is>
      </c>
      <c r="L239" s="425" t="inlineStr"/>
      <c r="M239" s="425" t="inlineStr">
        <is>
          <t>12/23/2025</t>
        </is>
      </c>
    </row>
    <row r="240">
      <c r="A240" s="425" t="inlineStr">
        <is>
          <t>NightDragon</t>
        </is>
      </c>
      <c r="B240" s="425" t="inlineStr">
        <is>
          <t>Financial Investor</t>
        </is>
      </c>
      <c r="C240" s="425" t="inlineStr">
        <is>
          <t>Follow Up</t>
        </is>
      </c>
      <c r="D240" s="425" t="inlineStr">
        <is>
          <t>Tier 2</t>
        </is>
      </c>
      <c r="E240" s="425" t="n">
        <v>6</v>
      </c>
      <c r="F240" s="425" t="inlineStr">
        <is>
          <t>Amy De Salvatore; Barbara Massa; Hannah Huffman; Morgan Kyauk; Sridhar Jayanthi</t>
        </is>
      </c>
      <c r="G240" s="425" t="inlineStr">
        <is>
          <t>amy@nightdragon.com; barbara@nightdragon.com; hannah@nightdragon.com; morgan@nightdragon.com; jayanthi.sridhar@gmail.com</t>
        </is>
      </c>
      <c r="H240" s="441" t="n">
        <v>45973</v>
      </c>
      <c r="I240" s="441">
        <f>IF(OR(C240="Passed",H240="",ISBLANK(H240)),"",H240+7)</f>
        <v/>
      </c>
      <c r="J240" s="425">
        <f>IF(I240="","",IF(I240&lt;=TODAY(),"DUE",IF(I240&lt;=TODAY()+3,"Next 3 Days","Later")))</f>
        <v/>
      </c>
      <c r="K240" s="425" t="inlineStr">
        <is>
          <t>https://www.linkedin.com/in/amy-de-salvatore-995607/ | https://www.linkedin.com/in/barbaramassa/</t>
        </is>
      </c>
      <c r="L240" s="425" t="inlineStr"/>
      <c r="M240" s="425" t="inlineStr">
        <is>
          <t>12/30/2025 | 12/18/2025</t>
        </is>
      </c>
    </row>
    <row r="241">
      <c r="A241" s="425" t="inlineStr">
        <is>
          <t>OCA Ventures</t>
        </is>
      </c>
      <c r="B241" s="425" t="inlineStr">
        <is>
          <t>Financial Investor</t>
        </is>
      </c>
      <c r="C241" s="425" t="inlineStr">
        <is>
          <t>Follow Up</t>
        </is>
      </c>
      <c r="D241" s="425" t="inlineStr">
        <is>
          <t>Tier 2</t>
        </is>
      </c>
      <c r="E241" s="425" t="n">
        <v>1</v>
      </c>
      <c r="F241" s="425" t="inlineStr">
        <is>
          <t>Jim Dugan</t>
        </is>
      </c>
      <c r="G241" s="425" t="inlineStr">
        <is>
          <t>jim@ocaventures.com</t>
        </is>
      </c>
      <c r="H241" s="441" t="n">
        <v>45972</v>
      </c>
      <c r="I241" s="441">
        <f>IF(OR(C241="Passed",H241="",ISBLANK(H241)),"",H241+7)</f>
        <v/>
      </c>
      <c r="J241" s="425">
        <f>IF(I241="","",IF(I241&lt;=TODAY(),"DUE",IF(I241&lt;=TODAY()+3,"Next 3 Days","Later")))</f>
        <v/>
      </c>
      <c r="K241" s="425" t="inlineStr">
        <is>
          <t>https://www.linkedin.com/in/jim-dugan-b4369a3/</t>
        </is>
      </c>
      <c r="L241" s="425" t="inlineStr"/>
      <c r="M241" s="425" t="inlineStr">
        <is>
          <t>12/05/2025</t>
        </is>
      </c>
    </row>
    <row r="242">
      <c r="A242" s="425" t="inlineStr">
        <is>
          <t>OMVC (formerly Vectr Fintech Partners)</t>
        </is>
      </c>
      <c r="B242" s="425" t="inlineStr">
        <is>
          <t>Financial Investor</t>
        </is>
      </c>
      <c r="C242" s="425" t="inlineStr">
        <is>
          <t>Follow Up</t>
        </is>
      </c>
      <c r="D242" s="425" t="inlineStr">
        <is>
          <t>Tier 2</t>
        </is>
      </c>
      <c r="E242" s="425" t="n">
        <v>2</v>
      </c>
      <c r="F242" s="425" t="inlineStr">
        <is>
          <t>Ben Hoxie; Mark Munoz</t>
        </is>
      </c>
      <c r="G242" s="425" t="inlineStr">
        <is>
          <t>ben.hoxie@omvc.co; mark@omvc.co</t>
        </is>
      </c>
      <c r="H242" s="441" t="n">
        <v>45841</v>
      </c>
      <c r="I242" s="441">
        <f>IF(OR(C242="Passed",H242="",ISBLANK(H242)),"",H242+7)</f>
        <v/>
      </c>
      <c r="J242" s="425">
        <f>IF(I242="","",IF(I242&lt;=TODAY(),"DUE",IF(I242&lt;=TODAY()+3,"Next 3 Days","Later")))</f>
        <v/>
      </c>
      <c r="K242" s="425" t="inlineStr">
        <is>
          <t>https://www.linkedin.com/in/ben-hoxie-92917a115/ | https://www.linkedin.com/in/munozmark/</t>
        </is>
      </c>
      <c r="L242" s="425" t="inlineStr"/>
      <c r="M242" s="425" t="inlineStr">
        <is>
          <t>12/23/2025 | online application: https://form.typeform.com/to/Ods1gr8R?typeform-source=www.omvc.co</t>
        </is>
      </c>
    </row>
    <row r="243">
      <c r="A243" s="425" t="inlineStr">
        <is>
          <t>Okta Ventures</t>
        </is>
      </c>
      <c r="B243" s="425" t="inlineStr">
        <is>
          <t>Financial Investor</t>
        </is>
      </c>
      <c r="C243" s="425" t="inlineStr">
        <is>
          <t>Follow Up</t>
        </is>
      </c>
      <c r="D243" s="425" t="inlineStr">
        <is>
          <t>Tier 2</t>
        </is>
      </c>
      <c r="E243" s="425" t="n">
        <v>1</v>
      </c>
      <c r="F243" s="425" t="inlineStr">
        <is>
          <t>Austin Arensberg</t>
        </is>
      </c>
      <c r="G243" s="425" t="inlineStr">
        <is>
          <t>austin.arensberg@okta.com</t>
        </is>
      </c>
      <c r="H243" s="441" t="n">
        <v>45985</v>
      </c>
      <c r="I243" s="441">
        <f>IF(OR(C243="Passed",H243="",ISBLANK(H243)),"",H243+7)</f>
        <v/>
      </c>
      <c r="J243" s="425">
        <f>IF(I243="","",IF(I243&lt;=TODAY(),"DUE",IF(I243&lt;=TODAY()+3,"Next 3 Days","Later")))</f>
        <v/>
      </c>
      <c r="K243" s="425" t="inlineStr">
        <is>
          <t>linkedin.com/in/austinarensberg</t>
        </is>
      </c>
      <c r="L243" s="425" t="inlineStr"/>
      <c r="M243" s="425" t="inlineStr">
        <is>
          <t>12/30/2025</t>
        </is>
      </c>
    </row>
    <row r="244">
      <c r="A244" s="425" t="inlineStr">
        <is>
          <t>Origin Ventures</t>
        </is>
      </c>
      <c r="B244" s="425" t="inlineStr">
        <is>
          <t>Financial Investor</t>
        </is>
      </c>
      <c r="C244" s="425" t="inlineStr">
        <is>
          <t>Follow Up</t>
        </is>
      </c>
      <c r="D244" s="425" t="inlineStr">
        <is>
          <t>Tier 2</t>
        </is>
      </c>
      <c r="E244" s="425" t="n">
        <v>1</v>
      </c>
      <c r="F244" s="425" t="inlineStr">
        <is>
          <t>Scott Stern</t>
        </is>
      </c>
      <c r="G244" s="425" t="inlineStr">
        <is>
          <t>scott@originventures.com</t>
        </is>
      </c>
      <c r="H244" s="441" t="n">
        <v>45972</v>
      </c>
      <c r="I244" s="441">
        <f>IF(OR(C244="Passed",H244="",ISBLANK(H244)),"",H244+7)</f>
        <v/>
      </c>
      <c r="J244" s="425">
        <f>IF(I244="","",IF(I244&lt;=TODAY(),"DUE",IF(I244&lt;=TODAY()+3,"Next 3 Days","Later")))</f>
        <v/>
      </c>
      <c r="K244" s="425" t="inlineStr">
        <is>
          <t>https://www.linkedin.com/in/sbstern/</t>
        </is>
      </c>
      <c r="L244" s="425" t="inlineStr"/>
      <c r="M244" s="425" t="inlineStr">
        <is>
          <t>12/05/2025</t>
        </is>
      </c>
    </row>
    <row r="245">
      <c r="A245" s="425" t="inlineStr">
        <is>
          <t>Overmatch Ventures</t>
        </is>
      </c>
      <c r="B245" s="425" t="inlineStr">
        <is>
          <t>Financial Investor</t>
        </is>
      </c>
      <c r="C245" s="425" t="inlineStr">
        <is>
          <t>Follow Up</t>
        </is>
      </c>
      <c r="D245" s="425" t="inlineStr">
        <is>
          <t>Tier 2</t>
        </is>
      </c>
      <c r="E245" s="425" t="n">
        <v>1</v>
      </c>
      <c r="F245" s="425" t="inlineStr">
        <is>
          <t>Evan Loomis</t>
        </is>
      </c>
      <c r="G245" s="425" t="inlineStr">
        <is>
          <t>evan@overmatch.vc</t>
        </is>
      </c>
      <c r="H245" s="441" t="n">
        <v>45972</v>
      </c>
      <c r="I245" s="441">
        <f>IF(OR(C245="Passed",H245="",ISBLANK(H245)),"",H245+7)</f>
        <v/>
      </c>
      <c r="J245" s="425">
        <f>IF(I245="","",IF(I245&lt;=TODAY(),"DUE",IF(I245&lt;=TODAY()+3,"Next 3 Days","Later")))</f>
        <v/>
      </c>
      <c r="K245" s="425" t="inlineStr">
        <is>
          <t>https://www.linkedin.com/in/evanloomis/</t>
        </is>
      </c>
      <c r="L245" s="425" t="inlineStr"/>
      <c r="M245" s="425" t="inlineStr">
        <is>
          <t>12/05/2025</t>
        </is>
      </c>
    </row>
    <row r="246">
      <c r="A246" s="425" t="inlineStr">
        <is>
          <t>Overture VC</t>
        </is>
      </c>
      <c r="B246" s="425" t="inlineStr">
        <is>
          <t>Financial Investor</t>
        </is>
      </c>
      <c r="C246" s="425" t="inlineStr">
        <is>
          <t>Follow Up</t>
        </is>
      </c>
      <c r="D246" s="425" t="inlineStr">
        <is>
          <t>Tier 2</t>
        </is>
      </c>
      <c r="E246" s="425" t="n">
        <v>4</v>
      </c>
      <c r="F246" s="425" t="inlineStr">
        <is>
          <t>Allison Hinckley; Michael O’Neil; Shomik Dutta; Tamim Mourad</t>
        </is>
      </c>
      <c r="G246" s="425" t="inlineStr">
        <is>
          <t>allison@overture.eco; michael@overture.eco; shomik@overture.eco; tamim@overture.eco</t>
        </is>
      </c>
      <c r="H246" s="441" t="n">
        <v>45841</v>
      </c>
      <c r="I246" s="441">
        <f>IF(OR(C246="Passed",H246="",ISBLANK(H246)),"",H246+7)</f>
        <v/>
      </c>
      <c r="J246" s="425">
        <f>IF(I246="","",IF(I246&lt;=TODAY(),"DUE",IF(I246&lt;=TODAY()+3,"Next 3 Days","Later")))</f>
        <v/>
      </c>
      <c r="K246" s="425" t="inlineStr">
        <is>
          <t>https://www.linkedin.com/in/allison-hinckley/ | linkedin.com/in/shomik-dutta-355a4316</t>
        </is>
      </c>
      <c r="L246" s="425" t="inlineStr"/>
      <c r="M246" s="425" t="inlineStr">
        <is>
          <t>12/23/2025</t>
        </is>
      </c>
    </row>
    <row r="247">
      <c r="A247" s="425" t="inlineStr">
        <is>
          <t>P74 Ventures</t>
        </is>
      </c>
      <c r="B247" s="425" t="inlineStr">
        <is>
          <t>Financial Investor</t>
        </is>
      </c>
      <c r="C247" s="425" t="inlineStr">
        <is>
          <t>Follow Up</t>
        </is>
      </c>
      <c r="D247" s="425" t="inlineStr">
        <is>
          <t>Tier 2</t>
        </is>
      </c>
      <c r="E247" s="425" t="n">
        <v>1</v>
      </c>
      <c r="F247" s="425" t="inlineStr">
        <is>
          <t>Jeremy Sohn</t>
        </is>
      </c>
      <c r="G247" s="425" t="inlineStr">
        <is>
          <t>jeremy@p74ventures.com</t>
        </is>
      </c>
      <c r="H247" s="441" t="n">
        <v>45924</v>
      </c>
      <c r="I247" s="441">
        <f>IF(OR(C247="Passed",H247="",ISBLANK(H247)),"",H247+7)</f>
        <v/>
      </c>
      <c r="J247" s="425">
        <f>IF(I247="","",IF(I247&lt;=TODAY(),"DUE",IF(I247&lt;=TODAY()+3,"Next 3 Days","Later")))</f>
        <v/>
      </c>
      <c r="K247" s="425" t="inlineStr">
        <is>
          <t>linkedin.com/in/jeremysohn</t>
        </is>
      </c>
      <c r="L247" s="425" t="inlineStr"/>
      <c r="M247" s="425" t="inlineStr">
        <is>
          <t>12/04/2025</t>
        </is>
      </c>
    </row>
    <row r="248">
      <c r="A248" s="425" t="inlineStr">
        <is>
          <t>PVCP</t>
        </is>
      </c>
      <c r="B248" s="425" t="inlineStr">
        <is>
          <t>Financial Investor</t>
        </is>
      </c>
      <c r="C248" s="425" t="inlineStr">
        <is>
          <t>Follow Up</t>
        </is>
      </c>
      <c r="D248" s="425" t="inlineStr">
        <is>
          <t>Tier 2</t>
        </is>
      </c>
      <c r="E248" s="425" t="n">
        <v>1</v>
      </c>
      <c r="F248" s="425" t="inlineStr">
        <is>
          <t>Marc Ladin</t>
        </is>
      </c>
      <c r="G248" s="425" t="inlineStr">
        <is>
          <t>marc@pvcp.vc</t>
        </is>
      </c>
      <c r="H248" s="441" t="n">
        <v>45973</v>
      </c>
      <c r="I248" s="441">
        <f>IF(OR(C248="Passed",H248="",ISBLANK(H248)),"",H248+7)</f>
        <v/>
      </c>
      <c r="J248" s="425">
        <f>IF(I248="","",IF(I248&lt;=TODAY(),"DUE",IF(I248&lt;=TODAY()+3,"Next 3 Days","Later")))</f>
        <v/>
      </c>
      <c r="K248" s="425" t="inlineStr">
        <is>
          <t>https://www.linkedin.com/in/marcladin/</t>
        </is>
      </c>
      <c r="L248" s="425" t="inlineStr"/>
      <c r="M248" s="425" t="inlineStr">
        <is>
          <t>12/19/2025</t>
        </is>
      </c>
    </row>
    <row r="249">
      <c r="A249" s="425" t="inlineStr">
        <is>
          <t>Paladin Capital Group</t>
        </is>
      </c>
      <c r="B249" s="425" t="inlineStr">
        <is>
          <t>Financial Investor</t>
        </is>
      </c>
      <c r="C249" s="425" t="inlineStr">
        <is>
          <t>Follow Up</t>
        </is>
      </c>
      <c r="D249" s="425" t="inlineStr">
        <is>
          <t>Tier 2</t>
        </is>
      </c>
      <c r="E249" s="425" t="n">
        <v>4</v>
      </c>
      <c r="F249" s="425" t="inlineStr">
        <is>
          <t>Christopher Steed; Michael Steed; Mourad Yesayan; Paul Conley</t>
        </is>
      </c>
      <c r="G249" s="425" t="inlineStr">
        <is>
          <t>csteed@paladincapgroup.com; msteed@paladincapgroup.com; myesayan@paladincapgroup.com; pconley@paladincapgroup.com</t>
        </is>
      </c>
      <c r="H249" s="441" t="n">
        <v>45973</v>
      </c>
      <c r="I249" s="441">
        <f>IF(OR(C249="Passed",H249="",ISBLANK(H249)),"",H249+7)</f>
        <v/>
      </c>
      <c r="J249" s="425">
        <f>IF(I249="","",IF(I249&lt;=TODAY(),"DUE",IF(I249&lt;=TODAY()+3,"Next 3 Days","Later")))</f>
        <v/>
      </c>
      <c r="K249" s="425" t="inlineStr">
        <is>
          <t>https://www.linkedin.com/in/christophersteed | https://www.linkedin.com/in/mike-steed-68810b15/</t>
        </is>
      </c>
      <c r="L249" s="425" t="inlineStr"/>
      <c r="M249" s="425" t="inlineStr">
        <is>
          <t>12/30/2025</t>
        </is>
      </c>
    </row>
    <row r="250">
      <c r="A250" s="425" t="inlineStr">
        <is>
          <t>Panoramic Ventures // BIP</t>
        </is>
      </c>
      <c r="B250" s="425" t="inlineStr">
        <is>
          <t>Financial Investor</t>
        </is>
      </c>
      <c r="C250" s="425" t="inlineStr">
        <is>
          <t>Follow Up</t>
        </is>
      </c>
      <c r="D250" s="425" t="inlineStr">
        <is>
          <t>Tier 2</t>
        </is>
      </c>
      <c r="E250" s="425" t="n">
        <v>1</v>
      </c>
      <c r="F250" s="425" t="inlineStr">
        <is>
          <t>Dan Drechsel</t>
        </is>
      </c>
      <c r="G250" s="425" t="inlineStr">
        <is>
          <t>ddrechsel@panoramic.vc</t>
        </is>
      </c>
      <c r="H250" s="441" t="n">
        <v>45972</v>
      </c>
      <c r="I250" s="441">
        <f>IF(OR(C250="Passed",H250="",ISBLANK(H250)),"",H250+7)</f>
        <v/>
      </c>
      <c r="J250" s="425">
        <f>IF(I250="","",IF(I250&lt;=TODAY(),"DUE",IF(I250&lt;=TODAY()+3,"Next 3 Days","Later")))</f>
        <v/>
      </c>
      <c r="K250" s="425" t="inlineStr">
        <is>
          <t>https://www.linkedin.com/in/dandrechsel/</t>
        </is>
      </c>
      <c r="L250" s="425" t="inlineStr"/>
      <c r="M250" s="425" t="inlineStr">
        <is>
          <t>12/05/2025</t>
        </is>
      </c>
    </row>
    <row r="251">
      <c r="A251" s="425" t="inlineStr">
        <is>
          <t>Pari Passu Venture Partners</t>
        </is>
      </c>
      <c r="B251" s="425" t="inlineStr">
        <is>
          <t>Financial Investor</t>
        </is>
      </c>
      <c r="C251" s="425" t="inlineStr">
        <is>
          <t>Follow Up</t>
        </is>
      </c>
      <c r="D251" s="425" t="inlineStr">
        <is>
          <t>Tier 2</t>
        </is>
      </c>
      <c r="E251" s="425" t="n">
        <v>3</v>
      </c>
      <c r="F251" s="425" t="inlineStr">
        <is>
          <t>Julia Gudish Krieger; Kyle Widrick; the team</t>
        </is>
      </c>
      <c r="G251" s="425" t="inlineStr">
        <is>
          <t>julia@ppvp.com; kyle@ppvp.com; partners@ppvp.com</t>
        </is>
      </c>
      <c r="H251" s="441" t="n">
        <v>45861</v>
      </c>
      <c r="I251" s="441">
        <f>IF(OR(C251="Passed",H251="",ISBLANK(H251)),"",H251+7)</f>
        <v/>
      </c>
      <c r="J251" s="425">
        <f>IF(I251="","",IF(I251&lt;=TODAY(),"DUE",IF(I251&lt;=TODAY()+3,"Next 3 Days","Later")))</f>
        <v/>
      </c>
      <c r="K251" s="425" t="inlineStr">
        <is>
          <t>https://www.linkedin.com/in/yuliyagudish/ | https://www.linkedin.com/in/kwidrick/</t>
        </is>
      </c>
      <c r="L251" s="425" t="inlineStr"/>
      <c r="M251" s="425" t="inlineStr">
        <is>
          <t>12/26/2025</t>
        </is>
      </c>
    </row>
    <row r="252">
      <c r="A252" s="425" t="inlineStr">
        <is>
          <t>Partner Capital</t>
        </is>
      </c>
      <c r="B252" s="425" t="inlineStr">
        <is>
          <t>Financial Investor</t>
        </is>
      </c>
      <c r="C252" s="425" t="inlineStr">
        <is>
          <t>Follow Up</t>
        </is>
      </c>
      <c r="D252" s="425" t="inlineStr">
        <is>
          <t>Tier 2</t>
        </is>
      </c>
      <c r="E252" s="425" t="n">
        <v>9</v>
      </c>
      <c r="F252" s="425" t="inlineStr">
        <is>
          <t>Adam Spence; Alex Band; Arjun Raghavan; Jennifer Bensimon; Olivia Newell</t>
        </is>
      </c>
      <c r="G252" s="425" t="inlineStr">
        <is>
          <t>adam.spence@partners-cap.com; alex.band@partners-cap.com; arjun.raghavan@partners-cap.com; jennifer.bensimon@partners-cap.com; olivia.cogan@partners-cap.com</t>
        </is>
      </c>
      <c r="H252" s="441" t="n">
        <v>45848</v>
      </c>
      <c r="I252" s="441">
        <f>IF(OR(C252="Passed",H252="",ISBLANK(H252)),"",H252+7)</f>
        <v/>
      </c>
      <c r="J252" s="425">
        <f>IF(I252="","",IF(I252&lt;=TODAY(),"DUE",IF(I252&lt;=TODAY()+3,"Next 3 Days","Later")))</f>
        <v/>
      </c>
      <c r="K252" s="425" t="inlineStr">
        <is>
          <t>https://www.linkedin.com/in/adam-spence-3152116/ | https://www.linkedin.com/in/alexband/</t>
        </is>
      </c>
      <c r="L252" s="425" t="inlineStr"/>
      <c r="M252" s="425" t="inlineStr">
        <is>
          <t>12/23/2025</t>
        </is>
      </c>
    </row>
    <row r="253">
      <c r="A253" s="425" t="inlineStr">
        <is>
          <t>Plug and Play</t>
        </is>
      </c>
      <c r="B253" s="425" t="inlineStr">
        <is>
          <t>Financial Investor</t>
        </is>
      </c>
      <c r="C253" s="425" t="inlineStr">
        <is>
          <t>Follow Up</t>
        </is>
      </c>
      <c r="D253" s="425" t="inlineStr">
        <is>
          <t>Tier 2</t>
        </is>
      </c>
      <c r="E253" s="425" t="n">
        <v>6</v>
      </c>
      <c r="F253" s="425" t="inlineStr">
        <is>
          <t>Alireza Masrour; Ivan Zgomba; Kevin Parakkattu; Harvey Williams; Jojo Flores</t>
        </is>
      </c>
      <c r="G253" s="425" t="inlineStr">
        <is>
          <t>alireza@pnptc.com; ivan@pnptc.com; kp@pnptc.com; harvey@pnptc.com; jojo@pnptc.com</t>
        </is>
      </c>
      <c r="H253" s="441" t="n">
        <v>45841</v>
      </c>
      <c r="I253" s="441">
        <f>IF(OR(C253="Passed",H253="",ISBLANK(H253)),"",H253+7)</f>
        <v/>
      </c>
      <c r="J253" s="425">
        <f>IF(I253="","",IF(I253&lt;=TODAY(),"DUE",IF(I253&lt;=TODAY()+3,"Next 3 Days","Later")))</f>
        <v/>
      </c>
      <c r="K253" s="425" t="inlineStr">
        <is>
          <t>https://www.linkedin.com/in/alirezamasrour/ | https://www.linkedin.com/in/zgombaivan/</t>
        </is>
      </c>
      <c r="L253" s="425" t="inlineStr"/>
      <c r="M253" s="425" t="inlineStr">
        <is>
          <t>not a fit | Plug and Play Application: https://www.plugandplaytechcenter.com/contact | out of office till 6/9</t>
        </is>
      </c>
    </row>
    <row r="254">
      <c r="A254" s="425" t="inlineStr">
        <is>
          <t>Plum Valley</t>
        </is>
      </c>
      <c r="B254" s="425" t="inlineStr">
        <is>
          <t>Financial Investor</t>
        </is>
      </c>
      <c r="C254" s="425" t="inlineStr">
        <is>
          <t>Follow Up</t>
        </is>
      </c>
      <c r="D254" s="425" t="inlineStr">
        <is>
          <t>Tier 2</t>
        </is>
      </c>
      <c r="E254" s="425" t="n">
        <v>3</v>
      </c>
      <c r="F254" s="425" t="inlineStr">
        <is>
          <t>Avantika Daing; Deborah Jackson; Nate Wang</t>
        </is>
      </c>
      <c r="G254" s="425" t="inlineStr">
        <is>
          <t>avantika@plumalley.co; deborah@plumalley.co; nate@plumalley.co</t>
        </is>
      </c>
      <c r="H254" s="441" t="n">
        <v>45924</v>
      </c>
      <c r="I254" s="441">
        <f>IF(OR(C254="Passed",H254="",ISBLANK(H254)),"",H254+7)</f>
        <v/>
      </c>
      <c r="J254" s="425">
        <f>IF(I254="","",IF(I254&lt;=TODAY(),"DUE",IF(I254&lt;=TODAY()+3,"Next 3 Days","Later")))</f>
        <v/>
      </c>
      <c r="K254" s="425" t="inlineStr">
        <is>
          <t>linkedin.com/in/avantika-daing-9907145 | linkedin.com/in/deborahbjackson</t>
        </is>
      </c>
      <c r="L254" s="425" t="inlineStr"/>
      <c r="M254" s="425" t="inlineStr">
        <is>
          <t>12/04/2025 | form submitted online</t>
        </is>
      </c>
    </row>
    <row r="255">
      <c r="A255" s="425" t="inlineStr">
        <is>
          <t>Point 72</t>
        </is>
      </c>
      <c r="B255" s="425" t="inlineStr">
        <is>
          <t>Financial Investor</t>
        </is>
      </c>
      <c r="C255" s="425" t="inlineStr">
        <is>
          <t>Follow Up</t>
        </is>
      </c>
      <c r="D255" s="425" t="inlineStr">
        <is>
          <t>Tier 2</t>
        </is>
      </c>
      <c r="E255" s="425" t="n">
        <v>4</v>
      </c>
      <c r="F255" s="425" t="inlineStr">
        <is>
          <t>Chris Morales; Daniel Gwak; Sri Chandrasekar; Tripp Shriner</t>
        </is>
      </c>
      <c r="G255" s="425" t="inlineStr">
        <is>
          <t>chris@p72.vc; daniel.gwak@p72.vc; sri@p72.vc; tripp@p72.vc</t>
        </is>
      </c>
      <c r="H255" s="441" t="n">
        <v>45973</v>
      </c>
      <c r="I255" s="441">
        <f>IF(OR(C255="Passed",H255="",ISBLANK(H255)),"",H255+7)</f>
        <v/>
      </c>
      <c r="J255" s="425">
        <f>IF(I255="","",IF(I255&lt;=TODAY(),"DUE",IF(I255&lt;=TODAY()+3,"Next 3 Days","Later")))</f>
        <v/>
      </c>
      <c r="K255" s="425" t="inlineStr">
        <is>
          <t>linkedin.com/in/chrisjmorales | https://www.linkedin.com/in/danielgwak/</t>
        </is>
      </c>
      <c r="L255" s="425" t="inlineStr"/>
      <c r="M255" s="425" t="inlineStr">
        <is>
          <t>12/15/2025</t>
        </is>
      </c>
    </row>
    <row r="256">
      <c r="A256" s="425" t="inlineStr">
        <is>
          <t>Pomifer Capital</t>
        </is>
      </c>
      <c r="B256" s="425" t="inlineStr">
        <is>
          <t>Financial Investor</t>
        </is>
      </c>
      <c r="C256" s="425" t="inlineStr">
        <is>
          <t>Follow Up</t>
        </is>
      </c>
      <c r="D256" s="425" t="inlineStr">
        <is>
          <t>Tier 2</t>
        </is>
      </c>
      <c r="E256" s="425" t="n">
        <v>2</v>
      </c>
      <c r="F256" s="425" t="inlineStr">
        <is>
          <t>Juan Diego Briceño; Peter Teneriello</t>
        </is>
      </c>
      <c r="G256" s="425" t="inlineStr">
        <is>
          <t>jdb@pomifercapital.com; pt@pomifercapital.com</t>
        </is>
      </c>
      <c r="H256" s="441" t="n">
        <v>45841</v>
      </c>
      <c r="I256" s="441">
        <f>IF(OR(C256="Passed",H256="",ISBLANK(H256)),"",H256+7)</f>
        <v/>
      </c>
      <c r="J256" s="425">
        <f>IF(I256="","",IF(I256&lt;=TODAY(),"DUE",IF(I256&lt;=TODAY()+3,"Next 3 Days","Later")))</f>
        <v/>
      </c>
      <c r="K256" s="425" t="inlineStr">
        <is>
          <t>https://www.linkedin.com/in/bricenojd/ | https://www.linkedin.com/in/peterteneriello/</t>
        </is>
      </c>
      <c r="L256" s="425" t="inlineStr"/>
      <c r="M256" s="425" t="inlineStr"/>
    </row>
    <row r="257">
      <c r="A257" s="425" t="inlineStr">
        <is>
          <t>Poplar Ventures</t>
        </is>
      </c>
      <c r="B257" s="425" t="inlineStr">
        <is>
          <t>Financial Investor</t>
        </is>
      </c>
      <c r="C257" s="425" t="inlineStr">
        <is>
          <t>Follow Up</t>
        </is>
      </c>
      <c r="D257" s="425" t="inlineStr">
        <is>
          <t>Tier 2</t>
        </is>
      </c>
      <c r="E257" s="425" t="n">
        <v>1</v>
      </c>
      <c r="F257" s="425" t="inlineStr">
        <is>
          <t>John Willmoth</t>
        </is>
      </c>
      <c r="G257" s="425" t="inlineStr">
        <is>
          <t>john@poplarventures.com</t>
        </is>
      </c>
      <c r="H257" s="441" t="n">
        <v>45972</v>
      </c>
      <c r="I257" s="441">
        <f>IF(OR(C257="Passed",H257="",ISBLANK(H257)),"",H257+7)</f>
        <v/>
      </c>
      <c r="J257" s="425">
        <f>IF(I257="","",IF(I257&lt;=TODAY(),"DUE",IF(I257&lt;=TODAY()+3,"Next 3 Days","Later")))</f>
        <v/>
      </c>
      <c r="K257" s="425" t="inlineStr">
        <is>
          <t>https://www.linkedin.com/in/john-willmoth-91a7195/</t>
        </is>
      </c>
      <c r="L257" s="425" t="inlineStr"/>
      <c r="M257" s="425" t="inlineStr">
        <is>
          <t>12/05/2025</t>
        </is>
      </c>
    </row>
    <row r="258">
      <c r="A258" s="425" t="inlineStr">
        <is>
          <t>Presidio Ventures</t>
        </is>
      </c>
      <c r="B258" s="425" t="inlineStr">
        <is>
          <t>Financial Investor</t>
        </is>
      </c>
      <c r="C258" s="425" t="inlineStr">
        <is>
          <t>Follow Up</t>
        </is>
      </c>
      <c r="D258" s="425" t="inlineStr">
        <is>
          <t>Tier 2</t>
        </is>
      </c>
      <c r="E258" s="425" t="n">
        <v>1</v>
      </c>
      <c r="F258" s="425" t="inlineStr">
        <is>
          <t>Tyler Schinto</t>
        </is>
      </c>
      <c r="G258" s="425" t="inlineStr">
        <is>
          <t>schinto@presidio-ventures.com</t>
        </is>
      </c>
      <c r="H258" s="441" t="n">
        <v>45924</v>
      </c>
      <c r="I258" s="441">
        <f>IF(OR(C258="Passed",H258="",ISBLANK(H258)),"",H258+7)</f>
        <v/>
      </c>
      <c r="J258" s="425">
        <f>IF(I258="","",IF(I258&lt;=TODAY(),"DUE",IF(I258&lt;=TODAY()+3,"Next 3 Days","Later")))</f>
        <v/>
      </c>
      <c r="K258" s="425" t="inlineStr">
        <is>
          <t>linkedin.com/in/tylerschinto</t>
        </is>
      </c>
      <c r="L258" s="425" t="inlineStr"/>
      <c r="M258" s="425" t="inlineStr">
        <is>
          <t>12/04/2025</t>
        </is>
      </c>
    </row>
    <row r="259">
      <c r="A259" s="425" t="inlineStr">
        <is>
          <t>Primetime Partners</t>
        </is>
      </c>
      <c r="B259" s="425" t="inlineStr">
        <is>
          <t>Financial Investor</t>
        </is>
      </c>
      <c r="C259" s="425" t="inlineStr">
        <is>
          <t>Follow Up</t>
        </is>
      </c>
      <c r="D259" s="425" t="inlineStr">
        <is>
          <t>Tier 2</t>
        </is>
      </c>
      <c r="E259" s="425" t="n">
        <v>3</v>
      </c>
      <c r="F259" s="425" t="inlineStr">
        <is>
          <t>James Hueston; Ray Jang; Zoe Zabor</t>
        </is>
      </c>
      <c r="G259" s="425" t="inlineStr">
        <is>
          <t>james@primetimepartners.com; ray@primetimepartners.com; zoe@primetimepartners.com</t>
        </is>
      </c>
      <c r="H259" s="441" t="n">
        <v>45890</v>
      </c>
      <c r="I259" s="441">
        <f>IF(OR(C259="Passed",H259="",ISBLANK(H259)),"",H259+7)</f>
        <v/>
      </c>
      <c r="J259" s="425">
        <f>IF(I259="","",IF(I259&lt;=TODAY(),"DUE",IF(I259&lt;=TODAY()+3,"Next 3 Days","Later")))</f>
        <v/>
      </c>
      <c r="K259" s="425" t="inlineStr">
        <is>
          <t>https://www.linkedin.com/in/james-f-hueston/ | https://www.linkedin.com/in/ray-jang/</t>
        </is>
      </c>
      <c r="L259" s="425" t="inlineStr"/>
      <c r="M259" s="425" t="inlineStr">
        <is>
          <t>12/29/2025</t>
        </is>
      </c>
    </row>
    <row r="260">
      <c r="A260" s="425" t="inlineStr">
        <is>
          <t>Principia Growth</t>
        </is>
      </c>
      <c r="B260" s="425" t="inlineStr">
        <is>
          <t>Financial Investor</t>
        </is>
      </c>
      <c r="C260" s="425" t="inlineStr">
        <is>
          <t>Follow Up</t>
        </is>
      </c>
      <c r="D260" s="425" t="inlineStr">
        <is>
          <t>Tier 2</t>
        </is>
      </c>
      <c r="E260" s="425" t="n">
        <v>2</v>
      </c>
      <c r="F260" s="425" t="inlineStr">
        <is>
          <t>Josh Tanzer; Sunny Midha</t>
        </is>
      </c>
      <c r="G260" s="425" t="inlineStr">
        <is>
          <t>josh@principiagrowth.com; sunny@principiagrowth.com</t>
        </is>
      </c>
      <c r="H260" s="441" t="n">
        <v>46031</v>
      </c>
      <c r="I260" s="441">
        <f>IF(OR(C260="Passed",H260="",ISBLANK(H260)),"",H260+7)</f>
        <v/>
      </c>
      <c r="J260" s="425">
        <f>IF(I260="","",IF(I260&lt;=TODAY(),"DUE",IF(I260&lt;=TODAY()+3,"Next 3 Days","Later")))</f>
        <v/>
      </c>
      <c r="K260" s="425" t="inlineStr">
        <is>
          <t>https://www.linkedin.com/in/josh-tanzer-4a271157/ | linkedin.com/in/sunnymidha</t>
        </is>
      </c>
      <c r="L260" s="425" t="inlineStr"/>
      <c r="M260" s="425" t="inlineStr">
        <is>
          <t>02/26/2026</t>
        </is>
      </c>
    </row>
    <row r="261">
      <c r="A261" s="425" t="inlineStr">
        <is>
          <t>Principle</t>
        </is>
      </c>
      <c r="B261" s="425" t="inlineStr">
        <is>
          <t>Financial Investor</t>
        </is>
      </c>
      <c r="C261" s="425" t="inlineStr">
        <is>
          <t>Follow Up</t>
        </is>
      </c>
      <c r="D261" s="425" t="inlineStr">
        <is>
          <t>Tier 2</t>
        </is>
      </c>
      <c r="E261" s="425" t="n">
        <v>1</v>
      </c>
      <c r="F261" s="425" t="inlineStr">
        <is>
          <t>Mirasbek Kuterbekov</t>
        </is>
      </c>
      <c r="G261" s="425" t="inlineStr">
        <is>
          <t>mirasbek@thia.ventures</t>
        </is>
      </c>
      <c r="H261" s="441" t="n">
        <v>46037</v>
      </c>
      <c r="I261" s="441">
        <f>IF(OR(C261="Passed",H261="",ISBLANK(H261)),"",H261+7)</f>
        <v/>
      </c>
      <c r="J261" s="425">
        <f>IF(I261="","",IF(I261&lt;=TODAY(),"DUE",IF(I261&lt;=TODAY()+3,"Next 3 Days","Later")))</f>
        <v/>
      </c>
      <c r="K261" s="425" t="inlineStr">
        <is>
          <t>https://www.linkedin.com/in/mirasbek/</t>
        </is>
      </c>
      <c r="L261" s="425" t="inlineStr"/>
      <c r="M261" s="425" t="inlineStr"/>
    </row>
    <row r="262">
      <c r="A262" s="425" t="inlineStr">
        <is>
          <t>Promus Ventures</t>
        </is>
      </c>
      <c r="B262" s="425" t="inlineStr">
        <is>
          <t>Financial Investor</t>
        </is>
      </c>
      <c r="C262" s="425" t="inlineStr">
        <is>
          <t>Follow Up</t>
        </is>
      </c>
      <c r="D262" s="425" t="inlineStr">
        <is>
          <t>Tier 2</t>
        </is>
      </c>
      <c r="E262" s="425" t="n">
        <v>3</v>
      </c>
      <c r="F262" s="425" t="inlineStr">
        <is>
          <t>Jenny Shepherd; Mike Collett; Pierre Festal</t>
        </is>
      </c>
      <c r="G262" s="425" t="inlineStr">
        <is>
          <t>jenny@promusventures.com; mike@promusventures.com; pierre@promusventures.com</t>
        </is>
      </c>
      <c r="H262" s="441" t="n">
        <v>45973</v>
      </c>
      <c r="I262" s="441">
        <f>IF(OR(C262="Passed",H262="",ISBLANK(H262)),"",H262+7)</f>
        <v/>
      </c>
      <c r="J262" s="425">
        <f>IF(I262="","",IF(I262&lt;=TODAY(),"DUE",IF(I262&lt;=TODAY()+3,"Next 3 Days","Later")))</f>
        <v/>
      </c>
      <c r="K262" s="425" t="inlineStr">
        <is>
          <t>https://www.linkedin.com/in/jenniferanneshepherd/ | https://www.linkedin.com/in/mikecollett</t>
        </is>
      </c>
      <c r="L262" s="425" t="inlineStr"/>
      <c r="M262" s="425" t="inlineStr">
        <is>
          <t>12/16/2025</t>
        </is>
      </c>
    </row>
    <row r="263">
      <c r="A263" s="425" t="inlineStr">
        <is>
          <t>PsyMed Ventures</t>
        </is>
      </c>
      <c r="B263" s="425" t="inlineStr">
        <is>
          <t>Financial Investor</t>
        </is>
      </c>
      <c r="C263" s="425" t="inlineStr">
        <is>
          <t>Follow Up</t>
        </is>
      </c>
      <c r="D263" s="425" t="inlineStr">
        <is>
          <t>Tier 2</t>
        </is>
      </c>
      <c r="E263" s="425" t="n">
        <v>1</v>
      </c>
      <c r="F263" s="425" t="inlineStr">
        <is>
          <t>Matias Serebrinsky</t>
        </is>
      </c>
      <c r="G263" s="425" t="inlineStr">
        <is>
          <t>matias@psymed.ventures</t>
        </is>
      </c>
      <c r="H263" s="441" t="n">
        <v>46036</v>
      </c>
      <c r="I263" s="441">
        <f>IF(OR(C263="Passed",H263="",ISBLANK(H263)),"",H263+7)</f>
        <v/>
      </c>
      <c r="J263" s="425">
        <f>IF(I263="","",IF(I263&lt;=TODAY(),"DUE",IF(I263&lt;=TODAY()+3,"Next 3 Days","Later")))</f>
        <v/>
      </c>
      <c r="K263" s="425" t="inlineStr">
        <is>
          <t>https://www.linkedin.com/in/matias-serebrinsky-8b02b5b/</t>
        </is>
      </c>
      <c r="L263" s="425" t="inlineStr"/>
      <c r="M263" s="425" t="inlineStr"/>
    </row>
    <row r="264">
      <c r="A264" s="425" t="inlineStr">
        <is>
          <t>RF Lafferty &amp; Co</t>
        </is>
      </c>
      <c r="B264" s="425" t="inlineStr">
        <is>
          <t>Financial Investor</t>
        </is>
      </c>
      <c r="C264" s="425" t="inlineStr">
        <is>
          <t>Follow Up</t>
        </is>
      </c>
      <c r="D264" s="425" t="inlineStr">
        <is>
          <t>Tier 2</t>
        </is>
      </c>
      <c r="E264" s="425" t="n">
        <v>1</v>
      </c>
      <c r="F264" s="425" t="inlineStr">
        <is>
          <t>Zachary Blumenthal</t>
        </is>
      </c>
      <c r="G264" s="425" t="inlineStr">
        <is>
          <t>zblumenthal@rflafferty.com</t>
        </is>
      </c>
      <c r="H264" s="425" t="n"/>
      <c r="I264" s="441">
        <f>IF(OR(C264="Passed",H264="",ISBLANK(H264)),"",H264+7)</f>
        <v/>
      </c>
      <c r="J264" s="425">
        <f>IF(I264="","",IF(I264&lt;=TODAY(),"DUE",IF(I264&lt;=TODAY()+3,"Next 3 Days","Later")))</f>
        <v/>
      </c>
      <c r="K264" s="425" t="inlineStr"/>
      <c r="L264" s="425" t="inlineStr"/>
      <c r="M264" s="425" t="inlineStr">
        <is>
          <t>materials sent / no follow up</t>
        </is>
      </c>
    </row>
    <row r="265">
      <c r="A265" s="425" t="inlineStr">
        <is>
          <t>Radius</t>
        </is>
      </c>
      <c r="B265" s="425" t="inlineStr">
        <is>
          <t>Financial Investor</t>
        </is>
      </c>
      <c r="C265" s="425" t="inlineStr">
        <is>
          <t>Follow Up</t>
        </is>
      </c>
      <c r="D265" s="425" t="inlineStr">
        <is>
          <t>Tier 2</t>
        </is>
      </c>
      <c r="E265" s="425" t="n">
        <v>2</v>
      </c>
      <c r="F265" s="425" t="inlineStr">
        <is>
          <t>Gopi Sundaram; Tom Watts</t>
        </is>
      </c>
      <c r="G265" s="425" t="inlineStr">
        <is>
          <t>gsundaram@radiuscapitalpartners.com; tomwatts4@gmail.com</t>
        </is>
      </c>
      <c r="H265" s="441" t="n">
        <v>45923</v>
      </c>
      <c r="I265" s="441">
        <f>IF(OR(C265="Passed",H265="",ISBLANK(H265)),"",H265+7)</f>
        <v/>
      </c>
      <c r="J265" s="425">
        <f>IF(I265="","",IF(I265&lt;=TODAY(),"DUE",IF(I265&lt;=TODAY()+3,"Next 3 Days","Later")))</f>
        <v/>
      </c>
      <c r="K265" s="425" t="inlineStr">
        <is>
          <t>https://www.linkedin.com/in/gopi-sundaram-2b35b91/ | https://www.linkedin.com/in/tom-watts-8186181/</t>
        </is>
      </c>
      <c r="L265" s="425" t="inlineStr"/>
      <c r="M265" s="425" t="inlineStr">
        <is>
          <t>12/03/2025</t>
        </is>
      </c>
    </row>
    <row r="266">
      <c r="A266" s="425" t="inlineStr">
        <is>
          <t>Rallyday Partners</t>
        </is>
      </c>
      <c r="B266" s="425" t="inlineStr">
        <is>
          <t>Financial Investor</t>
        </is>
      </c>
      <c r="C266" s="425" t="inlineStr">
        <is>
          <t>Follow Up</t>
        </is>
      </c>
      <c r="D266" s="425" t="inlineStr">
        <is>
          <t>Tier 2</t>
        </is>
      </c>
      <c r="E266" s="425" t="n">
        <v>5</v>
      </c>
      <c r="F266" s="425" t="inlineStr">
        <is>
          <t>Katelyn Fritcher; Mark Hopkins; Nancy Phillips; Ryan Heckman; Ryan Kirkpatrick</t>
        </is>
      </c>
      <c r="G266" s="425" t="inlineStr">
        <is>
          <t>info@rallydaypartners.com; katelyn@rallydaypartners.com; mark@rallydaypartners.com; nancy@rallydaypartners.com; ryan@rallydaypartners.com</t>
        </is>
      </c>
      <c r="H266" s="441" t="n">
        <v>45922</v>
      </c>
      <c r="I266" s="441">
        <f>IF(OR(C266="Passed",H266="",ISBLANK(H266)),"",H266+7)</f>
        <v/>
      </c>
      <c r="J266" s="425">
        <f>IF(I266="","",IF(I266&lt;=TODAY(),"DUE",IF(I266&lt;=TODAY()+3,"Next 3 Days","Later")))</f>
        <v/>
      </c>
      <c r="K266" s="425" t="inlineStr"/>
      <c r="L266" s="425" t="inlineStr"/>
      <c r="M266" s="425" t="inlineStr"/>
    </row>
    <row r="267">
      <c r="A267" s="425" t="inlineStr">
        <is>
          <t>Razor's Edge Ventures</t>
        </is>
      </c>
      <c r="B267" s="425" t="inlineStr">
        <is>
          <t>Financial Investor</t>
        </is>
      </c>
      <c r="C267" s="425" t="inlineStr">
        <is>
          <t>Follow Up</t>
        </is>
      </c>
      <c r="D267" s="425" t="inlineStr">
        <is>
          <t>Tier 2</t>
        </is>
      </c>
      <c r="E267" s="425" t="n">
        <v>3</v>
      </c>
      <c r="F267" s="425" t="inlineStr">
        <is>
          <t>Jack Kerrigan; Mark Spoto; Matt Robinson</t>
        </is>
      </c>
      <c r="G267" s="425" t="inlineStr">
        <is>
          <t>jkerrigan@razorsvc.com; mspoto@razorsvc.com; mrobinson@razorsvc.com</t>
        </is>
      </c>
      <c r="H267" s="441" t="n">
        <v>45972</v>
      </c>
      <c r="I267" s="441">
        <f>IF(OR(C267="Passed",H267="",ISBLANK(H267)),"",H267+7)</f>
        <v/>
      </c>
      <c r="J267" s="425">
        <f>IF(I267="","",IF(I267&lt;=TODAY(),"DUE",IF(I267&lt;=TODAY()+3,"Next 3 Days","Later")))</f>
        <v/>
      </c>
      <c r="K267" s="425" t="inlineStr">
        <is>
          <t>linkedin.com/in/jack-kerrigan-672045155 | https://www.linkedin.com/in/markspoto/</t>
        </is>
      </c>
      <c r="L267" s="425" t="inlineStr"/>
      <c r="M267" s="425" t="inlineStr">
        <is>
          <t>12/05/2025</t>
        </is>
      </c>
    </row>
    <row r="268">
      <c r="A268" s="425" t="inlineStr">
        <is>
          <t>Reinventure capital</t>
        </is>
      </c>
      <c r="B268" s="425" t="inlineStr">
        <is>
          <t>Financial Investor</t>
        </is>
      </c>
      <c r="C268" s="425" t="inlineStr">
        <is>
          <t>Follow Up</t>
        </is>
      </c>
      <c r="D268" s="425" t="inlineStr">
        <is>
          <t>Tier 2</t>
        </is>
      </c>
      <c r="E268" s="425" t="n">
        <v>1</v>
      </c>
      <c r="F268" s="425" t="inlineStr">
        <is>
          <t>Langston Dugger</t>
        </is>
      </c>
      <c r="G268" s="425" t="inlineStr">
        <is>
          <t>langston@reinventurecapital.com</t>
        </is>
      </c>
      <c r="H268" s="441" t="n">
        <v>45861</v>
      </c>
      <c r="I268" s="441">
        <f>IF(OR(C268="Passed",H268="",ISBLANK(H268)),"",H268+7)</f>
        <v/>
      </c>
      <c r="J268" s="425">
        <f>IF(I268="","",IF(I268&lt;=TODAY(),"DUE",IF(I268&lt;=TODAY()+3,"Next 3 Days","Later")))</f>
        <v/>
      </c>
      <c r="K268" s="425" t="inlineStr">
        <is>
          <t>https://www.linkedin.com/in/langstondugger/</t>
        </is>
      </c>
      <c r="L268" s="425" t="inlineStr"/>
      <c r="M268" s="425" t="inlineStr">
        <is>
          <t>12/26/2025 | online application: https://reinventurecapital.com/contact/</t>
        </is>
      </c>
    </row>
    <row r="269">
      <c r="A269" s="425" t="inlineStr">
        <is>
          <t>Ridge Ventures</t>
        </is>
      </c>
      <c r="B269" s="425" t="inlineStr">
        <is>
          <t>Financial Investor</t>
        </is>
      </c>
      <c r="C269" s="425" t="inlineStr">
        <is>
          <t>Follow Up</t>
        </is>
      </c>
      <c r="D269" s="425" t="inlineStr">
        <is>
          <t>Tier 2</t>
        </is>
      </c>
      <c r="E269" s="425" t="n">
        <v>4</v>
      </c>
      <c r="F269" s="425" t="inlineStr">
        <is>
          <t>Akriti Dokania; Wendy Phillips; Yousuf Khan; the team</t>
        </is>
      </c>
      <c r="G269" s="425" t="inlineStr">
        <is>
          <t>akriti@ridge.vc; wendy@ridge.vc; yousuf@ridge.vc; info@ridge.vc</t>
        </is>
      </c>
      <c r="H269" s="441" t="n">
        <v>45861</v>
      </c>
      <c r="I269" s="441">
        <f>IF(OR(C269="Passed",H269="",ISBLANK(H269)),"",H269+7)</f>
        <v/>
      </c>
      <c r="J269" s="425">
        <f>IF(I269="","",IF(I269&lt;=TODAY(),"DUE",IF(I269&lt;=TODAY()+3,"Next 3 Days","Later")))</f>
        <v/>
      </c>
      <c r="K269" s="425" t="inlineStr">
        <is>
          <t>linkedin.com/in/akritidokania | https://www.linkedin.com/in/wendy-phillips-6234a96/</t>
        </is>
      </c>
      <c r="L269" s="425" t="inlineStr"/>
      <c r="M269" s="425" t="inlineStr">
        <is>
          <t>12/26/2025</t>
        </is>
      </c>
    </row>
    <row r="270">
      <c r="A270" s="425" t="inlineStr">
        <is>
          <t>Ridgeline VC</t>
        </is>
      </c>
      <c r="B270" s="425" t="inlineStr">
        <is>
          <t>Financial Investor</t>
        </is>
      </c>
      <c r="C270" s="425" t="inlineStr">
        <is>
          <t>Follow Up</t>
        </is>
      </c>
      <c r="D270" s="425" t="inlineStr">
        <is>
          <t>Tier 2</t>
        </is>
      </c>
      <c r="E270" s="425" t="n">
        <v>4</v>
      </c>
      <c r="F270" s="425" t="inlineStr">
        <is>
          <t>Andrew McMahon; Ben Walker; Brandon Harris; Ryan Clinton</t>
        </is>
      </c>
      <c r="G270" s="425" t="inlineStr">
        <is>
          <t>andrew@ridgeline.vc; ben@ridgelinepartners.co; brandon@ridgelinepartners.co; rclinton@ridgeline.vc</t>
        </is>
      </c>
      <c r="H270" s="441" t="n">
        <v>45994</v>
      </c>
      <c r="I270" s="441">
        <f>IF(OR(C270="Passed",H270="",ISBLANK(H270)),"",H270+7)</f>
        <v/>
      </c>
      <c r="J270" s="425">
        <f>IF(I270="","",IF(I270&lt;=TODAY(),"DUE",IF(I270&lt;=TODAY()+3,"Next 3 Days","Later")))</f>
        <v/>
      </c>
      <c r="K270" s="425" t="inlineStr">
        <is>
          <t>https://www.linkedin.com/in/andrewsmcmahon/ | https://www.linkedin.com/in/ben-walker-a48a3726/</t>
        </is>
      </c>
      <c r="L270" s="425" t="inlineStr"/>
      <c r="M270" s="425" t="inlineStr">
        <is>
          <t>12/30/2025</t>
        </is>
      </c>
    </row>
    <row r="271">
      <c r="A271" s="425" t="inlineStr">
        <is>
          <t>Rise of the Rest</t>
        </is>
      </c>
      <c r="B271" s="425" t="inlineStr">
        <is>
          <t>Financial Investor</t>
        </is>
      </c>
      <c r="C271" s="425" t="inlineStr">
        <is>
          <t>Follow Up</t>
        </is>
      </c>
      <c r="D271" s="425" t="inlineStr">
        <is>
          <t>Tier 2</t>
        </is>
      </c>
      <c r="E271" s="425" t="n">
        <v>5</v>
      </c>
      <c r="F271" s="425" t="inlineStr">
        <is>
          <t>David Hall; Kate Wilschutz; Sapna Mehta; Steve Case; Tracy Van Grack</t>
        </is>
      </c>
      <c r="G271" s="425" t="inlineStr">
        <is>
          <t>david.hall@revolution.com; kate.wilschutz@revolution.com; sapna.mehta@revolution.com; steve@revolution.com; tracy.vangrack@revolution.com</t>
        </is>
      </c>
      <c r="H271" s="441" t="n">
        <v>45973</v>
      </c>
      <c r="I271" s="441">
        <f>IF(OR(C271="Passed",H271="",ISBLANK(H271)),"",H271+7)</f>
        <v/>
      </c>
      <c r="J271" s="425">
        <f>IF(I271="","",IF(I271&lt;=TODAY(),"DUE",IF(I271&lt;=TODAY()+3,"Next 3 Days","Later")))</f>
        <v/>
      </c>
      <c r="K271" s="425" t="inlineStr">
        <is>
          <t>linkedin.com/in/david-hall-102195 | linkedin.com/in/kate-wilschutz-54bb828</t>
        </is>
      </c>
      <c r="L271" s="425" t="inlineStr"/>
      <c r="M271" s="425" t="inlineStr">
        <is>
          <t>12/17/2025 | 12/16/2025</t>
        </is>
      </c>
    </row>
    <row r="272">
      <c r="A272" s="425" t="inlineStr">
        <is>
          <t>Rochefort Management</t>
        </is>
      </c>
      <c r="B272" s="425" t="inlineStr">
        <is>
          <t>Financial Investor</t>
        </is>
      </c>
      <c r="C272" s="425" t="inlineStr">
        <is>
          <t>Follow Up</t>
        </is>
      </c>
      <c r="D272" s="425" t="inlineStr">
        <is>
          <t>Tier 2</t>
        </is>
      </c>
      <c r="E272" s="425" t="n">
        <v>1</v>
      </c>
      <c r="F272" s="425" t="inlineStr">
        <is>
          <t>Grayson Wotnosky</t>
        </is>
      </c>
      <c r="G272" s="425" t="inlineStr">
        <is>
          <t>sschottenheimer@rochefort.us; gwotnosky@rochefort.us</t>
        </is>
      </c>
      <c r="H272" s="441" t="n">
        <v>46056</v>
      </c>
      <c r="I272" s="441">
        <f>IF(OR(C272="Passed",H272="",ISBLANK(H272)),"",H272+7)</f>
        <v/>
      </c>
      <c r="J272" s="425">
        <f>IF(I272="","",IF(I272&lt;=TODAY(),"DUE",IF(I272&lt;=TODAY()+3,"Next 3 Days","Later")))</f>
        <v/>
      </c>
      <c r="K272" s="425" t="inlineStr">
        <is>
          <t>https://www.linkedin.com/in/grayson-wotnosky-23987b1b7</t>
        </is>
      </c>
      <c r="L272" s="425" t="inlineStr">
        <is>
          <t>OSC Approved Connected with three Dallas area VC types</t>
        </is>
      </c>
      <c r="M272" s="425" t="inlineStr">
        <is>
          <t>6/23 sent one pager and meeting link | held meeting and sent follow up 1/8 | long lead time - 6 months + Government possible applicaiton for expansion $25M+ long term BLK4 funding path vs commercial capital for that.</t>
        </is>
      </c>
    </row>
    <row r="273">
      <c r="A273" s="425" t="inlineStr">
        <is>
          <t>SMG Consulting</t>
        </is>
      </c>
      <c r="B273" s="425" t="inlineStr">
        <is>
          <t>Financial Investor</t>
        </is>
      </c>
      <c r="C273" s="425" t="inlineStr">
        <is>
          <t>Follow Up</t>
        </is>
      </c>
      <c r="D273" s="425" t="inlineStr">
        <is>
          <t>Tier 2</t>
        </is>
      </c>
      <c r="E273" s="425" t="n">
        <v>1</v>
      </c>
      <c r="F273" s="425" t="inlineStr">
        <is>
          <t>Sergio Cecutta</t>
        </is>
      </c>
      <c r="G273" s="425" t="inlineStr">
        <is>
          <t>sergio@smg-consulting.com</t>
        </is>
      </c>
      <c r="H273" s="441" t="n">
        <v>45841</v>
      </c>
      <c r="I273" s="441">
        <f>IF(OR(C273="Passed",H273="",ISBLANK(H273)),"",H273+7)</f>
        <v/>
      </c>
      <c r="J273" s="425">
        <f>IF(I273="","",IF(I273&lt;=TODAY(),"DUE",IF(I273&lt;=TODAY()+3,"Next 3 Days","Later")))</f>
        <v/>
      </c>
      <c r="K273" s="425" t="inlineStr">
        <is>
          <t>https://www.linkedin.com/in/sergiocecutta/</t>
        </is>
      </c>
      <c r="L273" s="425" t="inlineStr"/>
      <c r="M273" s="425" t="inlineStr"/>
    </row>
    <row r="274">
      <c r="A274" s="425" t="inlineStr">
        <is>
          <t>Sand Hill Angels</t>
        </is>
      </c>
      <c r="B274" s="425" t="inlineStr">
        <is>
          <t>Financial Investor</t>
        </is>
      </c>
      <c r="C274" s="425" t="inlineStr">
        <is>
          <t>Follow Up</t>
        </is>
      </c>
      <c r="D274" s="425" t="inlineStr">
        <is>
          <t>Tier 2</t>
        </is>
      </c>
      <c r="E274" s="425" t="n">
        <v>1</v>
      </c>
      <c r="F274" s="425" t="inlineStr">
        <is>
          <t>Ning Sung</t>
        </is>
      </c>
      <c r="G274" s="425" t="inlineStr">
        <is>
          <t>nsung@sandhillangels.com</t>
        </is>
      </c>
      <c r="H274" s="441" t="n">
        <v>46036</v>
      </c>
      <c r="I274" s="441">
        <f>IF(OR(C274="Passed",H274="",ISBLANK(H274)),"",H274+7)</f>
        <v/>
      </c>
      <c r="J274" s="425">
        <f>IF(I274="","",IF(I274&lt;=TODAY(),"DUE",IF(I274&lt;=TODAY()+3,"Next 3 Days","Later")))</f>
        <v/>
      </c>
      <c r="K274" s="425" t="inlineStr">
        <is>
          <t>https://www.linkedin.com/in/ning-sung/</t>
        </is>
      </c>
      <c r="L274" s="425" t="inlineStr"/>
      <c r="M274" s="425" t="inlineStr"/>
    </row>
    <row r="275">
      <c r="A275" s="425" t="inlineStr">
        <is>
          <t>Sanders Morris</t>
        </is>
      </c>
      <c r="B275" s="425" t="inlineStr">
        <is>
          <t>Financial Investor</t>
        </is>
      </c>
      <c r="C275" s="425" t="inlineStr">
        <is>
          <t>Follow Up</t>
        </is>
      </c>
      <c r="D275" s="425" t="inlineStr">
        <is>
          <t>Tier 2</t>
        </is>
      </c>
      <c r="E275" s="425" t="n">
        <v>4</v>
      </c>
      <c r="F275" s="425" t="inlineStr">
        <is>
          <t>Don Sanders; Erick Kuebler; Ted Hoffman; Steve Mangold</t>
        </is>
      </c>
      <c r="G275" s="425" t="inlineStr">
        <is>
          <t>don.sanders@smhgroup.com; erick.kuebler@smhgroup.com; ted.hoffman@smhgroup.com; steve.mangold@smhgroup.com</t>
        </is>
      </c>
      <c r="H275" s="441" t="n">
        <v>46036</v>
      </c>
      <c r="I275" s="441">
        <f>IF(OR(C275="Passed",H275="",ISBLANK(H275)),"",H275+7)</f>
        <v/>
      </c>
      <c r="J275" s="425">
        <f>IF(I275="","",IF(I275&lt;=TODAY(),"DUE",IF(I275&lt;=TODAY()+3,"Next 3 Days","Later")))</f>
        <v/>
      </c>
      <c r="K275" s="425" t="inlineStr">
        <is>
          <t>https://www.linkedin.com/in/don-sanders-41358494/ | https://www.linkedin.com/in/erick-kuebler-a718bb47/</t>
        </is>
      </c>
      <c r="L275" s="425" t="inlineStr"/>
      <c r="M275" s="425" t="inlineStr">
        <is>
          <t>02/26/2026</t>
        </is>
      </c>
    </row>
    <row r="276">
      <c r="A276" s="425" t="inlineStr">
        <is>
          <t>Sands Capital</t>
        </is>
      </c>
      <c r="B276" s="425" t="inlineStr">
        <is>
          <t>Financial Investor</t>
        </is>
      </c>
      <c r="C276" s="425" t="inlineStr">
        <is>
          <t>Follow Up</t>
        </is>
      </c>
      <c r="D276" s="425" t="inlineStr">
        <is>
          <t>Tier 2</t>
        </is>
      </c>
      <c r="E276" s="425" t="n">
        <v>4</v>
      </c>
      <c r="F276" s="425" t="inlineStr">
        <is>
          <t>Andrew Gavlin; Frank Sands; Michael Graninger; Stephen Zachary</t>
        </is>
      </c>
      <c r="G276" s="425" t="inlineStr">
        <is>
          <t>agavlin@sandscap.com; fsands@sandscap.com; mgraninger@sandscap.com; szachary@sandscap.com</t>
        </is>
      </c>
      <c r="H276" s="441" t="n">
        <v>45922</v>
      </c>
      <c r="I276" s="441">
        <f>IF(OR(C276="Passed",H276="",ISBLANK(H276)),"",H276+7)</f>
        <v/>
      </c>
      <c r="J276" s="425">
        <f>IF(I276="","",IF(I276&lt;=TODAY(),"DUE",IF(I276&lt;=TODAY()+3,"Next 3 Days","Later")))</f>
        <v/>
      </c>
      <c r="K276" s="425" t="inlineStr"/>
      <c r="L276" s="425" t="inlineStr"/>
      <c r="M276" s="425" t="inlineStr"/>
    </row>
    <row r="277">
      <c r="A277" s="425" t="inlineStr">
        <is>
          <t>Sapphire Ventures</t>
        </is>
      </c>
      <c r="B277" s="425" t="inlineStr">
        <is>
          <t>Financial Investor</t>
        </is>
      </c>
      <c r="C277" s="425" t="inlineStr">
        <is>
          <t>Follow Up</t>
        </is>
      </c>
      <c r="D277" s="425" t="inlineStr">
        <is>
          <t>Tier 2</t>
        </is>
      </c>
      <c r="E277" s="425" t="n">
        <v>4</v>
      </c>
      <c r="F277" s="425" t="inlineStr">
        <is>
          <t>Abigail Johnson; Jai Das; Laura Thompson; Nate Leung</t>
        </is>
      </c>
      <c r="G277" s="425" t="inlineStr">
        <is>
          <t>abigail@sapphireventures.com; jai@sapphireventures.com; laura@sapphireventures.com; nate@sapphireventures.com</t>
        </is>
      </c>
      <c r="H277" s="441" t="n">
        <v>45973</v>
      </c>
      <c r="I277" s="441">
        <f>IF(OR(C277="Passed",H277="",ISBLANK(H277)),"",H277+7)</f>
        <v/>
      </c>
      <c r="J277" s="425">
        <f>IF(I277="","",IF(I277&lt;=TODAY(),"DUE",IF(I277&lt;=TODAY()+3,"Next 3 Days","Later")))</f>
        <v/>
      </c>
      <c r="K277" s="425" t="inlineStr">
        <is>
          <t>https://www.linkedin.com/in/abigail2 | https://www.linkedin.com/in/jaidas/</t>
        </is>
      </c>
      <c r="L277" s="425" t="inlineStr"/>
      <c r="M277" s="425" t="inlineStr">
        <is>
          <t>12/30/2025</t>
        </is>
      </c>
    </row>
    <row r="278">
      <c r="A278" s="425" t="inlineStr">
        <is>
          <t>Scale Venture Partners</t>
        </is>
      </c>
      <c r="B278" s="425" t="inlineStr">
        <is>
          <t>Financial Investor</t>
        </is>
      </c>
      <c r="C278" s="425" t="inlineStr">
        <is>
          <t>Follow Up</t>
        </is>
      </c>
      <c r="D278" s="425" t="inlineStr">
        <is>
          <t>Tier 2</t>
        </is>
      </c>
      <c r="E278" s="425" t="n">
        <v>5</v>
      </c>
      <c r="F278" s="425" t="inlineStr">
        <is>
          <t>Edi Danalache; Eric Anderson; Max Abram; Sam Baker; Stacey Bishop</t>
        </is>
      </c>
      <c r="G278" s="425" t="inlineStr">
        <is>
          <t>edi@scalevp.com; ericmand@gmail.com; max@scalevp.com; sam@scalevp.com; stacey@scalevp.com</t>
        </is>
      </c>
      <c r="H278" s="441" t="n">
        <v>45973</v>
      </c>
      <c r="I278" s="441">
        <f>IF(OR(C278="Passed",H278="",ISBLANK(H278)),"",H278+7)</f>
        <v/>
      </c>
      <c r="J278" s="425">
        <f>IF(I278="","",IF(I278&lt;=TODAY(),"DUE",IF(I278&lt;=TODAY()+3,"Next 3 Days","Later")))</f>
        <v/>
      </c>
      <c r="K278" s="425" t="inlineStr">
        <is>
          <t>https://www.linkedin.com/in/edanalache/ | https://www.linkedin.com/in/ericmand/</t>
        </is>
      </c>
      <c r="L278" s="425" t="inlineStr"/>
      <c r="M278" s="425" t="inlineStr">
        <is>
          <t>12/19/2025 | 12/30/2025</t>
        </is>
      </c>
    </row>
    <row r="279">
      <c r="A279" s="425" t="inlineStr">
        <is>
          <t>Schematic Ventures</t>
        </is>
      </c>
      <c r="B279" s="425" t="inlineStr">
        <is>
          <t>Financial Investor</t>
        </is>
      </c>
      <c r="C279" s="425" t="inlineStr">
        <is>
          <t>Follow Up</t>
        </is>
      </c>
      <c r="D279" s="425" t="inlineStr">
        <is>
          <t>Tier 2</t>
        </is>
      </c>
      <c r="E279" s="425" t="n">
        <v>3</v>
      </c>
      <c r="F279" s="425" t="inlineStr">
        <is>
          <t>Alex Freed; Ananya Vasagiri; Julian Counihan</t>
        </is>
      </c>
      <c r="G279" s="425" t="inlineStr">
        <is>
          <t>alex@schematicventures.com; ananya@schematicventures.com; julian@schematicventures.com</t>
        </is>
      </c>
      <c r="H279" s="441" t="n">
        <v>45973</v>
      </c>
      <c r="I279" s="441">
        <f>IF(OR(C279="Passed",H279="",ISBLANK(H279)),"",H279+7)</f>
        <v/>
      </c>
      <c r="J279" s="425">
        <f>IF(I279="","",IF(I279&lt;=TODAY(),"DUE",IF(I279&lt;=TODAY()+3,"Next 3 Days","Later")))</f>
        <v/>
      </c>
      <c r="K279" s="425" t="inlineStr">
        <is>
          <t>https://www.linkedin.com/in/alexeyfreed/ | https://www.linkedin.com/in/ananya-vasagiri/</t>
        </is>
      </c>
      <c r="L279" s="425" t="inlineStr"/>
      <c r="M279" s="425" t="inlineStr">
        <is>
          <t>12/30/2025</t>
        </is>
      </c>
    </row>
    <row r="280">
      <c r="A280" s="425" t="inlineStr">
        <is>
          <t>Scientia Ventures</t>
        </is>
      </c>
      <c r="B280" s="425" t="inlineStr">
        <is>
          <t>Financial Investor</t>
        </is>
      </c>
      <c r="C280" s="425" t="inlineStr">
        <is>
          <t>Follow Up</t>
        </is>
      </c>
      <c r="D280" s="425" t="inlineStr">
        <is>
          <t>Tier 2</t>
        </is>
      </c>
      <c r="E280" s="425" t="n">
        <v>8</v>
      </c>
      <c r="F280" s="425" t="inlineStr">
        <is>
          <t>Daniel Goldman; Dave Schippers; Harry Glorikian; John Dessouki; Jonathan Finn</t>
        </is>
      </c>
      <c r="G280" s="425" t="inlineStr">
        <is>
          <t>d.goldman@scientiavc.com; d.schippers@scientiavc.com; h.glorikian@scientiavc.com; j.dessouki@scientiavc.com; j.finn@scientiavc.com</t>
        </is>
      </c>
      <c r="H280" s="441" t="n">
        <v>45929</v>
      </c>
      <c r="I280" s="441">
        <f>IF(OR(C280="Passed",H280="",ISBLANK(H280)),"",H280+7)</f>
        <v/>
      </c>
      <c r="J280" s="425">
        <f>IF(I280="","",IF(I280&lt;=TODAY(),"DUE",IF(I280&lt;=TODAY()+3,"Next 3 Days","Later")))</f>
        <v/>
      </c>
      <c r="K280" s="425" t="inlineStr">
        <is>
          <t>https://www.linkedin.com/in/daschippers/ | https://www.linkedin.com/in/harryglorikian/</t>
        </is>
      </c>
      <c r="L280" s="425" t="inlineStr"/>
      <c r="M280" s="425" t="inlineStr">
        <is>
          <t>12/04/2025</t>
        </is>
      </c>
    </row>
    <row r="281">
      <c r="A281" s="425" t="inlineStr">
        <is>
          <t>Search Fund Accelerator</t>
        </is>
      </c>
      <c r="B281" s="425" t="inlineStr">
        <is>
          <t>Financial Investor</t>
        </is>
      </c>
      <c r="C281" s="425" t="inlineStr">
        <is>
          <t>Follow Up</t>
        </is>
      </c>
      <c r="D281" s="425" t="inlineStr">
        <is>
          <t>Tier 2</t>
        </is>
      </c>
      <c r="E281" s="425" t="n">
        <v>3</v>
      </c>
      <c r="F281" s="425" t="inlineStr">
        <is>
          <t>Jeremy Silverman; Sean O'Neil; Timothy Bovard</t>
        </is>
      </c>
      <c r="G281" s="425" t="inlineStr">
        <is>
          <t>jeremy@searchfundaccelerator.com; sean@searchfundaccelerator.com; timothy@searchfundaccelerator.com</t>
        </is>
      </c>
      <c r="H281" s="441" t="n">
        <v>45848</v>
      </c>
      <c r="I281" s="441">
        <f>IF(OR(C281="Passed",H281="",ISBLANK(H281)),"",H281+7)</f>
        <v/>
      </c>
      <c r="J281" s="425">
        <f>IF(I281="","",IF(I281&lt;=TODAY(),"DUE",IF(I281&lt;=TODAY()+3,"Next 3 Days","Later")))</f>
        <v/>
      </c>
      <c r="K281" s="425" t="inlineStr">
        <is>
          <t>https://www.linkedin.com/in/jeremysilverman/ | https://www.linkedin.com/in/sean0neill/</t>
        </is>
      </c>
      <c r="L281" s="425" t="inlineStr"/>
      <c r="M281" s="425" t="inlineStr">
        <is>
          <t>12/23/2025</t>
        </is>
      </c>
    </row>
    <row r="282">
      <c r="A282" s="425" t="inlineStr">
        <is>
          <t>SeedFord Partners</t>
        </is>
      </c>
      <c r="B282" s="425" t="inlineStr">
        <is>
          <t>Financial Investor</t>
        </is>
      </c>
      <c r="C282" s="425" t="inlineStr">
        <is>
          <t>Follow Up</t>
        </is>
      </c>
      <c r="D282" s="425" t="inlineStr">
        <is>
          <t>Tier 2</t>
        </is>
      </c>
      <c r="E282" s="425" t="n">
        <v>2</v>
      </c>
      <c r="F282" s="425" t="inlineStr">
        <is>
          <t>Fahad Alhussain; Nouf A</t>
        </is>
      </c>
      <c r="G282" s="425" t="inlineStr">
        <is>
          <t>fahad@seedford-partners.com; nouf@seedford-partners.com</t>
        </is>
      </c>
      <c r="H282" s="441" t="n">
        <v>46036</v>
      </c>
      <c r="I282" s="441">
        <f>IF(OR(C282="Passed",H282="",ISBLANK(H282)),"",H282+7)</f>
        <v/>
      </c>
      <c r="J282" s="425">
        <f>IF(I282="","",IF(I282&lt;=TODAY(),"DUE",IF(I282&lt;=TODAY()+3,"Next 3 Days","Later")))</f>
        <v/>
      </c>
      <c r="K282" s="425" t="inlineStr">
        <is>
          <t>linkedin.com/in/fahad-alhussain-56a325198 | linkedin.com/in/nouf-alhaqbani</t>
        </is>
      </c>
      <c r="L282" s="425" t="inlineStr"/>
      <c r="M282" s="425" t="inlineStr">
        <is>
          <t>02/26/2026</t>
        </is>
      </c>
    </row>
    <row r="283">
      <c r="A283" s="425" t="inlineStr">
        <is>
          <t>Seldor Capital</t>
        </is>
      </c>
      <c r="B283" s="425" t="inlineStr">
        <is>
          <t>Financial Investor</t>
        </is>
      </c>
      <c r="C283" s="425" t="inlineStr">
        <is>
          <t>Follow Up</t>
        </is>
      </c>
      <c r="D283" s="425" t="inlineStr">
        <is>
          <t>Tier 2</t>
        </is>
      </c>
      <c r="E283" s="425" t="n">
        <v>2</v>
      </c>
      <c r="F283" s="425" t="inlineStr">
        <is>
          <t>Roberto Alvarez; Steven Gonzalez</t>
        </is>
      </c>
      <c r="G283" s="425" t="inlineStr">
        <is>
          <t>roberto@seldorcapital.com; steven@seldorcapital.com</t>
        </is>
      </c>
      <c r="H283" s="441" t="n">
        <v>45973</v>
      </c>
      <c r="I283" s="441">
        <f>IF(OR(C283="Passed",H283="",ISBLANK(H283)),"",H283+7)</f>
        <v/>
      </c>
      <c r="J283" s="425">
        <f>IF(I283="","",IF(I283&lt;=TODAY(),"DUE",IF(I283&lt;=TODAY()+3,"Next 3 Days","Later")))</f>
        <v/>
      </c>
      <c r="K283" s="425" t="inlineStr">
        <is>
          <t>https://www.linkedin.com/in/robertodosreisalvarez | https://www.linkedin.com/in/steven-gonzalez-248312/</t>
        </is>
      </c>
      <c r="L283" s="425" t="inlineStr"/>
      <c r="M283" s="425" t="inlineStr">
        <is>
          <t>12/15/2025</t>
        </is>
      </c>
    </row>
    <row r="284">
      <c r="A284" s="425" t="inlineStr">
        <is>
          <t>Serra Ventures</t>
        </is>
      </c>
      <c r="B284" s="425" t="inlineStr">
        <is>
          <t>Financial Investor</t>
        </is>
      </c>
      <c r="C284" s="425" t="inlineStr">
        <is>
          <t>Follow Up</t>
        </is>
      </c>
      <c r="D284" s="425" t="inlineStr">
        <is>
          <t>Tier 2</t>
        </is>
      </c>
      <c r="E284" s="425" t="n">
        <v>1</v>
      </c>
      <c r="F284" s="425" t="inlineStr">
        <is>
          <t>Eric Wilson</t>
        </is>
      </c>
      <c r="G284" s="425" t="inlineStr">
        <is>
          <t>eric@serraventures.com</t>
        </is>
      </c>
      <c r="H284" s="441" t="n">
        <v>45972</v>
      </c>
      <c r="I284" s="441">
        <f>IF(OR(C284="Passed",H284="",ISBLANK(H284)),"",H284+7)</f>
        <v/>
      </c>
      <c r="J284" s="425">
        <f>IF(I284="","",IF(I284&lt;=TODAY(),"DUE",IF(I284&lt;=TODAY()+3,"Next 3 Days","Later")))</f>
        <v/>
      </c>
      <c r="K284" s="425" t="inlineStr">
        <is>
          <t>https://www.linkedin.com/in/eric-wilson-67936a90/</t>
        </is>
      </c>
      <c r="L284" s="425" t="inlineStr"/>
      <c r="M284" s="425" t="inlineStr">
        <is>
          <t>12/05/2025</t>
        </is>
      </c>
    </row>
    <row r="285">
      <c r="A285" s="425" t="inlineStr">
        <is>
          <t>Sierra Ventures</t>
        </is>
      </c>
      <c r="B285" s="425" t="inlineStr">
        <is>
          <t>Financial Investor</t>
        </is>
      </c>
      <c r="C285" s="425" t="inlineStr">
        <is>
          <t>Follow Up</t>
        </is>
      </c>
      <c r="D285" s="425" t="inlineStr">
        <is>
          <t>Tier 2</t>
        </is>
      </c>
      <c r="E285" s="425" t="n">
        <v>1</v>
      </c>
      <c r="F285" s="425" t="inlineStr">
        <is>
          <t>Brendon Schmidt</t>
        </is>
      </c>
      <c r="G285" s="425" t="inlineStr">
        <is>
          <t>brendon@sierraventures.com</t>
        </is>
      </c>
      <c r="H285" s="441" t="n">
        <v>45972</v>
      </c>
      <c r="I285" s="441">
        <f>IF(OR(C285="Passed",H285="",ISBLANK(H285)),"",H285+7)</f>
        <v/>
      </c>
      <c r="J285" s="425">
        <f>IF(I285="","",IF(I285&lt;=TODAY(),"DUE",IF(I285&lt;=TODAY()+3,"Next 3 Days","Later")))</f>
        <v/>
      </c>
      <c r="K285" s="425" t="inlineStr">
        <is>
          <t>https://www.linkedin.com/in/brendonschmidt/</t>
        </is>
      </c>
      <c r="L285" s="425" t="inlineStr"/>
      <c r="M285" s="425" t="inlineStr">
        <is>
          <t>12/05/2025</t>
        </is>
      </c>
    </row>
    <row r="286">
      <c r="A286" s="425" t="inlineStr">
        <is>
          <t>Signal Fire</t>
        </is>
      </c>
      <c r="B286" s="425" t="inlineStr">
        <is>
          <t>Financial Investor</t>
        </is>
      </c>
      <c r="C286" s="425" t="inlineStr">
        <is>
          <t>Follow Up</t>
        </is>
      </c>
      <c r="D286" s="425" t="inlineStr">
        <is>
          <t>Tier 2</t>
        </is>
      </c>
      <c r="E286" s="425" t="n">
        <v>4</v>
      </c>
      <c r="F286" s="425" t="inlineStr">
        <is>
          <t>Chris Farmer; Ilya Kirnos; Jon Lim; Wayne Hu</t>
        </is>
      </c>
      <c r="G286" s="425" t="inlineStr">
        <is>
          <t>chris@signalfire.com; ilya@signalfire.com; jlim@signalfire.com; wayne@signalfire.com</t>
        </is>
      </c>
      <c r="H286" s="441" t="n">
        <v>45985</v>
      </c>
      <c r="I286" s="441">
        <f>IF(OR(C286="Passed",H286="",ISBLANK(H286)),"",H286+7)</f>
        <v/>
      </c>
      <c r="J286" s="425">
        <f>IF(I286="","",IF(I286&lt;=TODAY(),"DUE",IF(I286&lt;=TODAY()+3,"Next 3 Days","Later")))</f>
        <v/>
      </c>
      <c r="K286" s="425" t="inlineStr">
        <is>
          <t>https://www.linkedin.com/in/chriswfarmer/ | https://www.linkedin.com/in/imkirnos/</t>
        </is>
      </c>
      <c r="L286" s="425" t="inlineStr"/>
      <c r="M286" s="425" t="inlineStr">
        <is>
          <t>12/30/2025 | 12/05/2025</t>
        </is>
      </c>
    </row>
    <row r="287">
      <c r="A287" s="425" t="inlineStr">
        <is>
          <t>Silent Ventures</t>
        </is>
      </c>
      <c r="B287" s="425" t="inlineStr">
        <is>
          <t>Financial Investor</t>
        </is>
      </c>
      <c r="C287" s="425" t="inlineStr">
        <is>
          <t>Follow Up</t>
        </is>
      </c>
      <c r="D287" s="425" t="inlineStr">
        <is>
          <t>Tier 2</t>
        </is>
      </c>
      <c r="E287" s="425" t="n">
        <v>1</v>
      </c>
      <c r="F287" s="425" t="inlineStr">
        <is>
          <t>Jackson Moses</t>
        </is>
      </c>
      <c r="G287" s="425" t="inlineStr">
        <is>
          <t>jackson@silentvc.com</t>
        </is>
      </c>
      <c r="H287" s="441" t="n">
        <v>45973</v>
      </c>
      <c r="I287" s="441">
        <f>IF(OR(C287="Passed",H287="",ISBLANK(H287)),"",H287+7)</f>
        <v/>
      </c>
      <c r="J287" s="425">
        <f>IF(I287="","",IF(I287&lt;=TODAY(),"DUE",IF(I287&lt;=TODAY()+3,"Next 3 Days","Later")))</f>
        <v/>
      </c>
      <c r="K287" s="425" t="inlineStr">
        <is>
          <t>https://www.linkedin.com/in/jacksonmoses/</t>
        </is>
      </c>
      <c r="L287" s="425" t="inlineStr"/>
      <c r="M287" s="425" t="inlineStr">
        <is>
          <t>12/30/2025</t>
        </is>
      </c>
    </row>
    <row r="288">
      <c r="A288" s="425" t="inlineStr">
        <is>
          <t>Silicon Catalyst</t>
        </is>
      </c>
      <c r="B288" s="425" t="inlineStr">
        <is>
          <t>Financial Investor</t>
        </is>
      </c>
      <c r="C288" s="425" t="inlineStr">
        <is>
          <t>Follow Up</t>
        </is>
      </c>
      <c r="D288" s="425" t="inlineStr">
        <is>
          <t>Tier 2</t>
        </is>
      </c>
      <c r="E288" s="425" t="n">
        <v>1</v>
      </c>
      <c r="F288" s="425" t="inlineStr">
        <is>
          <t>Paul Pickering</t>
        </is>
      </c>
      <c r="G288" s="425" t="inlineStr">
        <is>
          <t>paul@sicatalyst.com</t>
        </is>
      </c>
      <c r="H288" s="441" t="n">
        <v>46036</v>
      </c>
      <c r="I288" s="441">
        <f>IF(OR(C288="Passed",H288="",ISBLANK(H288)),"",H288+7)</f>
        <v/>
      </c>
      <c r="J288" s="425">
        <f>IF(I288="","",IF(I288&lt;=TODAY(),"DUE",IF(I288&lt;=TODAY()+3,"Next 3 Days","Later")))</f>
        <v/>
      </c>
      <c r="K288" s="425" t="inlineStr">
        <is>
          <t>linkedin.com/in/paul-pickering-48a46b</t>
        </is>
      </c>
      <c r="L288" s="425" t="inlineStr"/>
      <c r="M288" s="425" t="inlineStr">
        <is>
          <t>not a fit</t>
        </is>
      </c>
    </row>
    <row r="289">
      <c r="A289" s="425" t="inlineStr">
        <is>
          <t>Silver Peak</t>
        </is>
      </c>
      <c r="B289" s="425" t="inlineStr">
        <is>
          <t>Financial Investor</t>
        </is>
      </c>
      <c r="C289" s="425" t="inlineStr">
        <is>
          <t>Follow Up</t>
        </is>
      </c>
      <c r="D289" s="425" t="inlineStr">
        <is>
          <t>Tier 2</t>
        </is>
      </c>
      <c r="E289" s="425" t="n">
        <v>3</v>
      </c>
      <c r="F289" s="425" t="inlineStr">
        <is>
          <t>David Ford; Nicholas Sealy; William Edwards</t>
        </is>
      </c>
      <c r="G289" s="425" t="inlineStr">
        <is>
          <t>df@silverpeakib.com; ns@silverpeakib.com; we@silverpeakib.com</t>
        </is>
      </c>
      <c r="H289" s="441" t="n">
        <v>45946</v>
      </c>
      <c r="I289" s="441">
        <f>IF(OR(C289="Passed",H289="",ISBLANK(H289)),"",H289+7)</f>
        <v/>
      </c>
      <c r="J289" s="425">
        <f>IF(I289="","",IF(I289&lt;=TODAY(),"DUE",IF(I289&lt;=TODAY()+3,"Next 3 Days","Later")))</f>
        <v/>
      </c>
      <c r="K289" s="425" t="inlineStr">
        <is>
          <t>refered by Andy@abuchholtz.com</t>
        </is>
      </c>
      <c r="L289" s="425" t="inlineStr"/>
      <c r="M289" s="425" t="inlineStr">
        <is>
          <t>too small right now, said to follow up later on - avg deal is $40 mil | 12/18/2025 | 12/30/2025</t>
        </is>
      </c>
    </row>
    <row r="290">
      <c r="A290" s="425" t="inlineStr">
        <is>
          <t>Silverton Partners</t>
        </is>
      </c>
      <c r="B290" s="425" t="inlineStr">
        <is>
          <t>Financial Investor</t>
        </is>
      </c>
      <c r="C290" s="425" t="inlineStr">
        <is>
          <t>Follow Up</t>
        </is>
      </c>
      <c r="D290" s="425" t="inlineStr">
        <is>
          <t>Tier 2</t>
        </is>
      </c>
      <c r="E290" s="425" t="n">
        <v>5</v>
      </c>
      <c r="F290" s="425" t="inlineStr">
        <is>
          <t>Kip McClanahan; Mike Dodd; Morgan Flager; Roger Chen; Silverton Partners Group</t>
        </is>
      </c>
      <c r="G290" s="425" t="inlineStr">
        <is>
          <t>kmcclanahan@silvertonpartners.com; mike@silvertonpartners.com; mflager@silvertonpartners.com; roger@silvertonpartners.com; businessplans@silvertonpartners.com</t>
        </is>
      </c>
      <c r="H290" s="441" t="n">
        <v>45841</v>
      </c>
      <c r="I290" s="441">
        <f>IF(OR(C290="Passed",H290="",ISBLANK(H290)),"",H290+7)</f>
        <v/>
      </c>
      <c r="J290" s="425">
        <f>IF(I290="","",IF(I290&lt;=TODAY(),"DUE",IF(I290&lt;=TODAY()+3,"Next 3 Days","Later")))</f>
        <v/>
      </c>
      <c r="K290" s="425" t="inlineStr">
        <is>
          <t>https://www.linkedin.com/in/kipmcclanahan/ | https://www.linkedin.com/in/mikedodd1/</t>
        </is>
      </c>
      <c r="L290" s="425" t="inlineStr"/>
      <c r="M290" s="425" t="inlineStr"/>
    </row>
    <row r="291">
      <c r="A291" s="425" t="inlineStr">
        <is>
          <t>Sixty Degree Capital</t>
        </is>
      </c>
      <c r="B291" s="425" t="inlineStr">
        <is>
          <t>Financial Investor</t>
        </is>
      </c>
      <c r="C291" s="425" t="inlineStr">
        <is>
          <t>Follow Up</t>
        </is>
      </c>
      <c r="D291" s="425" t="inlineStr">
        <is>
          <t>Tier 2</t>
        </is>
      </c>
      <c r="E291" s="425" t="n">
        <v>5</v>
      </c>
      <c r="F291" s="425" t="inlineStr">
        <is>
          <t>Brett Liu; Cheryl Kuai; Jenny Lo; Robert Guo; Robin Gao</t>
        </is>
      </c>
      <c r="G291" s="425" t="inlineStr">
        <is>
          <t>brett.liu@sixtydegreecapital.com; cheryl.kuai@sixtydegreecapital.com; jenny.lo@sixtydegreecapital.com; robert.guo@sixtydegreecapital.com; robin.gao@sixtydegreecapital.com</t>
        </is>
      </c>
      <c r="H291" s="441" t="n">
        <v>45890</v>
      </c>
      <c r="I291" s="441">
        <f>IF(OR(C291="Passed",H291="",ISBLANK(H291)),"",H291+7)</f>
        <v/>
      </c>
      <c r="J291" s="425">
        <f>IF(I291="","",IF(I291&lt;=TODAY(),"DUE",IF(I291&lt;=TODAY()+3,"Next 3 Days","Later")))</f>
        <v/>
      </c>
      <c r="K291" s="425" t="inlineStr">
        <is>
          <t>https://www.linkedin.com/in/cheryl-kuai-ph-d-cfa-72aa4297/ | https://www.linkedin.com/in/chiao-ni-lo/</t>
        </is>
      </c>
      <c r="L291" s="425" t="inlineStr"/>
      <c r="M291" s="425" t="inlineStr">
        <is>
          <t>12/29/2025</t>
        </is>
      </c>
    </row>
    <row r="292">
      <c r="A292" s="425" t="inlineStr">
        <is>
          <t>Snowpoint VC</t>
        </is>
      </c>
      <c r="B292" s="425" t="inlineStr">
        <is>
          <t>Financial Investor</t>
        </is>
      </c>
      <c r="C292" s="425" t="inlineStr">
        <is>
          <t>Follow Up</t>
        </is>
      </c>
      <c r="D292" s="425" t="inlineStr">
        <is>
          <t>Tier 2</t>
        </is>
      </c>
      <c r="E292" s="425" t="n">
        <v>3</v>
      </c>
      <c r="F292" s="425" t="inlineStr">
        <is>
          <t>Alexander Creasey; Doug Philippone; Ben Buchheim-Jurisson</t>
        </is>
      </c>
      <c r="G292" s="425" t="inlineStr">
        <is>
          <t>alex@snowpoint.vc; doug@snowpoint.vc; ben@snowpoint.vc</t>
        </is>
      </c>
      <c r="H292" s="441" t="n">
        <v>45972</v>
      </c>
      <c r="I292" s="441">
        <f>IF(OR(C292="Passed",H292="",ISBLANK(H292)),"",H292+7)</f>
        <v/>
      </c>
      <c r="J292" s="425">
        <f>IF(I292="","",IF(I292&lt;=TODAY(),"DUE",IF(I292&lt;=TODAY()+3,"Next 3 Days","Later")))</f>
        <v/>
      </c>
      <c r="K292" s="425" t="inlineStr">
        <is>
          <t>https://www.linkedin.com/in/alexander-creasey-90998436/ | https://www.linkedin.com/in/dougphilippone/</t>
        </is>
      </c>
      <c r="L292" s="425" t="inlineStr"/>
      <c r="M292" s="425" t="inlineStr">
        <is>
          <t>most recent follow up, 12/5 | 12/05/2025</t>
        </is>
      </c>
    </row>
    <row r="293">
      <c r="A293" s="425" t="inlineStr">
        <is>
          <t>Snowpoint Ventures</t>
        </is>
      </c>
      <c r="B293" s="425" t="inlineStr">
        <is>
          <t>Financial Investor</t>
        </is>
      </c>
      <c r="C293" s="425" t="inlineStr">
        <is>
          <t>Follow Up</t>
        </is>
      </c>
      <c r="D293" s="425" t="inlineStr">
        <is>
          <t>Tier 2</t>
        </is>
      </c>
      <c r="E293" s="425" t="n">
        <v>2</v>
      </c>
      <c r="F293" s="425" t="inlineStr">
        <is>
          <t>Kevin Higgins - Kipton Intro; Lillie Belle (Viebranz) Renner</t>
        </is>
      </c>
      <c r="G293" s="425" t="inlineStr">
        <is>
          <t>kevin@snowpoint.vc; lilliebelle@snowpoint.vc</t>
        </is>
      </c>
      <c r="H293" s="441" t="n">
        <v>45848</v>
      </c>
      <c r="I293" s="441">
        <f>IF(OR(C293="Passed",H293="",ISBLANK(H293)),"",H293+7)</f>
        <v/>
      </c>
      <c r="J293" s="425">
        <f>IF(I293="","",IF(I293&lt;=TODAY(),"DUE",IF(I293&lt;=TODAY()+3,"Next 3 Days","Later")))</f>
        <v/>
      </c>
      <c r="K293" s="425" t="inlineStr">
        <is>
          <t>https://www.linkedin.com/in/kevin-higgins-a981667/ | https://www.linkedin.com/in/lbviebranz/</t>
        </is>
      </c>
      <c r="L293" s="425" t="inlineStr"/>
      <c r="M293" s="425" t="inlineStr">
        <is>
          <t>outside scope | out until after labor day on maternity leave</t>
        </is>
      </c>
    </row>
    <row r="294">
      <c r="A294" s="425" t="inlineStr">
        <is>
          <t>Softeq</t>
        </is>
      </c>
      <c r="B294" s="425" t="inlineStr">
        <is>
          <t>Financial Investor</t>
        </is>
      </c>
      <c r="C294" s="425" t="inlineStr">
        <is>
          <t>Follow Up</t>
        </is>
      </c>
      <c r="D294" s="425" t="inlineStr">
        <is>
          <t>Tier 2</t>
        </is>
      </c>
      <c r="E294" s="425" t="n">
        <v>4</v>
      </c>
      <c r="F294" s="425" t="inlineStr">
        <is>
          <t>Albert Esser; Chris Howard; Craig Ceccanti; Edwin Lemus</t>
        </is>
      </c>
      <c r="G294" s="425" t="inlineStr">
        <is>
          <t>albert.esser@softeq.com; chris.howard@softeq.com; craig.ceccanti@softeq.com; edwin.lemus@softeq.com</t>
        </is>
      </c>
      <c r="H294" s="441" t="n">
        <v>45841</v>
      </c>
      <c r="I294" s="441">
        <f>IF(OR(C294="Passed",H294="",ISBLANK(H294)),"",H294+7)</f>
        <v/>
      </c>
      <c r="J294" s="425">
        <f>IF(I294="","",IF(I294&lt;=TODAY(),"DUE",IF(I294&lt;=TODAY()+3,"Next 3 Days","Later")))</f>
        <v/>
      </c>
      <c r="K294" s="425" t="inlineStr">
        <is>
          <t>https://www.linkedin.com/in/techris/ | https://www.linkedin.com/in/craigceccanti/</t>
        </is>
      </c>
      <c r="L294" s="425" t="inlineStr"/>
      <c r="M294" s="425" t="inlineStr">
        <is>
          <t>Softeq Application: https://www.softeq.com/contact</t>
        </is>
      </c>
    </row>
    <row r="295">
      <c r="A295" s="425" t="inlineStr">
        <is>
          <t>Sorenson</t>
        </is>
      </c>
      <c r="B295" s="425" t="inlineStr">
        <is>
          <t>Financial Investor</t>
        </is>
      </c>
      <c r="C295" s="425" t="inlineStr">
        <is>
          <t>Follow Up</t>
        </is>
      </c>
      <c r="D295" s="425" t="inlineStr">
        <is>
          <t>Tier 2</t>
        </is>
      </c>
      <c r="E295" s="425" t="n">
        <v>2</v>
      </c>
      <c r="F295" s="425" t="inlineStr">
        <is>
          <t>Fraser Bullock; Luke Sorenson</t>
        </is>
      </c>
      <c r="G295" s="425" t="inlineStr">
        <is>
          <t>fbullock@sorensoncap.com; lsorenson@sorensoncap.com</t>
        </is>
      </c>
      <c r="H295" s="441" t="n">
        <v>45986</v>
      </c>
      <c r="I295" s="441">
        <f>IF(OR(C295="Passed",H295="",ISBLANK(H295)),"",H295+7)</f>
        <v/>
      </c>
      <c r="J295" s="425">
        <f>IF(I295="","",IF(I295&lt;=TODAY(),"DUE",IF(I295&lt;=TODAY()+3,"Next 3 Days","Later")))</f>
        <v/>
      </c>
      <c r="K295" s="425" t="inlineStr">
        <is>
          <t>https://www.linkedin.com/in/fraser-bullock-7bb8194/ | linkedin.com/in/lukesorenson</t>
        </is>
      </c>
      <c r="L295" s="425" t="inlineStr"/>
      <c r="M295" s="425" t="inlineStr">
        <is>
          <t>01/14/2026</t>
        </is>
      </c>
    </row>
    <row r="296">
      <c r="A296" s="425" t="inlineStr">
        <is>
          <t>Sorenson Capital</t>
        </is>
      </c>
      <c r="B296" s="425" t="inlineStr">
        <is>
          <t>Financial Investor</t>
        </is>
      </c>
      <c r="C296" s="425" t="inlineStr">
        <is>
          <t>Follow Up</t>
        </is>
      </c>
      <c r="D296" s="425" t="inlineStr">
        <is>
          <t>Tier 2</t>
        </is>
      </c>
      <c r="E296" s="425" t="n">
        <v>6</v>
      </c>
      <c r="F296" s="425" t="inlineStr">
        <is>
          <t>Brady Broadbent; Burke Davis; Eric Hilton; Ken Elefant; Rob Rueckert</t>
        </is>
      </c>
      <c r="G296" s="425" t="inlineStr">
        <is>
          <t>bbroadbent@sorensoncap.com; bdavis@sorensoncap.com; ehilton@sorensoncap.com; kelefant@sorensoncap.com; rrueckert@sorensoncap.com</t>
        </is>
      </c>
      <c r="H296" s="441" t="n">
        <v>45835</v>
      </c>
      <c r="I296" s="441">
        <f>IF(OR(C296="Passed",H296="",ISBLANK(H296)),"",H296+7)</f>
        <v/>
      </c>
      <c r="J296" s="425">
        <f>IF(I296="","",IF(I296&lt;=TODAY(),"DUE",IF(I296&lt;=TODAY()+3,"Next 3 Days","Later")))</f>
        <v/>
      </c>
      <c r="K296" s="425" t="inlineStr">
        <is>
          <t>https://www.linkedin.com/in/brady-broadbent-554a7a1/ | linkedin.com/in/burkedavis</t>
        </is>
      </c>
      <c r="L296" s="425" t="inlineStr"/>
      <c r="M296" s="425" t="inlineStr">
        <is>
          <t>12/23/2025</t>
        </is>
      </c>
    </row>
    <row r="297">
      <c r="A297" s="425" t="inlineStr">
        <is>
          <t>South Loop VC</t>
        </is>
      </c>
      <c r="B297" s="425" t="inlineStr">
        <is>
          <t>Financial Investor</t>
        </is>
      </c>
      <c r="C297" s="425" t="inlineStr">
        <is>
          <t>Follow Up</t>
        </is>
      </c>
      <c r="D297" s="425" t="inlineStr">
        <is>
          <t>Tier 2</t>
        </is>
      </c>
      <c r="E297" s="425" t="n">
        <v>2</v>
      </c>
      <c r="F297" s="425" t="inlineStr">
        <is>
          <t>Blair Garrou; Zach Ellis</t>
        </is>
      </c>
      <c r="G297" s="425" t="inlineStr">
        <is>
          <t>bgarrou@gmail.com; zach@southloop.vc</t>
        </is>
      </c>
      <c r="H297" s="441" t="n">
        <v>45861</v>
      </c>
      <c r="I297" s="441">
        <f>IF(OR(C297="Passed",H297="",ISBLANK(H297)),"",H297+7)</f>
        <v/>
      </c>
      <c r="J297" s="425">
        <f>IF(I297="","",IF(I297&lt;=TODAY(),"DUE",IF(I297&lt;=TODAY()+3,"Next 3 Days","Later")))</f>
        <v/>
      </c>
      <c r="K297" s="425" t="inlineStr">
        <is>
          <t>https://www.linkedin.com/in/bgarrou/ | https://www.linkedin.com/in/zacharyellisjr/</t>
        </is>
      </c>
      <c r="L297" s="425" t="inlineStr"/>
      <c r="M297" s="425" t="inlineStr">
        <is>
          <t>12/26/2025 | online application: https://www.southloop.vc/contact</t>
        </is>
      </c>
    </row>
    <row r="298">
      <c r="A298" s="425" t="inlineStr">
        <is>
          <t>Space 42</t>
        </is>
      </c>
      <c r="B298" s="425" t="inlineStr">
        <is>
          <t>Financial Investor</t>
        </is>
      </c>
      <c r="C298" s="425" t="inlineStr">
        <is>
          <t>Follow Up</t>
        </is>
      </c>
      <c r="D298" s="425" t="inlineStr">
        <is>
          <t>Tier 2</t>
        </is>
      </c>
      <c r="E298" s="425" t="n">
        <v>1</v>
      </c>
      <c r="F298" s="425" t="inlineStr">
        <is>
          <t>Karim Michel Sabbagh</t>
        </is>
      </c>
      <c r="G298" s="425" t="inlineStr">
        <is>
          <t>karim.sabbagh@space42.ai</t>
        </is>
      </c>
      <c r="H298" s="441" t="n">
        <v>45878</v>
      </c>
      <c r="I298" s="441">
        <f>IF(OR(C298="Passed",H298="",ISBLANK(H298)),"",H298+7)</f>
        <v/>
      </c>
      <c r="J298" s="425">
        <f>IF(I298="","",IF(I298&lt;=TODAY(),"DUE",IF(I298&lt;=TODAY()+3,"Next 3 Days","Later")))</f>
        <v/>
      </c>
      <c r="K298" s="425" t="inlineStr"/>
      <c r="L298" s="425" t="inlineStr"/>
      <c r="M298" s="425" t="inlineStr">
        <is>
          <t>12/26/2025</t>
        </is>
      </c>
    </row>
    <row r="299">
      <c r="A299" s="425" t="inlineStr">
        <is>
          <t>Space Capital</t>
        </is>
      </c>
      <c r="B299" s="425" t="inlineStr">
        <is>
          <t>Financial Investor</t>
        </is>
      </c>
      <c r="C299" s="425" t="inlineStr">
        <is>
          <t>Follow Up</t>
        </is>
      </c>
      <c r="D299" s="425" t="inlineStr">
        <is>
          <t>Tier 2</t>
        </is>
      </c>
      <c r="E299" s="425" t="n">
        <v>4</v>
      </c>
      <c r="F299" s="425" t="inlineStr">
        <is>
          <t>Alan Yu; Chad Anderson; Justus Kilian; Tom Ingersoll</t>
        </is>
      </c>
      <c r="G299" s="425" t="inlineStr">
        <is>
          <t>alan@spacecapital.com; chad@spacecapital.com; justus@spacecapital.com; tom@spacecapital.com</t>
        </is>
      </c>
      <c r="H299" s="441" t="n">
        <v>45878</v>
      </c>
      <c r="I299" s="441">
        <f>IF(OR(C299="Passed",H299="",ISBLANK(H299)),"",H299+7)</f>
        <v/>
      </c>
      <c r="J299" s="425">
        <f>IF(I299="","",IF(I299&lt;=TODAY(),"DUE",IF(I299&lt;=TODAY()+3,"Next 3 Days","Later")))</f>
        <v/>
      </c>
      <c r="K299" s="425" t="inlineStr">
        <is>
          <t>https://www.linkedin.com/in/alan-yu-spacecapital/ | https://www.linkedin.com/in/chadson</t>
        </is>
      </c>
      <c r="L299" s="425" t="inlineStr"/>
      <c r="M299" s="425" t="inlineStr">
        <is>
          <t>12/26/2025 | If you would like to share your ideas, business, or feedback with us, please email us. All business plan submissions must include a clear description of your operations and current progress. | Contact us</t>
        </is>
      </c>
    </row>
    <row r="300">
      <c r="A300" s="425" t="inlineStr">
        <is>
          <t>Space Fund</t>
        </is>
      </c>
      <c r="B300" s="425" t="inlineStr">
        <is>
          <t>Financial Investor</t>
        </is>
      </c>
      <c r="C300" s="425" t="inlineStr">
        <is>
          <t>Follow Up</t>
        </is>
      </c>
      <c r="D300" s="425" t="inlineStr">
        <is>
          <t>Tier 2</t>
        </is>
      </c>
      <c r="E300" s="425" t="n">
        <v>2</v>
      </c>
      <c r="F300" s="425" t="inlineStr">
        <is>
          <t>Dan Schatzman; Meagan Murphy Crawford</t>
        </is>
      </c>
      <c r="G300" s="425" t="inlineStr">
        <is>
          <t>dan@spacefund.com; meagan@spacefund.com</t>
        </is>
      </c>
      <c r="H300" s="441" t="n">
        <v>45985</v>
      </c>
      <c r="I300" s="441">
        <f>IF(OR(C300="Passed",H300="",ISBLANK(H300)),"",H300+7)</f>
        <v/>
      </c>
      <c r="J300" s="425">
        <f>IF(I300="","",IF(I300&lt;=TODAY(),"DUE",IF(I300&lt;=TODAY()+3,"Next 3 Days","Later")))</f>
        <v/>
      </c>
      <c r="K300" s="425" t="inlineStr">
        <is>
          <t>https://www.linkedin.com/in/dan-schatzman-23345570/ | https://www.linkedin.com/in/meagan/</t>
        </is>
      </c>
      <c r="L300" s="425" t="inlineStr"/>
      <c r="M300" s="425" t="inlineStr">
        <is>
          <t>12/30/2026 | 12/30/2025</t>
        </is>
      </c>
    </row>
    <row r="301">
      <c r="A301" s="425" t="inlineStr">
        <is>
          <t>Spark Capital</t>
        </is>
      </c>
      <c r="B301" s="425" t="inlineStr">
        <is>
          <t>Financial Investor</t>
        </is>
      </c>
      <c r="C301" s="425" t="inlineStr">
        <is>
          <t>Follow Up</t>
        </is>
      </c>
      <c r="D301" s="425" t="inlineStr">
        <is>
          <t>Tier 2</t>
        </is>
      </c>
      <c r="E301" s="425" t="n">
        <v>3</v>
      </c>
      <c r="F301" s="425" t="inlineStr">
        <is>
          <t>Nabeel Hyatt; Santo Politi; Yasmin Razavi</t>
        </is>
      </c>
      <c r="G301" s="425" t="inlineStr">
        <is>
          <t>nabeel@sparkcapital.com; santo@sparkcapital.com; yasmin@sparkcapital.com</t>
        </is>
      </c>
      <c r="H301" s="441" t="n">
        <v>45841</v>
      </c>
      <c r="I301" s="441">
        <f>IF(OR(C301="Passed",H301="",ISBLANK(H301)),"",H301+7)</f>
        <v/>
      </c>
      <c r="J301" s="425">
        <f>IF(I301="","",IF(I301&lt;=TODAY(),"DUE",IF(I301&lt;=TODAY()+3,"Next 3 Days","Later")))</f>
        <v/>
      </c>
      <c r="K301" s="425" t="inlineStr">
        <is>
          <t>https://www.linkedin.com/in/nabeelhyatt/ | https://www.linkedin.com/in/santopoliti/</t>
        </is>
      </c>
      <c r="L301" s="425" t="inlineStr"/>
      <c r="M301" s="425" t="inlineStr">
        <is>
          <t>concerns over investment in potential competitor company</t>
        </is>
      </c>
    </row>
    <row r="302">
      <c r="A302" s="425" t="inlineStr">
        <is>
          <t>Spring Mountain Capital</t>
        </is>
      </c>
      <c r="B302" s="425" t="inlineStr">
        <is>
          <t>Financial Investor</t>
        </is>
      </c>
      <c r="C302" s="425" t="inlineStr">
        <is>
          <t>Follow Up</t>
        </is>
      </c>
      <c r="D302" s="425" t="inlineStr">
        <is>
          <t>Tier 2</t>
        </is>
      </c>
      <c r="E302" s="425" t="n">
        <v>2</v>
      </c>
      <c r="F302" s="425" t="inlineStr">
        <is>
          <t>Gregory P. Ho; Jack Januszewski</t>
        </is>
      </c>
      <c r="G302" s="425" t="inlineStr">
        <is>
          <t>gh@smcinvest.com; jjanuszewski@smcinvest.com</t>
        </is>
      </c>
      <c r="H302" s="441" t="n">
        <v>45861</v>
      </c>
      <c r="I302" s="441">
        <f>IF(OR(C302="Passed",H302="",ISBLANK(H302)),"",H302+7)</f>
        <v/>
      </c>
      <c r="J302" s="425">
        <f>IF(I302="","",IF(I302&lt;=TODAY(),"DUE",IF(I302&lt;=TODAY()+3,"Next 3 Days","Later")))</f>
        <v/>
      </c>
      <c r="K302" s="425" t="inlineStr">
        <is>
          <t>https://www.linkedin.com/in/gregory-ho-68126215/ | https://www.linkedin.com/in/jjanuszewski/</t>
        </is>
      </c>
      <c r="L302" s="425" t="inlineStr"/>
      <c r="M302" s="425" t="inlineStr">
        <is>
          <t>12/26/2025</t>
        </is>
      </c>
    </row>
    <row r="303">
      <c r="A303" s="425" t="inlineStr">
        <is>
          <t>Sputnik ATX VC</t>
        </is>
      </c>
      <c r="B303" s="425" t="inlineStr">
        <is>
          <t>Financial Investor</t>
        </is>
      </c>
      <c r="C303" s="425" t="inlineStr">
        <is>
          <t>Follow Up</t>
        </is>
      </c>
      <c r="D303" s="425" t="inlineStr">
        <is>
          <t>Tier 2</t>
        </is>
      </c>
      <c r="E303" s="425" t="n">
        <v>1</v>
      </c>
      <c r="F303" s="425" t="inlineStr">
        <is>
          <t>Oksana Malysheva</t>
        </is>
      </c>
      <c r="G303" s="425" t="inlineStr">
        <is>
          <t>oksana@sputnikatx.com</t>
        </is>
      </c>
      <c r="H303" s="441" t="n">
        <v>45841</v>
      </c>
      <c r="I303" s="441">
        <f>IF(OR(C303="Passed",H303="",ISBLANK(H303)),"",H303+7)</f>
        <v/>
      </c>
      <c r="J303" s="425">
        <f>IF(I303="","",IF(I303&lt;=TODAY(),"DUE",IF(I303&lt;=TODAY()+3,"Next 3 Days","Later")))</f>
        <v/>
      </c>
      <c r="K303" s="425" t="inlineStr"/>
      <c r="L303" s="425" t="inlineStr"/>
      <c r="M303" s="425" t="inlineStr"/>
    </row>
    <row r="304">
      <c r="A304" s="425" t="inlineStr">
        <is>
          <t>Stage2 Capital</t>
        </is>
      </c>
      <c r="B304" s="425" t="inlineStr">
        <is>
          <t>Financial Investor</t>
        </is>
      </c>
      <c r="C304" s="425" t="inlineStr">
        <is>
          <t>Follow Up</t>
        </is>
      </c>
      <c r="D304" s="425" t="inlineStr">
        <is>
          <t>Tier 2</t>
        </is>
      </c>
      <c r="E304" s="425" t="n">
        <v>4</v>
      </c>
      <c r="F304" s="425" t="inlineStr">
        <is>
          <t>Jay Po; Liz Christo; Mark Roberge; Sakib Dadi</t>
        </is>
      </c>
      <c r="G304" s="425" t="inlineStr">
        <is>
          <t>jay@stage2.capital; liz@stage2.capital; mark@stage2.capital; sakib@stage2.capital</t>
        </is>
      </c>
      <c r="H304" s="441" t="n">
        <v>45861</v>
      </c>
      <c r="I304" s="441">
        <f>IF(OR(C304="Passed",H304="",ISBLANK(H304)),"",H304+7)</f>
        <v/>
      </c>
      <c r="J304" s="425">
        <f>IF(I304="","",IF(I304&lt;=TODAY(),"DUE",IF(I304&lt;=TODAY()+3,"Next 3 Days","Later")))</f>
        <v/>
      </c>
      <c r="K304" s="425" t="inlineStr">
        <is>
          <t>linkedin.com/in/jaylpo | linkedin.com/in/lizchristo</t>
        </is>
      </c>
      <c r="L304" s="425" t="inlineStr"/>
      <c r="M304" s="425" t="inlineStr">
        <is>
          <t>12/26/2025 | online application: https://www.stage2.capital/seek-capital</t>
        </is>
      </c>
    </row>
    <row r="305">
      <c r="A305" s="425" t="inlineStr">
        <is>
          <t>Starburst Aero</t>
        </is>
      </c>
      <c r="B305" s="425" t="inlineStr">
        <is>
          <t>Financial Investor</t>
        </is>
      </c>
      <c r="C305" s="425" t="inlineStr">
        <is>
          <t>Follow Up</t>
        </is>
      </c>
      <c r="D305" s="425" t="inlineStr">
        <is>
          <t>Tier 2</t>
        </is>
      </c>
      <c r="E305" s="425" t="n">
        <v>2</v>
      </c>
      <c r="F305" s="425" t="inlineStr">
        <is>
          <t>François Chopard; Ilan Rozenkopf</t>
        </is>
      </c>
      <c r="G305" s="425" t="inlineStr">
        <is>
          <t>chopard@starburst.aero; ilan@starburst.aero</t>
        </is>
      </c>
      <c r="H305" s="441" t="n">
        <v>45985</v>
      </c>
      <c r="I305" s="441">
        <f>IF(OR(C305="Passed",H305="",ISBLANK(H305)),"",H305+7)</f>
        <v/>
      </c>
      <c r="J305" s="425">
        <f>IF(I305="","",IF(I305&lt;=TODAY(),"DUE",IF(I305&lt;=TODAY()+3,"Next 3 Days","Later")))</f>
        <v/>
      </c>
      <c r="K305" s="425" t="inlineStr">
        <is>
          <t>https://www.linkedin.com/in/francoischopard/ | https://www.linkedin.com/in/ilan-rozenkopf-77a15810/</t>
        </is>
      </c>
      <c r="L305" s="425" t="inlineStr"/>
      <c r="M305" s="425" t="inlineStr">
        <is>
          <t>01/14/2026</t>
        </is>
      </c>
    </row>
    <row r="306">
      <c r="A306" s="425" t="inlineStr">
        <is>
          <t>StartFast Ventures</t>
        </is>
      </c>
      <c r="B306" s="425" t="inlineStr">
        <is>
          <t>Financial Investor</t>
        </is>
      </c>
      <c r="C306" s="425" t="inlineStr">
        <is>
          <t>Follow Up</t>
        </is>
      </c>
      <c r="D306" s="425" t="inlineStr">
        <is>
          <t>Tier 2</t>
        </is>
      </c>
      <c r="E306" s="425" t="n">
        <v>4</v>
      </c>
      <c r="F306" s="425" t="inlineStr">
        <is>
          <t>Chuck Stormon; Nasir Ali; Olivia Goldstein; the team</t>
        </is>
      </c>
      <c r="G306" s="425" t="inlineStr">
        <is>
          <t>chuck@startfastventures.com; nasir@startfastventures.com; olivia@startfastventures.com; myco@startfastventures.com</t>
        </is>
      </c>
      <c r="H306" s="441" t="n">
        <v>45861</v>
      </c>
      <c r="I306" s="441">
        <f>IF(OR(C306="Passed",H306="",ISBLANK(H306)),"",H306+7)</f>
        <v/>
      </c>
      <c r="J306" s="425">
        <f>IF(I306="","",IF(I306&lt;=TODAY(),"DUE",IF(I306&lt;=TODAY()+3,"Next 3 Days","Later")))</f>
        <v/>
      </c>
      <c r="K306" s="425" t="inlineStr">
        <is>
          <t>https://www.linkedin.com/in/chuckstormon | linkedin.com/in/snasirali</t>
        </is>
      </c>
      <c r="L306" s="425" t="inlineStr"/>
      <c r="M306" s="425" t="inlineStr">
        <is>
          <t>12/26/2025</t>
        </is>
      </c>
    </row>
    <row r="307">
      <c r="A307" s="425" t="inlineStr">
        <is>
          <t>Structure Capital</t>
        </is>
      </c>
      <c r="B307" s="425" t="inlineStr">
        <is>
          <t>Financial Investor</t>
        </is>
      </c>
      <c r="C307" s="425" t="inlineStr">
        <is>
          <t>Follow Up</t>
        </is>
      </c>
      <c r="D307" s="425" t="inlineStr">
        <is>
          <t>Tier 2</t>
        </is>
      </c>
      <c r="E307" s="425" t="n">
        <v>3</v>
      </c>
      <c r="F307" s="425" t="inlineStr">
        <is>
          <t>Jacob Shea; Jilian Manus; Mike Walsh</t>
        </is>
      </c>
      <c r="G307" s="425" t="inlineStr">
        <is>
          <t>jacob@structure.vc; jillian@structure.vc; mike@structure.vc</t>
        </is>
      </c>
      <c r="H307" s="441" t="n">
        <v>45985</v>
      </c>
      <c r="I307" s="441">
        <f>IF(OR(C307="Passed",H307="",ISBLANK(H307)),"",H307+7)</f>
        <v/>
      </c>
      <c r="J307" s="425">
        <f>IF(I307="","",IF(I307&lt;=TODAY(),"DUE",IF(I307&lt;=TODAY()+3,"Next 3 Days","Later")))</f>
        <v/>
      </c>
      <c r="K307" s="425" t="inlineStr">
        <is>
          <t>linkedin.com/in/jacobshea | https://www.linkedin.com/in/jillian-manus-19112a13/</t>
        </is>
      </c>
      <c r="L307" s="425" t="inlineStr"/>
      <c r="M307" s="425" t="inlineStr">
        <is>
          <t>12/30/2025</t>
        </is>
      </c>
    </row>
    <row r="308">
      <c r="A308" s="425" t="inlineStr">
        <is>
          <t>Summit Peak Investments</t>
        </is>
      </c>
      <c r="B308" s="425" t="inlineStr">
        <is>
          <t>Financial Investor</t>
        </is>
      </c>
      <c r="C308" s="425" t="inlineStr">
        <is>
          <t>Follow Up</t>
        </is>
      </c>
      <c r="D308" s="425" t="inlineStr">
        <is>
          <t>Tier 2</t>
        </is>
      </c>
      <c r="E308" s="425" t="n">
        <v>1</v>
      </c>
      <c r="F308" s="425" t="inlineStr">
        <is>
          <t>Apurva Mehta</t>
        </is>
      </c>
      <c r="G308" s="425" t="inlineStr">
        <is>
          <t>apurva@summitpeak.com</t>
        </is>
      </c>
      <c r="H308" s="441" t="n">
        <v>46036</v>
      </c>
      <c r="I308" s="441">
        <f>IF(OR(C308="Passed",H308="",ISBLANK(H308)),"",H308+7)</f>
        <v/>
      </c>
      <c r="J308" s="425">
        <f>IF(I308="","",IF(I308&lt;=TODAY(),"DUE",IF(I308&lt;=TODAY()+3,"Next 3 Days","Later")))</f>
        <v/>
      </c>
      <c r="K308" s="425" t="inlineStr">
        <is>
          <t>linkedin.com/in/apurvaamehta</t>
        </is>
      </c>
      <c r="L308" s="425" t="inlineStr"/>
      <c r="M308" s="425" t="inlineStr"/>
    </row>
    <row r="309">
      <c r="A309" s="425" t="inlineStr">
        <is>
          <t>Suncoast Ventures</t>
        </is>
      </c>
      <c r="B309" s="425" t="inlineStr">
        <is>
          <t>Financial Investor</t>
        </is>
      </c>
      <c r="C309" s="425" t="inlineStr">
        <is>
          <t>Follow Up</t>
        </is>
      </c>
      <c r="D309" s="425" t="inlineStr">
        <is>
          <t>Tier 2</t>
        </is>
      </c>
      <c r="E309" s="425" t="n">
        <v>1</v>
      </c>
      <c r="F309" s="425" t="inlineStr">
        <is>
          <t>Genevieve LeMarchal</t>
        </is>
      </c>
      <c r="G309" s="425" t="inlineStr">
        <is>
          <t>g.lemarchal@suncoastvc.com</t>
        </is>
      </c>
      <c r="H309" s="441" t="n">
        <v>45973</v>
      </c>
      <c r="I309" s="441">
        <f>IF(OR(C309="Passed",H309="",ISBLANK(H309)),"",H309+7)</f>
        <v/>
      </c>
      <c r="J309" s="425">
        <f>IF(I309="","",IF(I309&lt;=TODAY(),"DUE",IF(I309&lt;=TODAY()+3,"Next 3 Days","Later")))</f>
        <v/>
      </c>
      <c r="K309" s="425" t="inlineStr">
        <is>
          <t>https://www.linkedin.com/in/genevievelemarchal/</t>
        </is>
      </c>
      <c r="L309" s="425" t="inlineStr"/>
      <c r="M309" s="425" t="inlineStr">
        <is>
          <t>12/19/2025</t>
        </is>
      </c>
    </row>
    <row r="310">
      <c r="A310" s="425" t="inlineStr">
        <is>
          <t>Sutton Capital</t>
        </is>
      </c>
      <c r="B310" s="425" t="inlineStr">
        <is>
          <t>Financial Investor</t>
        </is>
      </c>
      <c r="C310" s="425" t="inlineStr">
        <is>
          <t>Follow Up</t>
        </is>
      </c>
      <c r="D310" s="425" t="inlineStr">
        <is>
          <t>Tier 2</t>
        </is>
      </c>
      <c r="E310" s="425" t="n">
        <v>1</v>
      </c>
      <c r="F310" s="425" t="inlineStr">
        <is>
          <t>Joel Palathinkal - Kipton Intro</t>
        </is>
      </c>
      <c r="G310" s="425" t="inlineStr">
        <is>
          <t>joel@suttoncapital.co</t>
        </is>
      </c>
      <c r="H310" s="441" t="n">
        <v>46015</v>
      </c>
      <c r="I310" s="441">
        <f>IF(OR(C310="Passed",H310="",ISBLANK(H310)),"",H310+7)</f>
        <v/>
      </c>
      <c r="J310" s="425">
        <f>IF(I310="","",IF(I310&lt;=TODAY(),"DUE",IF(I310&lt;=TODAY()+3,"Next 3 Days","Later")))</f>
        <v/>
      </c>
      <c r="K310" s="425" t="inlineStr">
        <is>
          <t>https://www.linkedin.com/in/joelpalathinkal/</t>
        </is>
      </c>
      <c r="L310" s="425" t="inlineStr"/>
      <c r="M310" s="425" t="inlineStr">
        <is>
          <t>one pager sent on 12/29 | 12/24/2025 | asked for deck on 12/26</t>
        </is>
      </c>
    </row>
    <row r="311">
      <c r="A311" s="425" t="inlineStr">
        <is>
          <t>Swisscom Ventures</t>
        </is>
      </c>
      <c r="B311" s="425" t="inlineStr">
        <is>
          <t>Financial Investor</t>
        </is>
      </c>
      <c r="C311" s="425" t="inlineStr">
        <is>
          <t>Follow Up</t>
        </is>
      </c>
      <c r="D311" s="425" t="inlineStr">
        <is>
          <t>Tier 2</t>
        </is>
      </c>
      <c r="E311" s="425" t="n">
        <v>1</v>
      </c>
      <c r="F311" s="425" t="inlineStr">
        <is>
          <t>Anish Srivastava</t>
        </is>
      </c>
      <c r="G311" s="425" t="inlineStr">
        <is>
          <t>anish.srivastava1@swisscom.com</t>
        </is>
      </c>
      <c r="H311" s="441" t="n">
        <v>46036</v>
      </c>
      <c r="I311" s="441">
        <f>IF(OR(C311="Passed",H311="",ISBLANK(H311)),"",H311+7)</f>
        <v/>
      </c>
      <c r="J311" s="425">
        <f>IF(I311="","",IF(I311&lt;=TODAY(),"DUE",IF(I311&lt;=TODAY()+3,"Next 3 Days","Later")))</f>
        <v/>
      </c>
      <c r="K311" s="425" t="inlineStr">
        <is>
          <t>https://www.linkedin.com/in/anishksrivastava/</t>
        </is>
      </c>
      <c r="L311" s="425" t="inlineStr"/>
      <c r="M311" s="425" t="inlineStr"/>
    </row>
    <row r="312">
      <c r="A312" s="425" t="inlineStr">
        <is>
          <t>TSVC</t>
        </is>
      </c>
      <c r="B312" s="425" t="inlineStr">
        <is>
          <t>Financial Investor</t>
        </is>
      </c>
      <c r="C312" s="425" t="inlineStr">
        <is>
          <t>Follow Up</t>
        </is>
      </c>
      <c r="D312" s="425" t="inlineStr">
        <is>
          <t>Tier 2</t>
        </is>
      </c>
      <c r="E312" s="425" t="n">
        <v>1</v>
      </c>
      <c r="F312" s="425" t="inlineStr">
        <is>
          <t>Spencer Greene</t>
        </is>
      </c>
      <c r="G312" s="425" t="inlineStr">
        <is>
          <t>spencer@tsvcap.com</t>
        </is>
      </c>
      <c r="H312" s="441" t="n">
        <v>45973</v>
      </c>
      <c r="I312" s="441">
        <f>IF(OR(C312="Passed",H312="",ISBLANK(H312)),"",H312+7)</f>
        <v/>
      </c>
      <c r="J312" s="425">
        <f>IF(I312="","",IF(I312&lt;=TODAY(),"DUE",IF(I312&lt;=TODAY()+3,"Next 3 Days","Later")))</f>
        <v/>
      </c>
      <c r="K312" s="425" t="inlineStr">
        <is>
          <t>https://www.linkedin.com/in/spencergreene/</t>
        </is>
      </c>
      <c r="L312" s="425" t="inlineStr"/>
      <c r="M312" s="425" t="inlineStr">
        <is>
          <t>12/19/2025</t>
        </is>
      </c>
    </row>
    <row r="313">
      <c r="A313" s="425" t="inlineStr">
        <is>
          <t>Taiwan Global Angels</t>
        </is>
      </c>
      <c r="B313" s="425" t="inlineStr">
        <is>
          <t>Financial Investor</t>
        </is>
      </c>
      <c r="C313" s="425" t="inlineStr">
        <is>
          <t>Follow Up</t>
        </is>
      </c>
      <c r="D313" s="425" t="inlineStr">
        <is>
          <t>Tier 2</t>
        </is>
      </c>
      <c r="E313" s="425" t="n">
        <v>2</v>
      </c>
      <c r="F313" s="425" t="inlineStr">
        <is>
          <t>Austin Hwang; the team</t>
        </is>
      </c>
      <c r="G313" s="425" t="inlineStr">
        <is>
          <t>austin@taiwanglobalangels.com; info@taiwanglobalangels.com</t>
        </is>
      </c>
      <c r="H313" s="441" t="n">
        <v>45848</v>
      </c>
      <c r="I313" s="441">
        <f>IF(OR(C313="Passed",H313="",ISBLANK(H313)),"",H313+7)</f>
        <v/>
      </c>
      <c r="J313" s="425">
        <f>IF(I313="","",IF(I313&lt;=TODAY(),"DUE",IF(I313&lt;=TODAY()+3,"Next 3 Days","Later")))</f>
        <v/>
      </c>
      <c r="K313" s="425" t="inlineStr">
        <is>
          <t>https://www.linkedin.com/in/austin-hwang/</t>
        </is>
      </c>
      <c r="L313" s="425" t="inlineStr"/>
      <c r="M313" s="425" t="inlineStr">
        <is>
          <t>12/26/2025 | pitch application: https://airtable.com/appPe7LVD2CEtZk2o/shrbSa84CnndXQIIM | asked for deck on 7/10</t>
        </is>
      </c>
    </row>
    <row r="314">
      <c r="A314" s="425" t="inlineStr">
        <is>
          <t>Takeda Digital Ventures</t>
        </is>
      </c>
      <c r="B314" s="425" t="inlineStr">
        <is>
          <t>Financial Investor</t>
        </is>
      </c>
      <c r="C314" s="425" t="inlineStr">
        <is>
          <t>Follow Up</t>
        </is>
      </c>
      <c r="D314" s="425" t="inlineStr">
        <is>
          <t>Tier 2</t>
        </is>
      </c>
      <c r="E314" s="425" t="n">
        <v>1</v>
      </c>
      <c r="F314" s="425" t="inlineStr">
        <is>
          <t>Suzie Yoon</t>
        </is>
      </c>
      <c r="G314" s="425" t="inlineStr">
        <is>
          <t>suzie.yoon@takeda.com</t>
        </is>
      </c>
      <c r="H314" s="441" t="n">
        <v>46036</v>
      </c>
      <c r="I314" s="441">
        <f>IF(OR(C314="Passed",H314="",ISBLANK(H314)),"",H314+7)</f>
        <v/>
      </c>
      <c r="J314" s="425">
        <f>IF(I314="","",IF(I314&lt;=TODAY(),"DUE",IF(I314&lt;=TODAY()+3,"Next 3 Days","Later")))</f>
        <v/>
      </c>
      <c r="K314" s="425" t="inlineStr">
        <is>
          <t>https://www.linkedin.com/in/suzz/</t>
        </is>
      </c>
      <c r="L314" s="425" t="inlineStr"/>
      <c r="M314" s="425" t="inlineStr"/>
    </row>
    <row r="315">
      <c r="A315" s="425" t="inlineStr">
        <is>
          <t>Tawazun Economic Council</t>
        </is>
      </c>
      <c r="B315" s="425" t="inlineStr">
        <is>
          <t>Financial Investor</t>
        </is>
      </c>
      <c r="C315" s="425" t="inlineStr">
        <is>
          <t>Follow Up</t>
        </is>
      </c>
      <c r="D315" s="425" t="inlineStr">
        <is>
          <t>Tier 2</t>
        </is>
      </c>
      <c r="E315" s="425" t="n">
        <v>1</v>
      </c>
      <c r="F315" s="425" t="inlineStr">
        <is>
          <t>Ahmet Lutfi Varoglu</t>
        </is>
      </c>
      <c r="G315" s="425" t="inlineStr">
        <is>
          <t>avaroglu@tawazun.ae</t>
        </is>
      </c>
      <c r="H315" s="441" t="n">
        <v>45878</v>
      </c>
      <c r="I315" s="441">
        <f>IF(OR(C315="Passed",H315="",ISBLANK(H315)),"",H315+7)</f>
        <v/>
      </c>
      <c r="J315" s="425">
        <f>IF(I315="","",IF(I315&lt;=TODAY(),"DUE",IF(I315&lt;=TODAY()+3,"Next 3 Days","Later")))</f>
        <v/>
      </c>
      <c r="K315" s="425" t="inlineStr">
        <is>
          <t>https://www.linkedin.com/in/ahmet-lutfi-varoglu-695b7224/</t>
        </is>
      </c>
      <c r="L315" s="425" t="inlineStr"/>
      <c r="M315" s="425" t="inlineStr">
        <is>
          <t>12/26/2025</t>
        </is>
      </c>
    </row>
    <row r="316">
      <c r="A316" s="425" t="inlineStr">
        <is>
          <t>TenOneTen Ventures</t>
        </is>
      </c>
      <c r="B316" s="425" t="inlineStr">
        <is>
          <t>Financial Investor</t>
        </is>
      </c>
      <c r="C316" s="425" t="inlineStr">
        <is>
          <t>Follow Up</t>
        </is>
      </c>
      <c r="D316" s="425" t="inlineStr">
        <is>
          <t>Tier 2</t>
        </is>
      </c>
      <c r="E316" s="425" t="n">
        <v>2</v>
      </c>
      <c r="F316" s="425" t="inlineStr">
        <is>
          <t>David Waxman; Eric Pakravan</t>
        </is>
      </c>
      <c r="G316" s="425" t="inlineStr">
        <is>
          <t>david@tenoneten.net; eric@tenoneten.net</t>
        </is>
      </c>
      <c r="H316" s="441" t="n">
        <v>45929</v>
      </c>
      <c r="I316" s="441">
        <f>IF(OR(C316="Passed",H316="",ISBLANK(H316)),"",H316+7)</f>
        <v/>
      </c>
      <c r="J316" s="425">
        <f>IF(I316="","",IF(I316&lt;=TODAY(),"DUE",IF(I316&lt;=TODAY()+3,"Next 3 Days","Later")))</f>
        <v/>
      </c>
      <c r="K316" s="425" t="inlineStr">
        <is>
          <t>linkedin.com/in/dwaxman | https://www.linkedin.com/in/epakravan</t>
        </is>
      </c>
      <c r="L316" s="425" t="inlineStr"/>
      <c r="M316" s="425" t="inlineStr">
        <is>
          <t>12/04/2025</t>
        </is>
      </c>
    </row>
    <row r="317">
      <c r="A317" s="425" t="inlineStr">
        <is>
          <t>The Pritzker Org</t>
        </is>
      </c>
      <c r="B317" s="425" t="inlineStr">
        <is>
          <t>Financial Investor</t>
        </is>
      </c>
      <c r="C317" s="425" t="inlineStr">
        <is>
          <t>Follow Up</t>
        </is>
      </c>
      <c r="D317" s="425" t="inlineStr">
        <is>
          <t>Tier 2</t>
        </is>
      </c>
      <c r="E317" s="425" t="n">
        <v>1</v>
      </c>
      <c r="F317" s="425" t="inlineStr">
        <is>
          <t>Jordan Federbush</t>
        </is>
      </c>
      <c r="G317" s="425" t="inlineStr">
        <is>
          <t>jfederbush@pritzkerorg.com</t>
        </is>
      </c>
      <c r="H317" s="441" t="n">
        <v>45972</v>
      </c>
      <c r="I317" s="441">
        <f>IF(OR(C317="Passed",H317="",ISBLANK(H317)),"",H317+7)</f>
        <v/>
      </c>
      <c r="J317" s="425">
        <f>IF(I317="","",IF(I317&lt;=TODAY(),"DUE",IF(I317&lt;=TODAY()+3,"Next 3 Days","Later")))</f>
        <v/>
      </c>
      <c r="K317" s="425" t="inlineStr">
        <is>
          <t>https://www.linkedin.com/in/jordan-federbush-69435357/</t>
        </is>
      </c>
      <c r="L317" s="425" t="inlineStr"/>
      <c r="M317" s="425" t="inlineStr">
        <is>
          <t>12/05/2025</t>
        </is>
      </c>
    </row>
    <row r="318">
      <c r="A318" s="425" t="inlineStr">
        <is>
          <t>The Roda Group/Starshot Capital</t>
        </is>
      </c>
      <c r="B318" s="425" t="inlineStr">
        <is>
          <t>Financial Investor</t>
        </is>
      </c>
      <c r="C318" s="425" t="inlineStr">
        <is>
          <t>Follow Up</t>
        </is>
      </c>
      <c r="D318" s="425" t="inlineStr">
        <is>
          <t>Tier 2</t>
        </is>
      </c>
      <c r="E318" s="425" t="n">
        <v>1</v>
      </c>
      <c r="F318" s="425" t="inlineStr">
        <is>
          <t>Daniel Miller</t>
        </is>
      </c>
      <c r="G318" s="425" t="inlineStr">
        <is>
          <t>dan@rodagroup.com</t>
        </is>
      </c>
      <c r="H318" s="441" t="n">
        <v>46036</v>
      </c>
      <c r="I318" s="441">
        <f>IF(OR(C318="Passed",H318="",ISBLANK(H318)),"",H318+7)</f>
        <v/>
      </c>
      <c r="J318" s="425">
        <f>IF(I318="","",IF(I318&lt;=TODAY(),"DUE",IF(I318&lt;=TODAY()+3,"Next 3 Days","Later")))</f>
        <v/>
      </c>
      <c r="K318" s="425" t="inlineStr">
        <is>
          <t>https://www.linkedin.com/in/danielmiller/</t>
        </is>
      </c>
      <c r="L318" s="425" t="inlineStr"/>
      <c r="M318" s="425" t="inlineStr"/>
    </row>
    <row r="319">
      <c r="A319" s="425" t="inlineStr">
        <is>
          <t>Thunder Rock Capital</t>
        </is>
      </c>
      <c r="B319" s="425" t="inlineStr">
        <is>
          <t>Financial Investor</t>
        </is>
      </c>
      <c r="C319" s="425" t="inlineStr">
        <is>
          <t>Follow Up</t>
        </is>
      </c>
      <c r="D319" s="425" t="inlineStr">
        <is>
          <t>Tier 2</t>
        </is>
      </c>
      <c r="E319" s="425" t="n">
        <v>1</v>
      </c>
      <c r="F319" s="425" t="inlineStr">
        <is>
          <t>Varun Ajjarapu</t>
        </is>
      </c>
      <c r="G319" s="425" t="inlineStr">
        <is>
          <t>va@thunderrockcapital.com</t>
        </is>
      </c>
      <c r="H319" s="425" t="n"/>
      <c r="I319" s="441">
        <f>IF(OR(C319="Passed",H319="",ISBLANK(H319)),"",H319+7)</f>
        <v/>
      </c>
      <c r="J319" s="425">
        <f>IF(I319="","",IF(I319&lt;=TODAY(),"DUE",IF(I319&lt;=TODAY()+3,"Next 3 Days","Later")))</f>
        <v/>
      </c>
      <c r="K319" s="425" t="inlineStr"/>
      <c r="L319" s="425" t="inlineStr"/>
      <c r="M319" s="425" t="inlineStr">
        <is>
          <t>materials sent / no follow up</t>
        </is>
      </c>
    </row>
    <row r="320">
      <c r="A320" s="425" t="inlineStr">
        <is>
          <t>Time Zero Capital</t>
        </is>
      </c>
      <c r="B320" s="425" t="inlineStr">
        <is>
          <t>Financial Investor</t>
        </is>
      </c>
      <c r="C320" s="425" t="inlineStr">
        <is>
          <t>Follow Up</t>
        </is>
      </c>
      <c r="D320" s="425" t="inlineStr">
        <is>
          <t>Tier 2</t>
        </is>
      </c>
      <c r="E320" s="425" t="n">
        <v>1</v>
      </c>
      <c r="F320" s="425" t="inlineStr">
        <is>
          <t>Dinesh Moorjani</t>
        </is>
      </c>
      <c r="G320" s="425" t="inlineStr">
        <is>
          <t>dinesh@timezerocapital.com</t>
        </is>
      </c>
      <c r="H320" s="441" t="n">
        <v>45924</v>
      </c>
      <c r="I320" s="441">
        <f>IF(OR(C320="Passed",H320="",ISBLANK(H320)),"",H320+7)</f>
        <v/>
      </c>
      <c r="J320" s="425">
        <f>IF(I320="","",IF(I320&lt;=TODAY(),"DUE",IF(I320&lt;=TODAY()+3,"Next 3 Days","Later")))</f>
        <v/>
      </c>
      <c r="K320" s="425" t="inlineStr">
        <is>
          <t>https://www.linkedin.com/in/dineshmoorjani/</t>
        </is>
      </c>
      <c r="L320" s="425" t="inlineStr"/>
      <c r="M320" s="425" t="inlineStr">
        <is>
          <t>12/04/2025</t>
        </is>
      </c>
    </row>
    <row r="321">
      <c r="A321" s="425" t="inlineStr">
        <is>
          <t>Torch Capital</t>
        </is>
      </c>
      <c r="B321" s="425" t="inlineStr">
        <is>
          <t>Financial Investor</t>
        </is>
      </c>
      <c r="C321" s="425" t="inlineStr">
        <is>
          <t>Follow Up</t>
        </is>
      </c>
      <c r="D321" s="425" t="inlineStr">
        <is>
          <t>Tier 2</t>
        </is>
      </c>
      <c r="E321" s="425" t="n">
        <v>5</v>
      </c>
      <c r="F321" s="425" t="inlineStr">
        <is>
          <t>Allie Molner; Chris Harper; Jake Moross; Katie Reiner Peykar; Sam Jones</t>
        </is>
      </c>
      <c r="G321" s="425" t="inlineStr">
        <is>
          <t>allie@torchcapital.vc; chris@torchcapital.vc; jake@torchcapital.vc; katie@torchcapital.vc; sam@torchcapital.vc</t>
        </is>
      </c>
      <c r="H321" s="441" t="n">
        <v>45924</v>
      </c>
      <c r="I321" s="441">
        <f>IF(OR(C321="Passed",H321="",ISBLANK(H321)),"",H321+7)</f>
        <v/>
      </c>
      <c r="J321" s="425">
        <f>IF(I321="","",IF(I321&lt;=TODAY(),"DUE",IF(I321&lt;=TODAY()+3,"Next 3 Days","Later")))</f>
        <v/>
      </c>
      <c r="K321" s="425" t="inlineStr">
        <is>
          <t>https://www.linkedin.com/in/allie-molner-745295156/ | https://www.linkedin.com/in/christophervharper/</t>
        </is>
      </c>
      <c r="L321" s="425" t="inlineStr"/>
      <c r="M321" s="425" t="inlineStr">
        <is>
          <t>12/03/2025</t>
        </is>
      </c>
    </row>
    <row r="322">
      <c r="A322" s="425" t="inlineStr">
        <is>
          <t>Touchdown Ventures / Cerity Partner Ventures</t>
        </is>
      </c>
      <c r="B322" s="425" t="inlineStr">
        <is>
          <t>Financial Investor</t>
        </is>
      </c>
      <c r="C322" s="425" t="inlineStr">
        <is>
          <t>Follow Up</t>
        </is>
      </c>
      <c r="D322" s="425" t="inlineStr">
        <is>
          <t>Tier 2</t>
        </is>
      </c>
      <c r="E322" s="425" t="n">
        <v>3</v>
      </c>
      <c r="F322" s="425" t="inlineStr">
        <is>
          <t>Kurt Miscinski; Peter Martin; the team</t>
        </is>
      </c>
      <c r="G322" s="425" t="inlineStr">
        <is>
          <t>kmiscinski@ceritypartners.com; pmartin@ceritypartners.com</t>
        </is>
      </c>
      <c r="H322" s="441" t="n">
        <v>45861</v>
      </c>
      <c r="I322" s="441">
        <f>IF(OR(C322="Passed",H322="",ISBLANK(H322)),"",H322+7)</f>
        <v/>
      </c>
      <c r="J322" s="425">
        <f>IF(I322="","",IF(I322&lt;=TODAY(),"DUE",IF(I322&lt;=TODAY()+3,"Next 3 Days","Later")))</f>
        <v/>
      </c>
      <c r="K322" s="425" t="inlineStr">
        <is>
          <t>https://www.linkedin.com/in/kurtmiscinski/ | https://www.linkedin.com/in/peter-martin-fw76008/</t>
        </is>
      </c>
      <c r="L322" s="425" t="inlineStr"/>
      <c r="M322" s="425" t="inlineStr">
        <is>
          <t>12/26/2025 | I sent in request on contact page</t>
        </is>
      </c>
    </row>
    <row r="323">
      <c r="A323" s="425" t="inlineStr">
        <is>
          <t>Touchdown Ventures/Cerity Partners</t>
        </is>
      </c>
      <c r="B323" s="425" t="inlineStr">
        <is>
          <t>Financial Investor</t>
        </is>
      </c>
      <c r="C323" s="425" t="inlineStr">
        <is>
          <t>Follow Up</t>
        </is>
      </c>
      <c r="D323" s="425" t="inlineStr">
        <is>
          <t>Tier 2</t>
        </is>
      </c>
      <c r="E323" s="425" t="n">
        <v>6</v>
      </c>
      <c r="F323" s="425" t="inlineStr">
        <is>
          <t>David Horowitz; Eric Budin; Greg Bergamesco; Jack Taylor; Jon Cullom</t>
        </is>
      </c>
      <c r="G323" s="425" t="inlineStr">
        <is>
          <t>dhorowitz@ceritypartners.com; eric@touchdownvc.com; greg@touchdownvc.com; jtaylor@ceritypartners.com; jon.cullom@touchdownvc.com</t>
        </is>
      </c>
      <c r="H323" s="441" t="n">
        <v>45890</v>
      </c>
      <c r="I323" s="441">
        <f>IF(OR(C323="Passed",H323="",ISBLANK(H323)),"",H323+7)</f>
        <v/>
      </c>
      <c r="J323" s="425">
        <f>IF(I323="","",IF(I323&lt;=TODAY(),"DUE",IF(I323&lt;=TODAY()+3,"Next 3 Days","Later")))</f>
        <v/>
      </c>
      <c r="K323" s="425" t="inlineStr">
        <is>
          <t>https://www.linkedin.com/in/davidbhorowitz/ | https://www.linkedin.com/in/ericbudin/</t>
        </is>
      </c>
      <c r="L323" s="425" t="inlineStr"/>
      <c r="M323" s="425" t="inlineStr">
        <is>
          <t>12/30/2025</t>
        </is>
      </c>
    </row>
    <row r="324">
      <c r="A324" s="425" t="inlineStr">
        <is>
          <t>Trac VC</t>
        </is>
      </c>
      <c r="B324" s="425" t="inlineStr">
        <is>
          <t>Financial Investor</t>
        </is>
      </c>
      <c r="C324" s="425" t="inlineStr">
        <is>
          <t>Follow Up</t>
        </is>
      </c>
      <c r="D324" s="425" t="inlineStr">
        <is>
          <t>Tier 2</t>
        </is>
      </c>
      <c r="E324" s="425" t="n">
        <v>4</v>
      </c>
      <c r="F324" s="425" t="inlineStr">
        <is>
          <t>Fred Campbell; Brant Meyer; Joseph Aaron; Scott Pyne</t>
        </is>
      </c>
      <c r="G324" s="425" t="inlineStr">
        <is>
          <t>fred@tracvc.com; brant@tracvc.com; joe@tracvc.com; scott@tracvc.com</t>
        </is>
      </c>
      <c r="H324" s="441" t="n">
        <v>45973</v>
      </c>
      <c r="I324" s="441">
        <f>IF(OR(C324="Passed",H324="",ISBLANK(H324)),"",H324+7)</f>
        <v/>
      </c>
      <c r="J324" s="425">
        <f>IF(I324="","",IF(I324&lt;=TODAY(),"DUE",IF(I324&lt;=TODAY()+3,"Next 3 Days","Later")))</f>
        <v/>
      </c>
      <c r="K324" s="425" t="inlineStr">
        <is>
          <t>https://www.linkedin.com/in/fred-campbell-3bb0731b/ | https://www.linkedin.com/in/brant-meyer-27846221b/</t>
        </is>
      </c>
      <c r="L324" s="425" t="inlineStr"/>
      <c r="M324" s="425" t="inlineStr">
        <is>
          <t>intake form: https://www.cognitoforms.com/TRACLLC1/_10Questions5Minutes</t>
        </is>
      </c>
    </row>
    <row r="325">
      <c r="A325" s="425" t="inlineStr">
        <is>
          <t>UH Ventures</t>
        </is>
      </c>
      <c r="B325" s="425" t="inlineStr">
        <is>
          <t>Financial Investor</t>
        </is>
      </c>
      <c r="C325" s="425" t="inlineStr">
        <is>
          <t>Follow Up</t>
        </is>
      </c>
      <c r="D325" s="425" t="inlineStr">
        <is>
          <t>Tier 2</t>
        </is>
      </c>
      <c r="E325" s="425" t="n">
        <v>3</v>
      </c>
      <c r="F325" s="425" t="inlineStr">
        <is>
          <t>David Sylvan; Matthew Zenker; Neil Wyant</t>
        </is>
      </c>
      <c r="G325" s="425" t="inlineStr">
        <is>
          <t>david.sylvan@uhhospitals.org; matthew.zenker@uhhospitals.org; neil.wyant@uhhospitals.org</t>
        </is>
      </c>
      <c r="H325" s="441" t="n">
        <v>45929</v>
      </c>
      <c r="I325" s="441">
        <f>IF(OR(C325="Passed",H325="",ISBLANK(H325)),"",H325+7)</f>
        <v/>
      </c>
      <c r="J325" s="425">
        <f>IF(I325="","",IF(I325&lt;=TODAY(),"DUE",IF(I325&lt;=TODAY()+3,"Next 3 Days","Later")))</f>
        <v/>
      </c>
      <c r="K325" s="425" t="inlineStr">
        <is>
          <t>https://www.linkedin.com/in/davidsylvan/ | linkedin.com/in/matthew-zenker-b4ba806</t>
        </is>
      </c>
      <c r="L325" s="425" t="inlineStr"/>
      <c r="M325" s="425" t="inlineStr">
        <is>
          <t>12/05/2025</t>
        </is>
      </c>
    </row>
    <row r="326">
      <c r="A326" s="425" t="inlineStr">
        <is>
          <t>Ultratech Capital</t>
        </is>
      </c>
      <c r="B326" s="425" t="inlineStr">
        <is>
          <t>Financial Investor</t>
        </is>
      </c>
      <c r="C326" s="425" t="inlineStr">
        <is>
          <t>Follow Up</t>
        </is>
      </c>
      <c r="D326" s="425" t="inlineStr">
        <is>
          <t>Tier 2</t>
        </is>
      </c>
      <c r="E326" s="425" t="n">
        <v>3</v>
      </c>
      <c r="F326" s="425" t="inlineStr">
        <is>
          <t>Dale Davis; Tim Denning; Carter Callaway</t>
        </is>
      </c>
      <c r="G326" s="425" t="inlineStr">
        <is>
          <t>dale.davis@ultratech.capital; tim.denning@ultratech.capital; carter.callaway@ultratech.capital</t>
        </is>
      </c>
      <c r="H326" s="441" t="n">
        <v>45985</v>
      </c>
      <c r="I326" s="441">
        <f>IF(OR(C326="Passed",H326="",ISBLANK(H326)),"",H326+7)</f>
        <v/>
      </c>
      <c r="J326" s="425">
        <f>IF(I326="","",IF(I326&lt;=TODAY(),"DUE",IF(I326&lt;=TODAY()+3,"Next 3 Days","Later")))</f>
        <v/>
      </c>
      <c r="K326" s="425" t="inlineStr">
        <is>
          <t>https://www.linkedin.com/in/daledavis1982/ | https://www.linkedin.com/in/tim-denning-9bab4316/</t>
        </is>
      </c>
      <c r="L326" s="425" t="inlineStr"/>
      <c r="M326" s="425" t="inlineStr">
        <is>
          <t>12/30/2025</t>
        </is>
      </c>
    </row>
    <row r="327">
      <c r="A327" s="425" t="inlineStr">
        <is>
          <t>Unorthodox Ventures</t>
        </is>
      </c>
      <c r="B327" s="425" t="inlineStr">
        <is>
          <t>Financial Investor</t>
        </is>
      </c>
      <c r="C327" s="425" t="inlineStr">
        <is>
          <t>Follow Up</t>
        </is>
      </c>
      <c r="D327" s="425" t="inlineStr">
        <is>
          <t>Tier 2</t>
        </is>
      </c>
      <c r="E327" s="425" t="n">
        <v>6</v>
      </c>
      <c r="F327" s="425" t="inlineStr">
        <is>
          <t>Adam Kahn; Carey Smith; Dan Easton; Daniel Allen; Lewis Kilongo</t>
        </is>
      </c>
      <c r="G327" s="425" t="inlineStr">
        <is>
          <t>adam@unorthodoxventures.com; carey@unorthodoxventures.com; dan@unorthodoxventures.com; daniel.allen@unorthodoxventures.com; lewis@unorthodoxventures.com</t>
        </is>
      </c>
      <c r="H327" s="441" t="n">
        <v>45973</v>
      </c>
      <c r="I327" s="441">
        <f>IF(OR(C327="Passed",H327="",ISBLANK(H327)),"",H327+7)</f>
        <v/>
      </c>
      <c r="J327" s="425">
        <f>IF(I327="","",IF(I327&lt;=TODAY(),"DUE",IF(I327&lt;=TODAY()+3,"Next 3 Days","Later")))</f>
        <v/>
      </c>
      <c r="K327" s="425" t="inlineStr">
        <is>
          <t>https://www.linkedin.com/in/adam-kahn-89038143/ | https://www.linkedin.com/in/jcareysmith/</t>
        </is>
      </c>
      <c r="L327" s="425" t="inlineStr"/>
      <c r="M327" s="425" t="inlineStr">
        <is>
          <t>12/29/2025 | 12/19/2025</t>
        </is>
      </c>
    </row>
    <row r="328">
      <c r="A328" s="425" t="inlineStr">
        <is>
          <t>Unovis</t>
        </is>
      </c>
      <c r="B328" s="425" t="inlineStr">
        <is>
          <t>Financial Investor</t>
        </is>
      </c>
      <c r="C328" s="425" t="inlineStr">
        <is>
          <t>Follow Up</t>
        </is>
      </c>
      <c r="D328" s="425" t="inlineStr">
        <is>
          <t>Tier 2</t>
        </is>
      </c>
      <c r="E328" s="425" t="n">
        <v>3</v>
      </c>
      <c r="F328" s="425" t="inlineStr">
        <is>
          <t>Dan Altschuler; Kevin Boylan; Kim Odhner</t>
        </is>
      </c>
      <c r="G328" s="425" t="inlineStr">
        <is>
          <t>da@unovis.vc; kb@unovis.vc; ko@unovis.vc</t>
        </is>
      </c>
      <c r="H328" s="441" t="n">
        <v>45835</v>
      </c>
      <c r="I328" s="441">
        <f>IF(OR(C328="Passed",H328="",ISBLANK(H328)),"",H328+7)</f>
        <v/>
      </c>
      <c r="J328" s="425">
        <f>IF(I328="","",IF(I328&lt;=TODAY(),"DUE",IF(I328&lt;=TODAY()+3,"Next 3 Days","Later")))</f>
        <v/>
      </c>
      <c r="K328" s="425" t="inlineStr">
        <is>
          <t>http://linkedin.com/in/danaltschuler | linkedin.com/in/kgbuam</t>
        </is>
      </c>
      <c r="L328" s="425" t="inlineStr"/>
      <c r="M328" s="425" t="inlineStr">
        <is>
          <t>invest in food tech</t>
        </is>
      </c>
    </row>
    <row r="329">
      <c r="A329" s="425" t="inlineStr">
        <is>
          <t>Untethered Ventures</t>
        </is>
      </c>
      <c r="B329" s="425" t="inlineStr">
        <is>
          <t>Financial Investor</t>
        </is>
      </c>
      <c r="C329" s="425" t="inlineStr">
        <is>
          <t>Follow Up</t>
        </is>
      </c>
      <c r="D329" s="425" t="inlineStr">
        <is>
          <t>Tier 2</t>
        </is>
      </c>
      <c r="E329" s="425" t="n">
        <v>1</v>
      </c>
      <c r="F329" s="425" t="inlineStr">
        <is>
          <t>Kristina Serafim</t>
        </is>
      </c>
      <c r="G329" s="425" t="inlineStr">
        <is>
          <t>kristina@untethered.ventures</t>
        </is>
      </c>
      <c r="H329" s="441" t="n">
        <v>46036</v>
      </c>
      <c r="I329" s="441">
        <f>IF(OR(C329="Passed",H329="",ISBLANK(H329)),"",H329+7)</f>
        <v/>
      </c>
      <c r="J329" s="425">
        <f>IF(I329="","",IF(I329&lt;=TODAY(),"DUE",IF(I329&lt;=TODAY()+3,"Next 3 Days","Later")))</f>
        <v/>
      </c>
      <c r="K329" s="425" t="inlineStr">
        <is>
          <t>https://www.linkedin.com/in/kristinaserafim/</t>
        </is>
      </c>
      <c r="L329" s="425" t="inlineStr"/>
      <c r="M329" s="425" t="inlineStr"/>
    </row>
    <row r="330">
      <c r="A330" s="425" t="inlineStr">
        <is>
          <t>VU Venture Partners</t>
        </is>
      </c>
      <c r="B330" s="425" t="inlineStr">
        <is>
          <t>Financial Investor</t>
        </is>
      </c>
      <c r="C330" s="425" t="inlineStr">
        <is>
          <t>Follow Up</t>
        </is>
      </c>
      <c r="D330" s="425" t="inlineStr">
        <is>
          <t>Tier 2</t>
        </is>
      </c>
      <c r="E330" s="425" t="n">
        <v>1</v>
      </c>
      <c r="F330" s="425" t="inlineStr">
        <is>
          <t>Arpan Ajmera</t>
        </is>
      </c>
      <c r="G330" s="425" t="inlineStr">
        <is>
          <t>arpan@vufund.vc</t>
        </is>
      </c>
      <c r="H330" s="441" t="n">
        <v>45973</v>
      </c>
      <c r="I330" s="441">
        <f>IF(OR(C330="Passed",H330="",ISBLANK(H330)),"",H330+7)</f>
        <v/>
      </c>
      <c r="J330" s="425">
        <f>IF(I330="","",IF(I330&lt;=TODAY(),"DUE",IF(I330&lt;=TODAY()+3,"Next 3 Days","Later")))</f>
        <v/>
      </c>
      <c r="K330" s="425" t="inlineStr">
        <is>
          <t>https://www.linkedin.com/in/arpan-ajmera/</t>
        </is>
      </c>
      <c r="L330" s="425" t="inlineStr"/>
      <c r="M330" s="425" t="inlineStr">
        <is>
          <t>12/19/2025</t>
        </is>
      </c>
    </row>
    <row r="331">
      <c r="A331" s="425" t="inlineStr">
        <is>
          <t>Valor Equity Partners</t>
        </is>
      </c>
      <c r="B331" s="425" t="inlineStr">
        <is>
          <t>Financial Investor</t>
        </is>
      </c>
      <c r="C331" s="425" t="inlineStr">
        <is>
          <t>Follow Up</t>
        </is>
      </c>
      <c r="D331" s="425" t="inlineStr">
        <is>
          <t>Tier 2</t>
        </is>
      </c>
      <c r="E331" s="425" t="n">
        <v>3</v>
      </c>
      <c r="F331" s="425" t="inlineStr">
        <is>
          <t>David Heskett; Jon Shulkin; Philippe El Khazen</t>
        </is>
      </c>
      <c r="G331" s="425" t="inlineStr">
        <is>
          <t>dheskett@valorep.com; jshulkin@valorep.com; pelkhazen@valorep.com</t>
        </is>
      </c>
      <c r="H331" s="441" t="n">
        <v>45973</v>
      </c>
      <c r="I331" s="441">
        <f>IF(OR(C331="Passed",H331="",ISBLANK(H331)),"",H331+7)</f>
        <v/>
      </c>
      <c r="J331" s="425">
        <f>IF(I331="","",IF(I331&lt;=TODAY(),"DUE",IF(I331&lt;=TODAY()+3,"Next 3 Days","Later")))</f>
        <v/>
      </c>
      <c r="K331" s="425" t="inlineStr">
        <is>
          <t>https://www.linkedin.com/in/david-heskett-b1b57a99/ | https://www.linkedin.com/in/jon-shulkin-4617b01/</t>
        </is>
      </c>
      <c r="L331" s="425" t="inlineStr"/>
      <c r="M331" s="425" t="inlineStr">
        <is>
          <t>12/30/2025</t>
        </is>
      </c>
    </row>
    <row r="332">
      <c r="A332" s="425" t="inlineStr">
        <is>
          <t>Venrock</t>
        </is>
      </c>
      <c r="B332" s="425" t="inlineStr">
        <is>
          <t>Financial Investor</t>
        </is>
      </c>
      <c r="C332" s="425" t="inlineStr">
        <is>
          <t>Follow Up</t>
        </is>
      </c>
      <c r="D332" s="425" t="inlineStr">
        <is>
          <t>Tier 2</t>
        </is>
      </c>
      <c r="E332" s="425" t="n">
        <v>1</v>
      </c>
      <c r="F332" s="425" t="inlineStr">
        <is>
          <t>Bryan Roberts</t>
        </is>
      </c>
      <c r="G332" s="425" t="inlineStr">
        <is>
          <t>broberts@venrock.com</t>
        </is>
      </c>
      <c r="H332" s="441" t="n">
        <v>45841</v>
      </c>
      <c r="I332" s="441">
        <f>IF(OR(C332="Passed",H332="",ISBLANK(H332)),"",H332+7)</f>
        <v/>
      </c>
      <c r="J332" s="425">
        <f>IF(I332="","",IF(I332&lt;=TODAY(),"DUE",IF(I332&lt;=TODAY()+3,"Next 3 Days","Later")))</f>
        <v/>
      </c>
      <c r="K332" s="425" t="inlineStr">
        <is>
          <t>https://www.linkedin.com/in/bryanrobertsvc/</t>
        </is>
      </c>
      <c r="L332" s="425" t="inlineStr"/>
      <c r="M332" s="425" t="inlineStr"/>
    </row>
    <row r="333">
      <c r="A333" s="425" t="inlineStr">
        <is>
          <t>Vesey Ventures</t>
        </is>
      </c>
      <c r="B333" s="425" t="inlineStr">
        <is>
          <t>Financial Investor</t>
        </is>
      </c>
      <c r="C333" s="425" t="inlineStr">
        <is>
          <t>Follow Up</t>
        </is>
      </c>
      <c r="D333" s="425" t="inlineStr">
        <is>
          <t>Tier 2</t>
        </is>
      </c>
      <c r="E333" s="425" t="n">
        <v>3</v>
      </c>
      <c r="F333" s="425" t="inlineStr">
        <is>
          <t>Dana Eli‑Lorch; Julia Huang; Lindsay Fitzgerald</t>
        </is>
      </c>
      <c r="G333" s="425" t="inlineStr">
        <is>
          <t>dana@vesey.vc; julia@vesey.vc; lindsay@vesey.vc</t>
        </is>
      </c>
      <c r="H333" s="441" t="n">
        <v>45890</v>
      </c>
      <c r="I333" s="441">
        <f>IF(OR(C333="Passed",H333="",ISBLANK(H333)),"",H333+7)</f>
        <v/>
      </c>
      <c r="J333" s="425">
        <f>IF(I333="","",IF(I333&lt;=TODAY(),"DUE",IF(I333&lt;=TODAY()+3,"Next 3 Days","Later")))</f>
        <v/>
      </c>
      <c r="K333" s="425" t="inlineStr">
        <is>
          <t>linkedin.com/in/dana-eli-lorch-63139831 | https://www.linkedin.com/in/julia-huang-3aa71a2/</t>
        </is>
      </c>
      <c r="L333" s="425" t="inlineStr"/>
      <c r="M333" s="425" t="inlineStr">
        <is>
          <t>12/29/2025</t>
        </is>
      </c>
    </row>
    <row r="334">
      <c r="A334" s="425" t="inlineStr">
        <is>
          <t>Veteran Ventures</t>
        </is>
      </c>
      <c r="B334" s="425" t="inlineStr">
        <is>
          <t>Financial Investor</t>
        </is>
      </c>
      <c r="C334" s="425" t="inlineStr">
        <is>
          <t>Follow Up</t>
        </is>
      </c>
      <c r="D334" s="425" t="inlineStr">
        <is>
          <t>Tier 2</t>
        </is>
      </c>
      <c r="E334" s="425" t="n">
        <v>1</v>
      </c>
      <c r="F334" s="425" t="inlineStr">
        <is>
          <t>Steve Kiser</t>
        </is>
      </c>
      <c r="G334" s="425" t="inlineStr">
        <is>
          <t>steve@veteranventures.us</t>
        </is>
      </c>
      <c r="H334" s="441" t="n">
        <v>45845</v>
      </c>
      <c r="I334" s="441">
        <f>IF(OR(C334="Passed",H334="",ISBLANK(H334)),"",H334+7)</f>
        <v/>
      </c>
      <c r="J334" s="425">
        <f>IF(I334="","",IF(I334&lt;=TODAY(),"DUE",IF(I334&lt;=TODAY()+3,"Next 3 Days","Later")))</f>
        <v/>
      </c>
      <c r="K334" s="425" t="inlineStr"/>
      <c r="L334" s="425" t="inlineStr"/>
      <c r="M334" s="425" t="inlineStr">
        <is>
          <t>07/23/2025 | replied on 5/6</t>
        </is>
      </c>
    </row>
    <row r="335">
      <c r="A335" s="425" t="inlineStr">
        <is>
          <t>Vice President</t>
        </is>
      </c>
      <c r="B335" s="425" t="inlineStr">
        <is>
          <t>Financial Investor</t>
        </is>
      </c>
      <c r="C335" s="425" t="inlineStr">
        <is>
          <t>Follow Up</t>
        </is>
      </c>
      <c r="D335" s="425" t="inlineStr">
        <is>
          <t>Tier 2</t>
        </is>
      </c>
      <c r="E335" s="425" t="n">
        <v>1</v>
      </c>
      <c r="F335" s="425" t="inlineStr">
        <is>
          <t>Rick Lau</t>
        </is>
      </c>
      <c r="G335" s="425" t="inlineStr">
        <is>
          <t>rlau@omers.com</t>
        </is>
      </c>
      <c r="H335" s="441" t="n">
        <v>46037</v>
      </c>
      <c r="I335" s="441">
        <f>IF(OR(C335="Passed",H335="",ISBLANK(H335)),"",H335+7)</f>
        <v/>
      </c>
      <c r="J335" s="425">
        <f>IF(I335="","",IF(I335&lt;=TODAY(),"DUE",IF(I335&lt;=TODAY()+3,"Next 3 Days","Later")))</f>
        <v/>
      </c>
      <c r="K335" s="425" t="inlineStr"/>
      <c r="L335" s="425" t="inlineStr"/>
      <c r="M335" s="425" t="inlineStr"/>
    </row>
    <row r="336">
      <c r="A336" s="425" t="inlineStr">
        <is>
          <t>Vickers Venture</t>
        </is>
      </c>
      <c r="B336" s="425" t="inlineStr">
        <is>
          <t>Financial Investor</t>
        </is>
      </c>
      <c r="C336" s="425" t="inlineStr">
        <is>
          <t>Follow Up</t>
        </is>
      </c>
      <c r="D336" s="425" t="inlineStr">
        <is>
          <t>Tier 2</t>
        </is>
      </c>
      <c r="E336" s="425" t="n">
        <v>1</v>
      </c>
      <c r="F336" s="425" t="inlineStr">
        <is>
          <t>Jeffery Chi</t>
        </is>
      </c>
      <c r="G336" s="425" t="inlineStr">
        <is>
          <t>jeff.chi@vickersventure.com</t>
        </is>
      </c>
      <c r="H336" s="425" t="n"/>
      <c r="I336" s="441">
        <f>IF(OR(C336="Passed",H336="",ISBLANK(H336)),"",H336+7)</f>
        <v/>
      </c>
      <c r="J336" s="425">
        <f>IF(I336="","",IF(I336&lt;=TODAY(),"DUE",IF(I336&lt;=TODAY()+3,"Next 3 Days","Later")))</f>
        <v/>
      </c>
      <c r="K336" s="425" t="inlineStr"/>
      <c r="L336" s="425" t="inlineStr"/>
      <c r="M336" s="425" t="inlineStr">
        <is>
          <t>potential - follow up next year</t>
        </is>
      </c>
    </row>
    <row r="337">
      <c r="A337" s="425" t="inlineStr">
        <is>
          <t>Village Global</t>
        </is>
      </c>
      <c r="B337" s="425" t="inlineStr">
        <is>
          <t>Financial Investor</t>
        </is>
      </c>
      <c r="C337" s="425" t="inlineStr">
        <is>
          <t>Follow Up</t>
        </is>
      </c>
      <c r="D337" s="425" t="inlineStr">
        <is>
          <t>Tier 2</t>
        </is>
      </c>
      <c r="E337" s="425" t="n">
        <v>6</v>
      </c>
      <c r="F337" s="425" t="inlineStr">
        <is>
          <t>Amrit Rao; Anne Dwane; Ben Casnocha; Lindsay Pettinghill; Max Kilberg</t>
        </is>
      </c>
      <c r="G337" s="425" t="inlineStr">
        <is>
          <t>amrit@villageglobal.vc; anne@villageglobal.vc; ben@villageglobal.vc; lindsay@villageglobal.vc; max@villageglobal.vc</t>
        </is>
      </c>
      <c r="H337" s="441" t="n">
        <v>45878</v>
      </c>
      <c r="I337" s="441">
        <f>IF(OR(C337="Passed",H337="",ISBLANK(H337)),"",H337+7)</f>
        <v/>
      </c>
      <c r="J337" s="425">
        <f>IF(I337="","",IF(I337&lt;=TODAY(),"DUE",IF(I337&lt;=TODAY()+3,"Next 3 Days","Later")))</f>
        <v/>
      </c>
      <c r="K337" s="425" t="inlineStr">
        <is>
          <t>https://www.linkedin.com/in/amrit-rao/ | https://www.linkedin.com/in/dwane</t>
        </is>
      </c>
      <c r="L337" s="425" t="inlineStr"/>
      <c r="M337" s="425" t="inlineStr">
        <is>
          <t>12/26/2025 | submit your deck here: hello@villageglobal.vc</t>
        </is>
      </c>
    </row>
    <row r="338">
      <c r="A338" s="425" t="inlineStr">
        <is>
          <t>WVV Capital</t>
        </is>
      </c>
      <c r="B338" s="425" t="inlineStr">
        <is>
          <t>Financial Investor</t>
        </is>
      </c>
      <c r="C338" s="425" t="inlineStr">
        <is>
          <t>Follow Up</t>
        </is>
      </c>
      <c r="D338" s="425" t="inlineStr">
        <is>
          <t>Tier 2</t>
        </is>
      </c>
      <c r="E338" s="425" t="n">
        <v>1</v>
      </c>
      <c r="F338" s="425" t="inlineStr">
        <is>
          <t>Danielle D'Agostaro</t>
        </is>
      </c>
      <c r="G338" s="425" t="inlineStr">
        <is>
          <t>danielle@wvvcapital.com</t>
        </is>
      </c>
      <c r="H338" s="441" t="n">
        <v>45973</v>
      </c>
      <c r="I338" s="441">
        <f>IF(OR(C338="Passed",H338="",ISBLANK(H338)),"",H338+7)</f>
        <v/>
      </c>
      <c r="J338" s="425">
        <f>IF(I338="","",IF(I338&lt;=TODAY(),"DUE",IF(I338&lt;=TODAY()+3,"Next 3 Days","Later")))</f>
        <v/>
      </c>
      <c r="K338" s="425" t="inlineStr">
        <is>
          <t>linkedin.com/in/ddagostaro1</t>
        </is>
      </c>
      <c r="L338" s="425" t="inlineStr"/>
      <c r="M338" s="425" t="inlineStr">
        <is>
          <t>12/19/2025</t>
        </is>
      </c>
    </row>
    <row r="339">
      <c r="A339" s="425" t="inlineStr">
        <is>
          <t>Washington Harbour</t>
        </is>
      </c>
      <c r="B339" s="425" t="inlineStr">
        <is>
          <t>Financial Investor</t>
        </is>
      </c>
      <c r="C339" s="425" t="inlineStr">
        <is>
          <t>Follow Up</t>
        </is>
      </c>
      <c r="D339" s="425" t="inlineStr">
        <is>
          <t>Tier 2</t>
        </is>
      </c>
      <c r="E339" s="425" t="n">
        <v>6</v>
      </c>
      <c r="F339" s="425" t="inlineStr">
        <is>
          <t>Ashequl Hoque; Brian Schulze; Daim Malik; Min An; Mina Faltas</t>
        </is>
      </c>
      <c r="G339" s="425" t="inlineStr">
        <is>
          <t>ahoque@washingtonharbour.com; bschulze@washingtonharbour.com; dmalik@washingtonharbour.com; anm@washingtonharbour.com; mfaltas@washingtonharbour.com</t>
        </is>
      </c>
      <c r="H339" s="441" t="n">
        <v>46030</v>
      </c>
      <c r="I339" s="441">
        <f>IF(OR(C339="Passed",H339="",ISBLANK(H339)),"",H339+7)</f>
        <v/>
      </c>
      <c r="J339" s="425">
        <f>IF(I339="","",IF(I339&lt;=TODAY(),"DUE",IF(I339&lt;=TODAY()+3,"Next 3 Days","Later")))</f>
        <v/>
      </c>
      <c r="K339" s="425" t="inlineStr">
        <is>
          <t>https://www.linkedin.com/in/ashequlhoque/ | https://www.linkedin.com/in/brianschulze/</t>
        </is>
      </c>
      <c r="L339" s="425" t="inlineStr"/>
      <c r="M339" s="425" t="inlineStr">
        <is>
          <t>02/26/2026</t>
        </is>
      </c>
    </row>
    <row r="340">
      <c r="A340" s="425" t="inlineStr">
        <is>
          <t>Web 3 Capital</t>
        </is>
      </c>
      <c r="B340" s="425" t="inlineStr">
        <is>
          <t>Financial Investor</t>
        </is>
      </c>
      <c r="C340" s="425" t="inlineStr">
        <is>
          <t>Follow Up</t>
        </is>
      </c>
      <c r="D340" s="425" t="inlineStr">
        <is>
          <t>Tier 2</t>
        </is>
      </c>
      <c r="E340" s="425" t="n">
        <v>1</v>
      </c>
      <c r="F340" s="425" t="inlineStr">
        <is>
          <t>Stephen Yang</t>
        </is>
      </c>
      <c r="G340" s="425" t="inlineStr">
        <is>
          <t>stephen@web3.capital</t>
        </is>
      </c>
      <c r="H340" s="441" t="n">
        <v>45929</v>
      </c>
      <c r="I340" s="441">
        <f>IF(OR(C340="Passed",H340="",ISBLANK(H340)),"",H340+7)</f>
        <v/>
      </c>
      <c r="J340" s="425">
        <f>IF(I340="","",IF(I340&lt;=TODAY(),"DUE",IF(I340&lt;=TODAY()+3,"Next 3 Days","Later")))</f>
        <v/>
      </c>
      <c r="K340" s="425" t="inlineStr">
        <is>
          <t>https://www.linkedin.com/in/web3stephen</t>
        </is>
      </c>
      <c r="L340" s="425" t="inlineStr"/>
      <c r="M340" s="425" t="inlineStr">
        <is>
          <t>12/05/2025</t>
        </is>
      </c>
    </row>
    <row r="341">
      <c r="A341" s="425" t="inlineStr">
        <is>
          <t>Westfield Capital</t>
        </is>
      </c>
      <c r="B341" s="425" t="inlineStr">
        <is>
          <t>Financial Investor</t>
        </is>
      </c>
      <c r="C341" s="425" t="inlineStr">
        <is>
          <t>Follow Up</t>
        </is>
      </c>
      <c r="D341" s="425" t="inlineStr">
        <is>
          <t>Tier 2</t>
        </is>
      </c>
      <c r="E341" s="425" t="n">
        <v>5</v>
      </c>
      <c r="F341" s="425" t="inlineStr">
        <is>
          <t>Edward "Ted" Richardson; John Montgomery; Justin Moscardelli; Richard Lee; Scott Emerman</t>
        </is>
      </c>
      <c r="G341" s="425" t="inlineStr">
        <is>
          <t>trichardson@wcmgmt.com; jmontgomery@wcmgmt.com; jmoscardelli@wcmgmt.com; rlee@wcmgmt.com; semerman@wcmgmt.com</t>
        </is>
      </c>
      <c r="H341" s="441" t="n">
        <v>46036</v>
      </c>
      <c r="I341" s="441">
        <f>IF(OR(C341="Passed",H341="",ISBLANK(H341)),"",H341+7)</f>
        <v/>
      </c>
      <c r="J341" s="425">
        <f>IF(I341="","",IF(I341&lt;=TODAY(),"DUE",IF(I341&lt;=TODAY()+3,"Next 3 Days","Later")))</f>
        <v/>
      </c>
      <c r="K341" s="425" t="inlineStr">
        <is>
          <t>https://www.linkedin.com/in/edward-ted-richardson-3b315522/ | https://www.linkedin.com/in/john-montgomery-46b3867/</t>
        </is>
      </c>
      <c r="L341" s="425" t="inlineStr"/>
      <c r="M341" s="425" t="inlineStr">
        <is>
          <t>02/26/2026</t>
        </is>
      </c>
    </row>
    <row r="342">
      <c r="A342" s="425" t="inlineStr">
        <is>
          <t>Woodline Partners</t>
        </is>
      </c>
      <c r="B342" s="425" t="inlineStr">
        <is>
          <t>Financial Investor</t>
        </is>
      </c>
      <c r="C342" s="425" t="inlineStr">
        <is>
          <t>Follow Up</t>
        </is>
      </c>
      <c r="D342" s="425" t="inlineStr">
        <is>
          <t>Tier 2</t>
        </is>
      </c>
      <c r="E342" s="425" t="n">
        <v>2</v>
      </c>
      <c r="F342" s="425" t="inlineStr">
        <is>
          <t>Karl Kroeker; Mike Rockefeller</t>
        </is>
      </c>
      <c r="G342" s="425" t="inlineStr">
        <is>
          <t>karl@woodlinepartners.com; mike@woodlinepartners.com</t>
        </is>
      </c>
      <c r="H342" s="441" t="n">
        <v>46031</v>
      </c>
      <c r="I342" s="441">
        <f>IF(OR(C342="Passed",H342="",ISBLANK(H342)),"",H342+7)</f>
        <v/>
      </c>
      <c r="J342" s="425">
        <f>IF(I342="","",IF(I342&lt;=TODAY(),"DUE",IF(I342&lt;=TODAY()+3,"Next 3 Days","Later")))</f>
        <v/>
      </c>
      <c r="K342" s="425" t="inlineStr">
        <is>
          <t>https://www.linkedin.com/in/karl-kroeker-b197b8181/ | https://www.linkedin.com/in/mike-rockefeller-9167b3181/</t>
        </is>
      </c>
      <c r="L342" s="425" t="inlineStr"/>
      <c r="M342" s="425" t="inlineStr">
        <is>
          <t>02/26/2026</t>
        </is>
      </c>
    </row>
    <row r="343">
      <c r="A343" s="425" t="inlineStr">
        <is>
          <t>XN</t>
        </is>
      </c>
      <c r="B343" s="425" t="inlineStr">
        <is>
          <t>Financial Investor</t>
        </is>
      </c>
      <c r="C343" s="425" t="inlineStr">
        <is>
          <t>Follow Up</t>
        </is>
      </c>
      <c r="D343" s="425" t="inlineStr">
        <is>
          <t>Tier 2</t>
        </is>
      </c>
      <c r="E343" s="425" t="n">
        <v>4</v>
      </c>
      <c r="F343" s="425" t="inlineStr">
        <is>
          <t>David Bronstein; Gaurav Kapadia; Kevin Chon; Tim Brown</t>
        </is>
      </c>
      <c r="G343" s="425" t="inlineStr">
        <is>
          <t>db@xnlp.com; gaurav.kapadia@gmail.com; kc@xnlp.com; tb@xnlp.com</t>
        </is>
      </c>
      <c r="H343" s="441" t="n">
        <v>46031</v>
      </c>
      <c r="I343" s="441">
        <f>IF(OR(C343="Passed",H343="",ISBLANK(H343)),"",H343+7)</f>
        <v/>
      </c>
      <c r="J343" s="425">
        <f>IF(I343="","",IF(I343&lt;=TODAY(),"DUE",IF(I343&lt;=TODAY()+3,"Next 3 Days","Later")))</f>
        <v/>
      </c>
      <c r="K343" s="425" t="inlineStr">
        <is>
          <t>linkedin.com/in/david-bronstein-024849 | linkedin.com/in/gaurav-kapadia-25a9163</t>
        </is>
      </c>
      <c r="L343" s="425" t="inlineStr"/>
      <c r="M343" s="425" t="inlineStr">
        <is>
          <t>not a fit</t>
        </is>
      </c>
    </row>
    <row r="344">
      <c r="A344" s="425" t="inlineStr">
        <is>
          <t>XRC Ventures</t>
        </is>
      </c>
      <c r="B344" s="425" t="inlineStr">
        <is>
          <t>Financial Investor</t>
        </is>
      </c>
      <c r="C344" s="425" t="inlineStr">
        <is>
          <t>Follow Up</t>
        </is>
      </c>
      <c r="D344" s="425" t="inlineStr">
        <is>
          <t>Tier 2</t>
        </is>
      </c>
      <c r="E344" s="425" t="n">
        <v>1</v>
      </c>
      <c r="F344" s="425" t="inlineStr">
        <is>
          <t>Al Sambar</t>
        </is>
      </c>
      <c r="G344" s="425" t="inlineStr">
        <is>
          <t>al@xrclabs.com</t>
        </is>
      </c>
      <c r="H344" s="441" t="n">
        <v>46036</v>
      </c>
      <c r="I344" s="441">
        <f>IF(OR(C344="Passed",H344="",ISBLANK(H344)),"",H344+7)</f>
        <v/>
      </c>
      <c r="J344" s="425">
        <f>IF(I344="","",IF(I344&lt;=TODAY(),"DUE",IF(I344&lt;=TODAY()+3,"Next 3 Days","Later")))</f>
        <v/>
      </c>
      <c r="K344" s="425" t="inlineStr">
        <is>
          <t>linkedin.com/in/alsambar</t>
        </is>
      </c>
      <c r="L344" s="425" t="inlineStr"/>
      <c r="M344" s="425" t="inlineStr"/>
    </row>
    <row r="345">
      <c r="A345" s="425" t="inlineStr">
        <is>
          <t>Xcellerant Ventures</t>
        </is>
      </c>
      <c r="B345" s="425" t="inlineStr">
        <is>
          <t>Financial Investor</t>
        </is>
      </c>
      <c r="C345" s="425" t="inlineStr">
        <is>
          <t>Follow Up</t>
        </is>
      </c>
      <c r="D345" s="425" t="inlineStr">
        <is>
          <t>Tier 2</t>
        </is>
      </c>
      <c r="E345" s="425" t="n">
        <v>1</v>
      </c>
      <c r="F345" s="425" t="inlineStr">
        <is>
          <t>Chris Yoo</t>
        </is>
      </c>
      <c r="G345" s="425" t="inlineStr">
        <is>
          <t>cyoo@xcellerantventures.com</t>
        </is>
      </c>
      <c r="H345" s="441" t="n">
        <v>46036</v>
      </c>
      <c r="I345" s="441">
        <f>IF(OR(C345="Passed",H345="",ISBLANK(H345)),"",H345+7)</f>
        <v/>
      </c>
      <c r="J345" s="425">
        <f>IF(I345="","",IF(I345&lt;=TODAY(),"DUE",IF(I345&lt;=TODAY()+3,"Next 3 Days","Later")))</f>
        <v/>
      </c>
      <c r="K345" s="425" t="inlineStr">
        <is>
          <t>linkedin.com/in/chrisyoophd</t>
        </is>
      </c>
      <c r="L345" s="425" t="inlineStr"/>
      <c r="M345" s="425" t="inlineStr"/>
    </row>
    <row r="346">
      <c r="A346" s="425" t="inlineStr">
        <is>
          <t>Xeraya Capital</t>
        </is>
      </c>
      <c r="B346" s="425" t="inlineStr">
        <is>
          <t>Financial Investor</t>
        </is>
      </c>
      <c r="C346" s="425" t="inlineStr">
        <is>
          <t>Follow Up</t>
        </is>
      </c>
      <c r="D346" s="425" t="inlineStr">
        <is>
          <t>Tier 2</t>
        </is>
      </c>
      <c r="E346" s="425" t="n">
        <v>5</v>
      </c>
      <c r="F346" s="425" t="inlineStr">
        <is>
          <t>Aditya Puri; Bruce Cohen; Fares Zahir; General; Jason Rushton</t>
        </is>
      </c>
      <c r="G346" s="425" t="inlineStr">
        <is>
          <t>aditya.puri@xeraya.com; bruce.cohen@xeraya.com; fares.zahir@xeraya.com; xeraya@xeraya.com; jason.rushton@xeraya.com</t>
        </is>
      </c>
      <c r="H346" s="441" t="n">
        <v>45861</v>
      </c>
      <c r="I346" s="441">
        <f>IF(OR(C346="Passed",H346="",ISBLANK(H346)),"",H346+7)</f>
        <v/>
      </c>
      <c r="J346" s="425">
        <f>IF(I346="","",IF(I346&lt;=TODAY(),"DUE",IF(I346&lt;=TODAY()+3,"Next 3 Days","Later")))</f>
        <v/>
      </c>
      <c r="K346" s="425" t="inlineStr">
        <is>
          <t>https://www.linkedin.com/in/aditya-puri-investor/ | https://www.linkedin.com/in/bruceacohen/</t>
        </is>
      </c>
      <c r="L346" s="425" t="inlineStr"/>
      <c r="M346" s="425" t="inlineStr">
        <is>
          <t>12/26/2025</t>
        </is>
      </c>
    </row>
    <row r="347">
      <c r="A347" s="425" t="inlineStr">
        <is>
          <t>Zacua Ventures</t>
        </is>
      </c>
      <c r="B347" s="425" t="inlineStr">
        <is>
          <t>Financial Investor</t>
        </is>
      </c>
      <c r="C347" s="425" t="inlineStr">
        <is>
          <t>Follow Up</t>
        </is>
      </c>
      <c r="D347" s="425" t="inlineStr">
        <is>
          <t>Tier 2</t>
        </is>
      </c>
      <c r="E347" s="425" t="n">
        <v>5</v>
      </c>
      <c r="F347" s="425" t="inlineStr">
        <is>
          <t>Anas Bataw; Caecilia Kemper; Juan Nieto; Mauricio Tessi Weiss; Vivin Hegde</t>
        </is>
      </c>
      <c r="G347" s="425" t="inlineStr">
        <is>
          <t>anas@zacuaventures.com; caecilia@zacuaventures.com; juan@zacuaventures.com; mauricio@zacuaventures.com; vivin@zacuaventures.com</t>
        </is>
      </c>
      <c r="H347" s="441" t="n">
        <v>45861</v>
      </c>
      <c r="I347" s="441">
        <f>IF(OR(C347="Passed",H347="",ISBLANK(H347)),"",H347+7)</f>
        <v/>
      </c>
      <c r="J347" s="425">
        <f>IF(I347="","",IF(I347&lt;=TODAY(),"DUE",IF(I347&lt;=TODAY()+3,"Next 3 Days","Later")))</f>
        <v/>
      </c>
      <c r="K347" s="425" t="inlineStr">
        <is>
          <t>http://linkedin.com/in/dr-anas-bataw-3b885b57 | linkedin.com/in/caecilia-kemper</t>
        </is>
      </c>
      <c r="L347" s="425" t="inlineStr"/>
      <c r="M347" s="425" t="inlineStr">
        <is>
          <t>12/26/2025 | submit a deck: https://zacuaventures.com/contact/</t>
        </is>
      </c>
    </row>
    <row r="348">
      <c r="A348" s="425" t="inlineStr">
        <is>
          <t>Zebra Ventures</t>
        </is>
      </c>
      <c r="B348" s="425" t="inlineStr">
        <is>
          <t>Financial Investor</t>
        </is>
      </c>
      <c r="C348" s="425" t="inlineStr">
        <is>
          <t>Follow Up</t>
        </is>
      </c>
      <c r="D348" s="425" t="inlineStr">
        <is>
          <t>Tier 2</t>
        </is>
      </c>
      <c r="E348" s="425" t="n">
        <v>1</v>
      </c>
      <c r="F348" s="425" t="inlineStr">
        <is>
          <t>Tony Palcheck</t>
        </is>
      </c>
      <c r="G348" s="425" t="inlineStr">
        <is>
          <t>tony.palcheck@zebra.com</t>
        </is>
      </c>
      <c r="H348" s="441" t="n">
        <v>45923</v>
      </c>
      <c r="I348" s="441">
        <f>IF(OR(C348="Passed",H348="",ISBLANK(H348)),"",H348+7)</f>
        <v/>
      </c>
      <c r="J348" s="425">
        <f>IF(I348="","",IF(I348&lt;=TODAY(),"DUE",IF(I348&lt;=TODAY()+3,"Next 3 Days","Later")))</f>
        <v/>
      </c>
      <c r="K348" s="425" t="inlineStr">
        <is>
          <t>https://www.linkedin.com/in/tony-palcheck-b1356/</t>
        </is>
      </c>
      <c r="L348" s="425" t="inlineStr"/>
      <c r="M348" s="425" t="inlineStr">
        <is>
          <t>12/03/2025</t>
        </is>
      </c>
    </row>
    <row r="349">
      <c r="A349" s="425" t="inlineStr">
        <is>
          <t>ff VC</t>
        </is>
      </c>
      <c r="B349" s="425" t="inlineStr">
        <is>
          <t>Financial Investor</t>
        </is>
      </c>
      <c r="C349" s="425" t="inlineStr">
        <is>
          <t>Follow Up</t>
        </is>
      </c>
      <c r="D349" s="425" t="inlineStr">
        <is>
          <t>Tier 2</t>
        </is>
      </c>
      <c r="E349" s="425" t="n">
        <v>3</v>
      </c>
      <c r="F349" s="425" t="inlineStr">
        <is>
          <t>Alex Katz; Avery Ersztein; Oliver Mitchell</t>
        </is>
      </c>
      <c r="G349" s="425" t="inlineStr">
        <is>
          <t>alex@ffvc.com; avery@ffvc.com; oliver.mitchell@ffvc.com</t>
        </is>
      </c>
      <c r="H349" s="441" t="n">
        <v>45923</v>
      </c>
      <c r="I349" s="441">
        <f>IF(OR(C349="Passed",H349="",ISBLANK(H349)),"",H349+7)</f>
        <v/>
      </c>
      <c r="J349" s="425">
        <f>IF(I349="","",IF(I349&lt;=TODAY(),"DUE",IF(I349&lt;=TODAY()+3,"Next 3 Days","Later")))</f>
        <v/>
      </c>
      <c r="K349" s="425" t="inlineStr">
        <is>
          <t>https://www.linkedin.com/in/alex-katz-42551412/ | https://www.linkedin.com/in/oliverbmitchell/</t>
        </is>
      </c>
      <c r="L349" s="425" t="inlineStr"/>
      <c r="M349" s="425" t="inlineStr">
        <is>
          <t>12/03/2025</t>
        </is>
      </c>
    </row>
    <row r="350">
      <c r="A350" s="425" t="inlineStr">
        <is>
          <t>kleiner perkins</t>
        </is>
      </c>
      <c r="B350" s="425" t="inlineStr">
        <is>
          <t>Financial Investor</t>
        </is>
      </c>
      <c r="C350" s="425" t="inlineStr">
        <is>
          <t>Follow Up</t>
        </is>
      </c>
      <c r="D350" s="425" t="inlineStr">
        <is>
          <t>Tier 2</t>
        </is>
      </c>
      <c r="E350" s="425" t="n">
        <v>7</v>
      </c>
      <c r="F350" s="425" t="inlineStr">
        <is>
          <t>Annie Case; Ilya Fushman; Josh Coyne; Leigh-Marie Braswell; Mamoon Hamid</t>
        </is>
      </c>
      <c r="G350" s="425" t="inlineStr">
        <is>
          <t>annie@kleinerperkins.com; ilya@kleinerperkins.com; jcoyne@kleinerperkins.com; leighmarie@kleinerperkins.com; mamoon@kleinerperkins.com</t>
        </is>
      </c>
      <c r="H350" s="441" t="n">
        <v>45972</v>
      </c>
      <c r="I350" s="441">
        <f>IF(OR(C350="Passed",H350="",ISBLANK(H350)),"",H350+7)</f>
        <v/>
      </c>
      <c r="J350" s="425">
        <f>IF(I350="","",IF(I350&lt;=TODAY(),"DUE",IF(I350&lt;=TODAY()+3,"Next 3 Days","Later")))</f>
        <v/>
      </c>
      <c r="K350" s="425" t="inlineStr">
        <is>
          <t>https://www.linkedin.com/in/annie-case-044bb753/ | https://www.linkedin.com/in/ilyafushman/</t>
        </is>
      </c>
      <c r="L350" s="425" t="inlineStr"/>
      <c r="M350" s="425" t="inlineStr">
        <is>
          <t>12/05/2025</t>
        </is>
      </c>
    </row>
    <row r="351">
      <c r="A351" s="425" t="inlineStr">
        <is>
          <t>8090 Industries</t>
        </is>
      </c>
      <c r="B351" s="425" t="inlineStr">
        <is>
          <t>Financial Investor</t>
        </is>
      </c>
      <c r="C351" s="425" t="inlineStr">
        <is>
          <t>Contacted</t>
        </is>
      </c>
      <c r="D351" s="425" t="inlineStr">
        <is>
          <t>Tier 2</t>
        </is>
      </c>
      <c r="E351" s="425" t="n">
        <v>6</v>
      </c>
      <c r="F351" s="425" t="inlineStr">
        <is>
          <t>Filip Vurdelja; Garuth Acharya; Kerem Ozmen; Price Mulford; Rayyan Islam</t>
        </is>
      </c>
      <c r="G351" s="425" t="inlineStr">
        <is>
          <t>filip@8090industries.com; garuth@8090industries.com; kerem@8090industries.com; price@8090industries.com; rayyan@8090industries.com</t>
        </is>
      </c>
      <c r="H351" s="441" t="n">
        <v>46035</v>
      </c>
      <c r="I351" s="441">
        <f>IF(OR(C351="Passed",H351="",ISBLANK(H351)),"",H351+3)</f>
        <v/>
      </c>
      <c r="J351" s="425">
        <f>IF(I351="","",IF(I351&lt;=TODAY(),"DUE",IF(I351&lt;=TODAY()+3,"Next 3 Days","Later")))</f>
        <v/>
      </c>
      <c r="K351" s="425" t="inlineStr">
        <is>
          <t>linkedin.com/in/filipvurdelja | linkedin.com/in/garuthacharya</t>
        </is>
      </c>
      <c r="L351" s="425" t="inlineStr"/>
      <c r="M351" s="425" t="inlineStr"/>
    </row>
    <row r="352">
      <c r="A352" s="425" t="inlineStr">
        <is>
          <t>Alamo Angel Network</t>
        </is>
      </c>
      <c r="B352" s="425" t="inlineStr">
        <is>
          <t>Financial Investor</t>
        </is>
      </c>
      <c r="C352" s="425" t="inlineStr">
        <is>
          <t>Contacted</t>
        </is>
      </c>
      <c r="D352" s="425" t="inlineStr">
        <is>
          <t>Tier 2</t>
        </is>
      </c>
      <c r="E352" s="425" t="n">
        <v>3</v>
      </c>
      <c r="F352" s="425" t="inlineStr">
        <is>
          <t>David Fonseca; Juan “Sebastian” Garzon; Mariano González Vasconcelos</t>
        </is>
      </c>
      <c r="G352" s="425" t="inlineStr">
        <is>
          <t>david@alamoangels.com; juan@alamoangels.com; mariano@alamoangels.com</t>
        </is>
      </c>
      <c r="H352" s="441" t="n">
        <v>45813</v>
      </c>
      <c r="I352" s="441">
        <f>IF(OR(C352="Passed",H352="",ISBLANK(H352)),"",H352+3)</f>
        <v/>
      </c>
      <c r="J352" s="425">
        <f>IF(I352="","",IF(I352&lt;=TODAY(),"DUE",IF(I352&lt;=TODAY()+3,"Next 3 Days","Later")))</f>
        <v/>
      </c>
      <c r="K352" s="425" t="inlineStr">
        <is>
          <t>https://www.linkedin.com/in/dfonseca1/ | https://www.linkedin.com/in/juansebastiangarzon/</t>
        </is>
      </c>
      <c r="L352" s="425" t="inlineStr"/>
      <c r="M352" s="425" t="inlineStr">
        <is>
          <t>Alamo Angels Application: https://app.dealum.com/#/company/application/new/50504/2dp8w6dj7sw31i3aybp7bw7cwj3un777</t>
        </is>
      </c>
    </row>
    <row r="353">
      <c r="A353" s="425" t="inlineStr">
        <is>
          <t>Alpine Space VC</t>
        </is>
      </c>
      <c r="B353" s="425" t="inlineStr">
        <is>
          <t>Financial Investor</t>
        </is>
      </c>
      <c r="C353" s="425" t="inlineStr">
        <is>
          <t>Contacted</t>
        </is>
      </c>
      <c r="D353" s="425" t="inlineStr">
        <is>
          <t>Tier 2</t>
        </is>
      </c>
      <c r="E353" s="425" t="n">
        <v>0</v>
      </c>
      <c r="F353" s="425" t="inlineStr"/>
      <c r="G353" s="425" t="inlineStr">
        <is>
          <t>catriona@alpinespace.vc</t>
        </is>
      </c>
      <c r="H353" s="441" t="n">
        <v>45851</v>
      </c>
      <c r="I353" s="441">
        <f>IF(OR(C353="Passed",H353="",ISBLANK(H353)),"",H353+3)</f>
        <v/>
      </c>
      <c r="J353" s="425">
        <f>IF(I353="","",IF(I353&lt;=TODAY(),"DUE",IF(I353&lt;=TODAY()+3,"Next 3 Days","Later")))</f>
        <v/>
      </c>
      <c r="K353" s="425" t="inlineStr"/>
      <c r="L353" s="425" t="inlineStr"/>
      <c r="M353" s="425" t="inlineStr"/>
    </row>
    <row r="354">
      <c r="A354" s="425" t="inlineStr">
        <is>
          <t>Approach Ventures</t>
        </is>
      </c>
      <c r="B354" s="425" t="inlineStr">
        <is>
          <t>Financial Investor</t>
        </is>
      </c>
      <c r="C354" s="425" t="inlineStr">
        <is>
          <t>Contacted</t>
        </is>
      </c>
      <c r="D354" s="425" t="inlineStr">
        <is>
          <t>Tier 2</t>
        </is>
      </c>
      <c r="E354" s="425" t="n">
        <v>2</v>
      </c>
      <c r="F354" s="425" t="inlineStr">
        <is>
          <t>Bryce Dabbs; Colin Johnson</t>
        </is>
      </c>
      <c r="G354" s="425" t="inlineStr">
        <is>
          <t>bryce@approachventure.com; colin@approachventure.com</t>
        </is>
      </c>
      <c r="H354" s="441" t="n">
        <v>46062</v>
      </c>
      <c r="I354" s="441">
        <f>IF(OR(C354="Passed",H354="",ISBLANK(H354)),"",H354+3)</f>
        <v/>
      </c>
      <c r="J354" s="425">
        <f>IF(I354="","",IF(I354&lt;=TODAY(),"DUE",IF(I354&lt;=TODAY()+3,"Next 3 Days","Later")))</f>
        <v/>
      </c>
      <c r="K354" s="425" t="inlineStr">
        <is>
          <t>https://www.linkedin.com/in/colin-johnson-57387ab9/</t>
        </is>
      </c>
      <c r="L354" s="425" t="inlineStr"/>
      <c r="M354" s="425" t="inlineStr"/>
    </row>
    <row r="355">
      <c r="A355" s="425" t="inlineStr">
        <is>
          <t>Axiom</t>
        </is>
      </c>
      <c r="B355" s="425" t="inlineStr">
        <is>
          <t>Strategic / Corporate</t>
        </is>
      </c>
      <c r="C355" s="425" t="inlineStr">
        <is>
          <t>Contacted</t>
        </is>
      </c>
      <c r="D355" s="425" t="inlineStr">
        <is>
          <t>Tier 2</t>
        </is>
      </c>
      <c r="E355" s="425" t="n">
        <v>8</v>
      </c>
      <c r="F355" s="425" t="inlineStr">
        <is>
          <t>Ben Lee; David Romero; James Stein; Luke Peeples; Mark Greely</t>
        </is>
      </c>
      <c r="G355" s="425" t="inlineStr">
        <is>
          <t>ben@axiomspace.com; david.romero@axiomspace.com; jim@axiomspace.com; lukepeeples@gmail.com; mark@axiomspace.com</t>
        </is>
      </c>
      <c r="H355" s="441" t="n">
        <v>45743</v>
      </c>
      <c r="I355" s="441">
        <f>IF(OR(C355="Passed",H355="",ISBLANK(H355)),"",H355+3)</f>
        <v/>
      </c>
      <c r="J355" s="425">
        <f>IF(I355="","",IF(I355&lt;=TODAY(),"DUE",IF(I355&lt;=TODAY()+3,"Next 3 Days","Later")))</f>
        <v/>
      </c>
      <c r="K355" s="425" t="inlineStr"/>
      <c r="L355" s="425" t="inlineStr"/>
      <c r="M355" s="425" t="inlineStr">
        <is>
          <t>4/25 - axiom announced new CEO</t>
        </is>
      </c>
    </row>
    <row r="356">
      <c r="A356" s="425" t="inlineStr">
        <is>
          <t>Axle Point</t>
        </is>
      </c>
      <c r="B356" s="425" t="inlineStr">
        <is>
          <t>Financial Investor</t>
        </is>
      </c>
      <c r="C356" s="425" t="inlineStr">
        <is>
          <t>Contacted</t>
        </is>
      </c>
      <c r="D356" s="425" t="inlineStr">
        <is>
          <t>Tier 2</t>
        </is>
      </c>
      <c r="E356" s="425" t="n">
        <v>1</v>
      </c>
      <c r="F356" s="425" t="inlineStr">
        <is>
          <t>Gerik - Kipton Intro</t>
        </is>
      </c>
      <c r="G356" s="425" t="inlineStr">
        <is>
          <t>gdegner@axlepoint.com</t>
        </is>
      </c>
      <c r="H356" s="441" t="n">
        <v>45835</v>
      </c>
      <c r="I356" s="441">
        <f>IF(OR(C356="Passed",H356="",ISBLANK(H356)),"",H356+3)</f>
        <v/>
      </c>
      <c r="J356" s="425">
        <f>IF(I356="","",IF(I356&lt;=TODAY(),"DUE",IF(I356&lt;=TODAY()+3,"Next 3 Days","Later")))</f>
        <v/>
      </c>
      <c r="K356" s="425" t="inlineStr">
        <is>
          <t>https://www.linkedin.com/in/gerikdegner/</t>
        </is>
      </c>
      <c r="L356" s="425" t="inlineStr"/>
      <c r="M356" s="425" t="inlineStr">
        <is>
          <t>outside scope, said he would pass on to anyone he thinks may be a good fit</t>
        </is>
      </c>
    </row>
    <row r="357">
      <c r="A357" s="425" t="inlineStr">
        <is>
          <t>BBK Capital</t>
        </is>
      </c>
      <c r="B357" s="425" t="inlineStr">
        <is>
          <t>Financial Investor</t>
        </is>
      </c>
      <c r="C357" s="425" t="inlineStr">
        <is>
          <t>Contacted</t>
        </is>
      </c>
      <c r="D357" s="425" t="inlineStr">
        <is>
          <t>Tier 2</t>
        </is>
      </c>
      <c r="E357" s="425" t="n">
        <v>1</v>
      </c>
      <c r="F357" s="425" t="inlineStr">
        <is>
          <t>Nick Breedlove</t>
        </is>
      </c>
      <c r="G357" s="425" t="inlineStr">
        <is>
          <t>nick@bbkcap.com</t>
        </is>
      </c>
      <c r="H357" s="441" t="n">
        <v>45814</v>
      </c>
      <c r="I357" s="441">
        <f>IF(OR(C357="Passed",H357="",ISBLANK(H357)),"",H357+3)</f>
        <v/>
      </c>
      <c r="J357" s="425">
        <f>IF(I357="","",IF(I357&lt;=TODAY(),"DUE",IF(I357&lt;=TODAY()+3,"Next 3 Days","Later")))</f>
        <v/>
      </c>
      <c r="K357" s="425" t="inlineStr">
        <is>
          <t>https://www.linkedin.com/in/nickbreedlove/</t>
        </is>
      </c>
      <c r="L357" s="425" t="inlineStr"/>
      <c r="M357" s="425" t="inlineStr"/>
    </row>
    <row r="358">
      <c r="A358" s="425" t="inlineStr">
        <is>
          <t>Balderton</t>
        </is>
      </c>
      <c r="B358" s="425" t="inlineStr">
        <is>
          <t>Financial Investor</t>
        </is>
      </c>
      <c r="C358" s="425" t="inlineStr">
        <is>
          <t>Contacted</t>
        </is>
      </c>
      <c r="D358" s="425" t="inlineStr">
        <is>
          <t>Tier 2</t>
        </is>
      </c>
      <c r="E358" s="425" t="n">
        <v>4</v>
      </c>
      <c r="F358" s="425" t="inlineStr">
        <is>
          <t>Bernard Liautaud; Lars Fjeldsoe-Nielsen; Rana Yared; Suranga Chandratillake</t>
        </is>
      </c>
      <c r="G358" s="425" t="inlineStr">
        <is>
          <t>bliautaud@balderton.com; lars@balderton.com; rana@balderton.com; suranga@balderton.com</t>
        </is>
      </c>
      <c r="H358" s="441" t="n">
        <v>45891</v>
      </c>
      <c r="I358" s="441">
        <f>IF(OR(C358="Passed",H358="",ISBLANK(H358)),"",H358+3)</f>
        <v/>
      </c>
      <c r="J358" s="425">
        <f>IF(I358="","",IF(I358&lt;=TODAY(),"DUE",IF(I358&lt;=TODAY()+3,"Next 3 Days","Later")))</f>
        <v/>
      </c>
      <c r="K358" s="425" t="inlineStr">
        <is>
          <t>https://www.linkedin.com/in/bernardliautaud | https://www.linkedin.com/in/larsfjeldsoenielsen</t>
        </is>
      </c>
      <c r="L358" s="425" t="inlineStr"/>
      <c r="M358" s="425" t="inlineStr"/>
    </row>
    <row r="359">
      <c r="A359" s="425" t="inlineStr">
        <is>
          <t>Ballistic Ventures</t>
        </is>
      </c>
      <c r="B359" s="425" t="inlineStr">
        <is>
          <t>Financial Investor</t>
        </is>
      </c>
      <c r="C359" s="425" t="inlineStr">
        <is>
          <t>Contacted</t>
        </is>
      </c>
      <c r="D359" s="425" t="inlineStr">
        <is>
          <t>Tier 2</t>
        </is>
      </c>
      <c r="E359" s="425" t="n">
        <v>1</v>
      </c>
      <c r="F359" s="425" t="inlineStr">
        <is>
          <t>Kevin Mandia</t>
        </is>
      </c>
      <c r="G359" s="425" t="inlineStr">
        <is>
          <t>kevin@ballisticventures.com</t>
        </is>
      </c>
      <c r="H359" s="441" t="n">
        <v>46062</v>
      </c>
      <c r="I359" s="441">
        <f>IF(OR(C359="Passed",H359="",ISBLANK(H359)),"",H359+3)</f>
        <v/>
      </c>
      <c r="J359" s="425">
        <f>IF(I359="","",IF(I359&lt;=TODAY(),"DUE",IF(I359&lt;=TODAY()+3,"Next 3 Days","Later")))</f>
        <v/>
      </c>
      <c r="K359" s="425" t="inlineStr">
        <is>
          <t>https://www.linkedin.com/in/kevin-mandia-0a07173/</t>
        </is>
      </c>
      <c r="L359" s="425" t="inlineStr"/>
      <c r="M359" s="425" t="inlineStr"/>
    </row>
    <row r="360">
      <c r="A360" s="425" t="inlineStr">
        <is>
          <t>Band of Angels</t>
        </is>
      </c>
      <c r="B360" s="425" t="inlineStr">
        <is>
          <t>Financial Investor</t>
        </is>
      </c>
      <c r="C360" s="425" t="inlineStr">
        <is>
          <t>Contacted</t>
        </is>
      </c>
      <c r="D360" s="425" t="inlineStr">
        <is>
          <t>Tier 2</t>
        </is>
      </c>
      <c r="E360" s="425" t="n">
        <v>1</v>
      </c>
      <c r="F360" s="425" t="inlineStr">
        <is>
          <t>Tom Carroux</t>
        </is>
      </c>
      <c r="G360" s="425" t="inlineStr">
        <is>
          <t>tom.carroux@bandangels.com</t>
        </is>
      </c>
      <c r="H360" s="441" t="n">
        <v>45912</v>
      </c>
      <c r="I360" s="441">
        <f>IF(OR(C360="Passed",H360="",ISBLANK(H360)),"",H360+3)</f>
        <v/>
      </c>
      <c r="J360" s="425">
        <f>IF(I360="","",IF(I360&lt;=TODAY(),"DUE",IF(I360&lt;=TODAY()+3,"Next 3 Days","Later")))</f>
        <v/>
      </c>
      <c r="K360" s="425" t="inlineStr">
        <is>
          <t>https://www.linkedin.com/in/tomcarroux/</t>
        </is>
      </c>
      <c r="L360" s="425" t="inlineStr"/>
      <c r="M360" s="425" t="inlineStr"/>
    </row>
    <row r="361">
      <c r="A361" s="425" t="inlineStr">
        <is>
          <t>Bank Tech Ventures</t>
        </is>
      </c>
      <c r="B361" s="425" t="inlineStr">
        <is>
          <t>Financial Investor</t>
        </is>
      </c>
      <c r="C361" s="425" t="inlineStr">
        <is>
          <t>Contacted</t>
        </is>
      </c>
      <c r="D361" s="425" t="inlineStr">
        <is>
          <t>Tier 2</t>
        </is>
      </c>
      <c r="E361" s="425" t="n">
        <v>2</v>
      </c>
      <c r="F361" s="425" t="inlineStr">
        <is>
          <t>Jake Fuchs; Katie Quilligan</t>
        </is>
      </c>
      <c r="G361" s="425" t="inlineStr">
        <is>
          <t>jake@banktechventures.com; katie@banktechventures.com</t>
        </is>
      </c>
      <c r="H361" s="441" t="n">
        <v>45840</v>
      </c>
      <c r="I361" s="441">
        <f>IF(OR(C361="Passed",H361="",ISBLANK(H361)),"",H361+3)</f>
        <v/>
      </c>
      <c r="J361" s="425">
        <f>IF(I361="","",IF(I361&lt;=TODAY(),"DUE",IF(I361&lt;=TODAY()+3,"Next 3 Days","Later")))</f>
        <v/>
      </c>
      <c r="K361" s="425" t="inlineStr">
        <is>
          <t>https://www.linkedin.com/in/jake-fuchs-7b5ab472/ | https://www.linkedin.com/in/katie-quilligan-207/</t>
        </is>
      </c>
      <c r="L361" s="425" t="inlineStr"/>
      <c r="M361" s="425" t="inlineStr">
        <is>
          <t>doesn't align with thesis | 12/26/2025</t>
        </is>
      </c>
    </row>
    <row r="362">
      <c r="A362" s="425" t="inlineStr">
        <is>
          <t>Booz Allen</t>
        </is>
      </c>
      <c r="B362" s="425" t="inlineStr">
        <is>
          <t>Financial Investor</t>
        </is>
      </c>
      <c r="C362" s="425" t="inlineStr">
        <is>
          <t>Contacted</t>
        </is>
      </c>
      <c r="D362" s="425" t="inlineStr">
        <is>
          <t>Tier 2</t>
        </is>
      </c>
      <c r="E362" s="425" t="n">
        <v>1</v>
      </c>
      <c r="F362" s="425" t="inlineStr">
        <is>
          <t>Phillip Mann</t>
        </is>
      </c>
      <c r="G362" s="425" t="inlineStr">
        <is>
          <t>mann_phillip@bah.com</t>
        </is>
      </c>
      <c r="H362" s="441" t="n">
        <v>46030</v>
      </c>
      <c r="I362" s="441">
        <f>IF(OR(C362="Passed",H362="",ISBLANK(H362)),"",H362+3)</f>
        <v/>
      </c>
      <c r="J362" s="425">
        <f>IF(I362="","",IF(I362&lt;=TODAY(),"DUE",IF(I362&lt;=TODAY()+3,"Next 3 Days","Later")))</f>
        <v/>
      </c>
      <c r="K362" s="425" t="inlineStr">
        <is>
          <t>linkedin.com/in/phillipmann</t>
        </is>
      </c>
      <c r="L362" s="425" t="inlineStr"/>
      <c r="M362" s="425" t="inlineStr">
        <is>
          <t>02/26/2026</t>
        </is>
      </c>
    </row>
    <row r="363">
      <c r="A363" s="425" t="inlineStr">
        <is>
          <t>COO Calca</t>
        </is>
      </c>
      <c r="B363" s="425" t="inlineStr">
        <is>
          <t>Strategic / Corporate</t>
        </is>
      </c>
      <c r="C363" s="425" t="inlineStr">
        <is>
          <t>Contacted</t>
        </is>
      </c>
      <c r="D363" s="425" t="inlineStr">
        <is>
          <t>Tier 2</t>
        </is>
      </c>
      <c r="E363" s="425" t="n">
        <v>1</v>
      </c>
      <c r="F363" s="425" t="inlineStr">
        <is>
          <t>Eric Walker</t>
        </is>
      </c>
      <c r="G363" s="425" t="inlineStr">
        <is>
          <t>eric.walker@calcasolutions.com</t>
        </is>
      </c>
      <c r="H363" s="441" t="n">
        <v>45951</v>
      </c>
      <c r="I363" s="441">
        <f>IF(OR(C363="Passed",H363="",ISBLANK(H363)),"",H363+3)</f>
        <v/>
      </c>
      <c r="J363" s="425">
        <f>IF(I363="","",IF(I363&lt;=TODAY(),"DUE",IF(I363&lt;=TODAY()+3,"Next 3 Days","Later")))</f>
        <v/>
      </c>
      <c r="K363" s="425" t="inlineStr"/>
      <c r="L363" s="425" t="inlineStr"/>
      <c r="M363" s="425" t="inlineStr"/>
    </row>
    <row r="364">
      <c r="A364" s="425" t="inlineStr">
        <is>
          <t>Canaan Partners</t>
        </is>
      </c>
      <c r="B364" s="425" t="inlineStr">
        <is>
          <t>Financial Investor</t>
        </is>
      </c>
      <c r="C364" s="425" t="inlineStr">
        <is>
          <t>Contacted</t>
        </is>
      </c>
      <c r="D364" s="425" t="inlineStr">
        <is>
          <t>Tier 2</t>
        </is>
      </c>
      <c r="E364" s="425" t="n">
        <v>4</v>
      </c>
      <c r="F364" s="425" t="inlineStr">
        <is>
          <t>David Teten; Hemant Mohapatra; Karan Mehandru; Maya Bisineer</t>
        </is>
      </c>
      <c r="G364" s="425" t="inlineStr">
        <is>
          <t>dteten@canaan.com; hmohapatra@canaan.com; kmehandru@canaan.com; mbisineer@canaan.com</t>
        </is>
      </c>
      <c r="H364" s="441" t="n">
        <v>45793</v>
      </c>
      <c r="I364" s="441">
        <f>IF(OR(C364="Passed",H364="",ISBLANK(H364)),"",H364+3)</f>
        <v/>
      </c>
      <c r="J364" s="425">
        <f>IF(I364="","",IF(I364&lt;=TODAY(),"DUE",IF(I364&lt;=TODAY()+3,"Next 3 Days","Later")))</f>
        <v/>
      </c>
      <c r="K364" s="425" t="inlineStr"/>
      <c r="L364" s="425" t="inlineStr"/>
      <c r="M364" s="425" t="inlineStr"/>
    </row>
    <row r="365">
      <c r="A365" s="425" t="inlineStr">
        <is>
          <t>Central Texas Angel Network</t>
        </is>
      </c>
      <c r="B365" s="425" t="inlineStr">
        <is>
          <t>Financial Investor</t>
        </is>
      </c>
      <c r="C365" s="425" t="inlineStr">
        <is>
          <t>Contacted</t>
        </is>
      </c>
      <c r="D365" s="425" t="inlineStr">
        <is>
          <t>Tier 2</t>
        </is>
      </c>
      <c r="E365" s="425" t="n">
        <v>4</v>
      </c>
      <c r="F365" s="425" t="inlineStr">
        <is>
          <t>Gary Forni; Jake Hampton; Katie Russel; Lance Adams</t>
        </is>
      </c>
      <c r="G365" s="425" t="inlineStr">
        <is>
          <t>gary@ctan.com; jake@ctan.com; katie@ctan.com; lanceinaustin@hotmail.com</t>
        </is>
      </c>
      <c r="H365" s="441" t="n">
        <v>45813</v>
      </c>
      <c r="I365" s="441">
        <f>IF(OR(C365="Passed",H365="",ISBLANK(H365)),"",H365+3)</f>
        <v/>
      </c>
      <c r="J365" s="425">
        <f>IF(I365="","",IF(I365&lt;=TODAY(),"DUE",IF(I365&lt;=TODAY()+3,"Next 3 Days","Later")))</f>
        <v/>
      </c>
      <c r="K365" s="425" t="inlineStr">
        <is>
          <t>https://www.linkedin.com/in/garyforni/ | https://www.linkedin.com/in/jake-hampton-134493/</t>
        </is>
      </c>
      <c r="L365" s="425" t="inlineStr"/>
      <c r="M365" s="425" t="inlineStr">
        <is>
          <t>Said to apply online | CTAN Application: https://app.dealum.com/#/company/application/new/72264/cmwl94en1rop0rvg8k9x44vzlcw2hgrf</t>
        </is>
      </c>
    </row>
    <row r="366">
      <c r="A366" s="425" t="inlineStr">
        <is>
          <t>Cota Capital</t>
        </is>
      </c>
      <c r="B366" s="425" t="inlineStr">
        <is>
          <t>Financial Investor</t>
        </is>
      </c>
      <c r="C366" s="425" t="inlineStr">
        <is>
          <t>Contacted</t>
        </is>
      </c>
      <c r="D366" s="425" t="inlineStr">
        <is>
          <t>Tier 2</t>
        </is>
      </c>
      <c r="E366" s="425" t="n">
        <v>4</v>
      </c>
      <c r="F366" s="425" t="inlineStr">
        <is>
          <t>Babak Poushanchi; Bobby Yazdani; Hannan Parvizian; Kevin Jacques</t>
        </is>
      </c>
      <c r="G366" s="425" t="inlineStr">
        <is>
          <t>bp@cotacapital.com; bobby@cotacapital.com; hannan@cotacapital.com; kevin@cotacapital.com</t>
        </is>
      </c>
      <c r="H366" s="441" t="n">
        <v>46036</v>
      </c>
      <c r="I366" s="441">
        <f>IF(OR(C366="Passed",H366="",ISBLANK(H366)),"",H366+3)</f>
        <v/>
      </c>
      <c r="J366" s="425">
        <f>IF(I366="","",IF(I366&lt;=TODAY(),"DUE",IF(I366&lt;=TODAY()+3,"Next 3 Days","Later")))</f>
        <v/>
      </c>
      <c r="K366" s="425" t="inlineStr">
        <is>
          <t>linkedin.com/in/babak-poushanchi-a5a3a238 | https://www.linkedin.com/in/bobby-yazdani-015a13a/</t>
        </is>
      </c>
      <c r="L366" s="425" t="inlineStr"/>
      <c r="M366" s="425" t="inlineStr"/>
    </row>
    <row r="367">
      <c r="A367" s="425" t="inlineStr">
        <is>
          <t>DA Davidson</t>
        </is>
      </c>
      <c r="B367" s="425" t="inlineStr">
        <is>
          <t>Financial Investor</t>
        </is>
      </c>
      <c r="C367" s="425" t="inlineStr">
        <is>
          <t>Contacted</t>
        </is>
      </c>
      <c r="D367" s="425" t="inlineStr">
        <is>
          <t>Tier 2</t>
        </is>
      </c>
      <c r="E367" s="425" t="n">
        <v>2</v>
      </c>
      <c r="F367" s="425" t="inlineStr">
        <is>
          <t>Craig Hrinkevich; George 'Toby' Albright III</t>
        </is>
      </c>
      <c r="G367" s="425" t="inlineStr">
        <is>
          <t>chrinkevich@dadco.com; talbright@dadco.com</t>
        </is>
      </c>
      <c r="H367" s="441" t="n">
        <v>46030</v>
      </c>
      <c r="I367" s="441">
        <f>IF(OR(C367="Passed",H367="",ISBLANK(H367)),"",H367+3)</f>
        <v/>
      </c>
      <c r="J367" s="425">
        <f>IF(I367="","",IF(I367&lt;=TODAY(),"DUE",IF(I367&lt;=TODAY()+3,"Next 3 Days","Later")))</f>
        <v/>
      </c>
      <c r="K367" s="425" t="inlineStr">
        <is>
          <t>https://www.linkedin.com/in/craig-hrinkevich/</t>
        </is>
      </c>
      <c r="L367" s="425" t="inlineStr"/>
      <c r="M367" s="425" t="inlineStr">
        <is>
          <t>Suggested you connect with - 
Cerberus Capital Management - Supply Chain and Strategic Opportunities  
Generational Partners
Hale Capital
Lockheed Ventures
Marlinspike
RTX Ventures
Washington Harbour</t>
        </is>
      </c>
    </row>
    <row r="368">
      <c r="A368" s="425" t="inlineStr">
        <is>
          <t>Drive Capital</t>
        </is>
      </c>
      <c r="B368" s="425" t="inlineStr">
        <is>
          <t>Financial Investor</t>
        </is>
      </c>
      <c r="C368" s="425" t="inlineStr">
        <is>
          <t>Contacted</t>
        </is>
      </c>
      <c r="D368" s="425" t="inlineStr">
        <is>
          <t>Tier 2</t>
        </is>
      </c>
      <c r="E368" s="425" t="n">
        <v>1</v>
      </c>
      <c r="F368" s="425" t="inlineStr">
        <is>
          <t>Nick Solaro</t>
        </is>
      </c>
      <c r="G368" s="425" t="inlineStr">
        <is>
          <t>nick@drivecapital.com</t>
        </is>
      </c>
      <c r="H368" s="441" t="n">
        <v>45898</v>
      </c>
      <c r="I368" s="441">
        <f>IF(OR(C368="Passed",H368="",ISBLANK(H368)),"",H368+3)</f>
        <v/>
      </c>
      <c r="J368" s="425">
        <f>IF(I368="","",IF(I368&lt;=TODAY(),"DUE",IF(I368&lt;=TODAY()+3,"Next 3 Days","Later")))</f>
        <v/>
      </c>
      <c r="K368" s="425" t="inlineStr">
        <is>
          <t>https://www.linkedin.com/in/solaro/</t>
        </is>
      </c>
      <c r="L368" s="425" t="inlineStr"/>
      <c r="M368" s="425" t="inlineStr"/>
    </row>
    <row r="369">
      <c r="A369" s="425" t="inlineStr">
        <is>
          <t>Founder and CEO of Mercury</t>
        </is>
      </c>
      <c r="B369" s="425" t="inlineStr">
        <is>
          <t>Financial Investor</t>
        </is>
      </c>
      <c r="C369" s="425" t="inlineStr">
        <is>
          <t>Contacted</t>
        </is>
      </c>
      <c r="D369" s="425" t="inlineStr">
        <is>
          <t>Tier 2</t>
        </is>
      </c>
      <c r="E369" s="425" t="n">
        <v>1</v>
      </c>
      <c r="F369" s="425" t="inlineStr">
        <is>
          <t>Immad Akhund</t>
        </is>
      </c>
      <c r="G369" s="425" t="inlineStr">
        <is>
          <t>immad@mercury.com</t>
        </is>
      </c>
      <c r="H369" s="441" t="n">
        <v>46074</v>
      </c>
      <c r="I369" s="441">
        <f>IF(OR(C369="Passed",H369="",ISBLANK(H369)),"",H369+3)</f>
        <v/>
      </c>
      <c r="J369" s="425">
        <f>IF(I369="","",IF(I369&lt;=TODAY(),"DUE",IF(I369&lt;=TODAY()+3,"Next 3 Days","Later")))</f>
        <v/>
      </c>
      <c r="K369" s="425" t="inlineStr">
        <is>
          <t>https://www.linkedin.com/in/iakhund/</t>
        </is>
      </c>
      <c r="L369" s="425" t="inlineStr"/>
      <c r="M369" s="425" t="inlineStr"/>
    </row>
    <row r="370">
      <c r="A370" s="425" t="inlineStr">
        <is>
          <t>Founding Partner</t>
        </is>
      </c>
      <c r="B370" s="425" t="inlineStr">
        <is>
          <t>Financial Investor</t>
        </is>
      </c>
      <c r="C370" s="425" t="inlineStr">
        <is>
          <t>Contacted</t>
        </is>
      </c>
      <c r="D370" s="425" t="inlineStr">
        <is>
          <t>Tier 2</t>
        </is>
      </c>
      <c r="E370" s="425" t="n">
        <v>1</v>
      </c>
      <c r="F370" s="425" t="inlineStr">
        <is>
          <t>Pippa Gawley</t>
        </is>
      </c>
      <c r="G370" s="425" t="inlineStr">
        <is>
          <t>pippa@zerocarbon.capital</t>
        </is>
      </c>
      <c r="H370" s="441" t="n">
        <v>45974</v>
      </c>
      <c r="I370" s="441">
        <f>IF(OR(C370="Passed",H370="",ISBLANK(H370)),"",H370+3)</f>
        <v/>
      </c>
      <c r="J370" s="425">
        <f>IF(I370="","",IF(I370&lt;=TODAY(),"DUE",IF(I370&lt;=TODAY()+3,"Next 3 Days","Later")))</f>
        <v/>
      </c>
      <c r="K370" s="425" t="inlineStr">
        <is>
          <t>https://www.linkedin.com/in/pippagawley/</t>
        </is>
      </c>
      <c r="L370" s="425" t="inlineStr"/>
      <c r="M370" s="425" t="inlineStr"/>
    </row>
    <row r="371">
      <c r="A371" s="425" t="inlineStr">
        <is>
          <t>Framework VC</t>
        </is>
      </c>
      <c r="B371" s="425" t="inlineStr">
        <is>
          <t>Financial Investor</t>
        </is>
      </c>
      <c r="C371" s="425" t="inlineStr">
        <is>
          <t>Contacted</t>
        </is>
      </c>
      <c r="D371" s="425" t="inlineStr">
        <is>
          <t>Tier 2</t>
        </is>
      </c>
      <c r="E371" s="425" t="n">
        <v>5</v>
      </c>
      <c r="F371" s="425" t="inlineStr">
        <is>
          <t>Ajay Gopal; Jim Texier; Mike Dobbins; Peter Misek; the team</t>
        </is>
      </c>
      <c r="G371" s="425" t="inlineStr">
        <is>
          <t>ajay@framework.vc; jim@framework.vc; mike@framework.vc; peter@framework.vc; startups@framework.vc</t>
        </is>
      </c>
      <c r="H371" s="441" t="n">
        <v>45845</v>
      </c>
      <c r="I371" s="441">
        <f>IF(OR(C371="Passed",H371="",ISBLANK(H371)),"",H371+3)</f>
        <v/>
      </c>
      <c r="J371" s="425">
        <f>IF(I371="","",IF(I371&lt;=TODAY(),"DUE",IF(I371&lt;=TODAY()+3,"Next 3 Days","Later")))</f>
        <v/>
      </c>
      <c r="K371" s="425" t="inlineStr">
        <is>
          <t>https://www.linkedin.com/in/ajay-gopal-815a3159/ | linkedin.com/in/texierjm</t>
        </is>
      </c>
      <c r="L371" s="425" t="inlineStr"/>
      <c r="M371" s="425" t="inlineStr">
        <is>
          <t>only invests in softwarre</t>
        </is>
      </c>
    </row>
    <row r="372">
      <c r="A372" s="425" t="inlineStr">
        <is>
          <t>Galava</t>
        </is>
      </c>
      <c r="B372" s="425" t="inlineStr">
        <is>
          <t>Financial Investor</t>
        </is>
      </c>
      <c r="C372" s="425" t="inlineStr">
        <is>
          <t>Contacted</t>
        </is>
      </c>
      <c r="D372" s="425" t="inlineStr">
        <is>
          <t>Tier 2</t>
        </is>
      </c>
      <c r="E372" s="425" t="n">
        <v>1</v>
      </c>
      <c r="F372" s="425" t="inlineStr">
        <is>
          <t>the team</t>
        </is>
      </c>
      <c r="G372" s="425" t="inlineStr"/>
      <c r="H372" s="441" t="n">
        <v>46031</v>
      </c>
      <c r="I372" s="441">
        <f>IF(OR(C372="Passed",H372="",ISBLANK(H372)),"",H372+3)</f>
        <v/>
      </c>
      <c r="J372" s="425">
        <f>IF(I372="","",IF(I372&lt;=TODAY(),"DUE",IF(I372&lt;=TODAY()+3,"Next 3 Days","Later")))</f>
        <v/>
      </c>
      <c r="K372" s="425" t="inlineStr"/>
      <c r="L372" s="425" t="inlineStr"/>
      <c r="M372" s="425" t="inlineStr"/>
    </row>
    <row r="373">
      <c r="A373" s="425" t="inlineStr">
        <is>
          <t>Generational Partners</t>
        </is>
      </c>
      <c r="B373" s="425" t="inlineStr">
        <is>
          <t>Financial Investor</t>
        </is>
      </c>
      <c r="C373" s="425" t="inlineStr">
        <is>
          <t>Contacted</t>
        </is>
      </c>
      <c r="D373" s="425" t="inlineStr">
        <is>
          <t>Tier 2</t>
        </is>
      </c>
      <c r="E373" s="425" t="n">
        <v>2</v>
      </c>
      <c r="F373" s="425" t="inlineStr">
        <is>
          <t>Asher Kraut; Van Espahbodi</t>
        </is>
      </c>
      <c r="G373" s="425" t="inlineStr">
        <is>
          <t>asher@generational.partners; van@generational.partners</t>
        </is>
      </c>
      <c r="H373" s="441" t="n">
        <v>45986</v>
      </c>
      <c r="I373" s="441">
        <f>IF(OR(C373="Passed",H373="",ISBLANK(H373)),"",H373+3)</f>
        <v/>
      </c>
      <c r="J373" s="425">
        <f>IF(I373="","",IF(I373&lt;=TODAY(),"DUE",IF(I373&lt;=TODAY()+3,"Next 3 Days","Later")))</f>
        <v/>
      </c>
      <c r="K373" s="425" t="inlineStr">
        <is>
          <t>https://www.linkedin.com/in/nathaniel-asher-kraut/ | linkedin.com/in/vandade</t>
        </is>
      </c>
      <c r="L373" s="425" t="inlineStr"/>
      <c r="M373" s="425" t="inlineStr"/>
    </row>
    <row r="374">
      <c r="A374" s="425" t="inlineStr">
        <is>
          <t>Golden Seeds</t>
        </is>
      </c>
      <c r="B374" s="425" t="inlineStr">
        <is>
          <t>Financial Investor</t>
        </is>
      </c>
      <c r="C374" s="425" t="inlineStr">
        <is>
          <t>Contacted</t>
        </is>
      </c>
      <c r="D374" s="425" t="inlineStr">
        <is>
          <t>Tier 2</t>
        </is>
      </c>
      <c r="E374" s="425" t="n">
        <v>12</v>
      </c>
      <c r="F374" s="425" t="inlineStr">
        <is>
          <t>Amy Kim; Heather Hunter; Irina Berkon; Jenny Chou; JoAnn Corkran</t>
        </is>
      </c>
      <c r="G374" s="425" t="inlineStr">
        <is>
          <t>akim@goldenseeds.com; hhunter@goldenseeds.com; iberkon@goldenseeds.com; jchou@goldenseeds.com; jac@goldenseeds.com</t>
        </is>
      </c>
      <c r="H374" s="441" t="n">
        <v>45779</v>
      </c>
      <c r="I374" s="441">
        <f>IF(OR(C374="Passed",H374="",ISBLANK(H374)),"",H374+3)</f>
        <v/>
      </c>
      <c r="J374" s="425">
        <f>IF(I374="","",IF(I374&lt;=TODAY(),"DUE",IF(I374&lt;=TODAY()+3,"Next 3 Days","Later")))</f>
        <v/>
      </c>
      <c r="K374" s="425" t="inlineStr"/>
      <c r="L374" s="425" t="inlineStr"/>
      <c r="M374" s="425" t="inlineStr"/>
    </row>
    <row r="375">
      <c r="A375" s="425" t="inlineStr">
        <is>
          <t>Hanover International</t>
        </is>
      </c>
      <c r="B375" s="425" t="inlineStr">
        <is>
          <t>Financial Investor</t>
        </is>
      </c>
      <c r="C375" s="425" t="inlineStr">
        <is>
          <t>Contacted</t>
        </is>
      </c>
      <c r="D375" s="425" t="inlineStr">
        <is>
          <t>Tier 2</t>
        </is>
      </c>
      <c r="E375" s="425" t="n">
        <v>1</v>
      </c>
      <c r="F375" s="425" t="inlineStr">
        <is>
          <t>Kathy Cusumano</t>
        </is>
      </c>
      <c r="G375" s="425" t="inlineStr">
        <is>
          <t>ka@hanoverintlinc.com</t>
        </is>
      </c>
      <c r="H375" s="441" t="n">
        <v>45852</v>
      </c>
      <c r="I375" s="441">
        <f>IF(OR(C375="Passed",H375="",ISBLANK(H375)),"",H375+3)</f>
        <v/>
      </c>
      <c r="J375" s="425">
        <f>IF(I375="","",IF(I375&lt;=TODAY(),"DUE",IF(I375&lt;=TODAY()+3,"Next 3 Days","Later")))</f>
        <v/>
      </c>
      <c r="K375" s="425" t="inlineStr"/>
      <c r="L375" s="425" t="inlineStr"/>
      <c r="M375" s="425" t="inlineStr">
        <is>
          <t>call for 7/16</t>
        </is>
      </c>
    </row>
    <row r="376">
      <c r="A376" s="425" t="inlineStr">
        <is>
          <t>Harpoon VC</t>
        </is>
      </c>
      <c r="B376" s="425" t="inlineStr">
        <is>
          <t>Financial Investor</t>
        </is>
      </c>
      <c r="C376" s="425" t="inlineStr">
        <is>
          <t>Contacted</t>
        </is>
      </c>
      <c r="D376" s="425" t="inlineStr">
        <is>
          <t>Tier 2</t>
        </is>
      </c>
      <c r="E376" s="425" t="n">
        <v>5</v>
      </c>
      <c r="F376" s="425" t="inlineStr">
        <is>
          <t>Andrew Couillard; Jacob Windle; Larsen Jensen; Nathan Parker; Steven Potter</t>
        </is>
      </c>
      <c r="G376" s="425" t="inlineStr">
        <is>
          <t>andrew@harpoon.vc; jake@harpoon.vc; larsen@harpoon.vc; nathan@harpoon.vc; stevenjpotter@mac.com</t>
        </is>
      </c>
      <c r="H376" s="441" t="n">
        <v>46074</v>
      </c>
      <c r="I376" s="441">
        <f>IF(OR(C376="Passed",H376="",ISBLANK(H376)),"",H376+3)</f>
        <v/>
      </c>
      <c r="J376" s="425">
        <f>IF(I376="","",IF(I376&lt;=TODAY(),"DUE",IF(I376&lt;=TODAY()+3,"Next 3 Days","Later")))</f>
        <v/>
      </c>
      <c r="K376" s="425" t="inlineStr">
        <is>
          <t>https://www.linkedin.com/in/andrew-couillard/ | https://www.linkedin.com/in/jacob-windle-2196b3109</t>
        </is>
      </c>
      <c r="L376" s="425" t="inlineStr"/>
      <c r="M376" s="425" t="inlineStr"/>
    </row>
    <row r="377">
      <c r="A377" s="425" t="inlineStr">
        <is>
          <t>HyImpulse</t>
        </is>
      </c>
      <c r="B377" s="425" t="inlineStr">
        <is>
          <t>Strategic / Corporate</t>
        </is>
      </c>
      <c r="C377" s="425" t="inlineStr">
        <is>
          <t>Contacted</t>
        </is>
      </c>
      <c r="D377" s="425" t="inlineStr">
        <is>
          <t>Tier 2</t>
        </is>
      </c>
      <c r="E377" s="425" t="n">
        <v>9</v>
      </c>
      <c r="F377" s="425" t="inlineStr">
        <is>
          <t>Altynay Graham; Andrea De Pace; Aurimas Jankauskas; Ilnur Farizanov; Issabella Verri</t>
        </is>
      </c>
      <c r="G377" s="425" t="inlineStr">
        <is>
          <t>demeubayeva@hyimpulse.de; depace@hyimpulse.de; jankauskas@hyimpulse.de; farizanov@hyimpulse.de; verri@hyimpulse.de</t>
        </is>
      </c>
      <c r="H377" s="441" t="n">
        <v>45950</v>
      </c>
      <c r="I377" s="441">
        <f>IF(OR(C377="Passed",H377="",ISBLANK(H377)),"",H377+3)</f>
        <v/>
      </c>
      <c r="J377" s="425">
        <f>IF(I377="","",IF(I377&lt;=TODAY(),"DUE",IF(I377&lt;=TODAY()+3,"Next 3 Days","Later")))</f>
        <v/>
      </c>
      <c r="K377" s="425" t="inlineStr"/>
      <c r="L377" s="425" t="inlineStr"/>
      <c r="M377" s="425" t="inlineStr"/>
    </row>
    <row r="378">
      <c r="A378" s="425" t="inlineStr">
        <is>
          <t>Impulse Space</t>
        </is>
      </c>
      <c r="B378" s="425" t="inlineStr">
        <is>
          <t>Strategic / Corporate</t>
        </is>
      </c>
      <c r="C378" s="425" t="inlineStr">
        <is>
          <t>Contacted</t>
        </is>
      </c>
      <c r="D378" s="425" t="inlineStr">
        <is>
          <t>Tier 2</t>
        </is>
      </c>
      <c r="E378" s="425" t="n">
        <v>1</v>
      </c>
      <c r="F378" s="425" t="inlineStr">
        <is>
          <t>Thomas Mueller</t>
        </is>
      </c>
      <c r="G378" s="425" t="inlineStr">
        <is>
          <t>tom@impulsespace.com</t>
        </is>
      </c>
      <c r="H378" s="441" t="n">
        <v>45908</v>
      </c>
      <c r="I378" s="441">
        <f>IF(OR(C378="Passed",H378="",ISBLANK(H378)),"",H378+3)</f>
        <v/>
      </c>
      <c r="J378" s="425">
        <f>IF(I378="","",IF(I378&lt;=TODAY(),"DUE",IF(I378&lt;=TODAY()+3,"Next 3 Days","Later")))</f>
        <v/>
      </c>
      <c r="K378" s="425" t="inlineStr"/>
      <c r="L378" s="425" t="inlineStr"/>
      <c r="M378" s="425" t="inlineStr"/>
    </row>
    <row r="379">
      <c r="A379" s="425" t="inlineStr">
        <is>
          <t>Initialized Capital</t>
        </is>
      </c>
      <c r="B379" s="425" t="inlineStr">
        <is>
          <t>Financial Investor</t>
        </is>
      </c>
      <c r="C379" s="425" t="inlineStr">
        <is>
          <t>Contacted</t>
        </is>
      </c>
      <c r="D379" s="425" t="inlineStr">
        <is>
          <t>Tier 2</t>
        </is>
      </c>
      <c r="E379" s="425" t="n">
        <v>4</v>
      </c>
      <c r="F379" s="425" t="inlineStr">
        <is>
          <t>Abdul Ly; Andrew Sather; Brett Gibson; Livingston Miller</t>
        </is>
      </c>
      <c r="G379" s="425" t="inlineStr">
        <is>
          <t>abdul@initialized.com; andrew@initialized.com; brett@initialized.com; livingston@initialized.com</t>
        </is>
      </c>
      <c r="H379" s="441" t="n">
        <v>46074</v>
      </c>
      <c r="I379" s="441">
        <f>IF(OR(C379="Passed",H379="",ISBLANK(H379)),"",H379+3)</f>
        <v/>
      </c>
      <c r="J379" s="425">
        <f>IF(I379="","",IF(I379&lt;=TODAY(),"DUE",IF(I379&lt;=TODAY()+3,"Next 3 Days","Later")))</f>
        <v/>
      </c>
      <c r="K379" s="425" t="inlineStr">
        <is>
          <t>https://www.linkedin.com/in/abdully | https://www.linkedin.com/in/andrewsather</t>
        </is>
      </c>
      <c r="L379" s="425" t="inlineStr"/>
      <c r="M379" s="425" t="inlineStr"/>
    </row>
    <row r="380">
      <c r="A380" s="425" t="inlineStr">
        <is>
          <t>J4 Ventures</t>
        </is>
      </c>
      <c r="B380" s="425" t="inlineStr">
        <is>
          <t>Financial Investor</t>
        </is>
      </c>
      <c r="C380" s="425" t="inlineStr">
        <is>
          <t>Contacted</t>
        </is>
      </c>
      <c r="D380" s="425" t="inlineStr">
        <is>
          <t>Tier 2</t>
        </is>
      </c>
      <c r="E380" s="425" t="n">
        <v>4</v>
      </c>
      <c r="F380" s="425" t="inlineStr">
        <is>
          <t>Bruce Jaffe; Erik Johnson; Jamie Rapperport; John Mitchell</t>
        </is>
      </c>
      <c r="G380" s="425" t="inlineStr">
        <is>
          <t>bruce@j4.ventures; erik@j4.ventures; jamie@j4.ventures; john@j4.ventures</t>
        </is>
      </c>
      <c r="H380" s="441" t="n">
        <v>45848</v>
      </c>
      <c r="I380" s="441">
        <f>IF(OR(C380="Passed",H380="",ISBLANK(H380)),"",H380+3)</f>
        <v/>
      </c>
      <c r="J380" s="425">
        <f>IF(I380="","",IF(I380&lt;=TODAY(),"DUE",IF(I380&lt;=TODAY()+3,"Next 3 Days","Later")))</f>
        <v/>
      </c>
      <c r="K380" s="425" t="inlineStr">
        <is>
          <t>https://www.linkedin.com/in/brucejaffe/ | https://www.linkedin.com/in/erik-johnson-192630/</t>
        </is>
      </c>
      <c r="L380" s="425" t="inlineStr"/>
      <c r="M380" s="425" t="inlineStr">
        <is>
          <t>outside scope</t>
        </is>
      </c>
    </row>
    <row r="381">
      <c r="A381" s="425" t="inlineStr">
        <is>
          <t>Karman Ventures</t>
        </is>
      </c>
      <c r="B381" s="425" t="inlineStr">
        <is>
          <t>Financial Investor</t>
        </is>
      </c>
      <c r="C381" s="425" t="inlineStr">
        <is>
          <t>Contacted</t>
        </is>
      </c>
      <c r="D381" s="425" t="inlineStr">
        <is>
          <t>Tier 2</t>
        </is>
      </c>
      <c r="E381" s="425" t="n">
        <v>3</v>
      </c>
      <c r="F381" s="425" t="inlineStr">
        <is>
          <t>Amr Al-Shihabi; Dave Clark; William Barnes</t>
        </is>
      </c>
      <c r="G381" s="425" t="inlineStr">
        <is>
          <t>amr@movingcapital.com; dave@karman.vc; william@movingcapital.com</t>
        </is>
      </c>
      <c r="H381" s="441" t="n">
        <v>46074</v>
      </c>
      <c r="I381" s="441">
        <f>IF(OR(C381="Passed",H381="",ISBLANK(H381)),"",H381+3)</f>
        <v/>
      </c>
      <c r="J381" s="425">
        <f>IF(I381="","",IF(I381&lt;=TODAY(),"DUE",IF(I381&lt;=TODAY()+3,"Next 3 Days","Later")))</f>
        <v/>
      </c>
      <c r="K381" s="425" t="inlineStr">
        <is>
          <t>https://www.linkedin.com/in/amr-alshihabi | https://www.linkedin.com/in/davidacclark</t>
        </is>
      </c>
      <c r="L381" s="425" t="inlineStr"/>
      <c r="M381" s="425" t="inlineStr"/>
    </row>
    <row r="382">
      <c r="A382" s="425" t="inlineStr">
        <is>
          <t>MU Ventures</t>
        </is>
      </c>
      <c r="B382" s="425" t="inlineStr">
        <is>
          <t>Financial Investor</t>
        </is>
      </c>
      <c r="C382" s="425" t="inlineStr">
        <is>
          <t>Contacted</t>
        </is>
      </c>
      <c r="D382" s="425" t="inlineStr">
        <is>
          <t>Tier 2</t>
        </is>
      </c>
      <c r="E382" s="425" t="n">
        <v>1</v>
      </c>
      <c r="F382" s="425" t="inlineStr">
        <is>
          <t>Gary Benerofe</t>
        </is>
      </c>
      <c r="G382" s="425" t="inlineStr">
        <is>
          <t>gary@muventures.com</t>
        </is>
      </c>
      <c r="H382" s="441" t="n">
        <v>45821</v>
      </c>
      <c r="I382" s="441">
        <f>IF(OR(C382="Passed",H382="",ISBLANK(H382)),"",H382+3)</f>
        <v/>
      </c>
      <c r="J382" s="425">
        <f>IF(I382="","",IF(I382&lt;=TODAY(),"DUE",IF(I382&lt;=TODAY()+3,"Next 3 Days","Later")))</f>
        <v/>
      </c>
      <c r="K382" s="425" t="inlineStr">
        <is>
          <t>https://www.linkedin.com/in/gary-benerofe/</t>
        </is>
      </c>
      <c r="L382" s="425" t="inlineStr"/>
      <c r="M382" s="425" t="inlineStr">
        <is>
          <t>not a fit | online application: https://airtable.com/app7oFpuEBhSQDqVs/pagZDGTU1EMibc45y/form</t>
        </is>
      </c>
    </row>
    <row r="383">
      <c r="A383" s="425" t="inlineStr">
        <is>
          <t>Mana Ventures</t>
        </is>
      </c>
      <c r="B383" s="425" t="inlineStr">
        <is>
          <t>Financial Investor</t>
        </is>
      </c>
      <c r="C383" s="425" t="inlineStr">
        <is>
          <t>Contacted</t>
        </is>
      </c>
      <c r="D383" s="425" t="inlineStr">
        <is>
          <t>Tier 2</t>
        </is>
      </c>
      <c r="E383" s="425" t="n">
        <v>3</v>
      </c>
      <c r="F383" s="425" t="inlineStr">
        <is>
          <t>David Karol; Morgan Schwanke; Thomas Fu</t>
        </is>
      </c>
      <c r="G383" s="425" t="inlineStr">
        <is>
          <t>david@manaventures.vc; thomasfu0126@gmail.com</t>
        </is>
      </c>
      <c r="H383" s="441" t="n">
        <v>46079</v>
      </c>
      <c r="I383" s="441">
        <f>IF(OR(C383="Passed",H383="",ISBLANK(H383)),"",H383+3)</f>
        <v/>
      </c>
      <c r="J383" s="425">
        <f>IF(I383="","",IF(I383&lt;=TODAY(),"DUE",IF(I383&lt;=TODAY()+3,"Next 3 Days","Later")))</f>
        <v/>
      </c>
      <c r="K383" s="425" t="inlineStr">
        <is>
          <t>https://www.linkedin.com/in/david-karol/ | https://www.linkedin.com/in/thomas-f-77486b58</t>
        </is>
      </c>
      <c r="L383" s="425" t="inlineStr"/>
      <c r="M383" s="425" t="inlineStr"/>
    </row>
    <row r="384">
      <c r="A384" s="425" t="inlineStr">
        <is>
          <t>Managing Partner at SENCO Hydrogen Capital</t>
        </is>
      </c>
      <c r="B384" s="425" t="inlineStr">
        <is>
          <t>Financial Investor</t>
        </is>
      </c>
      <c r="C384" s="425" t="inlineStr">
        <is>
          <t>Contacted</t>
        </is>
      </c>
      <c r="D384" s="425" t="inlineStr">
        <is>
          <t>Tier 2</t>
        </is>
      </c>
      <c r="E384" s="425" t="n">
        <v>1</v>
      </c>
      <c r="F384" s="425" t="inlineStr">
        <is>
          <t>Oliver Kolbe</t>
        </is>
      </c>
      <c r="G384" s="425" t="inlineStr">
        <is>
          <t>kolbe@senco-capital.com</t>
        </is>
      </c>
      <c r="H384" s="441" t="n">
        <v>45974</v>
      </c>
      <c r="I384" s="441">
        <f>IF(OR(C384="Passed",H384="",ISBLANK(H384)),"",H384+3)</f>
        <v/>
      </c>
      <c r="J384" s="425">
        <f>IF(I384="","",IF(I384&lt;=TODAY(),"DUE",IF(I384&lt;=TODAY()+3,"Next 3 Days","Later")))</f>
        <v/>
      </c>
      <c r="K384" s="425" t="inlineStr">
        <is>
          <t>linkedin.com/in/oliver-kolbe-23932b1</t>
        </is>
      </c>
      <c r="L384" s="425" t="inlineStr"/>
      <c r="M384" s="425" t="inlineStr"/>
    </row>
    <row r="385">
      <c r="A385" s="425" t="inlineStr">
        <is>
          <t>Motivate Ventures</t>
        </is>
      </c>
      <c r="B385" s="425" t="inlineStr">
        <is>
          <t>Financial Investor</t>
        </is>
      </c>
      <c r="C385" s="425" t="inlineStr">
        <is>
          <t>Contacted</t>
        </is>
      </c>
      <c r="D385" s="425" t="inlineStr">
        <is>
          <t>Tier 2</t>
        </is>
      </c>
      <c r="E385" s="425" t="n">
        <v>1</v>
      </c>
      <c r="F385" s="425" t="inlineStr">
        <is>
          <t>Jackson Bubala</t>
        </is>
      </c>
      <c r="G385" s="425" t="inlineStr">
        <is>
          <t>jackson@motivate.vc</t>
        </is>
      </c>
      <c r="H385" s="441" t="n">
        <v>45903</v>
      </c>
      <c r="I385" s="441">
        <f>IF(OR(C385="Passed",H385="",ISBLANK(H385)),"",H385+3)</f>
        <v/>
      </c>
      <c r="J385" s="425">
        <f>IF(I385="","",IF(I385&lt;=TODAY(),"DUE",IF(I385&lt;=TODAY()+3,"Next 3 Days","Later")))</f>
        <v/>
      </c>
      <c r="K385" s="425" t="inlineStr">
        <is>
          <t>https://www.linkedin.com/in/jackson-bubala/</t>
        </is>
      </c>
      <c r="L385" s="425" t="inlineStr"/>
      <c r="M385" s="425" t="inlineStr"/>
    </row>
    <row r="386">
      <c r="A386" s="425" t="inlineStr">
        <is>
          <t>New Founding</t>
        </is>
      </c>
      <c r="B386" s="425" t="inlineStr">
        <is>
          <t>Financial Investor</t>
        </is>
      </c>
      <c r="C386" s="425" t="inlineStr">
        <is>
          <t>Contacted</t>
        </is>
      </c>
      <c r="D386" s="425" t="inlineStr">
        <is>
          <t>Tier 2</t>
        </is>
      </c>
      <c r="E386" s="425" t="n">
        <v>1</v>
      </c>
      <c r="F386" s="425" t="inlineStr">
        <is>
          <t>Nate Fischer</t>
        </is>
      </c>
      <c r="G386" s="425" t="inlineStr">
        <is>
          <t>nfischer@newfounding.com</t>
        </is>
      </c>
      <c r="H386" s="441" t="n">
        <v>46077</v>
      </c>
      <c r="I386" s="441">
        <f>IF(OR(C386="Passed",H386="",ISBLANK(H386)),"",H386+3)</f>
        <v/>
      </c>
      <c r="J386" s="425">
        <f>IF(I386="","",IF(I386&lt;=TODAY(),"DUE",IF(I386&lt;=TODAY()+3,"Next 3 Days","Later")))</f>
        <v/>
      </c>
      <c r="K386" s="425" t="inlineStr">
        <is>
          <t>Aaron Era Group Intro</t>
        </is>
      </c>
      <c r="L386" s="425" t="inlineStr"/>
      <c r="M386" s="425" t="inlineStr"/>
    </row>
    <row r="387">
      <c r="A387" s="425" t="inlineStr">
        <is>
          <t>New Private Equity</t>
        </is>
      </c>
      <c r="B387" s="425" t="inlineStr">
        <is>
          <t>Financial Investor</t>
        </is>
      </c>
      <c r="C387" s="425" t="inlineStr">
        <is>
          <t>Contacted</t>
        </is>
      </c>
      <c r="D387" s="425" t="inlineStr">
        <is>
          <t>Tier 2</t>
        </is>
      </c>
      <c r="E387" s="425" t="n">
        <v>1</v>
      </c>
      <c r="F387" s="425" t="inlineStr">
        <is>
          <t>the team</t>
        </is>
      </c>
      <c r="G387" s="425" t="inlineStr">
        <is>
          <t>info@newprivateequity.com</t>
        </is>
      </c>
      <c r="H387" s="441" t="n">
        <v>45832</v>
      </c>
      <c r="I387" s="441">
        <f>IF(OR(C387="Passed",H387="",ISBLANK(H387)),"",H387+3)</f>
        <v/>
      </c>
      <c r="J387" s="425">
        <f>IF(I387="","",IF(I387&lt;=TODAY(),"DUE",IF(I387&lt;=TODAY()+3,"Next 3 Days","Later")))</f>
        <v/>
      </c>
      <c r="K387" s="425" t="inlineStr"/>
      <c r="L387" s="425" t="inlineStr"/>
      <c r="M387" s="425" t="inlineStr">
        <is>
          <t>sent one pager on 6/24</t>
        </is>
      </c>
    </row>
    <row r="388">
      <c r="A388" s="425" t="inlineStr">
        <is>
          <t>Next Coast Ventures</t>
        </is>
      </c>
      <c r="B388" s="425" t="inlineStr">
        <is>
          <t>Financial Investor</t>
        </is>
      </c>
      <c r="C388" s="425" t="inlineStr">
        <is>
          <t>Contacted</t>
        </is>
      </c>
      <c r="D388" s="425" t="inlineStr">
        <is>
          <t>Tier 2</t>
        </is>
      </c>
      <c r="E388" s="425" t="n">
        <v>6</v>
      </c>
      <c r="F388" s="425" t="inlineStr">
        <is>
          <t>Adam Rogers; Dustin Sellers; Kaitlyn DeBernardo; Michael Smerklo; Michael Tian</t>
        </is>
      </c>
      <c r="G388" s="425" t="inlineStr">
        <is>
          <t>arogers@nextcoastventures.com; dsellers@nextcoastventures.com; kdebernardo@nextcoastventures.com; msmerklo@nextcoastventures.com; mtian@nextcoastventures.com</t>
        </is>
      </c>
      <c r="H388" s="441" t="n">
        <v>46073</v>
      </c>
      <c r="I388" s="441">
        <f>IF(OR(C388="Passed",H388="",ISBLANK(H388)),"",H388+3)</f>
        <v/>
      </c>
      <c r="J388" s="425">
        <f>IF(I388="","",IF(I388&lt;=TODAY(),"DUE",IF(I388&lt;=TODAY()+3,"Next 3 Days","Later")))</f>
        <v/>
      </c>
      <c r="K388" s="425" t="inlineStr">
        <is>
          <t>https://www.linkedin.com/in/adammrogers | https://www.linkedin.com/in/dustin-sellers-6b9229/</t>
        </is>
      </c>
      <c r="L388" s="425" t="inlineStr"/>
      <c r="M388" s="425" t="inlineStr"/>
    </row>
    <row r="389">
      <c r="A389" s="425" t="inlineStr">
        <is>
          <t>Nif Fund</t>
        </is>
      </c>
      <c r="B389" s="425" t="inlineStr">
        <is>
          <t>Financial Investor</t>
        </is>
      </c>
      <c r="C389" s="425" t="inlineStr">
        <is>
          <t>Contacted</t>
        </is>
      </c>
      <c r="D389" s="425" t="inlineStr">
        <is>
          <t>Tier 2</t>
        </is>
      </c>
      <c r="E389" s="425" t="n">
        <v>1</v>
      </c>
      <c r="F389" s="425" t="inlineStr">
        <is>
          <t>Ben Balmforth</t>
        </is>
      </c>
      <c r="G389" s="425" t="inlineStr">
        <is>
          <t>ben.balmforth@nif.fund</t>
        </is>
      </c>
      <c r="H389" s="441" t="n">
        <v>45851</v>
      </c>
      <c r="I389" s="441">
        <f>IF(OR(C389="Passed",H389="",ISBLANK(H389)),"",H389+3)</f>
        <v/>
      </c>
      <c r="J389" s="425">
        <f>IF(I389="","",IF(I389&lt;=TODAY(),"DUE",IF(I389&lt;=TODAY()+3,"Next 3 Days","Later")))</f>
        <v/>
      </c>
      <c r="K389" s="425" t="inlineStr"/>
      <c r="L389" s="425" t="inlineStr"/>
      <c r="M389" s="425" t="inlineStr"/>
    </row>
    <row r="390">
      <c r="A390" s="425" t="inlineStr">
        <is>
          <t>OSC</t>
        </is>
      </c>
      <c r="B390" s="425" t="inlineStr">
        <is>
          <t>Financial Investor</t>
        </is>
      </c>
      <c r="C390" s="425" t="inlineStr">
        <is>
          <t>Contacted</t>
        </is>
      </c>
      <c r="D390" s="425" t="inlineStr">
        <is>
          <t>Tier 2</t>
        </is>
      </c>
      <c r="E390" s="425" t="n">
        <v>1</v>
      </c>
      <c r="F390" s="425" t="inlineStr">
        <is>
          <t>OSC Team</t>
        </is>
      </c>
      <c r="G390" s="425" t="inlineStr">
        <is>
          <t>osc.loan.application@osc.mil</t>
        </is>
      </c>
      <c r="H390" s="441" t="n">
        <v>45922</v>
      </c>
      <c r="I390" s="441">
        <f>IF(OR(C390="Passed",H390="",ISBLANK(H390)),"",H390+3)</f>
        <v/>
      </c>
      <c r="J390" s="425">
        <f>IF(I390="","",IF(I390&lt;=TODAY(),"DUE",IF(I390&lt;=TODAY()+3,"Next 3 Days","Later")))</f>
        <v/>
      </c>
      <c r="K390" s="425" t="inlineStr"/>
      <c r="L390" s="425" t="inlineStr"/>
      <c r="M390" s="425" t="inlineStr"/>
    </row>
    <row r="391">
      <c r="A391" s="425" t="inlineStr">
        <is>
          <t>Plum Alley Ventures</t>
        </is>
      </c>
      <c r="B391" s="425" t="inlineStr">
        <is>
          <t>Financial Investor</t>
        </is>
      </c>
      <c r="C391" s="425" t="inlineStr">
        <is>
          <t>Contacted</t>
        </is>
      </c>
      <c r="D391" s="425" t="inlineStr">
        <is>
          <t>Tier 2</t>
        </is>
      </c>
      <c r="E391" s="425" t="n">
        <v>1</v>
      </c>
      <c r="F391" s="425" t="inlineStr">
        <is>
          <t>the team</t>
        </is>
      </c>
      <c r="G391" s="425" t="inlineStr"/>
      <c r="H391" s="441" t="n">
        <v>45929</v>
      </c>
      <c r="I391" s="441">
        <f>IF(OR(C391="Passed",H391="",ISBLANK(H391)),"",H391+3)</f>
        <v/>
      </c>
      <c r="J391" s="425">
        <f>IF(I391="","",IF(I391&lt;=TODAY(),"DUE",IF(I391&lt;=TODAY()+3,"Next 3 Days","Later")))</f>
        <v/>
      </c>
      <c r="K391" s="425" t="inlineStr"/>
      <c r="L391" s="425" t="inlineStr"/>
      <c r="M391" s="425" t="inlineStr"/>
    </row>
    <row r="392">
      <c r="A392" s="425" t="inlineStr">
        <is>
          <t>President &amp; CEO Calca</t>
        </is>
      </c>
      <c r="B392" s="425" t="inlineStr">
        <is>
          <t>Strategic / Corporate</t>
        </is>
      </c>
      <c r="C392" s="425" t="inlineStr">
        <is>
          <t>Contacted</t>
        </is>
      </c>
      <c r="D392" s="425" t="inlineStr">
        <is>
          <t>Tier 2</t>
        </is>
      </c>
      <c r="E392" s="425" t="n">
        <v>1</v>
      </c>
      <c r="F392" s="425" t="inlineStr">
        <is>
          <t>Shane Jenkins</t>
        </is>
      </c>
      <c r="G392" s="425" t="inlineStr">
        <is>
          <t>shane.jenkins@calcasolutions.com</t>
        </is>
      </c>
      <c r="H392" s="441" t="n">
        <v>45951</v>
      </c>
      <c r="I392" s="441">
        <f>IF(OR(C392="Passed",H392="",ISBLANK(H392)),"",H392+3)</f>
        <v/>
      </c>
      <c r="J392" s="425">
        <f>IF(I392="","",IF(I392&lt;=TODAY(),"DUE",IF(I392&lt;=TODAY()+3,"Next 3 Days","Later")))</f>
        <v/>
      </c>
      <c r="K392" s="425" t="inlineStr"/>
      <c r="L392" s="425" t="inlineStr"/>
      <c r="M392" s="425" t="inlineStr"/>
    </row>
    <row r="393">
      <c r="A393" s="425" t="inlineStr">
        <is>
          <t>Rebel Fund</t>
        </is>
      </c>
      <c r="B393" s="425" t="inlineStr">
        <is>
          <t>Financial Investor</t>
        </is>
      </c>
      <c r="C393" s="425" t="inlineStr">
        <is>
          <t>Contacted</t>
        </is>
      </c>
      <c r="D393" s="425" t="inlineStr">
        <is>
          <t>Tier 2</t>
        </is>
      </c>
      <c r="E393" s="425" t="n">
        <v>3</v>
      </c>
      <c r="F393" s="425" t="inlineStr">
        <is>
          <t>Jared Heyman; Jonathan Hirsch; Matt Quinn</t>
        </is>
      </c>
      <c r="G393" s="425" t="inlineStr">
        <is>
          <t>jehirsch@gmail.com; caquinn5@yahoo.com</t>
        </is>
      </c>
      <c r="H393" s="441" t="n">
        <v>46074</v>
      </c>
      <c r="I393" s="441">
        <f>IF(OR(C393="Passed",H393="",ISBLANK(H393)),"",H393+3)</f>
        <v/>
      </c>
      <c r="J393" s="425">
        <f>IF(I393="","",IF(I393&lt;=TODAY(),"DUE",IF(I393&lt;=TODAY()+3,"Next 3 Days","Later")))</f>
        <v/>
      </c>
      <c r="K393" s="425" t="inlineStr">
        <is>
          <t>https://www.linkedin.com/in/jaredheyman/ | https://www.linkedin.com/in/jehirsch</t>
        </is>
      </c>
      <c r="L393" s="425" t="inlineStr"/>
      <c r="M393" s="425" t="inlineStr"/>
    </row>
    <row r="394">
      <c r="A394" s="425" t="inlineStr">
        <is>
          <t>Reditus Space</t>
        </is>
      </c>
      <c r="B394" s="425" t="inlineStr">
        <is>
          <t>Financial Investor</t>
        </is>
      </c>
      <c r="C394" s="425" t="inlineStr">
        <is>
          <t>Contacted</t>
        </is>
      </c>
      <c r="D394" s="425" t="inlineStr">
        <is>
          <t>Tier 2</t>
        </is>
      </c>
      <c r="E394" s="425" t="n">
        <v>3</v>
      </c>
      <c r="F394" s="425" t="inlineStr">
        <is>
          <t>Mark Ortega; Stef Crum; Will Sherman</t>
        </is>
      </c>
      <c r="G394" s="425" t="inlineStr">
        <is>
          <t>mark.ortega@reditus.space; stef.crum@reditus.space; will.sherman@reditus.space</t>
        </is>
      </c>
      <c r="H394" s="441" t="n">
        <v>46030</v>
      </c>
      <c r="I394" s="441">
        <f>IF(OR(C394="Passed",H394="",ISBLANK(H394)),"",H394+3)</f>
        <v/>
      </c>
      <c r="J394" s="425">
        <f>IF(I394="","",IF(I394&lt;=TODAY(),"DUE",IF(I394&lt;=TODAY()+3,"Next 3 Days","Later")))</f>
        <v/>
      </c>
      <c r="K394" s="425" t="inlineStr">
        <is>
          <t>https://www.linkedin.com/in/markortega1/ | https://www.linkedin.com/in/spcrum</t>
        </is>
      </c>
      <c r="L394" s="425" t="inlineStr"/>
      <c r="M394" s="425" t="inlineStr">
        <is>
          <t>02/26/2026</t>
        </is>
      </c>
    </row>
    <row r="395">
      <c r="A395" s="425" t="inlineStr">
        <is>
          <t>Redwire</t>
        </is>
      </c>
      <c r="B395" s="425" t="inlineStr">
        <is>
          <t>Strategic / Corporate</t>
        </is>
      </c>
      <c r="C395" s="425" t="inlineStr">
        <is>
          <t>Contacted</t>
        </is>
      </c>
      <c r="D395" s="425" t="inlineStr">
        <is>
          <t>Tier 2</t>
        </is>
      </c>
      <c r="E395" s="425" t="n">
        <v>4</v>
      </c>
      <c r="F395" s="425" t="inlineStr">
        <is>
          <t>Al Tadros; Alex Chayres; Jonathan Baliff; Mike Winters</t>
        </is>
      </c>
      <c r="G395" s="425" t="inlineStr">
        <is>
          <t>al.tadros@redwirespace.com; alex.chayres@redwirespace.com; jonathan.baliff@redwirespace.com; mike.winters@redwirespace.com</t>
        </is>
      </c>
      <c r="H395" s="441" t="n">
        <v>45950</v>
      </c>
      <c r="I395" s="441">
        <f>IF(OR(C395="Passed",H395="",ISBLANK(H395)),"",H395+3)</f>
        <v/>
      </c>
      <c r="J395" s="425">
        <f>IF(I395="","",IF(I395&lt;=TODAY(),"DUE",IF(I395&lt;=TODAY()+3,"Next 3 Days","Later")))</f>
        <v/>
      </c>
      <c r="K395" s="425" t="inlineStr"/>
      <c r="L395" s="425" t="inlineStr"/>
      <c r="M395" s="425" t="inlineStr"/>
    </row>
    <row r="396">
      <c r="A396" s="425" t="inlineStr">
        <is>
          <t>SSTL</t>
        </is>
      </c>
      <c r="B396" s="425" t="inlineStr">
        <is>
          <t>Strategic / Corporate</t>
        </is>
      </c>
      <c r="C396" s="425" t="inlineStr">
        <is>
          <t>Contacted</t>
        </is>
      </c>
      <c r="D396" s="425" t="inlineStr">
        <is>
          <t>Tier 2</t>
        </is>
      </c>
      <c r="E396" s="425" t="n">
        <v>8</v>
      </c>
      <c r="F396" s="425" t="inlineStr">
        <is>
          <t>Andrew Cawthorne; Andrew Haslehurst; Benjamin Hooper; Duncan Kerins; Kuo Wong</t>
        </is>
      </c>
      <c r="G396" s="425" t="inlineStr">
        <is>
          <t>a.cawthorne@sstl.co.uk; a.haslehurst@sstl.co.uk; bhooper@sstl.co.uk; d.kerins@sstl.co.uk; k.wong@sstl.co.uk</t>
        </is>
      </c>
      <c r="H396" s="441" t="n">
        <v>45951</v>
      </c>
      <c r="I396" s="441">
        <f>IF(OR(C396="Passed",H396="",ISBLANK(H396)),"",H396+3)</f>
        <v/>
      </c>
      <c r="J396" s="425">
        <f>IF(I396="","",IF(I396&lt;=TODAY(),"DUE",IF(I396&lt;=TODAY()+3,"Next 3 Days","Later")))</f>
        <v/>
      </c>
      <c r="K396" s="425" t="inlineStr"/>
      <c r="L396" s="425" t="inlineStr"/>
      <c r="M396" s="425" t="inlineStr"/>
    </row>
    <row r="397">
      <c r="A397" s="425" t="inlineStr">
        <is>
          <t>Samsung Catalyst Fund</t>
        </is>
      </c>
      <c r="B397" s="425" t="inlineStr">
        <is>
          <t>Financial Investor</t>
        </is>
      </c>
      <c r="C397" s="425" t="inlineStr">
        <is>
          <t>Contacted</t>
        </is>
      </c>
      <c r="D397" s="425" t="inlineStr">
        <is>
          <t>Tier 2</t>
        </is>
      </c>
      <c r="E397" s="425" t="n">
        <v>1</v>
      </c>
      <c r="F397" s="425" t="inlineStr">
        <is>
          <t>Ray Schuder</t>
        </is>
      </c>
      <c r="G397" s="425" t="inlineStr">
        <is>
          <t>ray.schuder@harman.com</t>
        </is>
      </c>
      <c r="H397" s="441" t="n">
        <v>45994</v>
      </c>
      <c r="I397" s="441">
        <f>IF(OR(C397="Passed",H397="",ISBLANK(H397)),"",H397+3)</f>
        <v/>
      </c>
      <c r="J397" s="425">
        <f>IF(I397="","",IF(I397&lt;=TODAY(),"DUE",IF(I397&lt;=TODAY()+3,"Next 3 Days","Later")))</f>
        <v/>
      </c>
      <c r="K397" s="425" t="inlineStr">
        <is>
          <t>linkedin.com/in/ray-schuder</t>
        </is>
      </c>
      <c r="L397" s="425" t="inlineStr"/>
      <c r="M397" s="425" t="inlineStr"/>
    </row>
    <row r="398">
      <c r="A398" s="425" t="inlineStr">
        <is>
          <t>Sequoia Capital</t>
        </is>
      </c>
      <c r="B398" s="425" t="inlineStr">
        <is>
          <t>Financial Investor</t>
        </is>
      </c>
      <c r="C398" s="425" t="inlineStr">
        <is>
          <t>Contacted</t>
        </is>
      </c>
      <c r="D398" s="425" t="inlineStr">
        <is>
          <t>Tier 2</t>
        </is>
      </c>
      <c r="E398" s="425" t="n">
        <v>6</v>
      </c>
      <c r="F398" s="425" t="inlineStr">
        <is>
          <t>Douglas Leone; Jess Lee; Jim Goetz; Konstantine Buhler; Roelof Botha</t>
        </is>
      </c>
      <c r="G398" s="425" t="inlineStr">
        <is>
          <t>leone@sequoiacap.com; jess@sequoiacap.com; goetz@sequoiacap.com; konstantine@sequoiacap.com; botha@sequoiacap.com</t>
        </is>
      </c>
      <c r="H398" s="441" t="n">
        <v>45790</v>
      </c>
      <c r="I398" s="441">
        <f>IF(OR(C398="Passed",H398="",ISBLANK(H398)),"",H398+3)</f>
        <v/>
      </c>
      <c r="J398" s="425">
        <f>IF(I398="","",IF(I398&lt;=TODAY(),"DUE",IF(I398&lt;=TODAY()+3,"Next 3 Days","Later")))</f>
        <v/>
      </c>
      <c r="K398" s="425" t="inlineStr">
        <is>
          <t>https://www.linkedin.com/in/douglas-leone-a2714/ | https://www.linkedin.com/in/jesskah/</t>
        </is>
      </c>
      <c r="L398" s="425" t="inlineStr"/>
      <c r="M398" s="425" t="inlineStr">
        <is>
          <t>says he is working on other things right now</t>
        </is>
      </c>
    </row>
    <row r="399">
      <c r="A399" s="425" t="inlineStr">
        <is>
          <t>Seraphim VC</t>
        </is>
      </c>
      <c r="B399" s="425" t="inlineStr">
        <is>
          <t>Financial Investor</t>
        </is>
      </c>
      <c r="C399" s="425" t="inlineStr">
        <is>
          <t>Contacted</t>
        </is>
      </c>
      <c r="D399" s="425" t="inlineStr">
        <is>
          <t>Tier 2</t>
        </is>
      </c>
      <c r="E399" s="425" t="n">
        <v>4</v>
      </c>
      <c r="F399" s="425" t="inlineStr">
        <is>
          <t>Andre Ronsoehr; James Bruegger; Rob Desborough; Mark Boggett</t>
        </is>
      </c>
      <c r="G399" s="425" t="inlineStr">
        <is>
          <t>andre@seraphim.vc; james@seraphim.vc; rob@seraphim.vc; mark@seraphim.vc</t>
        </is>
      </c>
      <c r="H399" s="441" t="n">
        <v>45985</v>
      </c>
      <c r="I399" s="441">
        <f>IF(OR(C399="Passed",H399="",ISBLANK(H399)),"",H399+3)</f>
        <v/>
      </c>
      <c r="J399" s="425">
        <f>IF(I399="","",IF(I399&lt;=TODAY(),"DUE",IF(I399&lt;=TODAY()+3,"Next 3 Days","Later")))</f>
        <v/>
      </c>
      <c r="K399" s="425" t="inlineStr">
        <is>
          <t>https://www.linkedin.com/in/andreronsoehr/ | https://www.linkedin.com/in/james-bruegger-9961633/</t>
        </is>
      </c>
      <c r="L399" s="425" t="inlineStr"/>
      <c r="M399" s="425" t="inlineStr">
        <is>
          <t>sent one pager on 11/6 | passed info to deals team, asked for some time with the holidays to review everything</t>
        </is>
      </c>
    </row>
    <row r="400">
      <c r="A400" s="425" t="inlineStr">
        <is>
          <t>Shield Capital</t>
        </is>
      </c>
      <c r="B400" s="425" t="inlineStr">
        <is>
          <t>Financial Investor</t>
        </is>
      </c>
      <c r="C400" s="425" t="inlineStr">
        <is>
          <t>Contacted</t>
        </is>
      </c>
      <c r="D400" s="425" t="inlineStr">
        <is>
          <t>Tier 2</t>
        </is>
      </c>
      <c r="E400" s="425" t="n">
        <v>4</v>
      </c>
      <c r="F400" s="425" t="inlineStr">
        <is>
          <t>John Serafini; Michael Brown; Philip Bilden; Raj Shah</t>
        </is>
      </c>
      <c r="G400" s="425" t="inlineStr">
        <is>
          <t>jserafini@shieldcap.com; mbrown@shieldcap.com; pbilden@shieldcap.com; rshah@shieldcap.com</t>
        </is>
      </c>
      <c r="H400" s="441" t="n">
        <v>45828</v>
      </c>
      <c r="I400" s="441">
        <f>IF(OR(C400="Passed",H400="",ISBLANK(H400)),"",H400+3)</f>
        <v/>
      </c>
      <c r="J400" s="425">
        <f>IF(I400="","",IF(I400&lt;=TODAY(),"DUE",IF(I400&lt;=TODAY()+3,"Next 3 Days","Later")))</f>
        <v/>
      </c>
      <c r="K400" s="425" t="inlineStr">
        <is>
          <t>https://www.linkedin.com/in/john-serafini-950793a/ | https://www.linkedin.com/in/michaelabrownceo/</t>
        </is>
      </c>
      <c r="L400" s="425" t="inlineStr"/>
      <c r="M400" s="425" t="inlineStr">
        <is>
          <t>online application (easy): https://shieldcap.com/contact | referred to David // David says outside Shield Thesis</t>
        </is>
      </c>
    </row>
    <row r="401">
      <c r="A401" s="425" t="inlineStr">
        <is>
          <t>Silverstein Capital</t>
        </is>
      </c>
      <c r="B401" s="425" t="inlineStr">
        <is>
          <t>Financial Investor</t>
        </is>
      </c>
      <c r="C401" s="425" t="inlineStr">
        <is>
          <t>Contacted</t>
        </is>
      </c>
      <c r="D401" s="425" t="inlineStr">
        <is>
          <t>Tier 2</t>
        </is>
      </c>
      <c r="E401" s="425" t="n">
        <v>1</v>
      </c>
      <c r="F401" s="425" t="inlineStr">
        <is>
          <t>The team</t>
        </is>
      </c>
      <c r="G401" s="425" t="inlineStr">
        <is>
          <t>reception@silvprop.com</t>
        </is>
      </c>
      <c r="H401" s="441" t="n">
        <v>46045</v>
      </c>
      <c r="I401" s="441">
        <f>IF(OR(C401="Passed",H401="",ISBLANK(H401)),"",H401+3)</f>
        <v/>
      </c>
      <c r="J401" s="425">
        <f>IF(I401="","",IF(I401&lt;=TODAY(),"DUE",IF(I401&lt;=TODAY()+3,"Next 3 Days","Later")))</f>
        <v/>
      </c>
      <c r="K401" s="425" t="inlineStr"/>
      <c r="L401" s="425" t="inlineStr"/>
      <c r="M401" s="425" t="inlineStr"/>
    </row>
    <row r="402">
      <c r="A402" s="425" t="inlineStr">
        <is>
          <t>Sky Bridge</t>
        </is>
      </c>
      <c r="B402" s="425" t="inlineStr">
        <is>
          <t>Financial Investor</t>
        </is>
      </c>
      <c r="C402" s="425" t="inlineStr">
        <is>
          <t>Contacted</t>
        </is>
      </c>
      <c r="D402" s="425" t="inlineStr">
        <is>
          <t>Tier 2</t>
        </is>
      </c>
      <c r="E402" s="425" t="n">
        <v>4</v>
      </c>
      <c r="F402" s="425" t="inlineStr">
        <is>
          <t>Anthony Scaramucci; Daniel Barile; John Darsie; Ray Nolte</t>
        </is>
      </c>
      <c r="G402" s="425" t="inlineStr">
        <is>
          <t>ascaramucci@skybridge.com; dbarile@skybridge.com; jdarsie@skybridge.com; rnolte@skybridge.com</t>
        </is>
      </c>
      <c r="H402" s="441" t="n">
        <v>46046</v>
      </c>
      <c r="I402" s="441">
        <f>IF(OR(C402="Passed",H402="",ISBLANK(H402)),"",H402+3)</f>
        <v/>
      </c>
      <c r="J402" s="425">
        <f>IF(I402="","",IF(I402&lt;=TODAY(),"DUE",IF(I402&lt;=TODAY()+3,"Next 3 Days","Later")))</f>
        <v/>
      </c>
      <c r="K402" s="425" t="inlineStr">
        <is>
          <t>https://www.linkedin.com/in/anscaramucci | https://www.linkedin.com/in/daniel-barile/</t>
        </is>
      </c>
      <c r="L402" s="425" t="inlineStr"/>
      <c r="M402" s="425" t="inlineStr"/>
    </row>
    <row r="403">
      <c r="A403" s="425" t="inlineStr">
        <is>
          <t>Space Technology Holdings</t>
        </is>
      </c>
      <c r="B403" s="425" t="inlineStr">
        <is>
          <t>Financial Investor</t>
        </is>
      </c>
      <c r="C403" s="425" t="inlineStr">
        <is>
          <t>Contacted</t>
        </is>
      </c>
      <c r="D403" s="425" t="inlineStr">
        <is>
          <t>Tier 2</t>
        </is>
      </c>
      <c r="E403" s="425" t="n">
        <v>1</v>
      </c>
      <c r="F403" s="425" t="inlineStr">
        <is>
          <t>Richard Godwin</t>
        </is>
      </c>
      <c r="G403" s="425" t="inlineStr">
        <is>
          <t>richard@starbridgevc.com</t>
        </is>
      </c>
      <c r="H403" s="441" t="n">
        <v>45951</v>
      </c>
      <c r="I403" s="441">
        <f>IF(OR(C403="Passed",H403="",ISBLANK(H403)),"",H403+3)</f>
        <v/>
      </c>
      <c r="J403" s="425">
        <f>IF(I403="","",IF(I403&lt;=TODAY(),"DUE",IF(I403&lt;=TODAY()+3,"Next 3 Days","Later")))</f>
        <v/>
      </c>
      <c r="K403" s="425" t="inlineStr"/>
      <c r="L403" s="425" t="inlineStr"/>
      <c r="M403" s="425" t="inlineStr">
        <is>
          <t>12/30/2025</t>
        </is>
      </c>
    </row>
    <row r="404">
      <c r="A404" s="425" t="inlineStr">
        <is>
          <t>Sr Operations Consultant</t>
        </is>
      </c>
      <c r="B404" s="425" t="inlineStr">
        <is>
          <t>Strategic / Corporate</t>
        </is>
      </c>
      <c r="C404" s="425" t="inlineStr">
        <is>
          <t>Contacted</t>
        </is>
      </c>
      <c r="D404" s="425" t="inlineStr">
        <is>
          <t>Tier 2</t>
        </is>
      </c>
      <c r="E404" s="425" t="n">
        <v>1</v>
      </c>
      <c r="F404" s="425" t="inlineStr">
        <is>
          <t>Mark Kern</t>
        </is>
      </c>
      <c r="G404" s="425" t="inlineStr">
        <is>
          <t>mark.kern@calcasolutions.com</t>
        </is>
      </c>
      <c r="H404" s="441" t="n">
        <v>45951</v>
      </c>
      <c r="I404" s="441">
        <f>IF(OR(C404="Passed",H404="",ISBLANK(H404)),"",H404+3)</f>
        <v/>
      </c>
      <c r="J404" s="425">
        <f>IF(I404="","",IF(I404&lt;=TODAY(),"DUE",IF(I404&lt;=TODAY()+3,"Next 3 Days","Later")))</f>
        <v/>
      </c>
      <c r="K404" s="425" t="inlineStr"/>
      <c r="L404" s="425" t="inlineStr"/>
      <c r="M404" s="425" t="inlineStr"/>
    </row>
    <row r="405">
      <c r="A405" s="425" t="inlineStr">
        <is>
          <t>Stifel Financial</t>
        </is>
      </c>
      <c r="B405" s="425" t="inlineStr">
        <is>
          <t>Financial Investor</t>
        </is>
      </c>
      <c r="C405" s="425" t="inlineStr">
        <is>
          <t>Contacted</t>
        </is>
      </c>
      <c r="D405" s="425" t="inlineStr">
        <is>
          <t>Tier 2</t>
        </is>
      </c>
      <c r="E405" s="425" t="n">
        <v>1</v>
      </c>
      <c r="F405" s="425" t="inlineStr">
        <is>
          <t>Mark Morrissette</t>
        </is>
      </c>
      <c r="G405" s="425" t="inlineStr">
        <is>
          <t>mmorrissette@stifel.com</t>
        </is>
      </c>
      <c r="H405" s="441" t="n">
        <v>45814</v>
      </c>
      <c r="I405" s="441">
        <f>IF(OR(C405="Passed",H405="",ISBLANK(H405)),"",H405+3)</f>
        <v/>
      </c>
      <c r="J405" s="425">
        <f>IF(I405="","",IF(I405&lt;=TODAY(),"DUE",IF(I405&lt;=TODAY()+3,"Next 3 Days","Later")))</f>
        <v/>
      </c>
      <c r="K405" s="425" t="inlineStr">
        <is>
          <t>https://www.linkedin.com/in/markmorrissette/</t>
        </is>
      </c>
      <c r="L405" s="425" t="inlineStr"/>
      <c r="M405" s="425" t="inlineStr">
        <is>
          <t>outside of their scope</t>
        </is>
      </c>
    </row>
    <row r="406">
      <c r="A406" s="425" t="inlineStr">
        <is>
          <t>Stride Capital</t>
        </is>
      </c>
      <c r="B406" s="425" t="inlineStr">
        <is>
          <t>Financial Investor</t>
        </is>
      </c>
      <c r="C406" s="425" t="inlineStr">
        <is>
          <t>Contacted</t>
        </is>
      </c>
      <c r="D406" s="425" t="inlineStr">
        <is>
          <t>Tier 2</t>
        </is>
      </c>
      <c r="E406" s="425" t="n">
        <v>2</v>
      </c>
      <c r="F406" s="425" t="inlineStr">
        <is>
          <t>Don Rogers; Jessica Tavarez</t>
        </is>
      </c>
      <c r="G406" s="425" t="inlineStr">
        <is>
          <t>drogers@stridecapital.com; jtavarez@stridecapital.com</t>
        </is>
      </c>
      <c r="H406" s="441" t="n">
        <v>46035</v>
      </c>
      <c r="I406" s="441">
        <f>IF(OR(C406="Passed",H406="",ISBLANK(H406)),"",H406+3)</f>
        <v/>
      </c>
      <c r="J406" s="425">
        <f>IF(I406="","",IF(I406&lt;=TODAY(),"DUE",IF(I406&lt;=TODAY()+3,"Next 3 Days","Later")))</f>
        <v/>
      </c>
      <c r="K406" s="425" t="inlineStr">
        <is>
          <t>linkedin.com/in/don-rogers-2364193a | linkedin.com/in/tavarezj</t>
        </is>
      </c>
      <c r="L406" s="425" t="inlineStr"/>
      <c r="M406" s="425" t="inlineStr"/>
    </row>
    <row r="407">
      <c r="A407" s="425" t="inlineStr">
        <is>
          <t>TVV Capital</t>
        </is>
      </c>
      <c r="B407" s="425" t="inlineStr">
        <is>
          <t>Financial Investor</t>
        </is>
      </c>
      <c r="C407" s="425" t="inlineStr">
        <is>
          <t>Contacted</t>
        </is>
      </c>
      <c r="D407" s="425" t="inlineStr">
        <is>
          <t>Tier 2</t>
        </is>
      </c>
      <c r="E407" s="425" t="n">
        <v>4</v>
      </c>
      <c r="F407" s="425" t="inlineStr">
        <is>
          <t>Andrew Byrd; Jim Cooper; Stone Norton; Troy Geuther</t>
        </is>
      </c>
      <c r="G407" s="425" t="inlineStr">
        <is>
          <t>andrew@tvvcapital.com; jim@tvvcapital.com; stone@tvvcapital.com; troy@tvvcapital.com</t>
        </is>
      </c>
      <c r="H407" s="441" t="n">
        <v>46036</v>
      </c>
      <c r="I407" s="441">
        <f>IF(OR(C407="Passed",H407="",ISBLANK(H407)),"",H407+3)</f>
        <v/>
      </c>
      <c r="J407" s="425">
        <f>IF(I407="","",IF(I407&lt;=TODAY(),"DUE",IF(I407&lt;=TODAY()+3,"Next 3 Days","Later")))</f>
        <v/>
      </c>
      <c r="K407" s="425" t="inlineStr">
        <is>
          <t>linkedin.com/in/andrew-byrd-3a021993 | https://www.linkedin.com/in/jim-cooper-b73b39276/</t>
        </is>
      </c>
      <c r="L407" s="425" t="inlineStr"/>
      <c r="M407" s="425" t="inlineStr"/>
    </row>
    <row r="408">
      <c r="A408" s="425" t="inlineStr">
        <is>
          <t>Team 8</t>
        </is>
      </c>
      <c r="B408" s="425" t="inlineStr">
        <is>
          <t>Financial Investor</t>
        </is>
      </c>
      <c r="C408" s="425" t="inlineStr">
        <is>
          <t>Contacted</t>
        </is>
      </c>
      <c r="D408" s="425" t="inlineStr">
        <is>
          <t>Tier 2</t>
        </is>
      </c>
      <c r="E408" s="425" t="n">
        <v>4</v>
      </c>
      <c r="F408" s="425" t="inlineStr">
        <is>
          <t>Liran Grinberg; Rakefet Russak-Aminoach; Ronen Assia; Yuval Shachar</t>
        </is>
      </c>
      <c r="G408" s="425" t="inlineStr">
        <is>
          <t>liran@team8.vc; rakefet@team8.vc; ronen@team8.vc; yuval@team8.vc</t>
        </is>
      </c>
      <c r="H408" s="441" t="n">
        <v>46045</v>
      </c>
      <c r="I408" s="441">
        <f>IF(OR(C408="Passed",H408="",ISBLANK(H408)),"",H408+3)</f>
        <v/>
      </c>
      <c r="J408" s="425">
        <f>IF(I408="","",IF(I408&lt;=TODAY(),"DUE",IF(I408&lt;=TODAY()+3,"Next 3 Days","Later")))</f>
        <v/>
      </c>
      <c r="K408" s="425" t="inlineStr">
        <is>
          <t>https://www.linkedin.com/in/lirangr | https://www.linkedin.com/in/rakefet-russak-aminoach</t>
        </is>
      </c>
      <c r="L408" s="425" t="inlineStr"/>
      <c r="M408" s="425" t="inlineStr"/>
    </row>
    <row r="409">
      <c r="A409" s="425" t="inlineStr">
        <is>
          <t>Team Ignite Ventures</t>
        </is>
      </c>
      <c r="B409" s="425" t="inlineStr">
        <is>
          <t>Financial Investor</t>
        </is>
      </c>
      <c r="C409" s="425" t="inlineStr">
        <is>
          <t>Contacted</t>
        </is>
      </c>
      <c r="D409" s="425" t="inlineStr">
        <is>
          <t>Tier 2</t>
        </is>
      </c>
      <c r="E409" s="425" t="n">
        <v>1</v>
      </c>
      <c r="F409" s="425" t="inlineStr">
        <is>
          <t>Brian Bell</t>
        </is>
      </c>
      <c r="G409" s="425" t="inlineStr">
        <is>
          <t>brian@teamignite.ventures</t>
        </is>
      </c>
      <c r="H409" s="441" t="n">
        <v>45912</v>
      </c>
      <c r="I409" s="441">
        <f>IF(OR(C409="Passed",H409="",ISBLANK(H409)),"",H409+3)</f>
        <v/>
      </c>
      <c r="J409" s="425">
        <f>IF(I409="","",IF(I409&lt;=TODAY(),"DUE",IF(I409&lt;=TODAY()+3,"Next 3 Days","Later")))</f>
        <v/>
      </c>
      <c r="K409" s="425" t="inlineStr">
        <is>
          <t>https://www.linkedin.com/in/bblinkedin/</t>
        </is>
      </c>
      <c r="L409" s="425" t="inlineStr"/>
      <c r="M409" s="425" t="inlineStr">
        <is>
          <t>9/12 - requested to see a deck</t>
        </is>
      </c>
    </row>
    <row r="410">
      <c r="A410" s="425" t="inlineStr">
        <is>
          <t>Technexus Venture Collaborative</t>
        </is>
      </c>
      <c r="B410" s="425" t="inlineStr">
        <is>
          <t>Financial Investor</t>
        </is>
      </c>
      <c r="C410" s="425" t="inlineStr">
        <is>
          <t>Contacted</t>
        </is>
      </c>
      <c r="D410" s="425" t="inlineStr">
        <is>
          <t>Tier 2</t>
        </is>
      </c>
      <c r="E410" s="425" t="n">
        <v>1</v>
      </c>
      <c r="F410" s="425" t="inlineStr">
        <is>
          <t>Fred Hoch</t>
        </is>
      </c>
      <c r="G410" s="425" t="inlineStr">
        <is>
          <t>fred@technexus.com</t>
        </is>
      </c>
      <c r="H410" s="441" t="n">
        <v>45903</v>
      </c>
      <c r="I410" s="441">
        <f>IF(OR(C410="Passed",H410="",ISBLANK(H410)),"",H410+3)</f>
        <v/>
      </c>
      <c r="J410" s="425">
        <f>IF(I410="","",IF(I410&lt;=TODAY(),"DUE",IF(I410&lt;=TODAY()+3,"Next 3 Days","Later")))</f>
        <v/>
      </c>
      <c r="K410" s="425" t="inlineStr">
        <is>
          <t>https://www.linkedin.com/in/fredhoch/</t>
        </is>
      </c>
      <c r="L410" s="425" t="inlineStr"/>
      <c r="M410" s="425" t="inlineStr">
        <is>
          <t>setting up a call with joey@technexus.com</t>
        </is>
      </c>
    </row>
    <row r="411">
      <c r="A411" s="425" t="inlineStr">
        <is>
          <t>Technical Manager</t>
        </is>
      </c>
      <c r="B411" s="425" t="inlineStr">
        <is>
          <t>Strategic / Corporate</t>
        </is>
      </c>
      <c r="C411" s="425" t="inlineStr">
        <is>
          <t>Contacted</t>
        </is>
      </c>
      <c r="D411" s="425" t="inlineStr">
        <is>
          <t>Tier 2</t>
        </is>
      </c>
      <c r="E411" s="425" t="n">
        <v>1</v>
      </c>
      <c r="F411" s="425" t="inlineStr">
        <is>
          <t>Jeff Lamper KaleCharles</t>
        </is>
      </c>
      <c r="G411" s="425" t="inlineStr">
        <is>
          <t>jeffrey.lamper@calcasolutions.com</t>
        </is>
      </c>
      <c r="H411" s="441" t="n">
        <v>45951</v>
      </c>
      <c r="I411" s="441">
        <f>IF(OR(C411="Passed",H411="",ISBLANK(H411)),"",H411+3)</f>
        <v/>
      </c>
      <c r="J411" s="425">
        <f>IF(I411="","",IF(I411&lt;=TODAY(),"DUE",IF(I411&lt;=TODAY()+3,"Next 3 Days","Later")))</f>
        <v/>
      </c>
      <c r="K411" s="425" t="inlineStr"/>
      <c r="L411" s="425" t="inlineStr"/>
      <c r="M411" s="425" t="inlineStr"/>
    </row>
    <row r="412">
      <c r="A412" s="425" t="inlineStr">
        <is>
          <t>Thunder VC</t>
        </is>
      </c>
      <c r="B412" s="425" t="inlineStr">
        <is>
          <t>Financial Investor</t>
        </is>
      </c>
      <c r="C412" s="425" t="inlineStr">
        <is>
          <t>Contacted</t>
        </is>
      </c>
      <c r="D412" s="425" t="inlineStr">
        <is>
          <t>Tier 2</t>
        </is>
      </c>
      <c r="E412" s="425" t="n">
        <v>1</v>
      </c>
      <c r="F412" s="425" t="inlineStr">
        <is>
          <t>Oliver</t>
        </is>
      </c>
      <c r="G412" s="425" t="inlineStr">
        <is>
          <t>oliver@thunder.vc</t>
        </is>
      </c>
      <c r="H412" s="441" t="n">
        <v>45789</v>
      </c>
      <c r="I412" s="441">
        <f>IF(OR(C412="Passed",H412="",ISBLANK(H412)),"",H412+3)</f>
        <v/>
      </c>
      <c r="J412" s="425">
        <f>IF(I412="","",IF(I412&lt;=TODAY(),"DUE",IF(I412&lt;=TODAY()+3,"Next 3 Days","Later")))</f>
        <v/>
      </c>
      <c r="K412" s="425" t="inlineStr"/>
      <c r="L412" s="425" t="inlineStr"/>
      <c r="M412" s="425" t="inlineStr">
        <is>
          <t>deck sent</t>
        </is>
      </c>
    </row>
    <row r="413">
      <c r="A413" s="425" t="inlineStr">
        <is>
          <t>Tribe Capital</t>
        </is>
      </c>
      <c r="B413" s="425" t="inlineStr">
        <is>
          <t>Financial Investor</t>
        </is>
      </c>
      <c r="C413" s="425" t="inlineStr">
        <is>
          <t>Contacted</t>
        </is>
      </c>
      <c r="D413" s="425" t="inlineStr">
        <is>
          <t>Tier 2</t>
        </is>
      </c>
      <c r="E413" s="425" t="n">
        <v>4</v>
      </c>
      <c r="F413" s="425" t="inlineStr">
        <is>
          <t>Alex Chee; Jonathan Hsu; Kavin Stewart; Raaid Hossain</t>
        </is>
      </c>
      <c r="G413" s="425" t="inlineStr">
        <is>
          <t>alex@tribecap.co; jonathan@tribecap.co; kavin@tribecap.co; raaid@tribecap.co</t>
        </is>
      </c>
      <c r="H413" s="441" t="n">
        <v>46035</v>
      </c>
      <c r="I413" s="441">
        <f>IF(OR(C413="Passed",H413="",ISBLANK(H413)),"",H413+3)</f>
        <v/>
      </c>
      <c r="J413" s="425">
        <f>IF(I413="","",IF(I413&lt;=TODAY(),"DUE",IF(I413&lt;=TODAY()+3,"Next 3 Days","Later")))</f>
        <v/>
      </c>
      <c r="K413" s="425" t="inlineStr">
        <is>
          <t>linkedin.com/in/alexchee | linkedin.com/in/jonathanphsu</t>
        </is>
      </c>
      <c r="L413" s="425" t="inlineStr"/>
      <c r="M413" s="425" t="inlineStr"/>
    </row>
    <row r="414">
      <c r="A414" s="425" t="inlineStr">
        <is>
          <t>Venture Associate</t>
        </is>
      </c>
      <c r="B414" s="425" t="inlineStr">
        <is>
          <t>Financial Investor</t>
        </is>
      </c>
      <c r="C414" s="425" t="inlineStr">
        <is>
          <t>Contacted</t>
        </is>
      </c>
      <c r="D414" s="425" t="inlineStr">
        <is>
          <t>Tier 2</t>
        </is>
      </c>
      <c r="E414" s="425" t="n">
        <v>1</v>
      </c>
      <c r="F414" s="425" t="inlineStr">
        <is>
          <t>Max Werney</t>
        </is>
      </c>
      <c r="G414" s="425" t="inlineStr">
        <is>
          <t>max@zerocarbon.capital</t>
        </is>
      </c>
      <c r="H414" s="441" t="n">
        <v>45974</v>
      </c>
      <c r="I414" s="441">
        <f>IF(OR(C414="Passed",H414="",ISBLANK(H414)),"",H414+3)</f>
        <v/>
      </c>
      <c r="J414" s="425">
        <f>IF(I414="","",IF(I414&lt;=TODAY(),"DUE",IF(I414&lt;=TODAY()+3,"Next 3 Days","Later")))</f>
        <v/>
      </c>
      <c r="K414" s="425" t="inlineStr">
        <is>
          <t>https://www.linkedin.com/in/max-werny-phd-293118128/</t>
        </is>
      </c>
      <c r="L414" s="425" t="inlineStr"/>
      <c r="M414" s="425" t="inlineStr"/>
    </row>
    <row r="415">
      <c r="A415" s="425" t="inlineStr">
        <is>
          <t>York Space Systems</t>
        </is>
      </c>
      <c r="B415" s="425" t="inlineStr">
        <is>
          <t>Strategic / Corporate</t>
        </is>
      </c>
      <c r="C415" s="425" t="inlineStr">
        <is>
          <t>Contacted</t>
        </is>
      </c>
      <c r="D415" s="425" t="inlineStr">
        <is>
          <t>Tier 2</t>
        </is>
      </c>
      <c r="E415" s="425" t="n">
        <v>7</v>
      </c>
      <c r="F415" s="425" t="inlineStr">
        <is>
          <t>Angelina Smith; Cliff Ferrero; Dan Brophy; Eric Orrill; Gabe Murnan</t>
        </is>
      </c>
      <c r="G415" s="425" t="inlineStr">
        <is>
          <t>angelina.smith@yorkspacesystems.com; cliff.ferrero@yorkspacesystems.com; daniel.brophy@yorkspacesystems.com; eric.orrill@yorkspacesystems.com; gabriel.murnan@yorkspacesystems.com</t>
        </is>
      </c>
      <c r="H415" s="441" t="n">
        <v>45950</v>
      </c>
      <c r="I415" s="441">
        <f>IF(OR(C415="Passed",H415="",ISBLANK(H415)),"",H415+3)</f>
        <v/>
      </c>
      <c r="J415" s="425">
        <f>IF(I415="","",IF(I415&lt;=TODAY(),"DUE",IF(I415&lt;=TODAY()+3,"Next 3 Days","Later")))</f>
        <v/>
      </c>
      <c r="K415" s="425" t="inlineStr"/>
      <c r="L415" s="425" t="inlineStr"/>
      <c r="M415" s="425" t="inlineStr"/>
    </row>
    <row r="416">
      <c r="A416" s="425" t="inlineStr">
        <is>
          <t>referred by Dereck McCarthy</t>
        </is>
      </c>
      <c r="B416" s="425" t="inlineStr">
        <is>
          <t>Financial Investor</t>
        </is>
      </c>
      <c r="C416" s="425" t="inlineStr">
        <is>
          <t>Contacted</t>
        </is>
      </c>
      <c r="D416" s="425" t="inlineStr">
        <is>
          <t>Tier 2</t>
        </is>
      </c>
      <c r="E416" s="425" t="n">
        <v>1</v>
      </c>
      <c r="F416" s="425" t="inlineStr">
        <is>
          <t>Bruce Blechman</t>
        </is>
      </c>
      <c r="G416" s="425" t="inlineStr">
        <is>
          <t>bruceblechman@msn.com</t>
        </is>
      </c>
      <c r="H416" s="441" t="n">
        <v>45840</v>
      </c>
      <c r="I416" s="441">
        <f>IF(OR(C416="Passed",H416="",ISBLANK(H416)),"",H416+3)</f>
        <v/>
      </c>
      <c r="J416" s="425">
        <f>IF(I416="","",IF(I416&lt;=TODAY(),"DUE",IF(I416&lt;=TODAY()+3,"Next 3 Days","Later")))</f>
        <v/>
      </c>
      <c r="K416" s="425" t="inlineStr"/>
      <c r="L416" s="425" t="inlineStr"/>
      <c r="M416" s="425" t="inlineStr">
        <is>
          <t>Referrd me to Sarah and we declined to do business with her.</t>
        </is>
      </c>
    </row>
    <row r="417">
      <c r="A417" s="425" t="inlineStr">
        <is>
          <t>AE Industrial Partners</t>
        </is>
      </c>
      <c r="B417" s="425" t="inlineStr">
        <is>
          <t>Financial Investor</t>
        </is>
      </c>
      <c r="C417" s="425" t="inlineStr">
        <is>
          <t>Research</t>
        </is>
      </c>
      <c r="D417" s="425" t="inlineStr">
        <is>
          <t>Tier 2</t>
        </is>
      </c>
      <c r="E417" s="425" t="n">
        <v>1</v>
      </c>
      <c r="F417" s="425" t="inlineStr">
        <is>
          <t>office</t>
        </is>
      </c>
      <c r="G417" s="425" t="inlineStr"/>
      <c r="H417" s="425" t="n"/>
      <c r="I417" s="441">
        <f>IF(OR(C417="Passed",H417="",ISBLANK(H417)),"",H417+1)</f>
        <v/>
      </c>
      <c r="J417" s="425">
        <f>IF(I417="","",IF(I417&lt;=TODAY(),"DUE",IF(I417&lt;=TODAY()+3,"Next 3 Days","Later")))</f>
        <v/>
      </c>
      <c r="K417" s="425" t="inlineStr"/>
      <c r="L417" s="425" t="inlineStr"/>
      <c r="M417" s="425" t="inlineStr"/>
    </row>
    <row r="418">
      <c r="A418" s="425" t="inlineStr">
        <is>
          <t>Ardent Investors</t>
        </is>
      </c>
      <c r="B418" s="425" t="inlineStr">
        <is>
          <t>Financial Investor</t>
        </is>
      </c>
      <c r="C418" s="425" t="inlineStr">
        <is>
          <t>Research</t>
        </is>
      </c>
      <c r="D418" s="425" t="inlineStr">
        <is>
          <t>Tier 2</t>
        </is>
      </c>
      <c r="E418" s="425" t="n">
        <v>1</v>
      </c>
      <c r="F418" s="425" t="inlineStr">
        <is>
          <t>Victor Peng</t>
        </is>
      </c>
      <c r="G418" s="425" t="inlineStr">
        <is>
          <t>vpeng@ardentinvestors.com</t>
        </is>
      </c>
      <c r="H418" s="425" t="n"/>
      <c r="I418" s="441">
        <f>IF(OR(C418="Passed",H418="",ISBLANK(H418)),"",H418+1)</f>
        <v/>
      </c>
      <c r="J418" s="425">
        <f>IF(I418="","",IF(I418&lt;=TODAY(),"DUE",IF(I418&lt;=TODAY()+3,"Next 3 Days","Later")))</f>
        <v/>
      </c>
      <c r="K418" s="425" t="inlineStr"/>
      <c r="L418" s="425" t="inlineStr"/>
      <c r="M418" s="425" t="inlineStr"/>
    </row>
    <row r="419">
      <c r="A419" s="425" t="inlineStr">
        <is>
          <t>Asad Khan</t>
        </is>
      </c>
      <c r="B419" s="425" t="inlineStr">
        <is>
          <t>Financial Investor</t>
        </is>
      </c>
      <c r="C419" s="425" t="inlineStr">
        <is>
          <t>Research</t>
        </is>
      </c>
      <c r="D419" s="425" t="inlineStr">
        <is>
          <t>Tier 2</t>
        </is>
      </c>
      <c r="E419" s="425" t="n">
        <v>0</v>
      </c>
      <c r="F419" s="425" t="inlineStr"/>
      <c r="G419" s="425" t="inlineStr"/>
      <c r="H419" s="425" t="n"/>
      <c r="I419" s="441">
        <f>IF(OR(C419="Passed",H419="",ISBLANK(H419)),"",H419+1)</f>
        <v/>
      </c>
      <c r="J419" s="425">
        <f>IF(I419="","",IF(I419&lt;=TODAY(),"DUE",IF(I419&lt;=TODAY()+3,"Next 3 Days","Later")))</f>
        <v/>
      </c>
      <c r="K419" s="425" t="inlineStr"/>
      <c r="L419" s="425" t="inlineStr"/>
      <c r="M419" s="425" t="inlineStr">
        <is>
          <t>Connected / Looking One Pager | New</t>
        </is>
      </c>
    </row>
    <row r="420">
      <c r="A420" s="425" t="inlineStr">
        <is>
          <t>Astro X</t>
        </is>
      </c>
      <c r="B420" s="425" t="inlineStr">
        <is>
          <t>Strategic / Corporate</t>
        </is>
      </c>
      <c r="C420" s="425" t="inlineStr">
        <is>
          <t>Research</t>
        </is>
      </c>
      <c r="D420" s="425" t="inlineStr">
        <is>
          <t>Tier 2</t>
        </is>
      </c>
      <c r="E420" s="425" t="n">
        <v>1</v>
      </c>
      <c r="F420" s="425" t="inlineStr">
        <is>
          <t>Susumu TanakaEngineering Dept</t>
        </is>
      </c>
      <c r="G420" s="425" t="inlineStr">
        <is>
          <t>susumu_tanaka@astrox.jp</t>
        </is>
      </c>
      <c r="H420" s="425" t="n"/>
      <c r="I420" s="441">
        <f>IF(OR(C420="Passed",H420="",ISBLANK(H420)),"",H420+1)</f>
        <v/>
      </c>
      <c r="J420" s="425">
        <f>IF(I420="","",IF(I420&lt;=TODAY(),"DUE",IF(I420&lt;=TODAY()+3,"Next 3 Days","Later")))</f>
        <v/>
      </c>
      <c r="K420" s="425" t="inlineStr"/>
      <c r="L420" s="425" t="inlineStr"/>
      <c r="M420" s="425" t="inlineStr"/>
    </row>
    <row r="421">
      <c r="A421" s="425" t="inlineStr">
        <is>
          <t>Astro X/Chiba Tech</t>
        </is>
      </c>
      <c r="B421" s="425" t="inlineStr">
        <is>
          <t>Strategic / Corporate</t>
        </is>
      </c>
      <c r="C421" s="425" t="inlineStr">
        <is>
          <t>Research</t>
        </is>
      </c>
      <c r="D421" s="425" t="inlineStr">
        <is>
          <t>Tier 2</t>
        </is>
      </c>
      <c r="E421" s="425" t="n">
        <v>1</v>
      </c>
      <c r="F421" s="425" t="inlineStr">
        <is>
          <t>Yutaka Wada CTO</t>
        </is>
      </c>
      <c r="G421" s="425" t="inlineStr">
        <is>
          <t>utaka_wada@astrox.jp</t>
        </is>
      </c>
      <c r="H421" s="425" t="n"/>
      <c r="I421" s="441">
        <f>IF(OR(C421="Passed",H421="",ISBLANK(H421)),"",H421+1)</f>
        <v/>
      </c>
      <c r="J421" s="425">
        <f>IF(I421="","",IF(I421&lt;=TODAY(),"DUE",IF(I421&lt;=TODAY()+3,"Next 3 Days","Later")))</f>
        <v/>
      </c>
      <c r="K421" s="425" t="inlineStr"/>
      <c r="L421" s="425" t="inlineStr"/>
      <c r="M421" s="425" t="inlineStr">
        <is>
          <t>meeting at exos 10/23</t>
        </is>
      </c>
    </row>
    <row r="422">
      <c r="A422" s="425" t="inlineStr">
        <is>
          <t>Battle Placement Finance</t>
        </is>
      </c>
      <c r="B422" s="425" t="inlineStr">
        <is>
          <t>Intermediary / Banker</t>
        </is>
      </c>
      <c r="C422" s="425" t="inlineStr">
        <is>
          <t>Research</t>
        </is>
      </c>
      <c r="D422" s="425" t="inlineStr">
        <is>
          <t>Tier 2</t>
        </is>
      </c>
      <c r="E422" s="425" t="n">
        <v>1</v>
      </c>
      <c r="F422" s="425" t="inlineStr">
        <is>
          <t>Jesus Tueme</t>
        </is>
      </c>
      <c r="G422" s="425" t="inlineStr">
        <is>
          <t>jtueme@castleplacement.com</t>
        </is>
      </c>
      <c r="H422" s="425" t="n"/>
      <c r="I422" s="441">
        <f>IF(OR(C422="Passed",H422="",ISBLANK(H422)),"",H422+1)</f>
        <v/>
      </c>
      <c r="J422" s="425">
        <f>IF(I422="","",IF(I422&lt;=TODAY(),"DUE",IF(I422&lt;=TODAY()+3,"Next 3 Days","Later")))</f>
        <v/>
      </c>
      <c r="K422" s="425" t="inlineStr"/>
      <c r="L422" s="425" t="inlineStr"/>
      <c r="M422" s="425" t="inlineStr"/>
    </row>
    <row r="423">
      <c r="A423" s="425" t="inlineStr">
        <is>
          <t>Beyond Earth</t>
        </is>
      </c>
      <c r="B423" s="425" t="inlineStr">
        <is>
          <t>Financial Investor</t>
        </is>
      </c>
      <c r="C423" s="425" t="inlineStr">
        <is>
          <t>Research</t>
        </is>
      </c>
      <c r="D423" s="425" t="inlineStr">
        <is>
          <t>Tier 2</t>
        </is>
      </c>
      <c r="E423" s="425" t="n">
        <v>1</v>
      </c>
      <c r="F423" s="425" t="inlineStr">
        <is>
          <t>Inna Galinger</t>
        </is>
      </c>
      <c r="G423" s="425" t="inlineStr">
        <is>
          <t>life@beyondearth.tech</t>
        </is>
      </c>
      <c r="H423" s="425" t="n"/>
      <c r="I423" s="441">
        <f>IF(OR(C423="Passed",H423="",ISBLANK(H423)),"",H423+1)</f>
        <v/>
      </c>
      <c r="J423" s="425">
        <f>IF(I423="","",IF(I423&lt;=TODAY(),"DUE",IF(I423&lt;=TODAY()+3,"Next 3 Days","Later")))</f>
        <v/>
      </c>
      <c r="K423" s="425" t="inlineStr"/>
      <c r="L423" s="425" t="inlineStr"/>
      <c r="M423" s="425" t="inlineStr"/>
    </row>
    <row r="424">
      <c r="A424" s="425" t="inlineStr">
        <is>
          <t>Bradley Petty, MBA, FMVA®</t>
        </is>
      </c>
      <c r="B424" s="425" t="inlineStr">
        <is>
          <t>Financial Investor</t>
        </is>
      </c>
      <c r="C424" s="425" t="inlineStr">
        <is>
          <t>Research</t>
        </is>
      </c>
      <c r="D424" s="425" t="inlineStr">
        <is>
          <t>Tier 2</t>
        </is>
      </c>
      <c r="E424" s="425" t="n">
        <v>0</v>
      </c>
      <c r="F424" s="425" t="inlineStr"/>
      <c r="G424" s="425" t="inlineStr">
        <is>
          <t>info@bpcfoservices.com</t>
        </is>
      </c>
      <c r="H424" s="425" t="n"/>
      <c r="I424" s="441">
        <f>IF(OR(C424="Passed",H424="",ISBLANK(H424)),"",H424+1)</f>
        <v/>
      </c>
      <c r="J424" s="425">
        <f>IF(I424="","",IF(I424&lt;=TODAY(),"DUE",IF(I424&lt;=TODAY()+3,"Next 3 Days","Later")))</f>
        <v/>
      </c>
      <c r="K424" s="425" t="inlineStr"/>
      <c r="L424" s="425" t="inlineStr"/>
      <c r="M424" s="425" t="inlineStr">
        <is>
          <t>His best friend was into Rockets | Local Invistor / DFW Private Equity had meeting with John through Google</t>
        </is>
      </c>
    </row>
    <row r="425">
      <c r="A425" s="425" t="inlineStr">
        <is>
          <t>Centurion One Capital</t>
        </is>
      </c>
      <c r="B425" s="425" t="inlineStr">
        <is>
          <t>Financial Investor</t>
        </is>
      </c>
      <c r="C425" s="425" t="inlineStr">
        <is>
          <t>Research</t>
        </is>
      </c>
      <c r="D425" s="425" t="inlineStr">
        <is>
          <t>Tier 2</t>
        </is>
      </c>
      <c r="E425" s="425" t="n">
        <v>1</v>
      </c>
      <c r="F425" s="425" t="inlineStr">
        <is>
          <t>Kia Besharat</t>
        </is>
      </c>
      <c r="G425" s="425" t="inlineStr">
        <is>
          <t>kbesharat@centurion.com</t>
        </is>
      </c>
      <c r="H425" s="425" t="n"/>
      <c r="I425" s="441">
        <f>IF(OR(C425="Passed",H425="",ISBLANK(H425)),"",H425+1)</f>
        <v/>
      </c>
      <c r="J425" s="425">
        <f>IF(I425="","",IF(I425&lt;=TODAY(),"DUE",IF(I425&lt;=TODAY()+3,"Next 3 Days","Later")))</f>
        <v/>
      </c>
      <c r="K425" s="425" t="inlineStr"/>
      <c r="L425" s="425" t="inlineStr"/>
      <c r="M425" s="425" t="inlineStr"/>
    </row>
    <row r="426">
      <c r="A426" s="425" t="inlineStr">
        <is>
          <t>DS Capital</t>
        </is>
      </c>
      <c r="B426" s="425" t="inlineStr">
        <is>
          <t>Financial Investor</t>
        </is>
      </c>
      <c r="C426" s="425" t="inlineStr">
        <is>
          <t>Research</t>
        </is>
      </c>
      <c r="D426" s="425" t="inlineStr">
        <is>
          <t>Tier 2</t>
        </is>
      </c>
      <c r="E426" s="425" t="n">
        <v>1</v>
      </c>
      <c r="F426" s="425" t="inlineStr">
        <is>
          <t>Jordan Haley</t>
        </is>
      </c>
      <c r="G426" s="425" t="inlineStr">
        <is>
          <t>jordan.h@dscapitalgroup.com</t>
        </is>
      </c>
      <c r="H426" s="425" t="n"/>
      <c r="I426" s="441">
        <f>IF(OR(C426="Passed",H426="",ISBLANK(H426)),"",H426+1)</f>
        <v/>
      </c>
      <c r="J426" s="425">
        <f>IF(I426="","",IF(I426&lt;=TODAY(),"DUE",IF(I426&lt;=TODAY()+3,"Next 3 Days","Later")))</f>
        <v/>
      </c>
      <c r="K426" s="425" t="inlineStr"/>
      <c r="L426" s="425" t="inlineStr"/>
      <c r="M426" s="425" t="inlineStr"/>
    </row>
    <row r="427">
      <c r="A427" s="425" t="inlineStr">
        <is>
          <t>Dove Tail Capital</t>
        </is>
      </c>
      <c r="B427" s="425" t="inlineStr">
        <is>
          <t>Financial Investor</t>
        </is>
      </c>
      <c r="C427" s="425" t="inlineStr">
        <is>
          <t>Research</t>
        </is>
      </c>
      <c r="D427" s="425" t="inlineStr">
        <is>
          <t>Tier 2</t>
        </is>
      </c>
      <c r="E427" s="425" t="n">
        <v>1</v>
      </c>
      <c r="F427" s="425" t="inlineStr">
        <is>
          <t>John Silvestri</t>
        </is>
      </c>
      <c r="G427" s="425" t="inlineStr">
        <is>
          <t>silvestri@dovetailcap.com</t>
        </is>
      </c>
      <c r="H427" s="425" t="n"/>
      <c r="I427" s="441">
        <f>IF(OR(C427="Passed",H427="",ISBLANK(H427)),"",H427+1)</f>
        <v/>
      </c>
      <c r="J427" s="425">
        <f>IF(I427="","",IF(I427&lt;=TODAY(),"DUE",IF(I427&lt;=TODAY()+3,"Next 3 Days","Later")))</f>
        <v/>
      </c>
      <c r="K427" s="425" t="inlineStr"/>
      <c r="L427" s="425" t="inlineStr"/>
      <c r="M427" s="425" t="inlineStr"/>
    </row>
    <row r="428">
      <c r="A428" s="425" t="inlineStr">
        <is>
          <t>EF Hutton</t>
        </is>
      </c>
      <c r="B428" s="425" t="inlineStr">
        <is>
          <t>Intermediary / Banker</t>
        </is>
      </c>
      <c r="C428" s="425" t="inlineStr">
        <is>
          <t>Research</t>
        </is>
      </c>
      <c r="D428" s="425" t="inlineStr">
        <is>
          <t>Tier 2</t>
        </is>
      </c>
      <c r="E428" s="425" t="n">
        <v>1</v>
      </c>
      <c r="F428" s="425" t="inlineStr">
        <is>
          <t>Anthony Salazar</t>
        </is>
      </c>
      <c r="G428" s="425" t="inlineStr">
        <is>
          <t>anthonysalazar139@gmail.com</t>
        </is>
      </c>
      <c r="H428" s="425" t="n"/>
      <c r="I428" s="441">
        <f>IF(OR(C428="Passed",H428="",ISBLANK(H428)),"",H428+1)</f>
        <v/>
      </c>
      <c r="J428" s="425">
        <f>IF(I428="","",IF(I428&lt;=TODAY(),"DUE",IF(I428&lt;=TODAY()+3,"Next 3 Days","Later")))</f>
        <v/>
      </c>
      <c r="K428" s="425" t="inlineStr"/>
      <c r="L428" s="425" t="inlineStr"/>
      <c r="M428" s="425" t="inlineStr"/>
    </row>
    <row r="429">
      <c r="A429" s="425" t="inlineStr">
        <is>
          <t>Fast-Space</t>
        </is>
      </c>
      <c r="B429" s="425" t="inlineStr">
        <is>
          <t>Strategic / Corporate</t>
        </is>
      </c>
      <c r="C429" s="425" t="inlineStr">
        <is>
          <t>Research</t>
        </is>
      </c>
      <c r="D429" s="425" t="inlineStr">
        <is>
          <t>Tier 2</t>
        </is>
      </c>
      <c r="E429" s="425" t="n">
        <v>1</v>
      </c>
      <c r="F429" s="425" t="inlineStr">
        <is>
          <t>Anthony Van der Merwe</t>
        </is>
      </c>
      <c r="G429" s="425" t="inlineStr">
        <is>
          <t>anthony@fast-space.com</t>
        </is>
      </c>
      <c r="H429" s="425" t="n"/>
      <c r="I429" s="441">
        <f>IF(OR(C429="Passed",H429="",ISBLANK(H429)),"",H429+1)</f>
        <v/>
      </c>
      <c r="J429" s="425">
        <f>IF(I429="","",IF(I429&lt;=TODAY(),"DUE",IF(I429&lt;=TODAY()+3,"Next 3 Days","Later")))</f>
        <v/>
      </c>
      <c r="K429" s="425" t="inlineStr"/>
      <c r="L429" s="425" t="inlineStr"/>
      <c r="M429" s="425" t="inlineStr"/>
    </row>
    <row r="430">
      <c r="A430" s="425" t="inlineStr">
        <is>
          <t>Finance (Individual)</t>
        </is>
      </c>
      <c r="B430" s="425" t="inlineStr">
        <is>
          <t>Intermediary / Banker</t>
        </is>
      </c>
      <c r="C430" s="425" t="inlineStr">
        <is>
          <t>Research</t>
        </is>
      </c>
      <c r="D430" s="425" t="inlineStr">
        <is>
          <t>Tier 2</t>
        </is>
      </c>
      <c r="E430" s="425" t="n">
        <v>1</v>
      </c>
      <c r="F430" s="425" t="inlineStr">
        <is>
          <t>Mike Broome</t>
        </is>
      </c>
      <c r="G430" s="425" t="inlineStr">
        <is>
          <t>mgbroome1@gmail.com</t>
        </is>
      </c>
      <c r="H430" s="425" t="n"/>
      <c r="I430" s="441">
        <f>IF(OR(C430="Passed",H430="",ISBLANK(H430)),"",H430+1)</f>
        <v/>
      </c>
      <c r="J430" s="425">
        <f>IF(I430="","",IF(I430&lt;=TODAY(),"DUE",IF(I430&lt;=TODAY()+3,"Next 3 Days","Later")))</f>
        <v/>
      </c>
      <c r="K430" s="425" t="inlineStr"/>
      <c r="L430" s="425" t="inlineStr"/>
      <c r="M430" s="425" t="inlineStr">
        <is>
          <t>meeting booked / no show</t>
        </is>
      </c>
    </row>
    <row r="431">
      <c r="A431" s="425" t="inlineStr">
        <is>
          <t>Formidable Space</t>
        </is>
      </c>
      <c r="B431" s="425" t="inlineStr">
        <is>
          <t>Strategic / Corporate</t>
        </is>
      </c>
      <c r="C431" s="425" t="inlineStr">
        <is>
          <t>Research</t>
        </is>
      </c>
      <c r="D431" s="425" t="inlineStr">
        <is>
          <t>Tier 2</t>
        </is>
      </c>
      <c r="E431" s="425" t="n">
        <v>1</v>
      </c>
      <c r="F431" s="425" t="inlineStr">
        <is>
          <t>Don Weider</t>
        </is>
      </c>
      <c r="G431" s="425" t="inlineStr">
        <is>
          <t>don@formitable.space</t>
        </is>
      </c>
      <c r="H431" s="425" t="n"/>
      <c r="I431" s="441">
        <f>IF(OR(C431="Passed",H431="",ISBLANK(H431)),"",H431+1)</f>
        <v/>
      </c>
      <c r="J431" s="425">
        <f>IF(I431="","",IF(I431&lt;=TODAY(),"DUE",IF(I431&lt;=TODAY()+3,"Next 3 Days","Later")))</f>
        <v/>
      </c>
      <c r="K431" s="425" t="inlineStr"/>
      <c r="L431" s="425" t="inlineStr"/>
      <c r="M431" s="425" t="inlineStr"/>
    </row>
    <row r="432">
      <c r="A432" s="425" t="inlineStr">
        <is>
          <t>Funding Well</t>
        </is>
      </c>
      <c r="B432" s="425" t="inlineStr">
        <is>
          <t>Financial Investor</t>
        </is>
      </c>
      <c r="C432" s="425" t="inlineStr">
        <is>
          <t>Research</t>
        </is>
      </c>
      <c r="D432" s="425" t="inlineStr">
        <is>
          <t>Tier 2</t>
        </is>
      </c>
      <c r="E432" s="425" t="n">
        <v>1</v>
      </c>
      <c r="F432" s="425" t="inlineStr">
        <is>
          <t>Sheldon Weiss</t>
        </is>
      </c>
      <c r="G432" s="425" t="inlineStr">
        <is>
          <t>sheldon@fundwell.com</t>
        </is>
      </c>
      <c r="H432" s="425" t="n"/>
      <c r="I432" s="441">
        <f>IF(OR(C432="Passed",H432="",ISBLANK(H432)),"",H432+1)</f>
        <v/>
      </c>
      <c r="J432" s="425">
        <f>IF(I432="","",IF(I432&lt;=TODAY(),"DUE",IF(I432&lt;=TODAY()+3,"Next 3 Days","Later")))</f>
        <v/>
      </c>
      <c r="K432" s="425" t="inlineStr"/>
      <c r="L432" s="425" t="inlineStr"/>
      <c r="M432" s="425" t="inlineStr"/>
    </row>
    <row r="433">
      <c r="A433" s="425" t="inlineStr">
        <is>
          <t>GNC Specialist (Individual)</t>
        </is>
      </c>
      <c r="B433" s="425" t="inlineStr">
        <is>
          <t>Financial Investor</t>
        </is>
      </c>
      <c r="C433" s="425" t="inlineStr">
        <is>
          <t>Research</t>
        </is>
      </c>
      <c r="D433" s="425" t="inlineStr">
        <is>
          <t>Tier 2</t>
        </is>
      </c>
      <c r="E433" s="425" t="n">
        <v>1</v>
      </c>
      <c r="F433" s="425" t="inlineStr">
        <is>
          <t>Harrison Lambert</t>
        </is>
      </c>
      <c r="G433" s="425" t="inlineStr">
        <is>
          <t>lambert.harrison@gmail.com</t>
        </is>
      </c>
      <c r="H433" s="425" t="n"/>
      <c r="I433" s="441">
        <f>IF(OR(C433="Passed",H433="",ISBLANK(H433)),"",H433+1)</f>
        <v/>
      </c>
      <c r="J433" s="425">
        <f>IF(I433="","",IF(I433&lt;=TODAY(),"DUE",IF(I433&lt;=TODAY()+3,"Next 3 Days","Later")))</f>
        <v/>
      </c>
      <c r="K433" s="425" t="inlineStr"/>
      <c r="L433" s="425" t="inlineStr"/>
      <c r="M433" s="425" t="inlineStr"/>
    </row>
    <row r="434">
      <c r="A434" s="425" t="inlineStr">
        <is>
          <t>Impact Venture Capital</t>
        </is>
      </c>
      <c r="B434" s="425" t="inlineStr">
        <is>
          <t>Financial Investor</t>
        </is>
      </c>
      <c r="C434" s="425" t="inlineStr">
        <is>
          <t>Research</t>
        </is>
      </c>
      <c r="D434" s="425" t="inlineStr">
        <is>
          <t>Tier 2</t>
        </is>
      </c>
      <c r="E434" s="425" t="n">
        <v>0</v>
      </c>
      <c r="F434" s="425" t="inlineStr"/>
      <c r="G434" s="425" t="inlineStr"/>
      <c r="H434" s="425" t="n"/>
      <c r="I434" s="441">
        <f>IF(OR(C434="Passed",H434="",ISBLANK(H434)),"",H434+1)</f>
        <v/>
      </c>
      <c r="J434" s="425">
        <f>IF(I434="","",IF(I434&lt;=TODAY(),"DUE",IF(I434&lt;=TODAY()+3,"Next 3 Days","Later")))</f>
        <v/>
      </c>
      <c r="K434" s="425" t="inlineStr"/>
      <c r="L434" s="425" t="inlineStr"/>
      <c r="M434" s="425" t="inlineStr">
        <is>
          <t>form online: https://impactvc.typeform.com/startups?typeform-source=impactvc.com</t>
        </is>
      </c>
    </row>
    <row r="435">
      <c r="A435" s="425" t="inlineStr">
        <is>
          <t>InterplayEngage@interplay.vc</t>
        </is>
      </c>
      <c r="B435" s="425" t="inlineStr">
        <is>
          <t>Financial Investor</t>
        </is>
      </c>
      <c r="C435" s="425" t="inlineStr">
        <is>
          <t>Research</t>
        </is>
      </c>
      <c r="D435" s="425" t="inlineStr">
        <is>
          <t>Tier 2</t>
        </is>
      </c>
      <c r="E435" s="425" t="n">
        <v>1</v>
      </c>
      <c r="F435" s="425" t="inlineStr">
        <is>
          <t>05/01/2025</t>
        </is>
      </c>
      <c r="G435" s="425" t="inlineStr"/>
      <c r="H435" s="425" t="n"/>
      <c r="I435" s="441">
        <f>IF(OR(C435="Passed",H435="",ISBLANK(H435)),"",H435+1)</f>
        <v/>
      </c>
      <c r="J435" s="425">
        <f>IF(I435="","",IF(I435&lt;=TODAY(),"DUE",IF(I435&lt;=TODAY()+3,"Next 3 Days","Later")))</f>
        <v/>
      </c>
      <c r="K435" s="425" t="inlineStr"/>
      <c r="L435" s="425" t="inlineStr"/>
      <c r="M435" s="425" t="inlineStr">
        <is>
          <t>Interplay</t>
        </is>
      </c>
    </row>
    <row r="436">
      <c r="A436" s="425" t="inlineStr">
        <is>
          <t>Investor</t>
        </is>
      </c>
      <c r="B436" s="425" t="inlineStr">
        <is>
          <t>Financial Investor</t>
        </is>
      </c>
      <c r="C436" s="425" t="inlineStr">
        <is>
          <t>Research</t>
        </is>
      </c>
      <c r="D436" s="425" t="inlineStr">
        <is>
          <t>Tier 2</t>
        </is>
      </c>
      <c r="E436" s="425" t="n">
        <v>5</v>
      </c>
      <c r="F436" s="425" t="inlineStr">
        <is>
          <t>Andrew Buczak; Dan Schatzan; Ovadiya Aharonoff; Sergey Gugkaev; Zyad Wright</t>
        </is>
      </c>
      <c r="G436" s="425" t="inlineStr">
        <is>
          <t>andrewbuczak@gmail.com; danschat1@aol.com; deals@ovadiya.com; gugkaev@gmail.com; zyadwright@gmail.com</t>
        </is>
      </c>
      <c r="H436" s="425" t="n"/>
      <c r="I436" s="441">
        <f>IF(OR(C436="Passed",H436="",ISBLANK(H436)),"",H436+1)</f>
        <v/>
      </c>
      <c r="J436" s="425">
        <f>IF(I436="","",IF(I436&lt;=TODAY(),"DUE",IF(I436&lt;=TODAY()+3,"Next 3 Days","Later")))</f>
        <v/>
      </c>
      <c r="K436" s="425" t="inlineStr"/>
      <c r="L436" s="425" t="inlineStr"/>
      <c r="M436" s="425" t="inlineStr">
        <is>
          <t>our contact first | cfs2128@gmail.com - Colm ??</t>
        </is>
      </c>
    </row>
    <row r="437">
      <c r="A437" s="425" t="inlineStr">
        <is>
          <t>Jeremy Hallett</t>
        </is>
      </c>
      <c r="B437" s="425" t="inlineStr">
        <is>
          <t>Financial Investor</t>
        </is>
      </c>
      <c r="C437" s="425" t="inlineStr">
        <is>
          <t>Research</t>
        </is>
      </c>
      <c r="D437" s="425" t="inlineStr">
        <is>
          <t>Tier 2</t>
        </is>
      </c>
      <c r="E437" s="425" t="n">
        <v>0</v>
      </c>
      <c r="F437" s="425" t="inlineStr"/>
      <c r="G437" s="425" t="inlineStr">
        <is>
          <t>jeremy.hallett@brindabella.co</t>
        </is>
      </c>
      <c r="H437" s="425" t="n"/>
      <c r="I437" s="441">
        <f>IF(OR(C437="Passed",H437="",ISBLANK(H437)),"",H437+1)</f>
        <v/>
      </c>
      <c r="J437" s="425">
        <f>IF(I437="","",IF(I437&lt;=TODAY(),"DUE",IF(I437&lt;=TODAY()+3,"Next 3 Days","Later")))</f>
        <v/>
      </c>
      <c r="K437" s="425" t="inlineStr"/>
      <c r="L437" s="425" t="inlineStr"/>
      <c r="M437" s="425" t="inlineStr">
        <is>
          <t>Chief Executive Officer for Brindabella &amp; Company | Requested one pager and intro to John</t>
        </is>
      </c>
    </row>
    <row r="438">
      <c r="A438" s="425" t="inlineStr">
        <is>
          <t>K&amp;B Ventures</t>
        </is>
      </c>
      <c r="B438" s="425" t="inlineStr">
        <is>
          <t>Financial Investor</t>
        </is>
      </c>
      <c r="C438" s="425" t="inlineStr">
        <is>
          <t>Research</t>
        </is>
      </c>
      <c r="D438" s="425" t="inlineStr">
        <is>
          <t>Tier 2</t>
        </is>
      </c>
      <c r="E438" s="425" t="n">
        <v>1</v>
      </c>
      <c r="F438" s="425" t="inlineStr">
        <is>
          <t>Kira Blackwell</t>
        </is>
      </c>
      <c r="G438" s="425" t="inlineStr">
        <is>
          <t>kblackwell@protonmail.com</t>
        </is>
      </c>
      <c r="H438" s="425" t="n"/>
      <c r="I438" s="441">
        <f>IF(OR(C438="Passed",H438="",ISBLANK(H438)),"",H438+1)</f>
        <v/>
      </c>
      <c r="J438" s="425">
        <f>IF(I438="","",IF(I438&lt;=TODAY(),"DUE",IF(I438&lt;=TODAY()+3,"Next 3 Days","Later")))</f>
        <v/>
      </c>
      <c r="K438" s="425" t="inlineStr"/>
      <c r="L438" s="425" t="inlineStr"/>
      <c r="M438" s="425" t="inlineStr"/>
    </row>
    <row r="439">
      <c r="A439" s="425" t="inlineStr">
        <is>
          <t>Lockheed Martin Ventures</t>
        </is>
      </c>
      <c r="B439" s="425" t="inlineStr">
        <is>
          <t>Financial Investor</t>
        </is>
      </c>
      <c r="C439" s="425" t="inlineStr">
        <is>
          <t>Research</t>
        </is>
      </c>
      <c r="D439" s="425" t="inlineStr">
        <is>
          <t>Tier 2</t>
        </is>
      </c>
      <c r="E439" s="425" t="n">
        <v>1</v>
      </c>
      <c r="F439" s="425" t="inlineStr">
        <is>
          <t>Kaija Gisolfi-McCready</t>
        </is>
      </c>
      <c r="G439" s="425" t="inlineStr">
        <is>
          <t>kaija.gisolfi-mccready@imco.com</t>
        </is>
      </c>
      <c r="H439" s="425" t="n"/>
      <c r="I439" s="441">
        <f>IF(OR(C439="Passed",H439="",ISBLANK(H439)),"",H439+1)</f>
        <v/>
      </c>
      <c r="J439" s="425">
        <f>IF(I439="","",IF(I439&lt;=TODAY(),"DUE",IF(I439&lt;=TODAY()+3,"Next 3 Days","Later")))</f>
        <v/>
      </c>
      <c r="K439" s="425" t="inlineStr"/>
      <c r="L439" s="425" t="inlineStr"/>
      <c r="M439" s="425" t="inlineStr"/>
    </row>
    <row r="440">
      <c r="A440" s="425" t="inlineStr">
        <is>
          <t>M-Fly</t>
        </is>
      </c>
      <c r="B440" s="425" t="inlineStr">
        <is>
          <t>Financial Investor</t>
        </is>
      </c>
      <c r="C440" s="425" t="inlineStr">
        <is>
          <t>Research</t>
        </is>
      </c>
      <c r="D440" s="425" t="inlineStr">
        <is>
          <t>Tier 2</t>
        </is>
      </c>
      <c r="E440" s="425" t="n">
        <v>1</v>
      </c>
      <c r="F440" s="425" t="inlineStr">
        <is>
          <t>Tetiana</t>
        </is>
      </c>
      <c r="G440" s="425" t="inlineStr">
        <is>
          <t>t.karaicheva@m-fly.org</t>
        </is>
      </c>
      <c r="H440" s="425" t="n"/>
      <c r="I440" s="441">
        <f>IF(OR(C440="Passed",H440="",ISBLANK(H440)),"",H440+1)</f>
        <v/>
      </c>
      <c r="J440" s="425">
        <f>IF(I440="","",IF(I440&lt;=TODAY(),"DUE",IF(I440&lt;=TODAY()+3,"Next 3 Days","Later")))</f>
        <v/>
      </c>
      <c r="K440" s="425" t="inlineStr">
        <is>
          <t>referred by Dereck</t>
        </is>
      </c>
      <c r="L440" s="425" t="inlineStr"/>
      <c r="M440" s="425" t="inlineStr"/>
    </row>
    <row r="441">
      <c r="A441" s="425" t="inlineStr">
        <is>
          <t>NBA Investor</t>
        </is>
      </c>
      <c r="B441" s="425" t="inlineStr">
        <is>
          <t>Financial Investor</t>
        </is>
      </c>
      <c r="C441" s="425" t="inlineStr">
        <is>
          <t>Research</t>
        </is>
      </c>
      <c r="D441" s="425" t="inlineStr">
        <is>
          <t>Tier 2</t>
        </is>
      </c>
      <c r="E441" s="425" t="n">
        <v>1</v>
      </c>
      <c r="F441" s="425" t="inlineStr">
        <is>
          <t>Luther Head Jr.</t>
        </is>
      </c>
      <c r="G441" s="425" t="inlineStr">
        <is>
          <t>idhead2@aim.com</t>
        </is>
      </c>
      <c r="H441" s="425" t="n"/>
      <c r="I441" s="441">
        <f>IF(OR(C441="Passed",H441="",ISBLANK(H441)),"",H441+1)</f>
        <v/>
      </c>
      <c r="J441" s="425">
        <f>IF(I441="","",IF(I441&lt;=TODAY(),"DUE",IF(I441&lt;=TODAY()+3,"Next 3 Days","Later")))</f>
        <v/>
      </c>
      <c r="K441" s="425" t="inlineStr"/>
      <c r="L441" s="425" t="inlineStr"/>
      <c r="M441" s="425" t="inlineStr"/>
    </row>
    <row r="442">
      <c r="A442" s="425" t="inlineStr">
        <is>
          <t>Northrop Gruman</t>
        </is>
      </c>
      <c r="B442" s="425" t="inlineStr">
        <is>
          <t>Strategic / Corporate</t>
        </is>
      </c>
      <c r="C442" s="425" t="inlineStr">
        <is>
          <t>Research</t>
        </is>
      </c>
      <c r="D442" s="425" t="inlineStr">
        <is>
          <t>Tier 2</t>
        </is>
      </c>
      <c r="E442" s="425" t="n">
        <v>1</v>
      </c>
      <c r="F442" s="425" t="inlineStr">
        <is>
          <t>Lauren Smith</t>
        </is>
      </c>
      <c r="G442" s="425" t="inlineStr">
        <is>
          <t>lauren.m.smith@ngc.com</t>
        </is>
      </c>
      <c r="H442" s="425" t="n"/>
      <c r="I442" s="441">
        <f>IF(OR(C442="Passed",H442="",ISBLANK(H442)),"",H442+1)</f>
        <v/>
      </c>
      <c r="J442" s="425">
        <f>IF(I442="","",IF(I442&lt;=TODAY(),"DUE",IF(I442&lt;=TODAY()+3,"Next 3 Days","Later")))</f>
        <v/>
      </c>
      <c r="K442" s="425" t="inlineStr"/>
      <c r="L442" s="425" t="inlineStr"/>
      <c r="M442" s="425" t="inlineStr"/>
    </row>
    <row r="443">
      <c r="A443" s="425" t="inlineStr">
        <is>
          <t>Oden Capital</t>
        </is>
      </c>
      <c r="B443" s="425" t="inlineStr">
        <is>
          <t>Financial Investor</t>
        </is>
      </c>
      <c r="C443" s="425" t="inlineStr">
        <is>
          <t>Research</t>
        </is>
      </c>
      <c r="D443" s="425" t="inlineStr">
        <is>
          <t>Tier 2</t>
        </is>
      </c>
      <c r="E443" s="425" t="n">
        <v>1</v>
      </c>
      <c r="F443" s="425" t="inlineStr">
        <is>
          <t>Eric Gomberg</t>
        </is>
      </c>
      <c r="G443" s="425" t="inlineStr">
        <is>
          <t>egomberg@odencap.com</t>
        </is>
      </c>
      <c r="H443" s="425" t="n"/>
      <c r="I443" s="441">
        <f>IF(OR(C443="Passed",H443="",ISBLANK(H443)),"",H443+1)</f>
        <v/>
      </c>
      <c r="J443" s="425">
        <f>IF(I443="","",IF(I443&lt;=TODAY(),"DUE",IF(I443&lt;=TODAY()+3,"Next 3 Days","Later")))</f>
        <v/>
      </c>
      <c r="K443" s="425" t="inlineStr"/>
      <c r="L443" s="425" t="inlineStr"/>
      <c r="M443" s="425" t="inlineStr"/>
    </row>
    <row r="444">
      <c r="A444" s="425" t="inlineStr">
        <is>
          <t>One Source Partners</t>
        </is>
      </c>
      <c r="B444" s="425" t="inlineStr">
        <is>
          <t>Financial Investor</t>
        </is>
      </c>
      <c r="C444" s="425" t="inlineStr">
        <is>
          <t>Research</t>
        </is>
      </c>
      <c r="D444" s="425" t="inlineStr">
        <is>
          <t>Tier 2</t>
        </is>
      </c>
      <c r="E444" s="425" t="n">
        <v>1</v>
      </c>
      <c r="F444" s="425" t="inlineStr">
        <is>
          <t>Robert Samuels</t>
        </is>
      </c>
      <c r="G444" s="425" t="inlineStr">
        <is>
          <t>rs@robertsamuels.com</t>
        </is>
      </c>
      <c r="H444" s="425" t="n"/>
      <c r="I444" s="441">
        <f>IF(OR(C444="Passed",H444="",ISBLANK(H444)),"",H444+1)</f>
        <v/>
      </c>
      <c r="J444" s="425">
        <f>IF(I444="","",IF(I444&lt;=TODAY(),"DUE",IF(I444&lt;=TODAY()+3,"Next 3 Days","Later")))</f>
        <v/>
      </c>
      <c r="K444" s="425" t="inlineStr"/>
      <c r="L444" s="425" t="inlineStr"/>
      <c r="M444" s="425" t="inlineStr"/>
    </row>
    <row r="445">
      <c r="A445" s="425" t="inlineStr">
        <is>
          <t>Paul Hastings</t>
        </is>
      </c>
      <c r="B445" s="425" t="inlineStr">
        <is>
          <t>Financial Investor</t>
        </is>
      </c>
      <c r="C445" s="425" t="inlineStr">
        <is>
          <t>Research</t>
        </is>
      </c>
      <c r="D445" s="425" t="inlineStr">
        <is>
          <t>Tier 2</t>
        </is>
      </c>
      <c r="E445" s="425" t="n">
        <v>1</v>
      </c>
      <c r="F445" s="425" t="inlineStr">
        <is>
          <t>Michael Pestana</t>
        </is>
      </c>
      <c r="G445" s="425" t="inlineStr">
        <is>
          <t>mikepestana@paulhastings.com</t>
        </is>
      </c>
      <c r="H445" s="425" t="n"/>
      <c r="I445" s="441">
        <f>IF(OR(C445="Passed",H445="",ISBLANK(H445)),"",H445+1)</f>
        <v/>
      </c>
      <c r="J445" s="425">
        <f>IF(I445="","",IF(I445&lt;=TODAY(),"DUE",IF(I445&lt;=TODAY()+3,"Next 3 Days","Later")))</f>
        <v/>
      </c>
      <c r="K445" s="425" t="inlineStr"/>
      <c r="L445" s="425" t="inlineStr"/>
      <c r="M445" s="425" t="inlineStr">
        <is>
          <t>info sent / no meeting booked</t>
        </is>
      </c>
    </row>
    <row r="446">
      <c r="A446" s="425" t="inlineStr">
        <is>
          <t>Ranger Aerospace</t>
        </is>
      </c>
      <c r="B446" s="425" t="inlineStr">
        <is>
          <t>Strategic / Corporate</t>
        </is>
      </c>
      <c r="C446" s="425" t="inlineStr">
        <is>
          <t>Research</t>
        </is>
      </c>
      <c r="D446" s="425" t="inlineStr">
        <is>
          <t>Tier 2</t>
        </is>
      </c>
      <c r="E446" s="425" t="n">
        <v>1</v>
      </c>
      <c r="F446" s="425" t="inlineStr">
        <is>
          <t>Steve Townes</t>
        </is>
      </c>
      <c r="G446" s="425" t="inlineStr">
        <is>
          <t>stownes@rangeraerospace.com</t>
        </is>
      </c>
      <c r="H446" s="425" t="n"/>
      <c r="I446" s="441">
        <f>IF(OR(C446="Passed",H446="",ISBLANK(H446)),"",H446+1)</f>
        <v/>
      </c>
      <c r="J446" s="425">
        <f>IF(I446="","",IF(I446&lt;=TODAY(),"DUE",IF(I446&lt;=TODAY()+3,"Next 3 Days","Later")))</f>
        <v/>
      </c>
      <c r="K446" s="425" t="inlineStr"/>
      <c r="L446" s="425" t="inlineStr"/>
      <c r="M446" s="425" t="inlineStr"/>
    </row>
    <row r="447">
      <c r="A447" s="425" t="inlineStr">
        <is>
          <t>Retired NBA Player - Private Investment</t>
        </is>
      </c>
      <c r="B447" s="425" t="inlineStr">
        <is>
          <t>Financial Investor</t>
        </is>
      </c>
      <c r="C447" s="425" t="inlineStr">
        <is>
          <t>Research</t>
        </is>
      </c>
      <c r="D447" s="425" t="inlineStr">
        <is>
          <t>Tier 2</t>
        </is>
      </c>
      <c r="E447" s="425" t="n">
        <v>1</v>
      </c>
      <c r="F447" s="425" t="inlineStr">
        <is>
          <t>Luther Head</t>
        </is>
      </c>
      <c r="G447" s="425" t="inlineStr">
        <is>
          <t>ldhead2@aim.com</t>
        </is>
      </c>
      <c r="H447" s="425" t="n"/>
      <c r="I447" s="441">
        <f>IF(OR(C447="Passed",H447="",ISBLANK(H447)),"",H447+1)</f>
        <v/>
      </c>
      <c r="J447" s="425">
        <f>IF(I447="","",IF(I447&lt;=TODAY(),"DUE",IF(I447&lt;=TODAY()+3,"Next 3 Days","Later")))</f>
        <v/>
      </c>
      <c r="K447" s="425" t="inlineStr">
        <is>
          <t>referred by Dereck</t>
        </is>
      </c>
      <c r="L447" s="425" t="inlineStr"/>
      <c r="M447" s="425" t="inlineStr"/>
    </row>
    <row r="448">
      <c r="A448" s="425" t="inlineStr">
        <is>
          <t>Space Force</t>
        </is>
      </c>
      <c r="B448" s="425" t="inlineStr">
        <is>
          <t>Strategic / Corporate</t>
        </is>
      </c>
      <c r="C448" s="425" t="inlineStr">
        <is>
          <t>Research</t>
        </is>
      </c>
      <c r="D448" s="425" t="inlineStr">
        <is>
          <t>Tier 2</t>
        </is>
      </c>
      <c r="E448" s="425" t="n">
        <v>1</v>
      </c>
      <c r="F448" s="425" t="inlineStr">
        <is>
          <t>Colonel Stephens</t>
        </is>
      </c>
      <c r="G448" s="425" t="inlineStr">
        <is>
          <t>julianna.sutherland.ctr@spaceforce.mil</t>
        </is>
      </c>
      <c r="H448" s="425" t="n"/>
      <c r="I448" s="441">
        <f>IF(OR(C448="Passed",H448="",ISBLANK(H448)),"",H448+1)</f>
        <v/>
      </c>
      <c r="J448" s="425">
        <f>IF(I448="","",IF(I448&lt;=TODAY(),"DUE",IF(I448&lt;=TODAY()+3,"Next 3 Days","Later")))</f>
        <v/>
      </c>
      <c r="K448" s="425" t="inlineStr"/>
      <c r="L448" s="425" t="inlineStr"/>
      <c r="M448" s="425" t="inlineStr"/>
    </row>
    <row r="449">
      <c r="A449" s="425" t="inlineStr">
        <is>
          <t>Starfighters / Investfortuna Connection</t>
        </is>
      </c>
      <c r="B449" s="425" t="inlineStr">
        <is>
          <t>Financial Investor</t>
        </is>
      </c>
      <c r="C449" s="425" t="inlineStr">
        <is>
          <t>Research</t>
        </is>
      </c>
      <c r="D449" s="425" t="inlineStr">
        <is>
          <t>Tier 2</t>
        </is>
      </c>
      <c r="E449" s="425" t="n">
        <v>1</v>
      </c>
      <c r="F449" s="425" t="inlineStr">
        <is>
          <t>Ron Bloom</t>
        </is>
      </c>
      <c r="G449" s="425" t="inlineStr">
        <is>
          <t>ron@ronbloom.com</t>
        </is>
      </c>
      <c r="H449" s="425" t="n"/>
      <c r="I449" s="441">
        <f>IF(OR(C449="Passed",H449="",ISBLANK(H449)),"",H449+1)</f>
        <v/>
      </c>
      <c r="J449" s="425">
        <f>IF(I449="","",IF(I449&lt;=TODAY(),"DUE",IF(I449&lt;=TODAY()+3,"Next 3 Days","Later")))</f>
        <v/>
      </c>
      <c r="K449" s="425" t="inlineStr"/>
      <c r="L449" s="425" t="inlineStr"/>
      <c r="M449" s="425" t="inlineStr">
        <is>
          <t>Adisor to Fortuna | Connection to Investfortuna and Starfighters not investor</t>
        </is>
      </c>
    </row>
    <row r="450">
      <c r="A450" s="425" t="inlineStr">
        <is>
          <t>The Booster</t>
        </is>
      </c>
      <c r="B450" s="425" t="inlineStr">
        <is>
          <t>Financial Investor</t>
        </is>
      </c>
      <c r="C450" s="425" t="inlineStr">
        <is>
          <t>Research</t>
        </is>
      </c>
      <c r="D450" s="425" t="inlineStr">
        <is>
          <t>Tier 2</t>
        </is>
      </c>
      <c r="E450" s="425" t="n">
        <v>1</v>
      </c>
      <c r="F450" s="425" t="inlineStr">
        <is>
          <t>Hakan Kurt</t>
        </is>
      </c>
      <c r="G450" s="425" t="inlineStr">
        <is>
          <t>hakan.kurt@thebooster.com</t>
        </is>
      </c>
      <c r="H450" s="425" t="n"/>
      <c r="I450" s="441">
        <f>IF(OR(C450="Passed",H450="",ISBLANK(H450)),"",H450+1)</f>
        <v/>
      </c>
      <c r="J450" s="425">
        <f>IF(I450="","",IF(I450&lt;=TODAY(),"DUE",IF(I450&lt;=TODAY()+3,"Next 3 Days","Later")))</f>
        <v/>
      </c>
      <c r="K450" s="425" t="inlineStr"/>
      <c r="L450" s="425" t="inlineStr"/>
      <c r="M450" s="425" t="inlineStr"/>
    </row>
    <row r="451">
      <c r="A451" s="425" t="inlineStr">
        <is>
          <t>Think Equity</t>
        </is>
      </c>
      <c r="B451" s="425" t="inlineStr">
        <is>
          <t>Financial Investor</t>
        </is>
      </c>
      <c r="C451" s="425" t="inlineStr">
        <is>
          <t>Research</t>
        </is>
      </c>
      <c r="D451" s="425" t="inlineStr">
        <is>
          <t>Tier 2</t>
        </is>
      </c>
      <c r="E451" s="425" t="n">
        <v>1</v>
      </c>
      <c r="F451" s="425" t="inlineStr">
        <is>
          <t>Brian Demmert</t>
        </is>
      </c>
      <c r="G451" s="425" t="inlineStr">
        <is>
          <t>bd@thinke-quity.com</t>
        </is>
      </c>
      <c r="H451" s="425" t="n"/>
      <c r="I451" s="441">
        <f>IF(OR(C451="Passed",H451="",ISBLANK(H451)),"",H451+1)</f>
        <v/>
      </c>
      <c r="J451" s="425">
        <f>IF(I451="","",IF(I451&lt;=TODAY(),"DUE",IF(I451&lt;=TODAY()+3,"Next 3 Days","Later")))</f>
        <v/>
      </c>
      <c r="K451" s="425" t="inlineStr"/>
      <c r="L451" s="425" t="inlineStr"/>
      <c r="M451" s="425" t="inlineStr"/>
    </row>
    <row r="452">
      <c r="A452" s="425" t="inlineStr">
        <is>
          <t>Turbo Flux</t>
        </is>
      </c>
      <c r="B452" s="425" t="inlineStr">
        <is>
          <t>Financial Investor</t>
        </is>
      </c>
      <c r="C452" s="425" t="inlineStr">
        <is>
          <t>Research</t>
        </is>
      </c>
      <c r="D452" s="425" t="inlineStr">
        <is>
          <t>Tier 2</t>
        </is>
      </c>
      <c r="E452" s="425" t="n">
        <v>1</v>
      </c>
      <c r="F452" s="425" t="inlineStr">
        <is>
          <t>Kenneth Hicks</t>
        </is>
      </c>
      <c r="G452" s="425" t="inlineStr">
        <is>
          <t>turboflux2001@gmail.com</t>
        </is>
      </c>
      <c r="H452" s="425" t="n"/>
      <c r="I452" s="441">
        <f>IF(OR(C452="Passed",H452="",ISBLANK(H452)),"",H452+1)</f>
        <v/>
      </c>
      <c r="J452" s="425">
        <f>IF(I452="","",IF(I452&lt;=TODAY(),"DUE",IF(I452&lt;=TODAY()+3,"Next 3 Days","Later")))</f>
        <v/>
      </c>
      <c r="K452" s="425" t="inlineStr"/>
      <c r="L452" s="425" t="inlineStr"/>
      <c r="M452" s="425" t="inlineStr">
        <is>
          <t>meeting booked / no show</t>
        </is>
      </c>
    </row>
    <row r="453">
      <c r="A453" s="425" t="inlineStr">
        <is>
          <t>Venture Capital (Individual)</t>
        </is>
      </c>
      <c r="B453" s="425" t="inlineStr">
        <is>
          <t>Financial Investor</t>
        </is>
      </c>
      <c r="C453" s="425" t="inlineStr">
        <is>
          <t>Research</t>
        </is>
      </c>
      <c r="D453" s="425" t="inlineStr">
        <is>
          <t>Tier 2</t>
        </is>
      </c>
      <c r="E453" s="425" t="n">
        <v>1</v>
      </c>
      <c r="F453" s="425" t="inlineStr">
        <is>
          <t>Paul Mayer</t>
        </is>
      </c>
      <c r="G453" s="425" t="inlineStr">
        <is>
          <t>mayer.w.paul@gmail.com</t>
        </is>
      </c>
      <c r="H453" s="425" t="n"/>
      <c r="I453" s="441">
        <f>IF(OR(C453="Passed",H453="",ISBLANK(H453)),"",H453+1)</f>
        <v/>
      </c>
      <c r="J453" s="425">
        <f>IF(I453="","",IF(I453&lt;=TODAY(),"DUE",IF(I453&lt;=TODAY()+3,"Next 3 Days","Later")))</f>
        <v/>
      </c>
      <c r="K453" s="425" t="inlineStr"/>
      <c r="L453" s="425" t="inlineStr"/>
      <c r="M453" s="425" t="inlineStr"/>
    </row>
    <row r="454">
      <c r="A454" s="425" t="inlineStr">
        <is>
          <t>Vimal Dutt</t>
        </is>
      </c>
      <c r="B454" s="425" t="inlineStr">
        <is>
          <t>Financial Investor</t>
        </is>
      </c>
      <c r="C454" s="425" t="inlineStr">
        <is>
          <t>Research</t>
        </is>
      </c>
      <c r="D454" s="425" t="inlineStr">
        <is>
          <t>Tier 2</t>
        </is>
      </c>
      <c r="E454" s="425" t="n">
        <v>0</v>
      </c>
      <c r="F454" s="425" t="inlineStr"/>
      <c r="G454" s="425" t="inlineStr"/>
      <c r="H454" s="425" t="n"/>
      <c r="I454" s="441">
        <f>IF(OR(C454="Passed",H454="",ISBLANK(H454)),"",H454+1)</f>
        <v/>
      </c>
      <c r="J454" s="425">
        <f>IF(I454="","",IF(I454&lt;=TODAY(),"DUE",IF(I454&lt;=TODAY()+3,"Next 3 Days","Later")))</f>
        <v/>
      </c>
      <c r="K454" s="425" t="inlineStr"/>
      <c r="L454" s="425" t="inlineStr"/>
      <c r="M454" s="425" t="inlineStr">
        <is>
          <t>This could be of interest. Please send through information and i will pass to our shareholders. One question. Who do you anticipate having majority ownership?</t>
        </is>
      </c>
    </row>
    <row r="455">
      <c r="A455" s="425" t="inlineStr">
        <is>
          <t>SDRC Corp</t>
        </is>
      </c>
      <c r="B455" s="425" t="inlineStr">
        <is>
          <t>Other / Review</t>
        </is>
      </c>
      <c r="C455" s="425" t="inlineStr">
        <is>
          <t>Follow Up</t>
        </is>
      </c>
      <c r="D455" s="425" t="inlineStr">
        <is>
          <t>Tier 3</t>
        </is>
      </c>
      <c r="E455" s="425" t="n">
        <v>1</v>
      </c>
      <c r="F455" s="425" t="inlineStr">
        <is>
          <t>Sean-Rae Zalewski</t>
        </is>
      </c>
      <c r="G455" s="425" t="inlineStr">
        <is>
          <t>sean@sdrccorp.com</t>
        </is>
      </c>
      <c r="H455" s="425" t="n"/>
      <c r="I455" s="441">
        <f>IF(OR(C455="Passed",H455="",ISBLANK(H455)),"",H455+7)</f>
        <v/>
      </c>
      <c r="J455" s="425">
        <f>IF(I455="","",IF(I455&lt;=TODAY(),"DUE",IF(I455&lt;=TODAY()+3,"Next 3 Days","Later")))</f>
        <v/>
      </c>
      <c r="K455" s="425" t="inlineStr"/>
      <c r="L455" s="425" t="inlineStr"/>
      <c r="M455" s="425" t="inlineStr">
        <is>
          <t>materials sent / no follow up</t>
        </is>
      </c>
    </row>
    <row r="456">
      <c r="A456" s="425" t="inlineStr">
        <is>
          <t>Astronaut (Individual)</t>
        </is>
      </c>
      <c r="B456" s="425" t="inlineStr">
        <is>
          <t>Other / Review</t>
        </is>
      </c>
      <c r="C456" s="425" t="inlineStr">
        <is>
          <t>Research</t>
        </is>
      </c>
      <c r="D456" s="425" t="inlineStr">
        <is>
          <t>Tier 3</t>
        </is>
      </c>
      <c r="E456" s="425" t="n">
        <v>1</v>
      </c>
      <c r="F456" s="425" t="inlineStr">
        <is>
          <t>JD Russell</t>
        </is>
      </c>
      <c r="G456" s="425" t="inlineStr">
        <is>
          <t>jdrussellmd@gmail.com</t>
        </is>
      </c>
      <c r="H456" s="425" t="n"/>
      <c r="I456" s="441">
        <f>IF(OR(C456="Passed",H456="",ISBLANK(H456)),"",H456+1)</f>
        <v/>
      </c>
      <c r="J456" s="425">
        <f>IF(I456="","",IF(I456&lt;=TODAY(),"DUE",IF(I456&lt;=TODAY()+3,"Next 3 Days","Later")))</f>
        <v/>
      </c>
      <c r="K456" s="425" t="inlineStr"/>
      <c r="L456" s="425" t="inlineStr"/>
      <c r="M456" s="425" t="inlineStr"/>
    </row>
    <row r="457">
      <c r="A457" s="425" t="inlineStr">
        <is>
          <t>EXO Stellar Pulse Fusion</t>
        </is>
      </c>
      <c r="B457" s="425" t="inlineStr">
        <is>
          <t>Other / Review</t>
        </is>
      </c>
      <c r="C457" s="425" t="inlineStr">
        <is>
          <t>Research</t>
        </is>
      </c>
      <c r="D457" s="425" t="inlineStr">
        <is>
          <t>Tier 3</t>
        </is>
      </c>
      <c r="E457" s="425" t="n">
        <v>1</v>
      </c>
      <c r="F457" s="425" t="inlineStr">
        <is>
          <t>Shiva Nagarshi</t>
        </is>
      </c>
      <c r="G457" s="425" t="inlineStr">
        <is>
          <t>shivanagarshi@gmail.com</t>
        </is>
      </c>
      <c r="H457" s="425" t="n"/>
      <c r="I457" s="441">
        <f>IF(OR(C457="Passed",H457="",ISBLANK(H457)),"",H457+1)</f>
        <v/>
      </c>
      <c r="J457" s="425">
        <f>IF(I457="","",IF(I457&lt;=TODAY(),"DUE",IF(I457&lt;=TODAY()+3,"Next 3 Days","Later")))</f>
        <v/>
      </c>
      <c r="K457" s="425" t="inlineStr"/>
      <c r="L457" s="425" t="inlineStr"/>
      <c r="M457" s="425" t="inlineStr"/>
    </row>
    <row r="458">
      <c r="A458" s="425" t="inlineStr">
        <is>
          <t>Farol Asset Management</t>
        </is>
      </c>
      <c r="B458" s="425" t="inlineStr">
        <is>
          <t>Other / Review</t>
        </is>
      </c>
      <c r="C458" s="425" t="inlineStr">
        <is>
          <t>Research</t>
        </is>
      </c>
      <c r="D458" s="425" t="inlineStr">
        <is>
          <t>Tier 3</t>
        </is>
      </c>
      <c r="E458" s="425" t="n">
        <v>1</v>
      </c>
      <c r="F458" s="425" t="inlineStr">
        <is>
          <t>Jamal Nasim</t>
        </is>
      </c>
      <c r="G458" s="425" t="inlineStr">
        <is>
          <t>jamalnasim1@gmail.com</t>
        </is>
      </c>
      <c r="H458" s="425" t="n"/>
      <c r="I458" s="441">
        <f>IF(OR(C458="Passed",H458="",ISBLANK(H458)),"",H458+1)</f>
        <v/>
      </c>
      <c r="J458" s="425">
        <f>IF(I458="","",IF(I458&lt;=TODAY(),"DUE",IF(I458&lt;=TODAY()+3,"Next 3 Days","Later")))</f>
        <v/>
      </c>
      <c r="K458" s="425" t="inlineStr"/>
      <c r="L458" s="425" t="inlineStr"/>
      <c r="M458" s="425" t="inlineStr"/>
    </row>
    <row r="459">
      <c r="A459" s="425" t="inlineStr">
        <is>
          <t>Firefly</t>
        </is>
      </c>
      <c r="B459" s="425" t="inlineStr">
        <is>
          <t>Other / Review</t>
        </is>
      </c>
      <c r="C459" s="425" t="inlineStr">
        <is>
          <t>Research</t>
        </is>
      </c>
      <c r="D459" s="425" t="inlineStr">
        <is>
          <t>Tier 3</t>
        </is>
      </c>
      <c r="E459" s="425" t="n">
        <v>1</v>
      </c>
      <c r="F459" s="425" t="inlineStr">
        <is>
          <t>Adam Oakes</t>
        </is>
      </c>
      <c r="G459" s="425" t="inlineStr">
        <is>
          <t>adam.oakes@fireflyspace.com</t>
        </is>
      </c>
      <c r="H459" s="425" t="n"/>
      <c r="I459" s="441">
        <f>IF(OR(C459="Passed",H459="",ISBLANK(H459)),"",H459+1)</f>
        <v/>
      </c>
      <c r="J459" s="425">
        <f>IF(I459="","",IF(I459&lt;=TODAY(),"DUE",IF(I459&lt;=TODAY()+3,"Next 3 Days","Later")))</f>
        <v/>
      </c>
      <c r="K459" s="425" t="inlineStr"/>
      <c r="L459" s="425" t="inlineStr"/>
      <c r="M459" s="425" t="inlineStr"/>
    </row>
    <row r="460">
      <c r="A460" s="425" t="inlineStr">
        <is>
          <t>Godspeed</t>
        </is>
      </c>
      <c r="B460" s="425" t="inlineStr">
        <is>
          <t>Other / Review</t>
        </is>
      </c>
      <c r="C460" s="425" t="inlineStr">
        <is>
          <t>Research</t>
        </is>
      </c>
      <c r="D460" s="425" t="inlineStr">
        <is>
          <t>Tier 3</t>
        </is>
      </c>
      <c r="E460" s="425" t="n">
        <v>1</v>
      </c>
      <c r="F460" s="425" t="inlineStr">
        <is>
          <t>Sulaiman Sulaimani</t>
        </is>
      </c>
      <c r="G460" s="425" t="inlineStr"/>
      <c r="H460" s="425" t="n"/>
      <c r="I460" s="441">
        <f>IF(OR(C460="Passed",H460="",ISBLANK(H460)),"",H460+1)</f>
        <v/>
      </c>
      <c r="J460" s="425">
        <f>IF(I460="","",IF(I460&lt;=TODAY(),"DUE",IF(I460&lt;=TODAY()+3,"Next 3 Days","Later")))</f>
        <v/>
      </c>
      <c r="K460" s="425" t="inlineStr"/>
      <c r="L460" s="425" t="inlineStr"/>
      <c r="M460" s="425" t="inlineStr"/>
    </row>
    <row r="461">
      <c r="A461" s="425" t="inlineStr">
        <is>
          <t>Gulf Technologies Systems</t>
        </is>
      </c>
      <c r="B461" s="425" t="inlineStr">
        <is>
          <t>Other / Review</t>
        </is>
      </c>
      <c r="C461" s="425" t="inlineStr">
        <is>
          <t>Research</t>
        </is>
      </c>
      <c r="D461" s="425" t="inlineStr">
        <is>
          <t>Tier 3</t>
        </is>
      </c>
      <c r="E461" s="425" t="n">
        <v>1</v>
      </c>
      <c r="F461" s="425" t="inlineStr">
        <is>
          <t>Samuel Shay</t>
        </is>
      </c>
      <c r="G461" s="425" t="inlineStr"/>
      <c r="H461" s="425" t="n"/>
      <c r="I461" s="441">
        <f>IF(OR(C461="Passed",H461="",ISBLANK(H461)),"",H461+1)</f>
        <v/>
      </c>
      <c r="J461" s="425">
        <f>IF(I461="","",IF(I461&lt;=TODAY(),"DUE",IF(I461&lt;=TODAY()+3,"Next 3 Days","Later")))</f>
        <v/>
      </c>
      <c r="K461" s="425" t="inlineStr"/>
      <c r="L461" s="425" t="inlineStr"/>
      <c r="M461" s="425" t="inlineStr"/>
    </row>
    <row r="462">
      <c r="A462" s="425" t="inlineStr">
        <is>
          <t>Hanshin Leeand ETL</t>
        </is>
      </c>
      <c r="B462" s="425" t="inlineStr">
        <is>
          <t>Other / Review</t>
        </is>
      </c>
      <c r="C462" s="425" t="inlineStr">
        <is>
          <t>Research</t>
        </is>
      </c>
      <c r="D462" s="425" t="inlineStr">
        <is>
          <t>Tier 3</t>
        </is>
      </c>
      <c r="E462" s="425" t="n">
        <v>1</v>
      </c>
      <c r="F462" s="425" t="inlineStr">
        <is>
          <t>Sulaiman Sulaimani</t>
        </is>
      </c>
      <c r="G462" s="425" t="inlineStr"/>
      <c r="H462" s="425" t="n"/>
      <c r="I462" s="441">
        <f>IF(OR(C462="Passed",H462="",ISBLANK(H462)),"",H462+1)</f>
        <v/>
      </c>
      <c r="J462" s="425">
        <f>IF(I462="","",IF(I462&lt;=TODAY(),"DUE",IF(I462&lt;=TODAY()+3,"Next 3 Days","Later")))</f>
        <v/>
      </c>
      <c r="K462" s="425" t="inlineStr"/>
      <c r="L462" s="425" t="inlineStr"/>
      <c r="M462" s="425" t="inlineStr"/>
    </row>
    <row r="463">
      <c r="A463" s="425" t="inlineStr">
        <is>
          <t>High Precision</t>
        </is>
      </c>
      <c r="B463" s="425" t="inlineStr">
        <is>
          <t>Other / Review</t>
        </is>
      </c>
      <c r="C463" s="425" t="inlineStr">
        <is>
          <t>Research</t>
        </is>
      </c>
      <c r="D463" s="425" t="inlineStr">
        <is>
          <t>Tier 3</t>
        </is>
      </c>
      <c r="E463" s="425" t="n">
        <v>1</v>
      </c>
      <c r="F463" s="425" t="inlineStr">
        <is>
          <t>Earl Cooke</t>
        </is>
      </c>
      <c r="G463" s="425" t="inlineStr">
        <is>
          <t>cooktx@gmail.com</t>
        </is>
      </c>
      <c r="H463" s="425" t="n"/>
      <c r="I463" s="441">
        <f>IF(OR(C463="Passed",H463="",ISBLANK(H463)),"",H463+1)</f>
        <v/>
      </c>
      <c r="J463" s="425">
        <f>IF(I463="","",IF(I463&lt;=TODAY(),"DUE",IF(I463&lt;=TODAY()+3,"Next 3 Days","Later")))</f>
        <v/>
      </c>
      <c r="K463" s="425" t="inlineStr"/>
      <c r="L463" s="425" t="inlineStr"/>
      <c r="M463" s="425" t="inlineStr">
        <is>
          <t>meeting booked / no show</t>
        </is>
      </c>
    </row>
    <row r="464">
      <c r="A464" s="425" t="inlineStr">
        <is>
          <t>Houston Chronicle</t>
        </is>
      </c>
      <c r="B464" s="425" t="inlineStr">
        <is>
          <t>Other / Review</t>
        </is>
      </c>
      <c r="C464" s="425" t="inlineStr">
        <is>
          <t>Research</t>
        </is>
      </c>
      <c r="D464" s="425" t="inlineStr">
        <is>
          <t>Tier 3</t>
        </is>
      </c>
      <c r="E464" s="425" t="n">
        <v>1</v>
      </c>
      <c r="F464" s="425" t="inlineStr">
        <is>
          <t>Andrea Leinfelder</t>
        </is>
      </c>
      <c r="G464" s="425" t="inlineStr">
        <is>
          <t>andrea.leinfelder@houstonchronicle.com</t>
        </is>
      </c>
      <c r="H464" s="425" t="n"/>
      <c r="I464" s="441">
        <f>IF(OR(C464="Passed",H464="",ISBLANK(H464)),"",H464+1)</f>
        <v/>
      </c>
      <c r="J464" s="425">
        <f>IF(I464="","",IF(I464&lt;=TODAY(),"DUE",IF(I464&lt;=TODAY()+3,"Next 3 Days","Later")))</f>
        <v/>
      </c>
      <c r="K464" s="425" t="inlineStr"/>
      <c r="L464" s="425" t="inlineStr"/>
      <c r="M464" s="425" t="inlineStr">
        <is>
          <t>current contact of ours, but did not book</t>
        </is>
      </c>
    </row>
    <row r="465">
      <c r="A465" s="425" t="inlineStr">
        <is>
          <t>Invest Green</t>
        </is>
      </c>
      <c r="B465" s="425" t="inlineStr">
        <is>
          <t>Other / Review</t>
        </is>
      </c>
      <c r="C465" s="425" t="inlineStr">
        <is>
          <t>Research</t>
        </is>
      </c>
      <c r="D465" s="425" t="inlineStr">
        <is>
          <t>Tier 3</t>
        </is>
      </c>
      <c r="E465" s="425" t="n">
        <v>1</v>
      </c>
      <c r="F465" s="425" t="inlineStr">
        <is>
          <t>Michael Krawchuk</t>
        </is>
      </c>
      <c r="G465" s="425" t="inlineStr">
        <is>
          <t>mike@invest.green</t>
        </is>
      </c>
      <c r="H465" s="425" t="n"/>
      <c r="I465" s="441">
        <f>IF(OR(C465="Passed",H465="",ISBLANK(H465)),"",H465+1)</f>
        <v/>
      </c>
      <c r="J465" s="425">
        <f>IF(I465="","",IF(I465&lt;=TODAY(),"DUE",IF(I465&lt;=TODAY()+3,"Next 3 Days","Later")))</f>
        <v/>
      </c>
      <c r="K465" s="425" t="inlineStr"/>
      <c r="L465" s="425" t="inlineStr"/>
      <c r="M465" s="425" t="inlineStr"/>
    </row>
    <row r="466">
      <c r="A466" s="425" t="inlineStr">
        <is>
          <t>Iron Horse II</t>
        </is>
      </c>
      <c r="B466" s="425" t="inlineStr">
        <is>
          <t>Other / Review</t>
        </is>
      </c>
      <c r="C466" s="425" t="inlineStr">
        <is>
          <t>Research</t>
        </is>
      </c>
      <c r="D466" s="425" t="inlineStr">
        <is>
          <t>Tier 3</t>
        </is>
      </c>
      <c r="E466" s="425" t="n">
        <v>1</v>
      </c>
      <c r="F466" s="425" t="inlineStr">
        <is>
          <t>Jose Bengochea</t>
        </is>
      </c>
      <c r="G466" s="425" t="inlineStr">
        <is>
          <t>jose@ironhorseacquisition.com</t>
        </is>
      </c>
      <c r="H466" s="425" t="n"/>
      <c r="I466" s="441">
        <f>IF(OR(C466="Passed",H466="",ISBLANK(H466)),"",H466+1)</f>
        <v/>
      </c>
      <c r="J466" s="425">
        <f>IF(I466="","",IF(I466&lt;=TODAY(),"DUE",IF(I466&lt;=TODAY()+3,"Next 3 Days","Later")))</f>
        <v/>
      </c>
      <c r="K466" s="425" t="inlineStr">
        <is>
          <t>referred by Zyad Wright</t>
        </is>
      </c>
      <c r="L466" s="425" t="inlineStr"/>
      <c r="M466" s="425" t="inlineStr"/>
    </row>
    <row r="467">
      <c r="A467" s="425" t="inlineStr">
        <is>
          <t>Irongate</t>
        </is>
      </c>
      <c r="B467" s="425" t="inlineStr">
        <is>
          <t>Other / Review</t>
        </is>
      </c>
      <c r="C467" s="425" t="inlineStr">
        <is>
          <t>Research</t>
        </is>
      </c>
      <c r="D467" s="425" t="inlineStr">
        <is>
          <t>Tier 3</t>
        </is>
      </c>
      <c r="E467" s="425" t="n">
        <v>1</v>
      </c>
      <c r="F467" s="425" t="inlineStr">
        <is>
          <t>Sulaiman Sulaimani</t>
        </is>
      </c>
      <c r="G467" s="425" t="inlineStr"/>
      <c r="H467" s="425" t="n"/>
      <c r="I467" s="441">
        <f>IF(OR(C467="Passed",H467="",ISBLANK(H467)),"",H467+1)</f>
        <v/>
      </c>
      <c r="J467" s="425">
        <f>IF(I467="","",IF(I467&lt;=TODAY(),"DUE",IF(I467&lt;=TODAY()+3,"Next 3 Days","Later")))</f>
        <v/>
      </c>
      <c r="K467" s="425" t="inlineStr">
        <is>
          <t>Ty</t>
        </is>
      </c>
      <c r="L467" s="425" t="inlineStr"/>
      <c r="M467" s="425" t="inlineStr"/>
    </row>
    <row r="468">
      <c r="A468" s="425" t="inlineStr">
        <is>
          <t>JP Morgan</t>
        </is>
      </c>
      <c r="B468" s="425" t="inlineStr">
        <is>
          <t>Other / Review</t>
        </is>
      </c>
      <c r="C468" s="425" t="inlineStr">
        <is>
          <t>Research</t>
        </is>
      </c>
      <c r="D468" s="425" t="inlineStr">
        <is>
          <t>Tier 3</t>
        </is>
      </c>
      <c r="E468" s="425" t="n">
        <v>1</v>
      </c>
      <c r="F468" s="425" t="inlineStr">
        <is>
          <t>Steve Barry; Phil Volpe</t>
        </is>
      </c>
      <c r="G468" s="425" t="inlineStr">
        <is>
          <t>steven.m.barry@jpmorgan.com</t>
        </is>
      </c>
      <c r="H468" s="425" t="n"/>
      <c r="I468" s="441">
        <f>IF(OR(C468="Passed",H468="",ISBLANK(H468)),"",H468+1)</f>
        <v/>
      </c>
      <c r="J468" s="425">
        <f>IF(I468="","",IF(I468&lt;=TODAY(),"DUE",IF(I468&lt;=TODAY()+3,"Next 3 Days","Later")))</f>
        <v/>
      </c>
      <c r="K468" s="425" t="inlineStr"/>
      <c r="L468" s="425" t="inlineStr"/>
      <c r="M468" s="425" t="inlineStr"/>
    </row>
    <row r="469">
      <c r="A469" s="425" t="inlineStr">
        <is>
          <t>JPL</t>
        </is>
      </c>
      <c r="B469" s="425" t="inlineStr">
        <is>
          <t>Other / Review</t>
        </is>
      </c>
      <c r="C469" s="425" t="inlineStr">
        <is>
          <t>Research</t>
        </is>
      </c>
      <c r="D469" s="425" t="inlineStr">
        <is>
          <t>Tier 3</t>
        </is>
      </c>
      <c r="E469" s="425" t="n">
        <v>1</v>
      </c>
      <c r="F469" s="425" t="inlineStr">
        <is>
          <t>Erika Podest</t>
        </is>
      </c>
      <c r="G469" s="425" t="inlineStr">
        <is>
          <t>erika.podest@jpl.nasa.org</t>
        </is>
      </c>
      <c r="H469" s="425" t="n"/>
      <c r="I469" s="441">
        <f>IF(OR(C469="Passed",H469="",ISBLANK(H469)),"",H469+1)</f>
        <v/>
      </c>
      <c r="J469" s="425">
        <f>IF(I469="","",IF(I469&lt;=TODAY(),"DUE",IF(I469&lt;=TODAY()+3,"Next 3 Days","Later")))</f>
        <v/>
      </c>
      <c r="K469" s="425" t="inlineStr"/>
      <c r="L469" s="425" t="inlineStr"/>
      <c r="M469" s="425" t="inlineStr"/>
    </row>
    <row r="470">
      <c r="A470" s="425" t="inlineStr">
        <is>
          <t>Marcus &amp; Millichap</t>
        </is>
      </c>
      <c r="B470" s="425" t="inlineStr">
        <is>
          <t>Other / Review</t>
        </is>
      </c>
      <c r="C470" s="425" t="inlineStr">
        <is>
          <t>Research</t>
        </is>
      </c>
      <c r="D470" s="425" t="inlineStr">
        <is>
          <t>Tier 3</t>
        </is>
      </c>
      <c r="E470" s="425" t="n">
        <v>1</v>
      </c>
      <c r="F470" s="425" t="inlineStr">
        <is>
          <t>Andres Lopez</t>
        </is>
      </c>
      <c r="G470" s="425" t="inlineStr">
        <is>
          <t>andres.lopez@marcusmillichap.com</t>
        </is>
      </c>
      <c r="H470" s="425" t="n"/>
      <c r="I470" s="441">
        <f>IF(OR(C470="Passed",H470="",ISBLANK(H470)),"",H470+1)</f>
        <v/>
      </c>
      <c r="J470" s="425">
        <f>IF(I470="","",IF(I470&lt;=TODAY(),"DUE",IF(I470&lt;=TODAY()+3,"Next 3 Days","Later")))</f>
        <v/>
      </c>
      <c r="K470" s="425" t="inlineStr"/>
      <c r="L470" s="425" t="inlineStr"/>
      <c r="M470" s="425" t="inlineStr"/>
    </row>
    <row r="471">
      <c r="A471" s="425" t="inlineStr">
        <is>
          <t>Marvecx</t>
        </is>
      </c>
      <c r="B471" s="425" t="inlineStr">
        <is>
          <t>Other / Review</t>
        </is>
      </c>
      <c r="C471" s="425" t="inlineStr">
        <is>
          <t>Research</t>
        </is>
      </c>
      <c r="D471" s="425" t="inlineStr">
        <is>
          <t>Tier 3</t>
        </is>
      </c>
      <c r="E471" s="425" t="n">
        <v>1</v>
      </c>
      <c r="F471" s="425" t="inlineStr">
        <is>
          <t>Marvelours Ayinde</t>
        </is>
      </c>
      <c r="G471" s="425" t="inlineStr">
        <is>
          <t>marvecxsparct@gmail.com</t>
        </is>
      </c>
      <c r="H471" s="425" t="n"/>
      <c r="I471" s="441">
        <f>IF(OR(C471="Passed",H471="",ISBLANK(H471)),"",H471+1)</f>
        <v/>
      </c>
      <c r="J471" s="425">
        <f>IF(I471="","",IF(I471&lt;=TODAY(),"DUE",IF(I471&lt;=TODAY()+3,"Next 3 Days","Later")))</f>
        <v/>
      </c>
      <c r="K471" s="425" t="inlineStr"/>
      <c r="L471" s="425" t="inlineStr"/>
      <c r="M471" s="425" t="inlineStr">
        <is>
          <t>meeting booked / no show</t>
        </is>
      </c>
    </row>
    <row r="472">
      <c r="A472" s="425" t="inlineStr">
        <is>
          <t>Note Investment Corp</t>
        </is>
      </c>
      <c r="B472" s="425" t="inlineStr">
        <is>
          <t>Other / Review</t>
        </is>
      </c>
      <c r="C472" s="425" t="inlineStr">
        <is>
          <t>Research</t>
        </is>
      </c>
      <c r="D472" s="425" t="inlineStr">
        <is>
          <t>Tier 3</t>
        </is>
      </c>
      <c r="E472" s="425" t="n">
        <v>1</v>
      </c>
      <c r="F472" s="425" t="inlineStr">
        <is>
          <t>William Naranjo</t>
        </is>
      </c>
      <c r="G472" s="425" t="inlineStr">
        <is>
          <t>william@noteinvestmentcorporatiin.com</t>
        </is>
      </c>
      <c r="H472" s="425" t="n"/>
      <c r="I472" s="441">
        <f>IF(OR(C472="Passed",H472="",ISBLANK(H472)),"",H472+1)</f>
        <v/>
      </c>
      <c r="J472" s="425">
        <f>IF(I472="","",IF(I472&lt;=TODAY(),"DUE",IF(I472&lt;=TODAY()+3,"Next 3 Days","Later")))</f>
        <v/>
      </c>
      <c r="K472" s="425" t="inlineStr"/>
      <c r="L472" s="425" t="inlineStr"/>
      <c r="M472" s="425" t="inlineStr"/>
    </row>
    <row r="473">
      <c r="A473" s="425" t="inlineStr">
        <is>
          <t>Prototek</t>
        </is>
      </c>
      <c r="B473" s="425" t="inlineStr">
        <is>
          <t>Other / Review</t>
        </is>
      </c>
      <c r="C473" s="425" t="inlineStr">
        <is>
          <t>Research</t>
        </is>
      </c>
      <c r="D473" s="425" t="inlineStr">
        <is>
          <t>Tier 3</t>
        </is>
      </c>
      <c r="E473" s="425" t="n">
        <v>1</v>
      </c>
      <c r="F473" s="425" t="inlineStr">
        <is>
          <t>Jenifer Epperson</t>
        </is>
      </c>
      <c r="G473" s="425" t="inlineStr">
        <is>
          <t>eppersonjenni@gmail.com</t>
        </is>
      </c>
      <c r="H473" s="425" t="n"/>
      <c r="I473" s="441">
        <f>IF(OR(C473="Passed",H473="",ISBLANK(H473)),"",H473+1)</f>
        <v/>
      </c>
      <c r="J473" s="425">
        <f>IF(I473="","",IF(I473&lt;=TODAY(),"DUE",IF(I473&lt;=TODAY()+3,"Next 3 Days","Later")))</f>
        <v/>
      </c>
      <c r="K473" s="425" t="inlineStr"/>
      <c r="L473" s="425" t="inlineStr"/>
      <c r="M473" s="425" t="inlineStr">
        <is>
          <t>cancelled / no reschedule</t>
        </is>
      </c>
    </row>
    <row r="474">
      <c r="A474" s="425" t="inlineStr">
        <is>
          <t>Quantum Technology Limited</t>
        </is>
      </c>
      <c r="B474" s="425" t="inlineStr">
        <is>
          <t>Other / Review</t>
        </is>
      </c>
      <c r="C474" s="425" t="inlineStr">
        <is>
          <t>Research</t>
        </is>
      </c>
      <c r="D474" s="425" t="inlineStr">
        <is>
          <t>Tier 3</t>
        </is>
      </c>
      <c r="E474" s="425" t="n">
        <v>1</v>
      </c>
      <c r="F474" s="425" t="inlineStr">
        <is>
          <t>Keryn Johnson</t>
        </is>
      </c>
      <c r="G474" s="425" t="inlineStr">
        <is>
          <t>ohbeehave007@gmail.com</t>
        </is>
      </c>
      <c r="H474" s="425" t="n"/>
      <c r="I474" s="441">
        <f>IF(OR(C474="Passed",H474="",ISBLANK(H474)),"",H474+1)</f>
        <v/>
      </c>
      <c r="J474" s="425">
        <f>IF(I474="","",IF(I474&lt;=TODAY(),"DUE",IF(I474&lt;=TODAY()+3,"Next 3 Days","Later")))</f>
        <v/>
      </c>
      <c r="K474" s="425" t="inlineStr"/>
      <c r="L474" s="425" t="inlineStr"/>
      <c r="M474" s="425" t="inlineStr"/>
    </row>
    <row r="475">
      <c r="A475" s="425" t="inlineStr">
        <is>
          <t>Rocket Propulsion Systems</t>
        </is>
      </c>
      <c r="B475" s="425" t="inlineStr">
        <is>
          <t>Other / Review</t>
        </is>
      </c>
      <c r="C475" s="425" t="inlineStr">
        <is>
          <t>Research</t>
        </is>
      </c>
      <c r="D475" s="425" t="inlineStr">
        <is>
          <t>Tier 3</t>
        </is>
      </c>
      <c r="E475" s="425" t="n">
        <v>1</v>
      </c>
      <c r="F475" s="425" t="inlineStr">
        <is>
          <t>Max Ismailov</t>
        </is>
      </c>
      <c r="G475" s="425" t="inlineStr">
        <is>
          <t>info@rocketpropulsionsysyems.com</t>
        </is>
      </c>
      <c r="H475" s="425" t="n"/>
      <c r="I475" s="441">
        <f>IF(OR(C475="Passed",H475="",ISBLANK(H475)),"",H475+1)</f>
        <v/>
      </c>
      <c r="J475" s="425">
        <f>IF(I475="","",IF(I475&lt;=TODAY(),"DUE",IF(I475&lt;=TODAY()+3,"Next 3 Days","Later")))</f>
        <v/>
      </c>
      <c r="K475" s="425" t="inlineStr"/>
      <c r="L475" s="425" t="inlineStr"/>
      <c r="M475" s="425" t="inlineStr"/>
    </row>
    <row r="476">
      <c r="A476" s="425" t="inlineStr">
        <is>
          <t>Rockwell Automation</t>
        </is>
      </c>
      <c r="B476" s="425" t="inlineStr">
        <is>
          <t>Other / Review</t>
        </is>
      </c>
      <c r="C476" s="425" t="inlineStr">
        <is>
          <t>Research</t>
        </is>
      </c>
      <c r="D476" s="425" t="inlineStr">
        <is>
          <t>Tier 3</t>
        </is>
      </c>
      <c r="E476" s="425" t="n">
        <v>1</v>
      </c>
      <c r="F476" s="425" t="inlineStr">
        <is>
          <t>Alexander Smith</t>
        </is>
      </c>
      <c r="G476" s="425" t="inlineStr">
        <is>
          <t>ajsmith3@rockwellautomation.com</t>
        </is>
      </c>
      <c r="H476" s="425" t="n"/>
      <c r="I476" s="441">
        <f>IF(OR(C476="Passed",H476="",ISBLANK(H476)),"",H476+1)</f>
        <v/>
      </c>
      <c r="J476" s="425">
        <f>IF(I476="","",IF(I476&lt;=TODAY(),"DUE",IF(I476&lt;=TODAY()+3,"Next 3 Days","Later")))</f>
        <v/>
      </c>
      <c r="K476" s="425" t="inlineStr"/>
      <c r="L476" s="425" t="inlineStr"/>
      <c r="M476" s="425" t="inlineStr"/>
    </row>
    <row r="477">
      <c r="A477" s="425" t="inlineStr">
        <is>
          <t>SLS Group</t>
        </is>
      </c>
      <c r="B477" s="425" t="inlineStr">
        <is>
          <t>Other / Review</t>
        </is>
      </c>
      <c r="C477" s="425" t="inlineStr">
        <is>
          <t>Research</t>
        </is>
      </c>
      <c r="D477" s="425" t="inlineStr">
        <is>
          <t>Tier 3</t>
        </is>
      </c>
      <c r="E477" s="425" t="n">
        <v>1</v>
      </c>
      <c r="F477" s="425" t="inlineStr">
        <is>
          <t>Ben Port</t>
        </is>
      </c>
      <c r="G477" s="425" t="inlineStr">
        <is>
          <t>ben@slsgroup.io</t>
        </is>
      </c>
      <c r="H477" s="425" t="n"/>
      <c r="I477" s="441">
        <f>IF(OR(C477="Passed",H477="",ISBLANK(H477)),"",H477+1)</f>
        <v/>
      </c>
      <c r="J477" s="425">
        <f>IF(I477="","",IF(I477&lt;=TODAY(),"DUE",IF(I477&lt;=TODAY()+3,"Next 3 Days","Later")))</f>
        <v/>
      </c>
      <c r="K477" s="425" t="inlineStr"/>
      <c r="L477" s="425" t="inlineStr"/>
      <c r="M477" s="425" t="inlineStr"/>
    </row>
    <row r="478">
      <c r="A478" s="425" t="inlineStr">
        <is>
          <t>Sun Burn Schematics</t>
        </is>
      </c>
      <c r="B478" s="425" t="inlineStr">
        <is>
          <t>Other / Review</t>
        </is>
      </c>
      <c r="C478" s="425" t="inlineStr">
        <is>
          <t>Research</t>
        </is>
      </c>
      <c r="D478" s="425" t="inlineStr">
        <is>
          <t>Tier 3</t>
        </is>
      </c>
      <c r="E478" s="425" t="n">
        <v>1</v>
      </c>
      <c r="F478" s="425" t="inlineStr">
        <is>
          <t>Danny Andreev</t>
        </is>
      </c>
      <c r="G478" s="425" t="inlineStr">
        <is>
          <t>danny@sunburnscematics.com</t>
        </is>
      </c>
      <c r="H478" s="425" t="n"/>
      <c r="I478" s="441">
        <f>IF(OR(C478="Passed",H478="",ISBLANK(H478)),"",H478+1)</f>
        <v/>
      </c>
      <c r="J478" s="425">
        <f>IF(I478="","",IF(I478&lt;=TODAY(),"DUE",IF(I478&lt;=TODAY()+3,"Next 3 Days","Later")))</f>
        <v/>
      </c>
      <c r="K478" s="425" t="inlineStr"/>
      <c r="L478" s="425" t="inlineStr"/>
      <c r="M478" s="425" t="inlineStr"/>
    </row>
    <row r="479">
      <c r="A479" s="425" t="inlineStr">
        <is>
          <t>Tech Nexus</t>
        </is>
      </c>
      <c r="B479" s="425" t="inlineStr">
        <is>
          <t>Other / Review</t>
        </is>
      </c>
      <c r="C479" s="425" t="inlineStr">
        <is>
          <t>Research</t>
        </is>
      </c>
      <c r="D479" s="425" t="inlineStr">
        <is>
          <t>Tier 3</t>
        </is>
      </c>
      <c r="E479" s="425" t="n">
        <v>1</v>
      </c>
      <c r="F479" s="425" t="inlineStr">
        <is>
          <t>Joey Alfieri</t>
        </is>
      </c>
      <c r="G479" s="425" t="inlineStr">
        <is>
          <t>joey@technexus.com</t>
        </is>
      </c>
      <c r="H479" s="425" t="n"/>
      <c r="I479" s="441">
        <f>IF(OR(C479="Passed",H479="",ISBLANK(H479)),"",H479+1)</f>
        <v/>
      </c>
      <c r="J479" s="425">
        <f>IF(I479="","",IF(I479&lt;=TODAY(),"DUE",IF(I479&lt;=TODAY()+3,"Next 3 Days","Later")))</f>
        <v/>
      </c>
      <c r="K479" s="425" t="inlineStr"/>
      <c r="L479" s="425" t="inlineStr"/>
      <c r="M479" s="425" t="inlineStr"/>
    </row>
    <row r="480">
      <c r="A480" s="425" t="inlineStr">
        <is>
          <t>Unity Group</t>
        </is>
      </c>
      <c r="B480" s="425" t="inlineStr">
        <is>
          <t>Other / Review</t>
        </is>
      </c>
      <c r="C480" s="425" t="inlineStr">
        <is>
          <t>Research</t>
        </is>
      </c>
      <c r="D480" s="425" t="inlineStr">
        <is>
          <t>Tier 3</t>
        </is>
      </c>
      <c r="E480" s="425" t="n">
        <v>1</v>
      </c>
      <c r="F480" s="425" t="inlineStr">
        <is>
          <t>Jeremy Harbour</t>
        </is>
      </c>
      <c r="G480" s="425" t="inlineStr">
        <is>
          <t>jeremy@unity-group.com</t>
        </is>
      </c>
      <c r="H480" s="425" t="n"/>
      <c r="I480" s="441">
        <f>IF(OR(C480="Passed",H480="",ISBLANK(H480)),"",H480+1)</f>
        <v/>
      </c>
      <c r="J480" s="425">
        <f>IF(I480="","",IF(I480&lt;=TODAY(),"DUE",IF(I480&lt;=TODAY()+3,"Next 3 Days","Later")))</f>
        <v/>
      </c>
      <c r="K480" s="425" t="inlineStr">
        <is>
          <t>Tahmina Kahn referred</t>
        </is>
      </c>
      <c r="L480" s="425" t="inlineStr"/>
      <c r="M480" s="425" t="inlineStr">
        <is>
          <t>wants to take puclic in europe markets, unlisted - 2.5 mill - 3-4 steps, building to take puclic in a few years</t>
        </is>
      </c>
    </row>
    <row r="481">
      <c r="A481" s="425" t="inlineStr">
        <is>
          <t>V2 Axis</t>
        </is>
      </c>
      <c r="B481" s="425" t="inlineStr">
        <is>
          <t>Other / Review</t>
        </is>
      </c>
      <c r="C481" s="425" t="inlineStr">
        <is>
          <t>Research</t>
        </is>
      </c>
      <c r="D481" s="425" t="inlineStr">
        <is>
          <t>Tier 3</t>
        </is>
      </c>
      <c r="E481" s="425" t="n">
        <v>1</v>
      </c>
      <c r="F481" s="425" t="inlineStr">
        <is>
          <t>Taylor Schomacher</t>
        </is>
      </c>
      <c r="G481" s="425" t="inlineStr">
        <is>
          <t>taylor@v2axis.com</t>
        </is>
      </c>
      <c r="H481" s="425" t="n"/>
      <c r="I481" s="441">
        <f>IF(OR(C481="Passed",H481="",ISBLANK(H481)),"",H481+1)</f>
        <v/>
      </c>
      <c r="J481" s="425">
        <f>IF(I481="","",IF(I481&lt;=TODAY(),"DUE",IF(I481&lt;=TODAY()+3,"Next 3 Days","Later")))</f>
        <v/>
      </c>
      <c r="K481" s="425" t="inlineStr"/>
      <c r="L481" s="425" t="inlineStr"/>
      <c r="M481" s="425" t="inlineStr"/>
    </row>
    <row r="482">
      <c r="A482" s="425" t="inlineStr">
        <is>
          <t>Aero X Ventures, GP</t>
        </is>
      </c>
      <c r="B482" s="425" t="inlineStr">
        <is>
          <t>Financial Investor</t>
        </is>
      </c>
      <c r="C482" s="425" t="inlineStr">
        <is>
          <t>Passed</t>
        </is>
      </c>
      <c r="D482" s="425" t="inlineStr">
        <is>
          <t>Tier 3</t>
        </is>
      </c>
      <c r="E482" s="425" t="n">
        <v>1</v>
      </c>
      <c r="F482" s="425" t="inlineStr">
        <is>
          <t>Aaron Ishikawa</t>
        </is>
      </c>
      <c r="G482" s="425" t="inlineStr">
        <is>
          <t>aaronishikawa@aeroxventures.com</t>
        </is>
      </c>
      <c r="H482" s="425" t="n"/>
      <c r="I482" s="425" t="inlineStr"/>
      <c r="J482" s="425">
        <f>IF(I482="","",IF(I482&lt;=TODAY(),"DUE",IF(I482&lt;=TODAY()+3,"Next 3 Days","Later")))</f>
        <v/>
      </c>
      <c r="K482" s="425" t="inlineStr"/>
      <c r="L482" s="425" t="inlineStr"/>
      <c r="M482" s="425" t="inlineStr">
        <is>
          <t>Wanted Cash Flow | Dead</t>
        </is>
      </c>
    </row>
    <row r="483">
      <c r="A483" s="425" t="inlineStr">
        <is>
          <t>Alpine Investors</t>
        </is>
      </c>
      <c r="B483" s="425" t="inlineStr">
        <is>
          <t>Financial Investor</t>
        </is>
      </c>
      <c r="C483" s="425" t="inlineStr">
        <is>
          <t>Passed</t>
        </is>
      </c>
      <c r="D483" s="425" t="inlineStr">
        <is>
          <t>Tier 3</t>
        </is>
      </c>
      <c r="E483" s="425" t="n">
        <v>1</v>
      </c>
      <c r="F483" s="425" t="inlineStr">
        <is>
          <t>William Tam</t>
        </is>
      </c>
      <c r="G483" s="425" t="inlineStr"/>
      <c r="H483" s="425" t="n"/>
      <c r="I483" s="425" t="inlineStr"/>
      <c r="J483" s="425">
        <f>IF(I483="","",IF(I483&lt;=TODAY(),"DUE",IF(I483&lt;=TODAY()+3,"Next 3 Days","Later")))</f>
        <v/>
      </c>
      <c r="K483" s="425" t="inlineStr">
        <is>
          <t>sulaiman@tristatecap.com</t>
        </is>
      </c>
      <c r="L483" s="425" t="inlineStr"/>
      <c r="M483" s="425" t="inlineStr">
        <is>
          <t>Passed after internal review. Strong interest in EXOS + Scorpius strategic potential and high regard for John, but not a fit for their model at this stage. Their firm typically prefers majority buyout to full-sale opportunities, and minority investments are harder without a clear path to majority ownership. They also felt the ~$1.5M revenue base last year was too early/small for underwriting a new platform within their model. They appreciated the opportunity and said they’ll keep EXOS in mind for future alignment. Also shared IronGate details internally with their government services team and may flag any relevant portfolio company interest.</t>
        </is>
      </c>
    </row>
    <row r="484">
      <c r="A484" s="425" t="inlineStr">
        <is>
          <t>Ellis / Mohamed</t>
        </is>
      </c>
      <c r="B484" s="425" t="inlineStr">
        <is>
          <t>Financial Investor</t>
        </is>
      </c>
      <c r="C484" s="425" t="inlineStr">
        <is>
          <t>Passed</t>
        </is>
      </c>
      <c r="D484" s="425" t="inlineStr">
        <is>
          <t>Tier 3</t>
        </is>
      </c>
      <c r="E484" s="425" t="n">
        <v>1</v>
      </c>
      <c r="F484" s="425" t="inlineStr">
        <is>
          <t>Mohamed</t>
        </is>
      </c>
      <c r="G484" s="425" t="inlineStr"/>
      <c r="H484" s="425" t="n"/>
      <c r="I484" s="425" t="inlineStr"/>
      <c r="J484" s="425">
        <f>IF(I484="","",IF(I484&lt;=TODAY(),"DUE",IF(I484&lt;=TODAY()+3,"Next 3 Days","Later")))</f>
        <v/>
      </c>
      <c r="K484" s="425" t="inlineStr"/>
      <c r="L484" s="425" t="inlineStr"/>
      <c r="M484" s="425" t="inlineStr">
        <is>
          <t>Please give me update | 20 Investors / Need to know from John | Dead</t>
        </is>
      </c>
    </row>
    <row r="485">
      <c r="A485" s="425" t="inlineStr">
        <is>
          <t>Nand</t>
        </is>
      </c>
      <c r="B485" s="425" t="inlineStr">
        <is>
          <t>Financial Investor</t>
        </is>
      </c>
      <c r="C485" s="425" t="inlineStr">
        <is>
          <t>Passed</t>
        </is>
      </c>
      <c r="D485" s="425" t="inlineStr">
        <is>
          <t>Tier 3</t>
        </is>
      </c>
      <c r="E485" s="425" t="n">
        <v>1</v>
      </c>
      <c r="F485" s="425" t="inlineStr">
        <is>
          <t>Nand</t>
        </is>
      </c>
      <c r="G485" s="425" t="inlineStr">
        <is>
          <t>nand@newprivateequity.com</t>
        </is>
      </c>
      <c r="H485" s="425" t="n"/>
      <c r="I485" s="425" t="inlineStr"/>
      <c r="J485" s="425">
        <f>IF(I485="","",IF(I485&lt;=TODAY(),"DUE",IF(I485&lt;=TODAY()+3,"Next 3 Days","Later")))</f>
        <v/>
      </c>
      <c r="K485" s="425" t="inlineStr"/>
      <c r="L485" s="425" t="inlineStr"/>
      <c r="M485" s="425" t="inlineStr">
        <is>
          <t>Wanted Cash flow | Sent Email to Nand / LinkedIn and VM but sent from my AmpliTech Email / due to closeness of AmpliTech | Dead</t>
        </is>
      </c>
    </row>
    <row r="486">
      <c r="A486" s="425" t="inlineStr">
        <is>
          <t>Nexus Commercial Finance / OZ</t>
        </is>
      </c>
      <c r="B486" s="425" t="inlineStr">
        <is>
          <t>Financial Investor</t>
        </is>
      </c>
      <c r="C486" s="425" t="inlineStr">
        <is>
          <t>Passed</t>
        </is>
      </c>
      <c r="D486" s="425" t="inlineStr">
        <is>
          <t>Tier 3</t>
        </is>
      </c>
      <c r="E486" s="425" t="n">
        <v>1</v>
      </c>
      <c r="F486" s="425" t="inlineStr">
        <is>
          <t>OZ Josefian</t>
        </is>
      </c>
      <c r="G486" s="425" t="inlineStr">
        <is>
          <t>oz.josefian@mynexusfinance.com</t>
        </is>
      </c>
      <c r="H486" s="425" t="n"/>
      <c r="I486" s="425" t="inlineStr"/>
      <c r="J486" s="425">
        <f>IF(I486="","",IF(I486&lt;=TODAY(),"DUE",IF(I486&lt;=TODAY()+3,"Next 3 Days","Later")))</f>
        <v/>
      </c>
      <c r="K486" s="425" t="inlineStr"/>
      <c r="L486" s="425" t="inlineStr"/>
      <c r="M486" s="425" t="inlineStr">
        <is>
          <t>OZ forward to Neil / John correspond | Left VM &amp; Email and LinkedIn | Dead</t>
        </is>
      </c>
    </row>
    <row r="487">
      <c r="A487" s="425" t="inlineStr">
        <is>
          <t>TruSight, LLC</t>
        </is>
      </c>
      <c r="B487" s="425" t="inlineStr">
        <is>
          <t>Financial Investor</t>
        </is>
      </c>
      <c r="C487" s="425" t="inlineStr">
        <is>
          <t>Passed</t>
        </is>
      </c>
      <c r="D487" s="425" t="inlineStr">
        <is>
          <t>Tier 3</t>
        </is>
      </c>
      <c r="E487" s="425" t="n">
        <v>1</v>
      </c>
      <c r="F487" s="425" t="inlineStr">
        <is>
          <t>Joseph Loreto</t>
        </is>
      </c>
      <c r="G487" s="425" t="inlineStr">
        <is>
          <t>joe@trusightllc.com</t>
        </is>
      </c>
      <c r="H487" s="425" t="n"/>
      <c r="I487" s="425" t="inlineStr"/>
      <c r="J487" s="425">
        <f>IF(I487="","",IF(I487&lt;=TODAY(),"DUE",IF(I487&lt;=TODAY()+3,"Next 3 Days","Later")))</f>
        <v/>
      </c>
      <c r="K487" s="425" t="inlineStr"/>
      <c r="L487" s="425" t="inlineStr"/>
      <c r="M487" s="425" t="inlineStr">
        <is>
          <t>Passed | Left Voice mail, Sent email / Not connected on LinkedIn waiting on accept | Dead</t>
        </is>
      </c>
    </row>
  </sheetData>
  <conditionalFormatting sqref="J2:J487">
    <cfRule type="expression" priority="1" dxfId="3">
      <formula>$J2="DUE"</formula>
    </cfRule>
  </conditionalFormatting>
  <conditionalFormatting sqref="D2:D487">
    <cfRule type="expression" priority="2" dxfId="5">
      <formula>$D2="Tier 1"</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N61"/>
  <sheetViews>
    <sheetView showGridLines="0" workbookViewId="0">
      <selection activeCell="A1" sqref="A1"/>
    </sheetView>
  </sheetViews>
  <sheetFormatPr baseColWidth="8" defaultRowHeight="15"/>
  <cols>
    <col width="8" customWidth="1" style="216" min="1" max="1"/>
    <col width="24" customWidth="1" style="216" min="2" max="2"/>
    <col width="20" customWidth="1" style="216" min="3" max="3"/>
    <col width="20" customWidth="1" style="216" min="4" max="4"/>
    <col width="18" customWidth="1" style="216" min="5" max="5"/>
    <col width="10" customWidth="1" style="216" min="6" max="6"/>
    <col width="12" customWidth="1" style="216" min="7" max="7"/>
    <col width="12" customWidth="1" style="216" min="8" max="8"/>
    <col width="12" customWidth="1" style="216" min="9" max="9"/>
    <col width="12" customWidth="1" style="216" min="10" max="10"/>
    <col width="26" customWidth="1" style="216" min="11" max="11"/>
    <col width="18" customWidth="1" style="216" min="12" max="12"/>
    <col width="34" customWidth="1" style="216" min="13" max="13"/>
    <col width="46" customWidth="1" style="216" min="14" max="14"/>
  </cols>
  <sheetData>
    <row r="1">
      <c r="A1" s="419" t="inlineStr">
        <is>
          <t>Rank</t>
        </is>
      </c>
      <c r="B1" s="419" t="inlineStr">
        <is>
          <t>Company</t>
        </is>
      </c>
      <c r="C1" s="419" t="inlineStr">
        <is>
          <t>Contact Name</t>
        </is>
      </c>
      <c r="D1" s="419" t="inlineStr">
        <is>
          <t>Category</t>
        </is>
      </c>
      <c r="E1" s="419" t="inlineStr">
        <is>
          <t>Stage</t>
        </is>
      </c>
      <c r="F1" s="419" t="inlineStr">
        <is>
          <t>Tier</t>
        </is>
      </c>
      <c r="G1" s="419" t="inlineStr">
        <is>
          <t>Last Touch</t>
        </is>
      </c>
      <c r="H1" s="419" t="inlineStr">
        <is>
          <t>Next Touch</t>
        </is>
      </c>
      <c r="I1" s="419" t="inlineStr">
        <is>
          <t>Due</t>
        </is>
      </c>
      <c r="J1" s="419" t="inlineStr">
        <is>
          <t>Priority Score</t>
        </is>
      </c>
      <c r="K1" s="419" t="inlineStr">
        <is>
          <t>Email</t>
        </is>
      </c>
      <c r="L1" s="419" t="inlineStr">
        <is>
          <t>Phone</t>
        </is>
      </c>
      <c r="M1" s="419" t="inlineStr">
        <is>
          <t>Next Action</t>
        </is>
      </c>
      <c r="N1" s="419" t="inlineStr">
        <is>
          <t>Notes</t>
        </is>
      </c>
    </row>
    <row r="2">
      <c r="A2" s="420" t="n">
        <v>1</v>
      </c>
      <c r="B2" s="420" t="inlineStr">
        <is>
          <t>US Capital</t>
        </is>
      </c>
      <c r="C2" s="420" t="inlineStr">
        <is>
          <t>Ashley Curless</t>
        </is>
      </c>
      <c r="D2" s="420" t="inlineStr">
        <is>
          <t>Financial Investor</t>
        </is>
      </c>
      <c r="E2" s="420" t="inlineStr">
        <is>
          <t>Term Sheet / Proposal</t>
        </is>
      </c>
      <c r="F2" s="420" t="inlineStr">
        <is>
          <t>Tier 1</t>
        </is>
      </c>
      <c r="G2" s="440" t="n">
        <v>45986</v>
      </c>
      <c r="H2" s="440" t="n">
        <v>45988</v>
      </c>
      <c r="I2" s="420" t="inlineStr">
        <is>
          <t>DUE</t>
        </is>
      </c>
      <c r="J2" s="420" t="n">
        <v>120</v>
      </c>
      <c r="K2" s="429" t="inlineStr">
        <is>
          <t>acurless@uscapital.com</t>
        </is>
      </c>
      <c r="L2" s="420" t="inlineStr"/>
      <c r="M2" s="420" t="inlineStr">
        <is>
          <t>Review terms and push decision process</t>
        </is>
      </c>
      <c r="N2" s="420" t="inlineStr">
        <is>
          <t>Terms shared; fee-heavy engagement model. $120K + 8%  $920K | 01/15/2026 | Submitted formal equity financing proposal for up to $10M. Structure includes 8% cash banking fee, 8% warrant coverage, and $120K upfront compliance/diligence/distribution fees. Process is heavily intermediary-led with broad investor marketing and placement focus. High fees and limited strategic value relative to capital efficiency; not a preferred path at this stage. | in data room ; sent terms but are they a strategic enough partner?</t>
        </is>
      </c>
    </row>
    <row r="3">
      <c r="A3" s="420" t="n">
        <v>2</v>
      </c>
      <c r="B3" s="420" t="inlineStr">
        <is>
          <t>Craft Capital</t>
        </is>
      </c>
      <c r="C3" s="420" t="inlineStr">
        <is>
          <t>Brandon Golenda</t>
        </is>
      </c>
      <c r="D3" s="420" t="inlineStr">
        <is>
          <t>Financial Investor</t>
        </is>
      </c>
      <c r="E3" s="420" t="inlineStr">
        <is>
          <t>Term Sheet / Proposal</t>
        </is>
      </c>
      <c r="F3" s="420" t="inlineStr">
        <is>
          <t>Tier 1</t>
        </is>
      </c>
      <c r="G3" s="440" t="n">
        <v>46020</v>
      </c>
      <c r="H3" s="440" t="n">
        <v>46022</v>
      </c>
      <c r="I3" s="420" t="inlineStr">
        <is>
          <t>DUE</t>
        </is>
      </c>
      <c r="J3" s="420" t="n">
        <v>120</v>
      </c>
      <c r="K3" s="429" t="inlineStr">
        <is>
          <t>bgolenda@craftcm.com</t>
        </is>
      </c>
      <c r="L3" s="420" t="inlineStr"/>
      <c r="M3" s="420" t="inlineStr">
        <is>
          <t>Review terms and push decision process</t>
        </is>
      </c>
      <c r="N3" s="420" t="inlineStr">
        <is>
          <t>Advisory offer contingent on $30K fee. We chose not to proceed; parked. | $30K Investment bank enagement $10k/mo for 3 months advisor only. no funds.</t>
        </is>
      </c>
    </row>
    <row r="4">
      <c r="A4" s="420" t="n">
        <v>3</v>
      </c>
      <c r="B4" s="420" t="inlineStr">
        <is>
          <t>Cerberus Capital Management</t>
        </is>
      </c>
      <c r="C4" s="420" t="inlineStr">
        <is>
          <t>Dan Quayle</t>
        </is>
      </c>
      <c r="D4" s="420" t="inlineStr">
        <is>
          <t>Financial Investor</t>
        </is>
      </c>
      <c r="E4" s="420" t="inlineStr">
        <is>
          <t>Term Sheet / Proposal</t>
        </is>
      </c>
      <c r="F4" s="420" t="inlineStr">
        <is>
          <t>Tier 1</t>
        </is>
      </c>
      <c r="G4" s="440" t="n">
        <v>46023</v>
      </c>
      <c r="H4" s="440" t="n">
        <v>46025</v>
      </c>
      <c r="I4" s="420" t="inlineStr">
        <is>
          <t>DUE</t>
        </is>
      </c>
      <c r="J4" s="420" t="n">
        <v>120</v>
      </c>
      <c r="K4" s="429" t="inlineStr">
        <is>
          <t>dquayle@cerberus.com</t>
        </is>
      </c>
      <c r="L4" s="420" t="inlineStr"/>
      <c r="M4" s="420" t="inlineStr">
        <is>
          <t>Review terms and push decision process</t>
        </is>
      </c>
      <c r="N4" s="420" t="inlineStr">
        <is>
          <t>01/14/2026 | Introductory conversation held; John sent story deck, finance-focused deck, and one-pager today. Framed as strategic partner aligned with Scorpius acquisition, revenue expansion, and hypersonics / Golden Dome support. Added as potential strategic partner for board consideration. Awaiting response.</t>
        </is>
      </c>
    </row>
    <row r="5">
      <c r="A5" s="420" t="n">
        <v>4</v>
      </c>
      <c r="B5" s="420" t="inlineStr">
        <is>
          <t>Cerberus Capital Management</t>
        </is>
      </c>
      <c r="C5" s="420" t="inlineStr">
        <is>
          <t>Frank Bruno</t>
        </is>
      </c>
      <c r="D5" s="420" t="inlineStr">
        <is>
          <t>Financial Investor</t>
        </is>
      </c>
      <c r="E5" s="420" t="inlineStr">
        <is>
          <t>Term Sheet / Proposal</t>
        </is>
      </c>
      <c r="F5" s="420" t="inlineStr">
        <is>
          <t>Tier 1</t>
        </is>
      </c>
      <c r="G5" s="440" t="n">
        <v>46023</v>
      </c>
      <c r="H5" s="440" t="n">
        <v>46025</v>
      </c>
      <c r="I5" s="420" t="inlineStr">
        <is>
          <t>DUE</t>
        </is>
      </c>
      <c r="J5" s="420" t="n">
        <v>120</v>
      </c>
      <c r="K5" s="429" t="inlineStr">
        <is>
          <t>fbruno@cerberus.com</t>
        </is>
      </c>
      <c r="L5" s="420" t="inlineStr"/>
      <c r="M5" s="420" t="inlineStr">
        <is>
          <t>Review terms and push decision process</t>
        </is>
      </c>
      <c r="N5" s="420" t="inlineStr">
        <is>
          <t>01/14/2026 | Introductory conversation held; John sent story deck, finance-focused deck, and one-pager today. Framed as strategic partner aligned with Scorpius acquisition, revenue expansion, and hypersonics / Golden Dome support. Added as potential strategic partner for board consideration. Awaiting response.</t>
        </is>
      </c>
    </row>
    <row r="6">
      <c r="A6" s="420" t="n">
        <v>5</v>
      </c>
      <c r="B6" s="420" t="inlineStr">
        <is>
          <t>Cerberus Capital Management</t>
        </is>
      </c>
      <c r="C6" s="420" t="inlineStr">
        <is>
          <t>Kent (Cerberus Ops)</t>
        </is>
      </c>
      <c r="D6" s="420" t="inlineStr">
        <is>
          <t>Financial Investor</t>
        </is>
      </c>
      <c r="E6" s="420" t="inlineStr">
        <is>
          <t>Term Sheet / Proposal</t>
        </is>
      </c>
      <c r="F6" s="420" t="inlineStr">
        <is>
          <t>Tier 1</t>
        </is>
      </c>
      <c r="G6" s="440" t="n">
        <v>46023</v>
      </c>
      <c r="H6" s="440" t="n">
        <v>46025</v>
      </c>
      <c r="I6" s="420" t="inlineStr">
        <is>
          <t>DUE</t>
        </is>
      </c>
      <c r="J6" s="420" t="n">
        <v>120</v>
      </c>
      <c r="K6" s="429" t="inlineStr">
        <is>
          <t>consult-klietzau@cerberusoperations.com</t>
        </is>
      </c>
      <c r="L6" s="420" t="inlineStr"/>
      <c r="M6" s="420" t="inlineStr">
        <is>
          <t>Review terms and push decision process</t>
        </is>
      </c>
      <c r="N6" s="420" t="inlineStr">
        <is>
          <t>Introductory conversation held; John sent story deck, finance-focused deck, and one-pager today. Framed as strategic partner aligned with Scorpius acquisition, revenue expansion, and hypersonics / Golden Dome support. Added as potential strategic partner for board consideration. Awaiting response.</t>
        </is>
      </c>
    </row>
    <row r="7">
      <c r="A7" s="420" t="n">
        <v>6</v>
      </c>
      <c r="B7" s="420" t="inlineStr">
        <is>
          <t>InvestFortuna</t>
        </is>
      </c>
      <c r="C7" s="420" t="inlineStr">
        <is>
          <t>Sean Bromley</t>
        </is>
      </c>
      <c r="D7" s="420" t="inlineStr">
        <is>
          <t>Financial Investor</t>
        </is>
      </c>
      <c r="E7" s="420" t="inlineStr">
        <is>
          <t>Term Sheet / Proposal</t>
        </is>
      </c>
      <c r="F7" s="420" t="inlineStr">
        <is>
          <t>Tier 1</t>
        </is>
      </c>
      <c r="G7" s="440" t="n">
        <v>46023</v>
      </c>
      <c r="H7" s="440" t="n">
        <v>46025</v>
      </c>
      <c r="I7" s="420" t="inlineStr">
        <is>
          <t>DUE</t>
        </is>
      </c>
      <c r="J7" s="420" t="n">
        <v>120</v>
      </c>
      <c r="K7" s="429" t="inlineStr">
        <is>
          <t>sbromley@investfortuna.com</t>
        </is>
      </c>
      <c r="L7" s="420" t="inlineStr"/>
      <c r="M7" s="420" t="inlineStr">
        <is>
          <t>Review terms and push decision process</t>
        </is>
      </c>
      <c r="N7" s="420" t="inlineStr">
        <is>
          <t>The .4 term sheet, as drafted, is not registrable, not exchange-compliant, and not defensible for directors.
It can be salvaged only through structural changes that align it with industry norms that they rejected. | 01/15/2026 | Fortuna proposed an IPO-led advisory structure including a warrant offering, $5M minimum bridge financing (convertible at significant discount), and a $15M IPO financing, with substantial embedded dilution and control provisions. EXOS submitted a formal counter-term sheet replacing discounted instruments and automatic vesting with performance-based earn-out equity tied to post-IPO share price and market cap milestones, preserving a clean cap table and fiduciary compliance. Negotiations ongoing; awaiting Fortuna response.</t>
        </is>
      </c>
    </row>
    <row r="8">
      <c r="A8" s="420" t="n">
        <v>7</v>
      </c>
      <c r="B8" s="420" t="inlineStr">
        <is>
          <t>Pickwick Capital</t>
        </is>
      </c>
      <c r="C8" s="420" t="inlineStr">
        <is>
          <t>Crescent Varrone</t>
        </is>
      </c>
      <c r="D8" s="420" t="inlineStr">
        <is>
          <t>Financial Investor</t>
        </is>
      </c>
      <c r="E8" s="420" t="inlineStr">
        <is>
          <t>Term Sheet / Proposal</t>
        </is>
      </c>
      <c r="F8" s="420" t="inlineStr">
        <is>
          <t>Tier 1</t>
        </is>
      </c>
      <c r="G8" s="440" t="n">
        <v>46031</v>
      </c>
      <c r="H8" s="440" t="n">
        <v>46033</v>
      </c>
      <c r="I8" s="420" t="inlineStr">
        <is>
          <t>DUE</t>
        </is>
      </c>
      <c r="J8" s="420" t="n">
        <v>120</v>
      </c>
      <c r="K8" s="429" t="inlineStr">
        <is>
          <t>varronec@pickwickcapital.com</t>
        </is>
      </c>
      <c r="L8" s="420" t="inlineStr"/>
      <c r="M8" s="420" t="inlineStr">
        <is>
          <t>Review terms and push decision process</t>
        </is>
      </c>
      <c r="N8" s="420" t="inlineStr">
        <is>
          <t>Active discussions underway. Pickwick has expressed interest; no term sheet yet. John had producitive meeting on 1/9. | 01/15/2026</t>
        </is>
      </c>
    </row>
    <row r="9">
      <c r="A9" s="420" t="n">
        <v>8</v>
      </c>
      <c r="B9" s="420" t="inlineStr">
        <is>
          <t>Pickwick Capital</t>
        </is>
      </c>
      <c r="C9" s="420" t="inlineStr">
        <is>
          <t>Crescent Varrone</t>
        </is>
      </c>
      <c r="D9" s="420" t="inlineStr">
        <is>
          <t>Financial Investor</t>
        </is>
      </c>
      <c r="E9" s="420" t="inlineStr">
        <is>
          <t>Term Sheet / Proposal</t>
        </is>
      </c>
      <c r="F9" s="420" t="inlineStr">
        <is>
          <t>Tier 1</t>
        </is>
      </c>
      <c r="G9" s="440" t="n">
        <v>46031</v>
      </c>
      <c r="H9" s="440" t="n">
        <v>46033</v>
      </c>
      <c r="I9" s="420" t="inlineStr">
        <is>
          <t>DUE</t>
        </is>
      </c>
      <c r="J9" s="420" t="n">
        <v>120</v>
      </c>
      <c r="K9" s="429" t="inlineStr">
        <is>
          <t>alvarezd@pickwickcapital.com</t>
        </is>
      </c>
      <c r="L9" s="420" t="inlineStr">
        <is>
          <t>Capital Partner (Equity / Strategic)</t>
        </is>
      </c>
      <c r="M9" s="420" t="inlineStr">
        <is>
          <t>Review terms and push decision process</t>
        </is>
      </c>
      <c r="N9" s="420" t="inlineStr">
        <is>
          <t>Active discussions underway. Pickwick has expressed interest; no term sheet yet. John had producitive meeting on 1/9. | 01/15/2026</t>
        </is>
      </c>
    </row>
    <row r="10">
      <c r="A10" s="420" t="n">
        <v>9</v>
      </c>
      <c r="B10" s="420" t="inlineStr">
        <is>
          <t>DelMorgan &amp; Co</t>
        </is>
      </c>
      <c r="C10" s="420" t="inlineStr">
        <is>
          <t>RJ Mollen</t>
        </is>
      </c>
      <c r="D10" s="420" t="inlineStr">
        <is>
          <t>Financial Investor</t>
        </is>
      </c>
      <c r="E10" s="420" t="inlineStr">
        <is>
          <t>Term Sheet / Proposal</t>
        </is>
      </c>
      <c r="F10" s="420" t="inlineStr">
        <is>
          <t>Tier 1</t>
        </is>
      </c>
      <c r="G10" s="440" t="n">
        <v>46037</v>
      </c>
      <c r="H10" s="440" t="n">
        <v>46039</v>
      </c>
      <c r="I10" s="420" t="inlineStr">
        <is>
          <t>DUE</t>
        </is>
      </c>
      <c r="J10" s="420" t="n">
        <v>120</v>
      </c>
      <c r="K10" s="429" t="inlineStr">
        <is>
          <t>rjm@delmorganco.com</t>
        </is>
      </c>
      <c r="L10" s="420" t="inlineStr"/>
      <c r="M10" s="420" t="inlineStr">
        <is>
          <t>Review terms and push decision process</t>
        </is>
      </c>
      <c r="N10" s="420" t="inlineStr">
        <is>
          <t>Talked and rejected offer- RJ proposed two alternative advisory paths outside the DelMorgan framework: (1) Fast Space infrastructure and asset monetization strategy, and (2) Gleam Consulting advisory + investor introductions tied to a $10M raise. Fee-based advisory with equity success bonuses. Not aligned with current priorities; documented for reference.</t>
        </is>
      </c>
    </row>
    <row r="11">
      <c r="A11" s="420" t="n">
        <v>10</v>
      </c>
      <c r="B11" s="420" t="inlineStr">
        <is>
          <t>AxisCades</t>
        </is>
      </c>
      <c r="C11" s="420" t="inlineStr">
        <is>
          <t>Suresh Babu Suryadevara</t>
        </is>
      </c>
      <c r="D11" s="420" t="inlineStr">
        <is>
          <t>Financial Investor</t>
        </is>
      </c>
      <c r="E11" s="420" t="inlineStr">
        <is>
          <t>Term Sheet / Proposal</t>
        </is>
      </c>
      <c r="F11" s="420" t="inlineStr">
        <is>
          <t>Tier 1</t>
        </is>
      </c>
      <c r="G11" s="440" t="n">
        <v>46055</v>
      </c>
      <c r="H11" s="440" t="n">
        <v>46057</v>
      </c>
      <c r="I11" s="420" t="inlineStr">
        <is>
          <t>DUE</t>
        </is>
      </c>
      <c r="J11" s="420" t="n">
        <v>120</v>
      </c>
      <c r="K11" s="429" t="inlineStr">
        <is>
          <t>suresh.s@axiscades.in</t>
        </is>
      </c>
      <c r="L11" s="420" t="inlineStr"/>
      <c r="M11" s="420" t="inlineStr">
        <is>
          <t>Review terms and push decision process</t>
        </is>
      </c>
      <c r="N11" s="420" t="inlineStr">
        <is>
          <t>Missed call toady at 08:30 - Follow-up framework shared outlining a phased, ITAR/EAR-compliant strategic partnership. Proposal includes AxisCades acquiring 51% of SSLC for $10M (phased capital), international sales support with commission structure, and long-term India-based manufacturing under TAA/MLA approvals. Discussions ongoing to confirm alignment on structure, valuation, and next steps. | toured SSLC on 2/16 | met in person at EXOS on 12/19, follow up set for onsite visit 1/19 | request for SSLC visit on hold pending establishment of basic term sheet.</t>
        </is>
      </c>
    </row>
    <row r="12">
      <c r="A12" s="420" t="n">
        <v>11</v>
      </c>
      <c r="B12" s="420" t="inlineStr">
        <is>
          <t>US Capital</t>
        </is>
      </c>
      <c r="C12" s="420" t="inlineStr">
        <is>
          <t>Mitch; Steve Wilburn; Charles Sims</t>
        </is>
      </c>
      <c r="D12" s="420" t="inlineStr">
        <is>
          <t>Intermediary / Banker</t>
        </is>
      </c>
      <c r="E12" s="420" t="inlineStr">
        <is>
          <t>Term Sheet / Proposal</t>
        </is>
      </c>
      <c r="F12" s="420" t="inlineStr">
        <is>
          <t>Tier 1</t>
        </is>
      </c>
      <c r="G12" s="440" t="n">
        <v>45986</v>
      </c>
      <c r="H12" s="440" t="n">
        <v>45988</v>
      </c>
      <c r="I12" s="420" t="inlineStr">
        <is>
          <t>DUE</t>
        </is>
      </c>
      <c r="J12" s="420" t="n">
        <v>117</v>
      </c>
      <c r="K12" s="429" t="inlineStr">
        <is>
          <t>mambe@uscapital.com</t>
        </is>
      </c>
      <c r="L12" s="420" t="inlineStr"/>
      <c r="M12" s="420" t="inlineStr">
        <is>
          <t>Review terms and push decision process</t>
        </is>
      </c>
      <c r="N12" s="420" t="inlineStr">
        <is>
          <t>Terms shared; fee-heavy engagement model. $120K + 8%  $920K | 01/15/2026 | Submitted formal equity financing proposal for up to $10M. Structure includes 8% cash banking fee, 8% warrant coverage, and $120K upfront compliance/diligence/distribution fees. Process is heavily intermediary-led with broad investor marketing and placement focus. High fees and limited strategic value relative to capital efficiency; not a preferred path at this stage.</t>
        </is>
      </c>
    </row>
    <row r="13">
      <c r="A13" s="420" t="n">
        <v>12</v>
      </c>
      <c r="B13" s="420" t="inlineStr">
        <is>
          <t>Sunbelt Dallas Metro</t>
        </is>
      </c>
      <c r="C13" s="420" t="inlineStr">
        <is>
          <t>Bill Nicholson</t>
        </is>
      </c>
      <c r="D13" s="420" t="inlineStr">
        <is>
          <t>Intermediary / Banker</t>
        </is>
      </c>
      <c r="E13" s="420" t="inlineStr">
        <is>
          <t>Term Sheet / Proposal</t>
        </is>
      </c>
      <c r="F13" s="420" t="inlineStr">
        <is>
          <t>Tier 1</t>
        </is>
      </c>
      <c r="G13" s="440" t="n">
        <v>46083</v>
      </c>
      <c r="H13" s="440" t="n">
        <v>46085</v>
      </c>
      <c r="I13" s="420" t="inlineStr">
        <is>
          <t>DUE</t>
        </is>
      </c>
      <c r="J13" s="420" t="n">
        <v>116</v>
      </c>
      <c r="K13" s="429" t="inlineStr">
        <is>
          <t>bnicholson@sunbeltnetwork.com</t>
        </is>
      </c>
      <c r="L13" s="420" t="inlineStr"/>
      <c r="M13" s="420" t="inlineStr">
        <is>
          <t>Review terms and push decision process</t>
        </is>
      </c>
      <c r="N13" s="420" t="inlineStr">
        <is>
          <t>Sunbelt inquired about including a retainer amount in the Engagement Letter.
John responded that the EXOS Board is unlikely to approve another open-ended retainer structure due to prior experiences with retainers that did not yield measurable outcomes. The Board is prioritizing:
Clearly defined deliverables
Performance-aligned compensation
Objective execution milestones
Defined transaction targets
SEC-compliant structure (broker-dealer participation as required)
John encouraged Sunbelt to propose a performance-based framework (reduced/deferred retainer, milestone-triggered payments, or primarily success-fee based on capital secured).
Bill acknowledged and is coordinating internally to revise the proposal. He requested timing of the next Board meeting.
Status: Awaiting revised engagement structure from Sunbelt for Board review. | sent email letting him know board doesn't want to pat retainer fees</t>
        </is>
      </c>
    </row>
    <row r="14">
      <c r="A14" s="420" t="n">
        <v>13</v>
      </c>
      <c r="B14" s="420" t="inlineStr">
        <is>
          <t>Concord Ventures</t>
        </is>
      </c>
      <c r="C14" s="420" t="inlineStr">
        <is>
          <t>Salim Dada</t>
        </is>
      </c>
      <c r="D14" s="420" t="inlineStr">
        <is>
          <t>Financial Investor</t>
        </is>
      </c>
      <c r="E14" s="420" t="inlineStr">
        <is>
          <t>Engaged</t>
        </is>
      </c>
      <c r="F14" s="420" t="inlineStr">
        <is>
          <t>Tier 1</t>
        </is>
      </c>
      <c r="G14" s="440" t="n">
        <v>45958</v>
      </c>
      <c r="H14" s="440" t="n">
        <v>45963</v>
      </c>
      <c r="I14" s="420" t="inlineStr">
        <is>
          <t>DUE</t>
        </is>
      </c>
      <c r="J14" s="420" t="n">
        <v>115</v>
      </c>
      <c r="K14" s="429" t="inlineStr">
        <is>
          <t>salim.d@concordventuresinc.com</t>
        </is>
      </c>
      <c r="L14" s="420" t="inlineStr"/>
      <c r="M14" s="420" t="inlineStr">
        <is>
          <t>Advance diligence / proposal discussion</t>
        </is>
      </c>
      <c r="N14" s="420" t="inlineStr">
        <is>
          <t>Revised agreement sent; no follow-up since; inactive. | offer for $2500/month for 3 months plan | Offer for $2500/month to run program</t>
        </is>
      </c>
    </row>
    <row r="15">
      <c r="A15" s="420" t="n">
        <v>14</v>
      </c>
      <c r="B15" s="420" t="inlineStr">
        <is>
          <t>Concord Ventures</t>
        </is>
      </c>
      <c r="C15" s="420" t="inlineStr">
        <is>
          <t>Salim Dada</t>
        </is>
      </c>
      <c r="D15" s="420" t="inlineStr">
        <is>
          <t>Financial Investor</t>
        </is>
      </c>
      <c r="E15" s="420" t="inlineStr">
        <is>
          <t>Engaged</t>
        </is>
      </c>
      <c r="F15" s="420" t="inlineStr">
        <is>
          <t>Tier 1</t>
        </is>
      </c>
      <c r="G15" s="440" t="n">
        <v>45958</v>
      </c>
      <c r="H15" s="440" t="n">
        <v>45963</v>
      </c>
      <c r="I15" s="420" t="inlineStr">
        <is>
          <t>DUE</t>
        </is>
      </c>
      <c r="J15" s="420" t="n">
        <v>115</v>
      </c>
      <c r="K15" s="420" t="inlineStr"/>
      <c r="L15" s="420" t="inlineStr"/>
      <c r="M15" s="420" t="inlineStr">
        <is>
          <t>Advance diligence / proposal discussion</t>
        </is>
      </c>
      <c r="N15" s="420" t="inlineStr">
        <is>
          <t>Revised agreement sent; no follow-up since; inactive.</t>
        </is>
      </c>
    </row>
    <row r="16">
      <c r="A16" s="420" t="n">
        <v>15</v>
      </c>
      <c r="B16" s="420" t="inlineStr">
        <is>
          <t>Odeon Capital</t>
        </is>
      </c>
      <c r="C16" s="420" t="inlineStr">
        <is>
          <t>Eric Gomberg</t>
        </is>
      </c>
      <c r="D16" s="420" t="inlineStr">
        <is>
          <t>Financial Investor</t>
        </is>
      </c>
      <c r="E16" s="420" t="inlineStr">
        <is>
          <t>Engaged</t>
        </is>
      </c>
      <c r="F16" s="420" t="inlineStr">
        <is>
          <t>Tier 1</t>
        </is>
      </c>
      <c r="G16" s="440" t="n">
        <v>46028</v>
      </c>
      <c r="H16" s="440" t="n">
        <v>46033</v>
      </c>
      <c r="I16" s="420" t="inlineStr">
        <is>
          <t>DUE</t>
        </is>
      </c>
      <c r="J16" s="420" t="n">
        <v>115</v>
      </c>
      <c r="K16" s="429" t="inlineStr">
        <is>
          <t>egomberg@odeoncap.com</t>
        </is>
      </c>
      <c r="L16" s="420" t="inlineStr"/>
      <c r="M16" s="420" t="inlineStr">
        <is>
          <t>Advance diligence / proposal discussion</t>
        </is>
      </c>
      <c r="N16" s="420" t="inlineStr">
        <is>
          <t>MNDA + data room sent Dec 17. No response prior to year-end. Follow-up email sent today. | 01/15/2026 | 1. Reduced Retainer of $30,000 Upfront.
2. Success Fee of $400,000 at the back end.  We will credit the $30K Retainer back at the end upon a successful completion.
3. Any reasonable travel authorized by the client in advance of any travel.
Please let us know if this is okay, then we can proceed with the detailed proposal/engagement letter.
Regards, Bill
Bill Nicholson, MBA,  M&amp;AMI®, CM&amp;AA®</t>
        </is>
      </c>
    </row>
    <row r="17">
      <c r="A17" s="420" t="n">
        <v>16</v>
      </c>
      <c r="B17" s="420" t="inlineStr">
        <is>
          <t>Ricci Global Partners</t>
        </is>
      </c>
      <c r="C17" s="420" t="inlineStr">
        <is>
          <t>Riccardo Ricci</t>
        </is>
      </c>
      <c r="D17" s="420" t="inlineStr">
        <is>
          <t>Financial Investor</t>
        </is>
      </c>
      <c r="E17" s="420" t="inlineStr">
        <is>
          <t>Engaged</t>
        </is>
      </c>
      <c r="F17" s="420" t="inlineStr">
        <is>
          <t>Tier 1</t>
        </is>
      </c>
      <c r="G17" s="440" t="n">
        <v>46028</v>
      </c>
      <c r="H17" s="440" t="n">
        <v>46033</v>
      </c>
      <c r="I17" s="420" t="inlineStr">
        <is>
          <t>DUE</t>
        </is>
      </c>
      <c r="J17" s="420" t="n">
        <v>115</v>
      </c>
      <c r="K17" s="429" t="inlineStr">
        <is>
          <t>riccardo@riccicapitalpartners.com</t>
        </is>
      </c>
      <c r="L17" s="420" t="inlineStr"/>
      <c r="M17" s="420" t="inlineStr">
        <is>
          <t>Advance diligence / proposal discussion</t>
        </is>
      </c>
      <c r="N17" s="420" t="inlineStr">
        <is>
          <t>MNDA executed and data room shared. Ricci requested finance working session and followed up again today to move forward | 01/15/2026 | 03/13/2026</t>
        </is>
      </c>
    </row>
    <row r="18">
      <c r="A18" s="420" t="n">
        <v>17</v>
      </c>
      <c r="B18" s="420" t="inlineStr">
        <is>
          <t>Ricci Global Partners</t>
        </is>
      </c>
      <c r="C18" s="420" t="inlineStr">
        <is>
          <t>Riccardo Ricci</t>
        </is>
      </c>
      <c r="D18" s="420" t="inlineStr">
        <is>
          <t>Financial Investor</t>
        </is>
      </c>
      <c r="E18" s="420" t="inlineStr">
        <is>
          <t>Engaged</t>
        </is>
      </c>
      <c r="F18" s="420" t="inlineStr">
        <is>
          <t>Tier 1</t>
        </is>
      </c>
      <c r="G18" s="440" t="n">
        <v>46028</v>
      </c>
      <c r="H18" s="440" t="n">
        <v>46033</v>
      </c>
      <c r="I18" s="420" t="inlineStr">
        <is>
          <t>DUE</t>
        </is>
      </c>
      <c r="J18" s="420" t="n">
        <v>115</v>
      </c>
      <c r="K18" s="429" t="inlineStr">
        <is>
          <t>riccardo-ricci@ricciglobalpartners.com</t>
        </is>
      </c>
      <c r="L18" s="420" t="inlineStr"/>
      <c r="M18" s="420" t="inlineStr">
        <is>
          <t>Advance diligence / proposal discussion</t>
        </is>
      </c>
      <c r="N18" s="420" t="inlineStr">
        <is>
          <t>MNDA executed and data room shared. Ricci requested finance working session and followed up again today to move forward | 01/15/2026 | 03/13/2026</t>
        </is>
      </c>
    </row>
    <row r="19">
      <c r="A19" s="420" t="n">
        <v>18</v>
      </c>
      <c r="B19" s="420" t="inlineStr">
        <is>
          <t>CrossRoads Capital</t>
        </is>
      </c>
      <c r="C19" s="420" t="inlineStr">
        <is>
          <t>Rchard Phillips</t>
        </is>
      </c>
      <c r="D19" s="420" t="inlineStr">
        <is>
          <t>Financial Investor</t>
        </is>
      </c>
      <c r="E19" s="420" t="inlineStr">
        <is>
          <t>Engaged</t>
        </is>
      </c>
      <c r="F19" s="420" t="inlineStr">
        <is>
          <t>Tier 1</t>
        </is>
      </c>
      <c r="G19" s="440" t="n">
        <v>46038</v>
      </c>
      <c r="H19" s="440" t="n">
        <v>46043</v>
      </c>
      <c r="I19" s="420" t="inlineStr">
        <is>
          <t>DUE</t>
        </is>
      </c>
      <c r="J19" s="420" t="n">
        <v>115</v>
      </c>
      <c r="K19" s="420" t="inlineStr"/>
      <c r="L19" s="420" t="inlineStr"/>
      <c r="M19" s="420" t="inlineStr">
        <is>
          <t>Advance diligence / proposal discussion</t>
        </is>
      </c>
      <c r="N19" s="420" t="inlineStr">
        <is>
          <t>have new 18,000 sf facility just North of Denver Co.  $3-4M to scale</t>
        </is>
      </c>
    </row>
    <row r="20">
      <c r="A20" s="420" t="n">
        <v>19</v>
      </c>
      <c r="B20" s="420" t="inlineStr">
        <is>
          <t>Crossroads Capital</t>
        </is>
      </c>
      <c r="C20" s="420" t="inlineStr">
        <is>
          <t>Andrew J. Buchholtz and David Ford</t>
        </is>
      </c>
      <c r="D20" s="420" t="inlineStr">
        <is>
          <t>Financial Investor</t>
        </is>
      </c>
      <c r="E20" s="420" t="inlineStr">
        <is>
          <t>Engaged</t>
        </is>
      </c>
      <c r="F20" s="420" t="inlineStr">
        <is>
          <t>Tier 1</t>
        </is>
      </c>
      <c r="G20" s="440" t="n">
        <v>46038</v>
      </c>
      <c r="H20" s="440" t="n">
        <v>46043</v>
      </c>
      <c r="I20" s="420" t="inlineStr">
        <is>
          <t>DUE</t>
        </is>
      </c>
      <c r="J20" s="420" t="n">
        <v>115</v>
      </c>
      <c r="K20" s="429" t="inlineStr">
        <is>
          <t>andy@abuchholtz.com</t>
        </is>
      </c>
      <c r="L20" s="420" t="inlineStr"/>
      <c r="M20" s="420" t="inlineStr">
        <is>
          <t>Advance diligence / proposal discussion</t>
        </is>
      </c>
      <c r="N20" s="420" t="inlineStr">
        <is>
          <t>Sent you the ELA draft this morning — let me if you didn’t receive or if you have any questions. We can schedule another call if you’d like to review together. | have new 18,000 sf facility just North of Denver Co.  $3-4M to scale | had a call, sent deck</t>
        </is>
      </c>
    </row>
    <row r="21">
      <c r="A21" s="420" t="n">
        <v>20</v>
      </c>
      <c r="B21" s="420" t="inlineStr">
        <is>
          <t>Digital Asset Management</t>
        </is>
      </c>
      <c r="C21" s="420" t="inlineStr">
        <is>
          <t>Juan Lorenzana</t>
        </is>
      </c>
      <c r="D21" s="420" t="inlineStr">
        <is>
          <t>Financial Investor</t>
        </is>
      </c>
      <c r="E21" s="420" t="inlineStr">
        <is>
          <t>Engaged</t>
        </is>
      </c>
      <c r="F21" s="420" t="inlineStr">
        <is>
          <t>Tier 1</t>
        </is>
      </c>
      <c r="G21" s="440" t="n">
        <v>46059</v>
      </c>
      <c r="H21" s="440" t="n">
        <v>46064</v>
      </c>
      <c r="I21" s="420" t="inlineStr">
        <is>
          <t>DUE</t>
        </is>
      </c>
      <c r="J21" s="420" t="n">
        <v>115</v>
      </c>
      <c r="K21" s="420" t="inlineStr"/>
      <c r="L21" s="420" t="inlineStr"/>
      <c r="M21" s="420" t="inlineStr">
        <is>
          <t>Advance diligence / proposal discussion</t>
        </is>
      </c>
      <c r="N21" s="420" t="inlineStr">
        <is>
          <t>$30K refundable.  Fund  with hedge of Gold metals real estate etc.</t>
        </is>
      </c>
    </row>
    <row r="22">
      <c r="A22" s="420" t="n">
        <v>21</v>
      </c>
      <c r="B22" s="420" t="inlineStr">
        <is>
          <t>referred by andy@abucholtz.com</t>
        </is>
      </c>
      <c r="C22" s="420" t="inlineStr">
        <is>
          <t>Richard Phillips</t>
        </is>
      </c>
      <c r="D22" s="420" t="inlineStr">
        <is>
          <t>Financial Investor</t>
        </is>
      </c>
      <c r="E22" s="420" t="inlineStr">
        <is>
          <t>Meeting Requested</t>
        </is>
      </c>
      <c r="F22" s="420" t="inlineStr">
        <is>
          <t>Tier 1</t>
        </is>
      </c>
      <c r="G22" s="440" t="n">
        <v>45903</v>
      </c>
      <c r="H22" s="440" t="n">
        <v>45905</v>
      </c>
      <c r="I22" s="420" t="inlineStr">
        <is>
          <t>DUE</t>
        </is>
      </c>
      <c r="J22" s="420" t="n">
        <v>113</v>
      </c>
      <c r="K22" s="420" t="inlineStr"/>
      <c r="L22" s="420" t="inlineStr"/>
      <c r="M22" s="420" t="inlineStr">
        <is>
          <t>Book call and send agenda/deck</t>
        </is>
      </c>
      <c r="N22" s="420" t="inlineStr">
        <is>
          <t xml:space="preserve"> | meeting set 9/8/ NDA 9/12 | </t>
        </is>
      </c>
    </row>
    <row r="23">
      <c r="A23" s="420" t="n">
        <v>22</v>
      </c>
      <c r="B23" s="420" t="inlineStr">
        <is>
          <t>TEL Venture Capital</t>
        </is>
      </c>
      <c r="C23" s="420" t="inlineStr">
        <is>
          <t>Sergey Fedotov</t>
        </is>
      </c>
      <c r="D23" s="420" t="inlineStr">
        <is>
          <t>Financial Investor</t>
        </is>
      </c>
      <c r="E23" s="420" t="inlineStr">
        <is>
          <t>Meeting Requested</t>
        </is>
      </c>
      <c r="F23" s="420" t="inlineStr">
        <is>
          <t>Tier 1</t>
        </is>
      </c>
      <c r="G23" s="440" t="n">
        <v>45912</v>
      </c>
      <c r="H23" s="440" t="n">
        <v>45914</v>
      </c>
      <c r="I23" s="420" t="inlineStr">
        <is>
          <t>DUE</t>
        </is>
      </c>
      <c r="J23" s="420" t="n">
        <v>113</v>
      </c>
      <c r="K23" s="429" t="inlineStr">
        <is>
          <t>sergey.fedotov@tel.com</t>
        </is>
      </c>
      <c r="L23" s="420" t="inlineStr">
        <is>
          <t>650.360.8669</t>
        </is>
      </c>
      <c r="M23" s="420" t="inlineStr">
        <is>
          <t>Book call and send agenda/deck</t>
        </is>
      </c>
      <c r="N23" s="420" t="inlineStr">
        <is>
          <t>9/24 - meeting set for 10/2</t>
        </is>
      </c>
    </row>
    <row r="24">
      <c r="A24" s="420" t="n">
        <v>23</v>
      </c>
      <c r="B24" s="420" t="inlineStr">
        <is>
          <t>One Bow River</t>
        </is>
      </c>
      <c r="C24" s="420" t="inlineStr">
        <is>
          <t>Stowe Faircloth</t>
        </is>
      </c>
      <c r="D24" s="420" t="inlineStr">
        <is>
          <t>Financial Investor</t>
        </is>
      </c>
      <c r="E24" s="420" t="inlineStr">
        <is>
          <t>Meeting Requested</t>
        </is>
      </c>
      <c r="F24" s="420" t="inlineStr">
        <is>
          <t>Tier 1</t>
        </is>
      </c>
      <c r="G24" s="440" t="n">
        <v>45922</v>
      </c>
      <c r="H24" s="440" t="n">
        <v>45924</v>
      </c>
      <c r="I24" s="420" t="inlineStr">
        <is>
          <t>DUE</t>
        </is>
      </c>
      <c r="J24" s="420" t="n">
        <v>113</v>
      </c>
      <c r="K24" s="429" t="inlineStr">
        <is>
          <t>shane.sherman@onebowriver.com</t>
        </is>
      </c>
      <c r="L24" s="420" t="inlineStr">
        <is>
          <t>720.910.9483</t>
        </is>
      </c>
      <c r="M24" s="420" t="inlineStr">
        <is>
          <t>Book call and send agenda/deck</t>
        </is>
      </c>
      <c r="N24" s="420" t="inlineStr">
        <is>
          <t>08/12/2025 | Stowe Faircloth &lt;Stowe.faircloth@onebowriver.com&gt;replied requesting a meeting on 9/22</t>
        </is>
      </c>
    </row>
    <row r="25">
      <c r="A25" s="420" t="n">
        <v>24</v>
      </c>
      <c r="B25" s="420" t="inlineStr">
        <is>
          <t>Tristate Capital</t>
        </is>
      </c>
      <c r="C25" s="420" t="inlineStr">
        <is>
          <t>Sulaiman Sulaimani</t>
        </is>
      </c>
      <c r="D25" s="420" t="inlineStr">
        <is>
          <t>Intermediary / Banker</t>
        </is>
      </c>
      <c r="E25" s="420" t="inlineStr">
        <is>
          <t>Engaged</t>
        </is>
      </c>
      <c r="F25" s="420" t="inlineStr">
        <is>
          <t>Tier 1</t>
        </is>
      </c>
      <c r="G25" s="440" t="n">
        <v>46054</v>
      </c>
      <c r="H25" s="440" t="n">
        <v>46059</v>
      </c>
      <c r="I25" s="420" t="inlineStr">
        <is>
          <t>DUE</t>
        </is>
      </c>
      <c r="J25" s="420" t="n">
        <v>112</v>
      </c>
      <c r="K25" s="429" t="inlineStr">
        <is>
          <t>sulaiman@tristatecap.com</t>
        </is>
      </c>
      <c r="L25" s="420" t="inlineStr">
        <is>
          <t>11/17 meeting held and follow up sent</t>
        </is>
      </c>
      <c r="M25" s="420" t="inlineStr">
        <is>
          <t>Advance diligence / proposal discussion</t>
        </is>
      </c>
      <c r="N25" s="420" t="inlineStr">
        <is>
          <t>https://www.irongatevc.com/ 
Contracted with Sulaiman Sulaimani
​John Quinn​
​Neil Milburn​
John,
I'm scheduled to speak with our strategic partner Ty McCoy tomorrow. He just emailed me a company now that appears to be a close contact of his as there is someone on their team that is former CIA. I think we found the right partner for you and your team. Please give me sometime as I work on this for you and your team. I'll be back in touch. 
Thanks for the call yesterday. I enjoyed speaking with you. I was able to connect with our strategic partner Ty McCoy with IronGate. He is available to speak with us next week at 12 pm CST on 2/10.
I was also able to circle up with our clients from ETL. Hanshin Lee emailed me that he is interested in Exos Aerospace and speaking with us next week at 8 am CST on 2/10.
If you can please send me calendar invites for both calls on 2/10 8 am CST with ETL, and 12 pm CST with IronGate. Once I receive both invites, I'll be sure to pass them along. | 01/15/2026 | 2/10 – Calls Held: | etl dean rx? match with portfolio co</t>
        </is>
      </c>
    </row>
    <row r="26">
      <c r="A26" s="420" t="n">
        <v>25</v>
      </c>
      <c r="B26" s="420" t="inlineStr">
        <is>
          <t>Rockfleet Financial</t>
        </is>
      </c>
      <c r="C26" s="420" t="inlineStr">
        <is>
          <t>John Swift</t>
        </is>
      </c>
      <c r="D26" s="420" t="inlineStr">
        <is>
          <t>Financial Investor</t>
        </is>
      </c>
      <c r="E26" s="420" t="inlineStr">
        <is>
          <t>Meeting Held</t>
        </is>
      </c>
      <c r="F26" s="420" t="inlineStr">
        <is>
          <t>Tier 1</t>
        </is>
      </c>
      <c r="G26" s="440" t="n">
        <v>45831</v>
      </c>
      <c r="H26" s="440" t="n">
        <v>45836</v>
      </c>
      <c r="I26" s="420" t="inlineStr">
        <is>
          <t>DUE</t>
        </is>
      </c>
      <c r="J26" s="420" t="n">
        <v>109</v>
      </c>
      <c r="K26" s="429" t="inlineStr">
        <is>
          <t>john.swift@rockfleetfinancial.com</t>
        </is>
      </c>
      <c r="L26" s="420" t="inlineStr"/>
      <c r="M26" s="420" t="inlineStr">
        <is>
          <t>Send recap, materials, and next-step ask</t>
        </is>
      </c>
      <c r="N26" s="420" t="inlineStr">
        <is>
          <t xml:space="preserve"> | meeting held on 7/2 &amp; NDA in process- Followed up 7-11 | </t>
        </is>
      </c>
    </row>
    <row r="27">
      <c r="A27" s="420" t="n">
        <v>26</v>
      </c>
      <c r="B27" s="420" t="inlineStr">
        <is>
          <t>Palm Drive Capital</t>
        </is>
      </c>
      <c r="C27" s="420" t="inlineStr">
        <is>
          <t>Carter Dessommes</t>
        </is>
      </c>
      <c r="D27" s="420" t="inlineStr">
        <is>
          <t>Financial Investor</t>
        </is>
      </c>
      <c r="E27" s="420" t="inlineStr">
        <is>
          <t>Meeting Held</t>
        </is>
      </c>
      <c r="F27" s="420" t="inlineStr">
        <is>
          <t>Tier 1</t>
        </is>
      </c>
      <c r="G27" s="440" t="n">
        <v>45859</v>
      </c>
      <c r="H27" s="440" t="n">
        <v>45864</v>
      </c>
      <c r="I27" s="420" t="inlineStr">
        <is>
          <t>DUE</t>
        </is>
      </c>
      <c r="J27" s="420" t="n">
        <v>109</v>
      </c>
      <c r="K27" s="429" t="inlineStr">
        <is>
          <t>carter@palmdrive.vc</t>
        </is>
      </c>
      <c r="L27" s="420" t="inlineStr"/>
      <c r="M27" s="420" t="inlineStr">
        <is>
          <t>Send recap, materials, and next-step ask</t>
        </is>
      </c>
      <c r="N27" s="420" t="inlineStr">
        <is>
          <t xml:space="preserve"> | meeting held | </t>
        </is>
      </c>
    </row>
    <row r="28">
      <c r="A28" s="420" t="n">
        <v>27</v>
      </c>
      <c r="B28" s="420" t="inlineStr">
        <is>
          <t>REI</t>
        </is>
      </c>
      <c r="C28" s="420" t="inlineStr"/>
      <c r="D28" s="420" t="inlineStr">
        <is>
          <t>Financial Investor</t>
        </is>
      </c>
      <c r="E28" s="420" t="inlineStr">
        <is>
          <t>Meeting Held</t>
        </is>
      </c>
      <c r="F28" s="420" t="inlineStr">
        <is>
          <t>Tier 1</t>
        </is>
      </c>
      <c r="G28" s="440" t="n">
        <v>45917</v>
      </c>
      <c r="H28" s="440" t="n">
        <v>45922</v>
      </c>
      <c r="I28" s="420" t="inlineStr">
        <is>
          <t>DUE</t>
        </is>
      </c>
      <c r="J28" s="420" t="n">
        <v>109</v>
      </c>
      <c r="K28" s="420" t="inlineStr"/>
      <c r="L28" s="420" t="inlineStr"/>
      <c r="M28" s="420" t="inlineStr">
        <is>
          <t>Send recap, materials, and next-step ask</t>
        </is>
      </c>
      <c r="N28" s="420" t="inlineStr">
        <is>
          <t xml:space="preserve">Choctaw nation investor group interested in Space investments. Requesting site tour on 9-26 If you could send me a new link for a warehouse visit over the next week or so I’d really like to continue to dig into this and see where or who we can fit in. 
Also, please send me the deck and anything else you would like me to consider. |  | </t>
        </is>
      </c>
    </row>
    <row r="29">
      <c r="A29" s="420" t="n">
        <v>28</v>
      </c>
      <c r="B29" s="420" t="inlineStr">
        <is>
          <t>Cerebro Capital</t>
        </is>
      </c>
      <c r="C29" s="420" t="inlineStr">
        <is>
          <t>Steven Agathoklis</t>
        </is>
      </c>
      <c r="D29" s="420" t="inlineStr">
        <is>
          <t>Financial Investor</t>
        </is>
      </c>
      <c r="E29" s="420" t="inlineStr">
        <is>
          <t>Meeting Held</t>
        </is>
      </c>
      <c r="F29" s="420" t="inlineStr">
        <is>
          <t>Tier 1</t>
        </is>
      </c>
      <c r="G29" s="440" t="n">
        <v>45951</v>
      </c>
      <c r="H29" s="440" t="n">
        <v>45956</v>
      </c>
      <c r="I29" s="420" t="inlineStr">
        <is>
          <t>DUE</t>
        </is>
      </c>
      <c r="J29" s="420" t="n">
        <v>109</v>
      </c>
      <c r="K29" s="429" t="inlineStr">
        <is>
          <t>sagathoklis@cerebrocapital.com</t>
        </is>
      </c>
      <c r="L29" s="420" t="inlineStr"/>
      <c r="M29" s="420" t="inlineStr">
        <is>
          <t>Send recap, materials, and next-step ask</t>
        </is>
      </c>
      <c r="N29" s="420" t="inlineStr">
        <is>
          <t>NDA signed; full financials provided. No response since; inactive. | meeting held on 10/16</t>
        </is>
      </c>
    </row>
    <row r="30">
      <c r="A30" s="420" t="n">
        <v>29</v>
      </c>
      <c r="B30" s="420" t="inlineStr">
        <is>
          <t>Noblis Ventures</t>
        </is>
      </c>
      <c r="C30" s="420" t="inlineStr">
        <is>
          <t>Bill Collier</t>
        </is>
      </c>
      <c r="D30" s="420" t="inlineStr">
        <is>
          <t>Financial Investor</t>
        </is>
      </c>
      <c r="E30" s="420" t="inlineStr">
        <is>
          <t>Meeting Held</t>
        </is>
      </c>
      <c r="F30" s="420" t="inlineStr">
        <is>
          <t>Tier 1</t>
        </is>
      </c>
      <c r="G30" s="440" t="n">
        <v>45972</v>
      </c>
      <c r="H30" s="440" t="n">
        <v>45977</v>
      </c>
      <c r="I30" s="420" t="inlineStr">
        <is>
          <t>DUE</t>
        </is>
      </c>
      <c r="J30" s="420" t="n">
        <v>109</v>
      </c>
      <c r="K30" s="429" t="inlineStr">
        <is>
          <t>bill.collier@noblis.org</t>
        </is>
      </c>
      <c r="L30" s="420" t="inlineStr">
        <is>
          <t>09/03/2025</t>
        </is>
      </c>
      <c r="M30" s="420" t="inlineStr">
        <is>
          <t>Send recap, materials, and next-step ask</t>
        </is>
      </c>
      <c r="N30" s="420" t="inlineStr">
        <is>
          <t>12/5 follow up sent | meeting held and follow up emails sent. most recent follow up 12/5</t>
        </is>
      </c>
    </row>
    <row r="31">
      <c r="A31" s="420" t="n">
        <v>30</v>
      </c>
      <c r="B31" s="420" t="inlineStr">
        <is>
          <t>IPO Club</t>
        </is>
      </c>
      <c r="C31" s="420" t="inlineStr">
        <is>
          <t>Edoardo Zarghetta</t>
        </is>
      </c>
      <c r="D31" s="420" t="inlineStr">
        <is>
          <t>Financial Investor</t>
        </is>
      </c>
      <c r="E31" s="420" t="inlineStr">
        <is>
          <t>Meeting Held</t>
        </is>
      </c>
      <c r="F31" s="420" t="inlineStr">
        <is>
          <t>Tier 1</t>
        </is>
      </c>
      <c r="G31" s="440" t="n">
        <v>46030</v>
      </c>
      <c r="H31" s="440" t="n">
        <v>46035</v>
      </c>
      <c r="I31" s="420" t="inlineStr">
        <is>
          <t>DUE</t>
        </is>
      </c>
      <c r="J31" s="420" t="n">
        <v>109</v>
      </c>
      <c r="K31" s="429" t="inlineStr">
        <is>
          <t>edozar@gmail.com</t>
        </is>
      </c>
      <c r="L31" s="420" t="inlineStr"/>
      <c r="M31" s="420" t="inlineStr">
        <is>
          <t>Send recap, materials, and next-step ask</t>
        </is>
      </c>
      <c r="N31" s="420" t="inlineStr">
        <is>
          <t xml:space="preserve"> | meeting held on 1/13 - pitch deck sent for brother | </t>
        </is>
      </c>
    </row>
    <row r="32">
      <c r="A32" s="420" t="n">
        <v>31</v>
      </c>
      <c r="B32" s="420" t="inlineStr">
        <is>
          <t>Prospect Capital</t>
        </is>
      </c>
      <c r="C32" s="420" t="inlineStr">
        <is>
          <t>Sulaiman Sulaimani</t>
        </is>
      </c>
      <c r="D32" s="420" t="inlineStr">
        <is>
          <t>Financial Investor</t>
        </is>
      </c>
      <c r="E32" s="420" t="inlineStr">
        <is>
          <t>Meeting Held</t>
        </is>
      </c>
      <c r="F32" s="420" t="inlineStr">
        <is>
          <t>Tier 1</t>
        </is>
      </c>
      <c r="G32" s="440" t="n">
        <v>46030</v>
      </c>
      <c r="H32" s="440" t="n">
        <v>46035</v>
      </c>
      <c r="I32" s="420" t="inlineStr">
        <is>
          <t>DUE</t>
        </is>
      </c>
      <c r="J32" s="420" t="n">
        <v>109</v>
      </c>
      <c r="K32" s="420" t="inlineStr"/>
      <c r="L32" s="420" t="inlineStr">
        <is>
          <t>Capital Partner (Debt / Structured Capital)</t>
        </is>
      </c>
      <c r="M32" s="420" t="inlineStr">
        <is>
          <t>Send recap, materials, and next-step ask</t>
        </is>
      </c>
      <c r="N32" s="420" t="inlineStr">
        <is>
          <t xml:space="preserve">Introductory meeting held Jan 8. Prospect Capital operates through two distinct divisions; conversations are exploratory at this stage. Two divisions: core BDC credit and structured/special situations. EXOS aligns better with structured, event-driven capital vs traditional cash-flow lending. | </t>
        </is>
      </c>
    </row>
    <row r="33">
      <c r="A33" s="420" t="n">
        <v>32</v>
      </c>
      <c r="B33" s="420" t="inlineStr">
        <is>
          <t>Gravitics</t>
        </is>
      </c>
      <c r="C33" s="420" t="inlineStr">
        <is>
          <t>Scott Macklin</t>
        </is>
      </c>
      <c r="D33" s="420" t="inlineStr">
        <is>
          <t>Strategic / Corporate</t>
        </is>
      </c>
      <c r="E33" s="420" t="inlineStr">
        <is>
          <t>Meeting Requested</t>
        </is>
      </c>
      <c r="F33" s="420" t="inlineStr">
        <is>
          <t>Tier 1</t>
        </is>
      </c>
      <c r="G33" s="440" t="n">
        <v>45744</v>
      </c>
      <c r="H33" s="440" t="n">
        <v>45746</v>
      </c>
      <c r="I33" s="420" t="inlineStr">
        <is>
          <t>DUE</t>
        </is>
      </c>
      <c r="J33" s="420" t="n">
        <v>106</v>
      </c>
      <c r="K33" s="429" t="inlineStr">
        <is>
          <t>smacklin@gravitics.com</t>
        </is>
      </c>
      <c r="L33" s="420" t="inlineStr"/>
      <c r="M33" s="420" t="inlineStr">
        <is>
          <t>Book call and send agenda/deck</t>
        </is>
      </c>
      <c r="N33" s="420" t="inlineStr">
        <is>
          <t>meeting set for 4/3</t>
        </is>
      </c>
    </row>
    <row r="34">
      <c r="A34" s="420" t="n">
        <v>33</v>
      </c>
      <c r="B34" s="420" t="inlineStr">
        <is>
          <t>CounterFlow Solutions</t>
        </is>
      </c>
      <c r="C34" s="420" t="inlineStr">
        <is>
          <t>Dan Garretson</t>
        </is>
      </c>
      <c r="D34" s="420" t="inlineStr">
        <is>
          <t>Other / Review</t>
        </is>
      </c>
      <c r="E34" s="420" t="inlineStr">
        <is>
          <t>Engaged</t>
        </is>
      </c>
      <c r="F34" s="420" t="inlineStr">
        <is>
          <t>Tier 1</t>
        </is>
      </c>
      <c r="G34" s="440" t="n">
        <v>46024</v>
      </c>
      <c r="H34" s="440" t="n">
        <v>46029</v>
      </c>
      <c r="I34" s="420" t="inlineStr">
        <is>
          <t>DUE</t>
        </is>
      </c>
      <c r="J34" s="420" t="n">
        <v>104</v>
      </c>
      <c r="K34" s="429" t="inlineStr">
        <is>
          <t>dgarretson@counterflowsolutions.com</t>
        </is>
      </c>
      <c r="L34" s="420" t="inlineStr"/>
      <c r="M34" s="420" t="inlineStr">
        <is>
          <t>Advance diligence / proposal discussion</t>
        </is>
      </c>
      <c r="N34" s="420" t="inlineStr">
        <is>
          <t>Proposed short sprint to reframe EXOS + Scorpius narrative. Decision pending. | 12/23 john sent follow up reply | Costs for wrong scope</t>
        </is>
      </c>
    </row>
    <row r="35">
      <c r="A35" s="420" t="n">
        <v>34</v>
      </c>
      <c r="B35" s="420" t="inlineStr">
        <is>
          <t>Moonshots Capital</t>
        </is>
      </c>
      <c r="C35" s="420" t="inlineStr">
        <is>
          <t>LTC Brian Titus Noble</t>
        </is>
      </c>
      <c r="D35" s="420" t="inlineStr">
        <is>
          <t>Financial Investor</t>
        </is>
      </c>
      <c r="E35" s="420" t="inlineStr">
        <is>
          <t>Follow Up</t>
        </is>
      </c>
      <c r="F35" s="420" t="inlineStr">
        <is>
          <t>Tier 2</t>
        </is>
      </c>
      <c r="G35" s="440" t="n">
        <v>45813</v>
      </c>
      <c r="H35" s="440" t="n">
        <v>45820</v>
      </c>
      <c r="I35" s="420" t="inlineStr">
        <is>
          <t>DUE</t>
        </is>
      </c>
      <c r="J35" s="420" t="n">
        <v>90</v>
      </c>
      <c r="K35" s="429" t="inlineStr">
        <is>
          <t>titus@moonshotscapital.com</t>
        </is>
      </c>
      <c r="L35" s="420" t="inlineStr"/>
      <c r="M35" s="420" t="inlineStr">
        <is>
          <t>Send next follow-up with traction + CTA</t>
        </is>
      </c>
      <c r="N35" s="420" t="inlineStr">
        <is>
          <t xml:space="preserve"> |  | </t>
        </is>
      </c>
    </row>
    <row r="36">
      <c r="A36" s="420" t="n">
        <v>35</v>
      </c>
      <c r="B36" s="420" t="inlineStr">
        <is>
          <t>Moonshots Capital</t>
        </is>
      </c>
      <c r="C36" s="420" t="inlineStr">
        <is>
          <t>Mac Hoffman</t>
        </is>
      </c>
      <c r="D36" s="420" t="inlineStr">
        <is>
          <t>Financial Investor</t>
        </is>
      </c>
      <c r="E36" s="420" t="inlineStr">
        <is>
          <t>Follow Up</t>
        </is>
      </c>
      <c r="F36" s="420" t="inlineStr">
        <is>
          <t>Tier 2</t>
        </is>
      </c>
      <c r="G36" s="440" t="n">
        <v>45813</v>
      </c>
      <c r="H36" s="440" t="n">
        <v>45820</v>
      </c>
      <c r="I36" s="420" t="inlineStr">
        <is>
          <t>DUE</t>
        </is>
      </c>
      <c r="J36" s="420" t="n">
        <v>90</v>
      </c>
      <c r="K36" s="429" t="inlineStr">
        <is>
          <t>mac@moonshotscapital.com</t>
        </is>
      </c>
      <c r="L36" s="420" t="inlineStr"/>
      <c r="M36" s="420" t="inlineStr">
        <is>
          <t>Send next follow-up with traction + CTA</t>
        </is>
      </c>
      <c r="N36" s="420" t="inlineStr">
        <is>
          <t xml:space="preserve"> | Moonshots Application:  https://www.moonshotscapital.com/submit-your-startup-for-early-stage-investment/ | </t>
        </is>
      </c>
    </row>
    <row r="37">
      <c r="A37" s="420" t="n">
        <v>36</v>
      </c>
      <c r="B37" s="420" t="inlineStr">
        <is>
          <t>Khosla Ventures</t>
        </is>
      </c>
      <c r="C37" s="420" t="inlineStr">
        <is>
          <t>Alice Brooks</t>
        </is>
      </c>
      <c r="D37" s="420" t="inlineStr">
        <is>
          <t>Financial Investor</t>
        </is>
      </c>
      <c r="E37" s="420" t="inlineStr">
        <is>
          <t>Follow Up</t>
        </is>
      </c>
      <c r="F37" s="420" t="inlineStr">
        <is>
          <t>Tier 2</t>
        </is>
      </c>
      <c r="G37" s="440" t="n">
        <v>45814</v>
      </c>
      <c r="H37" s="440" t="n">
        <v>45821</v>
      </c>
      <c r="I37" s="420" t="inlineStr">
        <is>
          <t>DUE</t>
        </is>
      </c>
      <c r="J37" s="420" t="n">
        <v>90</v>
      </c>
      <c r="K37" s="429" t="inlineStr">
        <is>
          <t>abrooks@khoslaventures.com</t>
        </is>
      </c>
      <c r="L37" s="420" t="inlineStr"/>
      <c r="M37" s="420" t="inlineStr">
        <is>
          <t>Send next follow-up with traction + CTA</t>
        </is>
      </c>
      <c r="N37" s="420" t="inlineStr">
        <is>
          <t xml:space="preserve"> |  | </t>
        </is>
      </c>
    </row>
    <row r="38">
      <c r="A38" s="420" t="n">
        <v>37</v>
      </c>
      <c r="B38" s="420" t="inlineStr">
        <is>
          <t>Khosla Ventures</t>
        </is>
      </c>
      <c r="C38" s="420" t="inlineStr">
        <is>
          <t>Jon Chu</t>
        </is>
      </c>
      <c r="D38" s="420" t="inlineStr">
        <is>
          <t>Financial Investor</t>
        </is>
      </c>
      <c r="E38" s="420" t="inlineStr">
        <is>
          <t>Follow Up</t>
        </is>
      </c>
      <c r="F38" s="420" t="inlineStr">
        <is>
          <t>Tier 2</t>
        </is>
      </c>
      <c r="G38" s="440" t="n">
        <v>45814</v>
      </c>
      <c r="H38" s="440" t="n">
        <v>45821</v>
      </c>
      <c r="I38" s="420" t="inlineStr">
        <is>
          <t>DUE</t>
        </is>
      </c>
      <c r="J38" s="420" t="n">
        <v>90</v>
      </c>
      <c r="K38" s="429" t="inlineStr">
        <is>
          <t>jc@khoslaventures.com</t>
        </is>
      </c>
      <c r="L38" s="420" t="inlineStr"/>
      <c r="M38" s="420" t="inlineStr">
        <is>
          <t>Send next follow-up with traction + CTA</t>
        </is>
      </c>
      <c r="N38" s="420" t="inlineStr">
        <is>
          <t xml:space="preserve"> |  | </t>
        </is>
      </c>
    </row>
    <row r="39">
      <c r="A39" s="420" t="n">
        <v>38</v>
      </c>
      <c r="B39" s="420" t="inlineStr">
        <is>
          <t>Khosla Ventures</t>
        </is>
      </c>
      <c r="C39" s="420" t="inlineStr">
        <is>
          <t>Kanu Gulati</t>
        </is>
      </c>
      <c r="D39" s="420" t="inlineStr">
        <is>
          <t>Financial Investor</t>
        </is>
      </c>
      <c r="E39" s="420" t="inlineStr">
        <is>
          <t>Follow Up</t>
        </is>
      </c>
      <c r="F39" s="420" t="inlineStr">
        <is>
          <t>Tier 2</t>
        </is>
      </c>
      <c r="G39" s="440" t="n">
        <v>45814</v>
      </c>
      <c r="H39" s="440" t="n">
        <v>45821</v>
      </c>
      <c r="I39" s="420" t="inlineStr">
        <is>
          <t>DUE</t>
        </is>
      </c>
      <c r="J39" s="420" t="n">
        <v>90</v>
      </c>
      <c r="K39" s="429" t="inlineStr">
        <is>
          <t>kg@khoslaventures.com</t>
        </is>
      </c>
      <c r="L39" s="420" t="inlineStr"/>
      <c r="M39" s="420" t="inlineStr">
        <is>
          <t>Send next follow-up with traction + CTA</t>
        </is>
      </c>
      <c r="N39" s="420" t="inlineStr">
        <is>
          <t xml:space="preserve"> |  | </t>
        </is>
      </c>
    </row>
    <row r="40">
      <c r="A40" s="420" t="n">
        <v>39</v>
      </c>
      <c r="B40" s="420" t="inlineStr">
        <is>
          <t>Khosla Ventures</t>
        </is>
      </c>
      <c r="C40" s="420" t="inlineStr">
        <is>
          <t>Rajesh Swaminathan</t>
        </is>
      </c>
      <c r="D40" s="420" t="inlineStr">
        <is>
          <t>Financial Investor</t>
        </is>
      </c>
      <c r="E40" s="420" t="inlineStr">
        <is>
          <t>Follow Up</t>
        </is>
      </c>
      <c r="F40" s="420" t="inlineStr">
        <is>
          <t>Tier 2</t>
        </is>
      </c>
      <c r="G40" s="440" t="n">
        <v>45814</v>
      </c>
      <c r="H40" s="440" t="n">
        <v>45821</v>
      </c>
      <c r="I40" s="420" t="inlineStr">
        <is>
          <t>DUE</t>
        </is>
      </c>
      <c r="J40" s="420" t="n">
        <v>90</v>
      </c>
      <c r="K40" s="429" t="inlineStr">
        <is>
          <t>rs@khoslaventures.com</t>
        </is>
      </c>
      <c r="L40" s="420" t="inlineStr"/>
      <c r="M40" s="420" t="inlineStr">
        <is>
          <t>Send next follow-up with traction + CTA</t>
        </is>
      </c>
      <c r="N40" s="420" t="inlineStr">
        <is>
          <t xml:space="preserve">asked for deck / 7/7 sent deck | Deck 7-7-25 | </t>
        </is>
      </c>
    </row>
    <row r="41">
      <c r="A41" s="420" t="n">
        <v>40</v>
      </c>
      <c r="B41" s="420" t="inlineStr"/>
      <c r="C41" s="420" t="inlineStr">
        <is>
          <t>James Cameron</t>
        </is>
      </c>
      <c r="D41" s="420" t="inlineStr">
        <is>
          <t>Financial Investor</t>
        </is>
      </c>
      <c r="E41" s="420" t="inlineStr">
        <is>
          <t>Follow Up</t>
        </is>
      </c>
      <c r="F41" s="420" t="inlineStr">
        <is>
          <t>Tier 2</t>
        </is>
      </c>
      <c r="G41" s="440" t="n">
        <v>45821</v>
      </c>
      <c r="H41" s="440" t="n">
        <v>45828</v>
      </c>
      <c r="I41" s="420" t="inlineStr">
        <is>
          <t>DUE</t>
        </is>
      </c>
      <c r="J41" s="420" t="n">
        <v>90</v>
      </c>
      <c r="K41" s="429" t="inlineStr">
        <is>
          <t>james@visionaryleadership.co.nz</t>
        </is>
      </c>
      <c r="L41" s="420" t="inlineStr"/>
      <c r="M41" s="420" t="inlineStr">
        <is>
          <t>Send next follow-up with traction + CTA</t>
        </is>
      </c>
      <c r="N41" s="420" t="inlineStr">
        <is>
          <t xml:space="preserve"> | dns fail | </t>
        </is>
      </c>
    </row>
    <row r="42">
      <c r="A42" s="420" t="n">
        <v>41</v>
      </c>
      <c r="B42" s="420" t="inlineStr"/>
      <c r="C42" s="420" t="inlineStr">
        <is>
          <t>Jason Schwartz / Paul Gloyer GTL</t>
        </is>
      </c>
      <c r="D42" s="420" t="inlineStr">
        <is>
          <t>Financial Investor</t>
        </is>
      </c>
      <c r="E42" s="420" t="inlineStr">
        <is>
          <t>Follow Up</t>
        </is>
      </c>
      <c r="F42" s="420" t="inlineStr">
        <is>
          <t>Tier 2</t>
        </is>
      </c>
      <c r="G42" s="440" t="n">
        <v>45821</v>
      </c>
      <c r="H42" s="440" t="n">
        <v>45828</v>
      </c>
      <c r="I42" s="420" t="inlineStr">
        <is>
          <t>DUE</t>
        </is>
      </c>
      <c r="J42" s="420" t="n">
        <v>90</v>
      </c>
      <c r="K42" s="429" t="inlineStr">
        <is>
          <t>jason@leagueadvisors.com</t>
        </is>
      </c>
      <c r="L42" s="420" t="inlineStr"/>
      <c r="M42" s="420" t="inlineStr">
        <is>
          <t>Send next follow-up with traction + CTA</t>
        </is>
      </c>
      <c r="N42" s="420" t="inlineStr">
        <is>
          <t xml:space="preserve"> |  | </t>
        </is>
      </c>
    </row>
    <row r="43">
      <c r="A43" s="420" t="n">
        <v>42</v>
      </c>
      <c r="B43" s="420" t="inlineStr">
        <is>
          <t>Moneta VC</t>
        </is>
      </c>
      <c r="C43" s="420" t="inlineStr">
        <is>
          <t>Aasim Hasan</t>
        </is>
      </c>
      <c r="D43" s="420" t="inlineStr">
        <is>
          <t>Financial Investor</t>
        </is>
      </c>
      <c r="E43" s="420" t="inlineStr">
        <is>
          <t>Follow Up</t>
        </is>
      </c>
      <c r="F43" s="420" t="inlineStr">
        <is>
          <t>Tier 2</t>
        </is>
      </c>
      <c r="G43" s="440" t="n">
        <v>45821</v>
      </c>
      <c r="H43" s="440" t="n">
        <v>45828</v>
      </c>
      <c r="I43" s="420" t="inlineStr">
        <is>
          <t>DUE</t>
        </is>
      </c>
      <c r="J43" s="420" t="n">
        <v>90</v>
      </c>
      <c r="K43" s="429" t="inlineStr">
        <is>
          <t>ahasan@monetaventures.com</t>
        </is>
      </c>
      <c r="L43" s="420" t="inlineStr"/>
      <c r="M43" s="420" t="inlineStr">
        <is>
          <t>Send next follow-up with traction + CTA</t>
        </is>
      </c>
      <c r="N43" s="420" t="inlineStr">
        <is>
          <t xml:space="preserve"> | outside their scope | </t>
        </is>
      </c>
    </row>
    <row r="44">
      <c r="A44" s="420" t="n">
        <v>43</v>
      </c>
      <c r="B44" s="420" t="inlineStr">
        <is>
          <t>Moneta VC</t>
        </is>
      </c>
      <c r="C44" s="420" t="inlineStr">
        <is>
          <t>Ashu Bhalla</t>
        </is>
      </c>
      <c r="D44" s="420" t="inlineStr">
        <is>
          <t>Financial Investor</t>
        </is>
      </c>
      <c r="E44" s="420" t="inlineStr">
        <is>
          <t>Follow Up</t>
        </is>
      </c>
      <c r="F44" s="420" t="inlineStr">
        <is>
          <t>Tier 2</t>
        </is>
      </c>
      <c r="G44" s="440" t="n">
        <v>45821</v>
      </c>
      <c r="H44" s="440" t="n">
        <v>45828</v>
      </c>
      <c r="I44" s="420" t="inlineStr">
        <is>
          <t>DUE</t>
        </is>
      </c>
      <c r="J44" s="420" t="n">
        <v>90</v>
      </c>
      <c r="K44" s="429" t="inlineStr">
        <is>
          <t>ashu@moneta.vc</t>
        </is>
      </c>
      <c r="L44" s="420" t="inlineStr"/>
      <c r="M44" s="420" t="inlineStr">
        <is>
          <t>Send next follow-up with traction + CTA</t>
        </is>
      </c>
      <c r="N44" s="420" t="inlineStr">
        <is>
          <t xml:space="preserve"> | Moneta Application: https://moneta.vc/get-funding/ | </t>
        </is>
      </c>
    </row>
    <row r="45">
      <c r="A45" s="420" t="n">
        <v>44</v>
      </c>
      <c r="B45" s="420" t="inlineStr">
        <is>
          <t>Moneta VC</t>
        </is>
      </c>
      <c r="C45" s="420" t="inlineStr">
        <is>
          <t>Brent Kelton</t>
        </is>
      </c>
      <c r="D45" s="420" t="inlineStr">
        <is>
          <t>Financial Investor</t>
        </is>
      </c>
      <c r="E45" s="420" t="inlineStr">
        <is>
          <t>Follow Up</t>
        </is>
      </c>
      <c r="F45" s="420" t="inlineStr">
        <is>
          <t>Tier 2</t>
        </is>
      </c>
      <c r="G45" s="440" t="n">
        <v>45821</v>
      </c>
      <c r="H45" s="440" t="n">
        <v>45828</v>
      </c>
      <c r="I45" s="420" t="inlineStr">
        <is>
          <t>DUE</t>
        </is>
      </c>
      <c r="J45" s="420" t="n">
        <v>90</v>
      </c>
      <c r="K45" s="429" t="inlineStr">
        <is>
          <t>brent@moneta.vc</t>
        </is>
      </c>
      <c r="L45" s="420" t="inlineStr"/>
      <c r="M45" s="420" t="inlineStr">
        <is>
          <t>Send next follow-up with traction + CTA</t>
        </is>
      </c>
      <c r="N45" s="420" t="inlineStr">
        <is>
          <t xml:space="preserve"> |  | </t>
        </is>
      </c>
    </row>
    <row r="46">
      <c r="A46" s="420" t="n">
        <v>45</v>
      </c>
      <c r="B46" s="420" t="inlineStr">
        <is>
          <t>Moneta VC</t>
        </is>
      </c>
      <c r="C46" s="420" t="inlineStr">
        <is>
          <t>Lokesh Sikaria</t>
        </is>
      </c>
      <c r="D46" s="420" t="inlineStr">
        <is>
          <t>Financial Investor</t>
        </is>
      </c>
      <c r="E46" s="420" t="inlineStr">
        <is>
          <t>Follow Up</t>
        </is>
      </c>
      <c r="F46" s="420" t="inlineStr">
        <is>
          <t>Tier 2</t>
        </is>
      </c>
      <c r="G46" s="440" t="n">
        <v>45821</v>
      </c>
      <c r="H46" s="440" t="n">
        <v>45828</v>
      </c>
      <c r="I46" s="420" t="inlineStr">
        <is>
          <t>DUE</t>
        </is>
      </c>
      <c r="J46" s="420" t="n">
        <v>90</v>
      </c>
      <c r="K46" s="429" t="inlineStr">
        <is>
          <t>lsikaria@monetaventures.com</t>
        </is>
      </c>
      <c r="L46" s="420" t="inlineStr"/>
      <c r="M46" s="420" t="inlineStr">
        <is>
          <t>Send next follow-up with traction + CTA</t>
        </is>
      </c>
      <c r="N46" s="420" t="inlineStr">
        <is>
          <t xml:space="preserve"> |  | </t>
        </is>
      </c>
    </row>
    <row r="47">
      <c r="A47" s="420" t="n">
        <v>46</v>
      </c>
      <c r="B47" s="420" t="inlineStr">
        <is>
          <t>Moneta VC</t>
        </is>
      </c>
      <c r="C47" s="420" t="inlineStr">
        <is>
          <t>Vaibhav Nadgauda</t>
        </is>
      </c>
      <c r="D47" s="420" t="inlineStr">
        <is>
          <t>Financial Investor</t>
        </is>
      </c>
      <c r="E47" s="420" t="inlineStr">
        <is>
          <t>Follow Up</t>
        </is>
      </c>
      <c r="F47" s="420" t="inlineStr">
        <is>
          <t>Tier 2</t>
        </is>
      </c>
      <c r="G47" s="440" t="n">
        <v>45821</v>
      </c>
      <c r="H47" s="440" t="n">
        <v>45828</v>
      </c>
      <c r="I47" s="420" t="inlineStr">
        <is>
          <t>DUE</t>
        </is>
      </c>
      <c r="J47" s="420" t="n">
        <v>90</v>
      </c>
      <c r="K47" s="429" t="inlineStr">
        <is>
          <t>vnadgauda@monetaventures.com</t>
        </is>
      </c>
      <c r="L47" s="420" t="inlineStr"/>
      <c r="M47" s="420" t="inlineStr">
        <is>
          <t>Send next follow-up with traction + CTA</t>
        </is>
      </c>
      <c r="N47" s="420" t="inlineStr">
        <is>
          <t xml:space="preserve"> |  | </t>
        </is>
      </c>
    </row>
    <row r="48">
      <c r="A48" s="420" t="n">
        <v>47</v>
      </c>
      <c r="B48" s="420" t="inlineStr">
        <is>
          <t>Earl Grey Capital</t>
        </is>
      </c>
      <c r="C48" s="420" t="inlineStr">
        <is>
          <t>whole team</t>
        </is>
      </c>
      <c r="D48" s="420" t="inlineStr">
        <is>
          <t>Financial Investor</t>
        </is>
      </c>
      <c r="E48" s="420" t="inlineStr">
        <is>
          <t>Follow Up</t>
        </is>
      </c>
      <c r="F48" s="420" t="inlineStr">
        <is>
          <t>Tier 2</t>
        </is>
      </c>
      <c r="G48" s="440" t="n">
        <v>45828</v>
      </c>
      <c r="H48" s="440" t="n">
        <v>45835</v>
      </c>
      <c r="I48" s="420" t="inlineStr">
        <is>
          <t>DUE</t>
        </is>
      </c>
      <c r="J48" s="420" t="n">
        <v>90</v>
      </c>
      <c r="K48" s="429" t="inlineStr">
        <is>
          <t>team@earlgrey.capital</t>
        </is>
      </c>
      <c r="L48" s="420" t="inlineStr"/>
      <c r="M48" s="420" t="inlineStr">
        <is>
          <t>Send next follow-up with traction + CTA</t>
        </is>
      </c>
      <c r="N48" s="420" t="inlineStr">
        <is>
          <t xml:space="preserve"> |  | </t>
        </is>
      </c>
    </row>
    <row r="49">
      <c r="A49" s="420" t="n">
        <v>48</v>
      </c>
      <c r="B49" s="420" t="inlineStr">
        <is>
          <t>Arcis Group</t>
        </is>
      </c>
      <c r="C49" s="420" t="inlineStr">
        <is>
          <t>Andrew Healey</t>
        </is>
      </c>
      <c r="D49" s="420" t="inlineStr">
        <is>
          <t>Financial Investor</t>
        </is>
      </c>
      <c r="E49" s="420" t="inlineStr">
        <is>
          <t>Follow Up</t>
        </is>
      </c>
      <c r="F49" s="420" t="inlineStr">
        <is>
          <t>Tier 2</t>
        </is>
      </c>
      <c r="G49" s="440" t="n">
        <v>45835</v>
      </c>
      <c r="H49" s="440" t="n">
        <v>45842</v>
      </c>
      <c r="I49" s="420" t="inlineStr">
        <is>
          <t>DUE</t>
        </is>
      </c>
      <c r="J49" s="420" t="n">
        <v>90</v>
      </c>
      <c r="K49" s="429" t="inlineStr">
        <is>
          <t>ahealey@arcisgroup.com</t>
        </is>
      </c>
      <c r="L49" s="420" t="inlineStr"/>
      <c r="M49" s="420" t="inlineStr">
        <is>
          <t>Send next follow-up with traction + CTA</t>
        </is>
      </c>
      <c r="N49" s="420" t="inlineStr">
        <is>
          <t xml:space="preserve"> | 12/22/2025 | </t>
        </is>
      </c>
    </row>
    <row r="50">
      <c r="A50" s="420" t="n">
        <v>49</v>
      </c>
      <c r="B50" s="420" t="inlineStr">
        <is>
          <t>Arcis Group</t>
        </is>
      </c>
      <c r="C50" s="420" t="inlineStr">
        <is>
          <t>Arnaud Isnard</t>
        </is>
      </c>
      <c r="D50" s="420" t="inlineStr">
        <is>
          <t>Financial Investor</t>
        </is>
      </c>
      <c r="E50" s="420" t="inlineStr">
        <is>
          <t>Follow Up</t>
        </is>
      </c>
      <c r="F50" s="420" t="inlineStr">
        <is>
          <t>Tier 2</t>
        </is>
      </c>
      <c r="G50" s="440" t="n">
        <v>45835</v>
      </c>
      <c r="H50" s="440" t="n">
        <v>45842</v>
      </c>
      <c r="I50" s="420" t="inlineStr">
        <is>
          <t>DUE</t>
        </is>
      </c>
      <c r="J50" s="420" t="n">
        <v>90</v>
      </c>
      <c r="K50" s="429" t="inlineStr">
        <is>
          <t>aisnard@arcisgroup.com</t>
        </is>
      </c>
      <c r="L50" s="420" t="inlineStr"/>
      <c r="M50" s="420" t="inlineStr">
        <is>
          <t>Send next follow-up with traction + CTA</t>
        </is>
      </c>
      <c r="N50" s="420" t="inlineStr">
        <is>
          <t xml:space="preserve"> | 12/22/2025 | </t>
        </is>
      </c>
    </row>
    <row r="51">
      <c r="A51" s="420" t="n">
        <v>50</v>
      </c>
      <c r="B51" s="420" t="inlineStr">
        <is>
          <t>Arcis Group</t>
        </is>
      </c>
      <c r="C51" s="420" t="inlineStr">
        <is>
          <t>David Coudray</t>
        </is>
      </c>
      <c r="D51" s="420" t="inlineStr">
        <is>
          <t>Financial Investor</t>
        </is>
      </c>
      <c r="E51" s="420" t="inlineStr">
        <is>
          <t>Follow Up</t>
        </is>
      </c>
      <c r="F51" s="420" t="inlineStr">
        <is>
          <t>Tier 2</t>
        </is>
      </c>
      <c r="G51" s="440" t="n">
        <v>45835</v>
      </c>
      <c r="H51" s="440" t="n">
        <v>45842</v>
      </c>
      <c r="I51" s="420" t="inlineStr">
        <is>
          <t>DUE</t>
        </is>
      </c>
      <c r="J51" s="420" t="n">
        <v>90</v>
      </c>
      <c r="K51" s="429" t="inlineStr">
        <is>
          <t>dcoudray@arcisgroup.com</t>
        </is>
      </c>
      <c r="L51" s="420" t="inlineStr"/>
      <c r="M51" s="420" t="inlineStr">
        <is>
          <t>Send next follow-up with traction + CTA</t>
        </is>
      </c>
      <c r="N51" s="420" t="inlineStr">
        <is>
          <t xml:space="preserve"> | 12/22/2025 | </t>
        </is>
      </c>
    </row>
    <row r="52">
      <c r="A52" s="420" t="n">
        <v>51</v>
      </c>
      <c r="B52" s="420" t="inlineStr">
        <is>
          <t>Arcis Group</t>
        </is>
      </c>
      <c r="C52" s="420" t="inlineStr">
        <is>
          <t>Henri Isnard</t>
        </is>
      </c>
      <c r="D52" s="420" t="inlineStr">
        <is>
          <t>Financial Investor</t>
        </is>
      </c>
      <c r="E52" s="420" t="inlineStr">
        <is>
          <t>Follow Up</t>
        </is>
      </c>
      <c r="F52" s="420" t="inlineStr">
        <is>
          <t>Tier 2</t>
        </is>
      </c>
      <c r="G52" s="440" t="n">
        <v>45835</v>
      </c>
      <c r="H52" s="440" t="n">
        <v>45842</v>
      </c>
      <c r="I52" s="420" t="inlineStr">
        <is>
          <t>DUE</t>
        </is>
      </c>
      <c r="J52" s="420" t="n">
        <v>90</v>
      </c>
      <c r="K52" s="429" t="inlineStr">
        <is>
          <t>hisnard@arcisgroup.com</t>
        </is>
      </c>
      <c r="L52" s="420" t="inlineStr"/>
      <c r="M52" s="420" t="inlineStr">
        <is>
          <t>Send next follow-up with traction + CTA</t>
        </is>
      </c>
      <c r="N52" s="420" t="inlineStr">
        <is>
          <t xml:space="preserve"> | 12/22/2025 | </t>
        </is>
      </c>
    </row>
    <row r="53">
      <c r="A53" s="420" t="n">
        <v>52</v>
      </c>
      <c r="B53" s="420" t="inlineStr">
        <is>
          <t>Arcis Group</t>
        </is>
      </c>
      <c r="C53" s="420" t="inlineStr">
        <is>
          <t>Romain Bouché</t>
        </is>
      </c>
      <c r="D53" s="420" t="inlineStr">
        <is>
          <t>Financial Investor</t>
        </is>
      </c>
      <c r="E53" s="420" t="inlineStr">
        <is>
          <t>Follow Up</t>
        </is>
      </c>
      <c r="F53" s="420" t="inlineStr">
        <is>
          <t>Tier 2</t>
        </is>
      </c>
      <c r="G53" s="440" t="n">
        <v>45835</v>
      </c>
      <c r="H53" s="440" t="n">
        <v>45842</v>
      </c>
      <c r="I53" s="420" t="inlineStr">
        <is>
          <t>DUE</t>
        </is>
      </c>
      <c r="J53" s="420" t="n">
        <v>90</v>
      </c>
      <c r="K53" s="429" t="inlineStr">
        <is>
          <t>rbouche@arcisgroup.com</t>
        </is>
      </c>
      <c r="L53" s="420" t="inlineStr"/>
      <c r="M53" s="420" t="inlineStr">
        <is>
          <t>Send next follow-up with traction + CTA</t>
        </is>
      </c>
      <c r="N53" s="420" t="inlineStr">
        <is>
          <t xml:space="preserve"> | 12/22/2025 | </t>
        </is>
      </c>
    </row>
    <row r="54">
      <c r="A54" s="420" t="n">
        <v>53</v>
      </c>
      <c r="B54" s="420" t="inlineStr">
        <is>
          <t>Asymmetric Capital Partners</t>
        </is>
      </c>
      <c r="C54" s="420" t="inlineStr">
        <is>
          <t>Michele Spitzer</t>
        </is>
      </c>
      <c r="D54" s="420" t="inlineStr">
        <is>
          <t>Financial Investor</t>
        </is>
      </c>
      <c r="E54" s="420" t="inlineStr">
        <is>
          <t>Follow Up</t>
        </is>
      </c>
      <c r="F54" s="420" t="inlineStr">
        <is>
          <t>Tier 2</t>
        </is>
      </c>
      <c r="G54" s="440" t="n">
        <v>45835</v>
      </c>
      <c r="H54" s="440" t="n">
        <v>45842</v>
      </c>
      <c r="I54" s="420" t="inlineStr">
        <is>
          <t>DUE</t>
        </is>
      </c>
      <c r="J54" s="420" t="n">
        <v>90</v>
      </c>
      <c r="K54" s="429" t="inlineStr">
        <is>
          <t>michele@acp.vc</t>
        </is>
      </c>
      <c r="L54" s="420" t="inlineStr"/>
      <c r="M54" s="420" t="inlineStr">
        <is>
          <t>Send next follow-up with traction + CTA</t>
        </is>
      </c>
      <c r="N54" s="420" t="inlineStr">
        <is>
          <t xml:space="preserve"> | 12/23/2025 | </t>
        </is>
      </c>
    </row>
    <row r="55">
      <c r="A55" s="420" t="n">
        <v>54</v>
      </c>
      <c r="B55" s="420" t="inlineStr">
        <is>
          <t>Asymmetric Capital Partners</t>
        </is>
      </c>
      <c r="C55" s="420" t="inlineStr">
        <is>
          <t>Nancy Chou</t>
        </is>
      </c>
      <c r="D55" s="420" t="inlineStr">
        <is>
          <t>Financial Investor</t>
        </is>
      </c>
      <c r="E55" s="420" t="inlineStr">
        <is>
          <t>Follow Up</t>
        </is>
      </c>
      <c r="F55" s="420" t="inlineStr">
        <is>
          <t>Tier 2</t>
        </is>
      </c>
      <c r="G55" s="440" t="n">
        <v>45835</v>
      </c>
      <c r="H55" s="440" t="n">
        <v>45842</v>
      </c>
      <c r="I55" s="420" t="inlineStr">
        <is>
          <t>DUE</t>
        </is>
      </c>
      <c r="J55" s="420" t="n">
        <v>90</v>
      </c>
      <c r="K55" s="429" t="inlineStr">
        <is>
          <t>nancy@acp.vc</t>
        </is>
      </c>
      <c r="L55" s="420" t="inlineStr"/>
      <c r="M55" s="420" t="inlineStr">
        <is>
          <t>Send next follow-up with traction + CTA</t>
        </is>
      </c>
      <c r="N55" s="420" t="inlineStr">
        <is>
          <t xml:space="preserve"> | 12/23/2025 | </t>
        </is>
      </c>
    </row>
    <row r="56">
      <c r="A56" s="420" t="n">
        <v>55</v>
      </c>
      <c r="B56" s="420" t="inlineStr">
        <is>
          <t>Asymmetric Capital Partners</t>
        </is>
      </c>
      <c r="C56" s="420" t="inlineStr">
        <is>
          <t>Rob Biederman</t>
        </is>
      </c>
      <c r="D56" s="420" t="inlineStr">
        <is>
          <t>Financial Investor</t>
        </is>
      </c>
      <c r="E56" s="420" t="inlineStr">
        <is>
          <t>Follow Up</t>
        </is>
      </c>
      <c r="F56" s="420" t="inlineStr">
        <is>
          <t>Tier 2</t>
        </is>
      </c>
      <c r="G56" s="440" t="n">
        <v>45835</v>
      </c>
      <c r="H56" s="440" t="n">
        <v>45842</v>
      </c>
      <c r="I56" s="420" t="inlineStr">
        <is>
          <t>DUE</t>
        </is>
      </c>
      <c r="J56" s="420" t="n">
        <v>90</v>
      </c>
      <c r="K56" s="429" t="inlineStr">
        <is>
          <t>rob@acp.vc</t>
        </is>
      </c>
      <c r="L56" s="420" t="inlineStr"/>
      <c r="M56" s="420" t="inlineStr">
        <is>
          <t>Send next follow-up with traction + CTA</t>
        </is>
      </c>
      <c r="N56" s="420" t="inlineStr">
        <is>
          <t xml:space="preserve"> | 12/23/2025 | </t>
        </is>
      </c>
    </row>
    <row r="57">
      <c r="A57" s="420" t="n">
        <v>56</v>
      </c>
      <c r="B57" s="420" t="inlineStr">
        <is>
          <t>Asymmetric Capital Partners</t>
        </is>
      </c>
      <c r="C57" s="420" t="inlineStr">
        <is>
          <t>Sam Clayman</t>
        </is>
      </c>
      <c r="D57" s="420" t="inlineStr">
        <is>
          <t>Financial Investor</t>
        </is>
      </c>
      <c r="E57" s="420" t="inlineStr">
        <is>
          <t>Follow Up</t>
        </is>
      </c>
      <c r="F57" s="420" t="inlineStr">
        <is>
          <t>Tier 2</t>
        </is>
      </c>
      <c r="G57" s="440" t="n">
        <v>45835</v>
      </c>
      <c r="H57" s="440" t="n">
        <v>45842</v>
      </c>
      <c r="I57" s="420" t="inlineStr">
        <is>
          <t>DUE</t>
        </is>
      </c>
      <c r="J57" s="420" t="n">
        <v>90</v>
      </c>
      <c r="K57" s="429" t="inlineStr">
        <is>
          <t>sam@acp.vc</t>
        </is>
      </c>
      <c r="L57" s="420" t="inlineStr"/>
      <c r="M57" s="420" t="inlineStr">
        <is>
          <t>Send next follow-up with traction + CTA</t>
        </is>
      </c>
      <c r="N57" s="420" t="inlineStr">
        <is>
          <t xml:space="preserve"> | 12/23/2025 | </t>
        </is>
      </c>
    </row>
    <row r="58">
      <c r="A58" s="420" t="n">
        <v>57</v>
      </c>
      <c r="B58" s="420" t="inlineStr">
        <is>
          <t>Asymmetric Capital Partners</t>
        </is>
      </c>
      <c r="C58" s="420" t="inlineStr">
        <is>
          <t>Sarah Biggs</t>
        </is>
      </c>
      <c r="D58" s="420" t="inlineStr">
        <is>
          <t>Financial Investor</t>
        </is>
      </c>
      <c r="E58" s="420" t="inlineStr">
        <is>
          <t>Follow Up</t>
        </is>
      </c>
      <c r="F58" s="420" t="inlineStr">
        <is>
          <t>Tier 2</t>
        </is>
      </c>
      <c r="G58" s="440" t="n">
        <v>45835</v>
      </c>
      <c r="H58" s="440" t="n">
        <v>45842</v>
      </c>
      <c r="I58" s="420" t="inlineStr">
        <is>
          <t>DUE</t>
        </is>
      </c>
      <c r="J58" s="420" t="n">
        <v>90</v>
      </c>
      <c r="K58" s="429" t="inlineStr">
        <is>
          <t>sarah@acp.vc</t>
        </is>
      </c>
      <c r="L58" s="420" t="inlineStr"/>
      <c r="M58" s="420" t="inlineStr">
        <is>
          <t>Send next follow-up with traction + CTA</t>
        </is>
      </c>
      <c r="N58" s="420" t="inlineStr">
        <is>
          <t xml:space="preserve"> | 12/23/2025 | </t>
        </is>
      </c>
    </row>
    <row r="59">
      <c r="A59" s="420" t="n">
        <v>58</v>
      </c>
      <c r="B59" s="420" t="inlineStr">
        <is>
          <t>Blitzscaling Ventures</t>
        </is>
      </c>
      <c r="C59" s="420" t="inlineStr">
        <is>
          <t>Chris Yeh</t>
        </is>
      </c>
      <c r="D59" s="420" t="inlineStr">
        <is>
          <t>Financial Investor</t>
        </is>
      </c>
      <c r="E59" s="420" t="inlineStr">
        <is>
          <t>Follow Up</t>
        </is>
      </c>
      <c r="F59" s="420" t="inlineStr">
        <is>
          <t>Tier 2</t>
        </is>
      </c>
      <c r="G59" s="440" t="n">
        <v>45835</v>
      </c>
      <c r="H59" s="440" t="n">
        <v>45842</v>
      </c>
      <c r="I59" s="420" t="inlineStr">
        <is>
          <t>DUE</t>
        </is>
      </c>
      <c r="J59" s="420" t="n">
        <v>90</v>
      </c>
      <c r="K59" s="429" t="inlineStr">
        <is>
          <t>chris@blitzscalingventures.com</t>
        </is>
      </c>
      <c r="L59" s="420" t="inlineStr"/>
      <c r="M59" s="420" t="inlineStr">
        <is>
          <t>Send next follow-up with traction + CTA</t>
        </is>
      </c>
      <c r="N59" s="420" t="inlineStr">
        <is>
          <t xml:space="preserve"> | 12/22/2025 | </t>
        </is>
      </c>
    </row>
    <row r="60">
      <c r="A60" s="420" t="n">
        <v>59</v>
      </c>
      <c r="B60" s="420" t="inlineStr">
        <is>
          <t>Blitzscaling Ventures</t>
        </is>
      </c>
      <c r="C60" s="420" t="inlineStr">
        <is>
          <t>Jeff Abbott</t>
        </is>
      </c>
      <c r="D60" s="420" t="inlineStr">
        <is>
          <t>Financial Investor</t>
        </is>
      </c>
      <c r="E60" s="420" t="inlineStr">
        <is>
          <t>Follow Up</t>
        </is>
      </c>
      <c r="F60" s="420" t="inlineStr">
        <is>
          <t>Tier 2</t>
        </is>
      </c>
      <c r="G60" s="440" t="n">
        <v>45835</v>
      </c>
      <c r="H60" s="440" t="n">
        <v>45842</v>
      </c>
      <c r="I60" s="420" t="inlineStr">
        <is>
          <t>DUE</t>
        </is>
      </c>
      <c r="J60" s="420" t="n">
        <v>90</v>
      </c>
      <c r="K60" s="429" t="inlineStr">
        <is>
          <t>jeff@blitzscalingventures.com</t>
        </is>
      </c>
      <c r="L60" s="420" t="inlineStr"/>
      <c r="M60" s="420" t="inlineStr">
        <is>
          <t>Send next follow-up with traction + CTA</t>
        </is>
      </c>
      <c r="N60" s="420" t="inlineStr">
        <is>
          <t xml:space="preserve"> | 12/22/2025 | </t>
        </is>
      </c>
    </row>
    <row r="61">
      <c r="A61" s="420" t="n">
        <v>60</v>
      </c>
      <c r="B61" s="420" t="inlineStr">
        <is>
          <t>Blitzscaling Ventures</t>
        </is>
      </c>
      <c r="C61" s="420" t="inlineStr">
        <is>
          <t>Jeremiah Owyang</t>
        </is>
      </c>
      <c r="D61" s="420" t="inlineStr">
        <is>
          <t>Financial Investor</t>
        </is>
      </c>
      <c r="E61" s="420" t="inlineStr">
        <is>
          <t>Follow Up</t>
        </is>
      </c>
      <c r="F61" s="420" t="inlineStr">
        <is>
          <t>Tier 2</t>
        </is>
      </c>
      <c r="G61" s="440" t="n">
        <v>45835</v>
      </c>
      <c r="H61" s="440" t="n">
        <v>45842</v>
      </c>
      <c r="I61" s="420" t="inlineStr">
        <is>
          <t>DUE</t>
        </is>
      </c>
      <c r="J61" s="420" t="n">
        <v>90</v>
      </c>
      <c r="K61" s="429" t="inlineStr">
        <is>
          <t>jeremiah@blitzscalingventures.com</t>
        </is>
      </c>
      <c r="L61" s="420" t="inlineStr"/>
      <c r="M61" s="420" t="inlineStr">
        <is>
          <t>Send next follow-up with traction + CTA</t>
        </is>
      </c>
      <c r="N61" s="420" t="inlineStr">
        <is>
          <t xml:space="preserve"> | "out of thesis - more focused on AI startups" | </t>
        </is>
      </c>
    </row>
  </sheetData>
  <conditionalFormatting sqref="I2:I61">
    <cfRule type="expression" priority="1" dxfId="3">
      <formula>$I2="DUE"</formula>
    </cfRule>
    <cfRule type="expression" priority="2" dxfId="4">
      <formula>$I2="Next 3 Days"</formula>
    </cfRule>
  </conditionalFormatting>
  <conditionalFormatting sqref="F2:F61">
    <cfRule type="expression" priority="3" dxfId="5">
      <formula>$F2="Tier 1"</formula>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8"/>
  <sheetViews>
    <sheetView showGridLines="0" workbookViewId="0">
      <selection activeCell="A1" sqref="A1"/>
    </sheetView>
  </sheetViews>
  <sheetFormatPr baseColWidth="8" defaultRowHeight="15"/>
  <cols>
    <col width="24" customWidth="1" style="216" min="1" max="1"/>
    <col width="70" customWidth="1" style="216" min="2" max="2"/>
    <col width="42" customWidth="1" style="216" min="6" max="6"/>
    <col width="12" customWidth="1" style="216" min="7" max="7"/>
    <col width="12" customWidth="1" style="216" min="8" max="8"/>
  </cols>
  <sheetData>
    <row r="1">
      <c r="A1" s="430" t="inlineStr">
        <is>
          <t>Bot tasking guide: EXOS $10M Series A</t>
        </is>
      </c>
    </row>
    <row r="2">
      <c r="A2" s="414" t="n"/>
      <c r="B2" s="414" t="n"/>
      <c r="C2" s="414" t="n"/>
      <c r="D2" s="414" t="n"/>
      <c r="E2" s="414" t="n"/>
      <c r="F2" s="414" t="n"/>
      <c r="G2" s="414" t="n"/>
      <c r="H2" s="414" t="n"/>
    </row>
    <row r="3">
      <c r="A3" s="415" t="inlineStr">
        <is>
          <t>Mission</t>
        </is>
      </c>
      <c r="B3" s="414" t="n"/>
      <c r="C3" s="414" t="n"/>
      <c r="D3" s="414" t="n"/>
      <c r="E3" s="414" t="n"/>
      <c r="F3" s="415" t="inlineStr">
        <is>
          <t>Suggested stage moves</t>
        </is>
      </c>
      <c r="G3" s="414" t="n"/>
      <c r="H3" s="414" t="n"/>
    </row>
    <row r="4">
      <c r="A4" s="414" t="n"/>
      <c r="B4" s="418" t="inlineStr">
        <is>
          <t>• Primary goal: book 2–3 qualified investor calls per day.</t>
        </is>
      </c>
      <c r="C4" s="414" t="n"/>
      <c r="D4" s="414" t="n"/>
      <c r="E4" s="414" t="n"/>
      <c r="F4" s="418" t="inlineStr">
        <is>
          <t>Research -&gt; Contacted after first email goes out</t>
        </is>
      </c>
      <c r="G4" s="414" t="n"/>
      <c r="H4" s="414" t="n"/>
    </row>
    <row r="5">
      <c r="A5" s="414" t="n"/>
      <c r="B5" s="418" t="inlineStr">
        <is>
          <t>• System of record: CRM_Master.</t>
        </is>
      </c>
      <c r="C5" s="414" t="n"/>
      <c r="D5" s="414" t="n"/>
      <c r="E5" s="414" t="n"/>
      <c r="F5" s="418" t="inlineStr">
        <is>
          <t>Contacted -&gt; Follow Up after next touch is sent</t>
        </is>
      </c>
      <c r="G5" s="414" t="n"/>
      <c r="H5" s="414" t="n"/>
    </row>
    <row r="6">
      <c r="A6" s="414" t="n"/>
      <c r="B6" s="418" t="inlineStr">
        <is>
          <t>• Work order: Today_Queue first, then new research, then follow-ups.</t>
        </is>
      </c>
      <c r="C6" s="414" t="n"/>
      <c r="D6" s="414" t="n"/>
      <c r="E6" s="414" t="n"/>
      <c r="F6" s="418" t="inlineStr">
        <is>
          <t>Follow Up -&gt; Meeting Requested after positive reply / scheduling</t>
        </is>
      </c>
      <c r="G6" s="414" t="n"/>
      <c r="H6" s="414" t="n"/>
    </row>
    <row r="7">
      <c r="A7" s="414" t="n"/>
      <c r="B7" s="414" t="n"/>
      <c r="C7" s="414" t="n"/>
      <c r="D7" s="414" t="n"/>
      <c r="E7" s="414" t="n"/>
      <c r="F7" s="418" t="inlineStr">
        <is>
          <t>Meeting Requested -&gt; Meeting Held after call completes</t>
        </is>
      </c>
      <c r="G7" s="414" t="n"/>
      <c r="H7" s="414" t="n"/>
    </row>
    <row r="8">
      <c r="A8" s="415" t="inlineStr">
        <is>
          <t>Ideal investor profile</t>
        </is>
      </c>
      <c r="B8" s="414" t="n"/>
      <c r="C8" s="414" t="n"/>
      <c r="D8" s="414" t="n"/>
      <c r="E8" s="414" t="n"/>
      <c r="F8" s="418" t="inlineStr">
        <is>
          <t>Meeting Held -&gt; Engaged when diligence, deck, NDA, or proposal is active</t>
        </is>
      </c>
      <c r="G8" s="414" t="n"/>
      <c r="H8" s="414" t="n"/>
    </row>
    <row r="9">
      <c r="A9" s="414" t="n"/>
      <c r="B9" s="418" t="inlineStr">
        <is>
          <t>• Space + defense industrial base + aerospace manufacturing + launch infrastructure.</t>
        </is>
      </c>
      <c r="C9" s="414" t="n"/>
      <c r="D9" s="414" t="n"/>
      <c r="E9" s="414" t="n"/>
      <c r="F9" s="418" t="inlineStr">
        <is>
          <t>Engaged -&gt; Term Sheet / Proposal when structured offer is on the table</t>
        </is>
      </c>
      <c r="G9" s="414" t="n"/>
      <c r="H9" s="414" t="n"/>
    </row>
    <row r="10">
      <c r="A10" s="414" t="n"/>
      <c r="B10" s="418" t="inlineStr">
        <is>
          <t>• U.S.-based investors or strategic partners comfortable with hard-tech / regulated businesses.</t>
        </is>
      </c>
      <c r="C10" s="414" t="n"/>
      <c r="D10" s="414" t="n"/>
      <c r="E10" s="414" t="n"/>
      <c r="F10" s="414" t="n"/>
      <c r="G10" s="414" t="n"/>
      <c r="H10" s="414" t="n"/>
    </row>
    <row r="11">
      <c r="A11" s="414" t="n"/>
      <c r="B11" s="418" t="inlineStr">
        <is>
          <t>• Targets able to participate in a $10M Series A and support follow-on capital.</t>
        </is>
      </c>
      <c r="C11" s="414" t="n"/>
      <c r="D11" s="414" t="n"/>
      <c r="E11" s="414" t="n"/>
      <c r="F11" s="414" t="n"/>
      <c r="G11" s="414" t="n"/>
      <c r="H11" s="414" t="n"/>
    </row>
    <row r="12">
      <c r="A12" s="414" t="n"/>
      <c r="B12" s="418" t="inlineStr">
        <is>
          <t>• Prefer funds or strategics with aerospace, defense, dual-use, launch, propulsion, ground systems, or advanced manufacturing relevance.</t>
        </is>
      </c>
      <c r="C12" s="414" t="n"/>
      <c r="D12" s="414" t="n"/>
      <c r="E12" s="414" t="n"/>
      <c r="F12" s="414" t="n"/>
      <c r="G12" s="414" t="n"/>
      <c r="H12" s="414" t="n"/>
    </row>
    <row r="13">
      <c r="A13" s="414" t="n"/>
      <c r="B13" s="414" t="n"/>
      <c r="C13" s="414" t="n"/>
      <c r="D13" s="414" t="n"/>
      <c r="E13" s="414" t="n"/>
      <c r="F13" s="414" t="n"/>
      <c r="G13" s="414" t="n"/>
      <c r="H13" s="414" t="n"/>
    </row>
    <row r="14">
      <c r="A14" s="415" t="inlineStr">
        <is>
          <t>Negative filters</t>
        </is>
      </c>
      <c r="B14" s="414" t="n"/>
      <c r="C14" s="414" t="n"/>
      <c r="D14" s="414" t="n"/>
      <c r="E14" s="414" t="n"/>
      <c r="F14" s="414" t="n"/>
      <c r="G14" s="414" t="n"/>
      <c r="H14" s="414" t="n"/>
    </row>
    <row r="15">
      <c r="A15" s="414" t="n"/>
      <c r="B15" s="418" t="inlineStr">
        <is>
          <t>• Consumer-only, software-only, late-stage only, or check sizes too small to matter.</t>
        </is>
      </c>
      <c r="C15" s="414" t="n"/>
      <c r="D15" s="414" t="n"/>
      <c r="E15" s="414" t="n"/>
      <c r="F15" s="414" t="n"/>
      <c r="G15" s="414" t="n"/>
      <c r="H15" s="414" t="n"/>
    </row>
    <row r="16">
      <c r="A16" s="414" t="n"/>
      <c r="B16" s="418" t="inlineStr">
        <is>
          <t>• No scraping of private personal information; use public professional data only.</t>
        </is>
      </c>
      <c r="C16" s="414" t="n"/>
      <c r="D16" s="414" t="n"/>
      <c r="E16" s="414" t="n"/>
      <c r="F16" s="414" t="n"/>
      <c r="G16" s="414" t="n"/>
      <c r="H16" s="414" t="n"/>
    </row>
    <row r="17">
      <c r="A17" s="414" t="n"/>
      <c r="B17" s="414" t="n"/>
      <c r="C17" s="414" t="n"/>
      <c r="D17" s="414" t="n"/>
      <c r="E17" s="414" t="n"/>
      <c r="F17" s="414" t="n"/>
      <c r="G17" s="414" t="n"/>
      <c r="H17" s="414" t="n"/>
    </row>
    <row r="18">
      <c r="A18" s="415" t="inlineStr">
        <is>
          <t>Scoring rubric</t>
        </is>
      </c>
      <c r="B18" s="414" t="n"/>
      <c r="C18" s="414" t="n"/>
      <c r="D18" s="414" t="n"/>
      <c r="E18" s="414" t="n"/>
      <c r="F18" s="414" t="n"/>
      <c r="G18" s="414" t="n"/>
      <c r="H18" s="414" t="n"/>
    </row>
    <row r="19">
      <c r="A19" s="414" t="n"/>
      <c r="B19" s="418" t="inlineStr">
        <is>
          <t>• Sector fit 25 | Check-size / stage fit 20 | Space / A&amp;D relevance 20 | Lead potential 10 | Strategic value 10 | Warm intro 10 | Response likelihood 5</t>
        </is>
      </c>
      <c r="C19" s="414" t="n"/>
      <c r="D19" s="414" t="n"/>
      <c r="E19" s="414" t="n"/>
      <c r="F19" s="414" t="n"/>
      <c r="G19" s="414" t="n"/>
      <c r="H19" s="414" t="n"/>
    </row>
    <row r="20">
      <c r="A20" s="414" t="n"/>
      <c r="B20" s="414" t="n"/>
      <c r="C20" s="414" t="n"/>
      <c r="D20" s="414" t="n"/>
      <c r="E20" s="414" t="n"/>
      <c r="F20" s="414" t="n"/>
      <c r="G20" s="414" t="n"/>
      <c r="H20" s="414" t="n"/>
    </row>
    <row r="21">
      <c r="A21" s="415" t="inlineStr">
        <is>
          <t>Cadence</t>
        </is>
      </c>
      <c r="B21" s="414" t="n"/>
      <c r="C21" s="414" t="n"/>
      <c r="D21" s="414" t="n"/>
      <c r="E21" s="414" t="n"/>
      <c r="F21" s="414" t="n"/>
      <c r="G21" s="414" t="n"/>
      <c r="H21" s="414" t="n"/>
    </row>
    <row r="22">
      <c r="A22" s="414" t="n"/>
      <c r="B22" s="418" t="inlineStr">
        <is>
          <t>• Day 0 initial email | Day 3 follow-up | Day 7 second follow-up | Day 12 bump | milestone re-engage later.</t>
        </is>
      </c>
      <c r="C22" s="414" t="n"/>
      <c r="D22" s="414" t="n"/>
      <c r="E22" s="414" t="n"/>
      <c r="F22" s="414" t="n"/>
      <c r="G22" s="414" t="n"/>
      <c r="H22" s="414" t="n"/>
    </row>
    <row r="23">
      <c r="A23" s="414" t="n"/>
      <c r="B23" s="418" t="inlineStr">
        <is>
          <t>• Pause after a clear pass. Update Last Touch, Notes, Stage, and Next Action every time.</t>
        </is>
      </c>
      <c r="C23" s="414" t="n"/>
      <c r="D23" s="414" t="n"/>
      <c r="E23" s="414" t="n"/>
      <c r="F23" s="414" t="n"/>
      <c r="G23" s="414" t="n"/>
      <c r="H23" s="414" t="n"/>
    </row>
    <row r="24">
      <c r="A24" s="414" t="n"/>
      <c r="B24" s="414" t="n"/>
      <c r="C24" s="414" t="n"/>
      <c r="D24" s="414" t="n"/>
      <c r="E24" s="414" t="n"/>
      <c r="F24" s="414" t="n"/>
      <c r="G24" s="414" t="n"/>
      <c r="H24" s="414" t="n"/>
    </row>
    <row r="25">
      <c r="A25" s="415" t="inlineStr">
        <is>
          <t>Scheduling rules</t>
        </is>
      </c>
      <c r="B25" s="414" t="n"/>
      <c r="C25" s="414" t="n"/>
      <c r="D25" s="414" t="n"/>
      <c r="E25" s="414" t="n"/>
      <c r="F25" s="414" t="n"/>
      <c r="G25" s="414" t="n"/>
      <c r="H25" s="414" t="n"/>
    </row>
    <row r="26">
      <c r="A26" s="414" t="n"/>
      <c r="B26" s="418" t="inlineStr">
        <is>
          <t>• Offer only approved time blocks; prioritize Tier 1 then Tier 2.</t>
        </is>
      </c>
      <c r="C26" s="414" t="n"/>
      <c r="D26" s="414" t="n"/>
      <c r="E26" s="414" t="n"/>
      <c r="F26" s="414" t="n"/>
      <c r="G26" s="414" t="n"/>
      <c r="H26" s="414" t="n"/>
    </row>
    <row r="27">
      <c r="A27" s="414" t="n"/>
      <c r="B27" s="418" t="inlineStr">
        <is>
          <t>• No more than 3 external investor calls/day unless manually approved.</t>
        </is>
      </c>
      <c r="C27" s="414" t="n"/>
      <c r="D27" s="414" t="n"/>
      <c r="E27" s="414" t="n"/>
      <c r="F27" s="414" t="n"/>
      <c r="G27" s="414" t="n"/>
      <c r="H27" s="414" t="n"/>
    </row>
    <row r="28">
      <c r="A28" s="414" t="n"/>
      <c r="B28" s="418" t="inlineStr">
        <is>
          <t>• After positive reply, draft calendar invite + agenda + recap tasks.</t>
        </is>
      </c>
      <c r="C28" s="414" t="n"/>
      <c r="D28" s="414" t="n"/>
      <c r="E28" s="414" t="n"/>
      <c r="F28" s="414" t="n"/>
      <c r="G28" s="414" t="n"/>
      <c r="H28" s="414" t="n"/>
    </row>
  </sheetData>
  <mergeCells count="1">
    <mergeCell ref="A1:H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S34"/>
  <sheetViews>
    <sheetView workbookViewId="0">
      <selection activeCell="A1" sqref="A1"/>
    </sheetView>
  </sheetViews>
  <sheetFormatPr baseColWidth="8" defaultRowHeight="12.75"/>
  <cols>
    <col width="33" customWidth="1" style="216" min="1" max="1"/>
    <col width="27.140625" customWidth="1" style="216" min="2" max="2"/>
    <col width="32.42578125" customWidth="1" style="216" min="3" max="3"/>
    <col width="30.28515625" customWidth="1" style="216" min="4" max="4"/>
    <col width="25.5703125" customWidth="1" style="216" min="5" max="5"/>
    <col width="29.42578125" customWidth="1" style="216" min="6" max="6"/>
    <col width="26.28515625" customWidth="1" style="216" min="7" max="7"/>
    <col width="49.5703125" customWidth="1" style="216" min="8" max="8"/>
    <col width="26.7109375" customWidth="1" style="216" min="9" max="10"/>
    <col width="37.28515625" customWidth="1" style="216" min="11" max="11"/>
    <col width="26.7109375" customWidth="1" style="216" min="12" max="14"/>
    <col width="128.42578125" customWidth="1" style="216" min="15" max="15"/>
    <col width="26.7109375" customWidth="1" style="216" min="16" max="20"/>
  </cols>
  <sheetData>
    <row r="1">
      <c r="A1" s="233" t="inlineStr">
        <is>
          <t>red font = Lizi has a question for JQ</t>
        </is>
      </c>
      <c r="B1" s="269" t="inlineStr">
        <is>
          <t>blue highlight = NDA signed</t>
        </is>
      </c>
      <c r="C1" s="261" t="inlineStr">
        <is>
          <t>yellow highlight = a maybe</t>
        </is>
      </c>
      <c r="D1" s="270" t="inlineStr">
        <is>
          <t>green = JQ Follow Up ASAP</t>
        </is>
      </c>
    </row>
    <row r="2">
      <c r="A2" s="231" t="inlineStr">
        <is>
          <t>NAME</t>
        </is>
      </c>
      <c r="B2" s="231" t="inlineStr">
        <is>
          <t>COMPANY</t>
        </is>
      </c>
      <c r="C2" s="231" t="inlineStr">
        <is>
          <t>LINKED IN</t>
        </is>
      </c>
      <c r="D2" s="231" t="inlineStr">
        <is>
          <t>EMAIL</t>
        </is>
      </c>
      <c r="E2" s="231" t="inlineStr">
        <is>
          <t>PHONE NUMBER</t>
        </is>
      </c>
      <c r="F2" s="231" t="inlineStr">
        <is>
          <t>FIRST CONTACT</t>
        </is>
      </c>
      <c r="G2" s="231" t="inlineStr">
        <is>
          <t>SECOND CONTACT</t>
        </is>
      </c>
      <c r="H2" s="231" t="inlineStr">
        <is>
          <t>NOTES</t>
        </is>
      </c>
      <c r="I2" s="231" t="inlineStr">
        <is>
          <t xml:space="preserve">Follow ups </t>
        </is>
      </c>
      <c r="J2" s="231" t="n"/>
      <c r="K2" s="224" t="n"/>
      <c r="L2" s="157" t="inlineStr">
        <is>
          <t>LAST ACTIVITY:</t>
        </is>
      </c>
      <c r="M2" s="157" t="inlineStr">
        <is>
          <t>NEXT STEP:</t>
        </is>
      </c>
    </row>
    <row r="4" ht="24" customFormat="1" customHeight="1" s="261">
      <c r="A4" s="331" t="inlineStr">
        <is>
          <t xml:space="preserve">
Suresh Babu Suryadevara</t>
        </is>
      </c>
      <c r="B4" s="332" t="inlineStr">
        <is>
          <t>AxisCades</t>
        </is>
      </c>
      <c r="C4" s="332" t="n"/>
      <c r="D4" s="333" t="inlineStr">
        <is>
          <t>suresh.s@axiscades.in ; arun.arumugam@axiscades.in ; rithvick.naidu@axiscades.in</t>
        </is>
      </c>
      <c r="E4" s="332" t="n"/>
      <c r="F4" s="332" t="inlineStr">
        <is>
          <t>12/10 meeting</t>
        </is>
      </c>
      <c r="G4" s="332" t="inlineStr">
        <is>
          <t>12/18 NDA Signed</t>
        </is>
      </c>
      <c r="H4" s="261" t="inlineStr">
        <is>
          <t>met in person at EXOS on 12/19, follow up set for onsite visit 1/19</t>
        </is>
      </c>
      <c r="I4" s="334" t="inlineStr">
        <is>
          <t xml:space="preserve">request for SSLC visit on hold pending establishment of basic term sheet. </t>
        </is>
      </c>
      <c r="J4" s="332" t="n"/>
      <c r="K4" s="335" t="n"/>
      <c r="L4" s="332" t="n"/>
    </row>
    <row r="5" customFormat="1" s="261">
      <c r="A5" s="261" t="inlineStr">
        <is>
          <t>Jeremy Harbour</t>
        </is>
      </c>
      <c r="B5" s="261" t="inlineStr">
        <is>
          <t>Unity Group</t>
        </is>
      </c>
      <c r="C5" s="261" t="inlineStr">
        <is>
          <t>Tahmina Kahn referred</t>
        </is>
      </c>
      <c r="D5" s="333" t="inlineStr">
        <is>
          <t>jeremy@unity-group.com</t>
        </is>
      </c>
      <c r="F5" s="261" t="inlineStr">
        <is>
          <t>3/3 zoom call, followed up with deck</t>
        </is>
      </c>
      <c r="H5" s="261" t="inlineStr">
        <is>
          <t>wants to take puclic in europe markets, unlisted - 2.5 mill - 3-4 steps, building to take puclic in a few years</t>
        </is>
      </c>
    </row>
    <row r="6" ht="14.25" customHeight="1" s="216">
      <c r="A6" s="257" t="n"/>
      <c r="B6" s="234" t="n"/>
      <c r="C6" s="234" t="n"/>
      <c r="D6" s="92" t="n"/>
      <c r="E6" s="234" t="n"/>
      <c r="F6" s="234" t="n"/>
      <c r="G6" s="234" t="n"/>
      <c r="H6" s="258" t="n"/>
      <c r="I6" s="234" t="n"/>
      <c r="J6" s="234" t="n"/>
      <c r="K6" s="234" t="n"/>
      <c r="L6" s="234" t="n"/>
      <c r="M6" s="234" t="n"/>
      <c r="N6" s="234" t="n"/>
      <c r="O6" s="234" t="n"/>
      <c r="P6" s="234" t="n"/>
      <c r="Q6" s="234" t="n"/>
      <c r="R6" s="234" t="n"/>
    </row>
    <row r="7" ht="14.25" customFormat="1" customHeight="1" s="234">
      <c r="A7" s="394" t="inlineStr">
        <is>
          <t>Sulaiman Sulaimani</t>
        </is>
      </c>
      <c r="B7" s="234" t="inlineStr">
        <is>
          <t>Tristate Capital</t>
        </is>
      </c>
      <c r="C7" s="234" t="inlineStr">
        <is>
          <t>referred by Dereck</t>
        </is>
      </c>
      <c r="D7" s="92" t="inlineStr">
        <is>
          <t>sulaiman@tristatecap.com</t>
        </is>
      </c>
      <c r="E7" s="234" t="inlineStr">
        <is>
          <t>11/17 meeting held and follow up sent</t>
        </is>
      </c>
      <c r="F7" s="234" t="inlineStr">
        <is>
          <t>12/18 Tri State Addendum</t>
        </is>
      </c>
      <c r="G7" s="234" t="inlineStr">
        <is>
          <t>12/22 - data room sent</t>
        </is>
      </c>
      <c r="H7" s="258" t="inlineStr">
        <is>
          <t xml:space="preserve">Engaged and active - likely not a match as they look to US expansoin and need a rep- that is not us:)  </t>
        </is>
      </c>
      <c r="I7" s="259" t="inlineStr">
        <is>
          <t xml:space="preserve">ETL (S Korea company)  </t>
        </is>
      </c>
    </row>
    <row r="8" ht="20.25" customFormat="1" customHeight="1" s="398">
      <c r="A8" s="399" t="inlineStr">
        <is>
          <t>Eric Gomberg</t>
        </is>
      </c>
      <c r="B8" s="396" t="inlineStr">
        <is>
          <t>Odeon</t>
        </is>
      </c>
      <c r="C8" s="395" t="n"/>
      <c r="D8" s="397" t="inlineStr">
        <is>
          <t>egomberg@odeoncap.com</t>
        </is>
      </c>
      <c r="E8" s="395" t="n"/>
      <c r="F8" s="395" t="inlineStr">
        <is>
          <t>12/15 meeting held</t>
        </is>
      </c>
      <c r="G8" s="395" t="inlineStr">
        <is>
          <t>12/17 data room sent</t>
        </is>
      </c>
      <c r="H8" s="400" t="inlineStr">
        <is>
          <t>1. Reduced Retainer of $30,000 Upfront.
2. Success Fee of $400,000 at the back end.  We will credit the $30K Retainer back at the end upon a successful completion.
3. Any reasonable travel authorized by the client in advance of any travel.
Please let us know if this is okay, then we can proceed with the detailed proposal/engagement letter.
Regards, Bill
Bill Nicholson, MBA,  M&amp;AMI®, CM&amp;AA®</t>
        </is>
      </c>
      <c r="I8" s="395" t="n"/>
      <c r="J8" s="395" t="n"/>
      <c r="K8" s="395" t="n"/>
      <c r="L8" s="395" t="n"/>
      <c r="M8" s="395" t="n"/>
      <c r="N8" s="395" t="n"/>
      <c r="O8" s="395" t="n"/>
      <c r="P8" s="395" t="n"/>
      <c r="Q8" s="395" t="n"/>
      <c r="R8" s="395" t="n"/>
    </row>
    <row r="9" customFormat="1" s="398">
      <c r="A9" s="395" t="inlineStr">
        <is>
          <t>Brandon Golenda</t>
        </is>
      </c>
      <c r="B9" s="396" t="inlineStr">
        <is>
          <t>Craft Capital</t>
        </is>
      </c>
      <c r="C9" s="395" t="inlineStr">
        <is>
          <t>referred by Dereck</t>
        </is>
      </c>
      <c r="D9" s="397" t="inlineStr">
        <is>
          <t>bgolenda@craftcm.com</t>
        </is>
      </c>
      <c r="E9" s="395" t="n"/>
      <c r="F9" s="395" t="inlineStr">
        <is>
          <t>12/9 had call, 12/10 MNDAs sent</t>
        </is>
      </c>
      <c r="G9" s="395" t="inlineStr">
        <is>
          <t>in data room 12/12, follow up call after Christmas</t>
        </is>
      </c>
      <c r="H9" s="395" t="inlineStr">
        <is>
          <t xml:space="preserve">$30K Investment bank enagement $10k/mo for 3 months advisor only. no funds. </t>
        </is>
      </c>
      <c r="I9" s="395" t="n"/>
      <c r="J9" s="395" t="n"/>
      <c r="K9" s="395" t="n"/>
      <c r="L9" s="395" t="n"/>
      <c r="M9" s="395" t="n"/>
      <c r="N9" s="395" t="n"/>
      <c r="O9" s="395" t="n"/>
      <c r="P9" s="395" t="n"/>
      <c r="Q9" s="395" t="n"/>
      <c r="R9" s="395" t="n"/>
    </row>
    <row r="10">
      <c r="A10" s="263" t="inlineStr">
        <is>
          <t>Riccardo Ricci</t>
        </is>
      </c>
      <c r="B10" s="275" t="inlineStr">
        <is>
          <t>Ricci Global Partners</t>
        </is>
      </c>
      <c r="C10" s="234" t="inlineStr">
        <is>
          <t>referred by Tom Wright</t>
        </is>
      </c>
      <c r="D10" s="92" t="inlineStr">
        <is>
          <t>riccardo-ricci@ricciglobalpartners.com</t>
        </is>
      </c>
      <c r="E10" s="92" t="n"/>
      <c r="F10" s="234" t="inlineStr">
        <is>
          <t>12/15 - working to set call with CFO</t>
        </is>
      </c>
      <c r="G10" s="234" t="n"/>
      <c r="H10" s="234" t="n"/>
      <c r="I10" s="234" t="n"/>
      <c r="J10" s="234" t="n"/>
      <c r="K10" s="234" t="n"/>
      <c r="L10" s="234" t="n"/>
      <c r="M10" s="234" t="n"/>
      <c r="N10" s="234" t="n"/>
      <c r="O10" s="234" t="n"/>
      <c r="P10" s="234" t="n"/>
      <c r="Q10" s="234" t="n"/>
      <c r="R10" s="234" t="n"/>
      <c r="S10" s="234" t="n"/>
    </row>
    <row r="11" ht="15" customHeight="1" s="216">
      <c r="A11" s="234" t="inlineStr">
        <is>
          <t>Salim Dada</t>
        </is>
      </c>
      <c r="B11" s="275" t="inlineStr">
        <is>
          <t>Concord Venture Partners</t>
        </is>
      </c>
      <c r="C11" s="234" t="n"/>
      <c r="D11" s="92" t="inlineStr">
        <is>
          <t>Salim.D@concordventuresinc.com ; Ted.B@concordventuresinc.com ; Safia.D@concordventuresinc.com</t>
        </is>
      </c>
      <c r="E11" s="234" t="n"/>
      <c r="F11" s="373" t="n">
        <v>45950</v>
      </c>
      <c r="G11" s="234" t="inlineStr">
        <is>
          <t>10/28 revised agreement sent</t>
        </is>
      </c>
      <c r="H11" s="224" t="inlineStr">
        <is>
          <t>offer for $2500/month for 3 months plan</t>
        </is>
      </c>
      <c r="I11" s="234" t="n"/>
      <c r="J11" s="234" t="n"/>
      <c r="K11" s="234" t="n"/>
      <c r="L11" s="234" t="n"/>
      <c r="M11" s="234" t="n"/>
      <c r="N11" s="234" t="n"/>
      <c r="O11" s="234" t="n"/>
      <c r="P11" s="234" t="n"/>
      <c r="Q11" s="234" t="n"/>
      <c r="R11" s="234" t="n"/>
    </row>
    <row r="12" ht="24" customHeight="1" s="216">
      <c r="A12" s="229" t="inlineStr">
        <is>
          <t>Grayson Wotnosky</t>
        </is>
      </c>
      <c r="B12" s="229" t="inlineStr">
        <is>
          <t xml:space="preserve">Rochefort Management </t>
        </is>
      </c>
      <c r="C12" s="232" t="inlineStr">
        <is>
          <t>https://www.linkedin.com/in/grayson-wotnosky-23987b1b7</t>
        </is>
      </c>
      <c r="D12" s="232" t="inlineStr">
        <is>
          <t>sschottenheimer@rochefort.us; gwotnosky@rochefort.us</t>
        </is>
      </c>
      <c r="E12" s="143" t="inlineStr">
        <is>
          <t>919.285.6609</t>
        </is>
      </c>
      <c r="F12" s="226" t="n">
        <v>45814</v>
      </c>
      <c r="G12" s="226" t="n">
        <v>45828</v>
      </c>
      <c r="H12" s="227" t="inlineStr">
        <is>
          <t>6/23 sent one pager and meeting link</t>
        </is>
      </c>
      <c r="I12" s="227" t="inlineStr">
        <is>
          <t>held meeting and sent follow up 1/8</t>
        </is>
      </c>
      <c r="J12" s="227" t="n"/>
      <c r="K12" s="227" t="n"/>
      <c r="L12" s="234" t="inlineStr">
        <is>
          <t>10/1 follow-up email with typed booking link requesting call</t>
        </is>
      </c>
      <c r="M12" s="245" t="n"/>
      <c r="N12" s="234" t="n"/>
      <c r="O12" s="114" t="inlineStr">
        <is>
          <t>Sent 12-22-25 Let’s rebook before the year gets away — please use the link below to grab a time that works for you.
If we don’t connect before then, Merry Christmas and Happy New Year! Either way, it would be great to have a meeting on the calendar to kick off the new year.</t>
        </is>
      </c>
      <c r="P12" s="234" t="n"/>
      <c r="Q12" s="234" t="n"/>
      <c r="R12" s="234" t="n"/>
    </row>
    <row r="13" ht="15" customHeight="1" s="216">
      <c r="A13" s="227" t="inlineStr">
        <is>
          <t>Sergey Fedotov</t>
        </is>
      </c>
      <c r="B13" s="227" t="inlineStr">
        <is>
          <t>TEL Venture Capital</t>
        </is>
      </c>
      <c r="C13" s="228" t="inlineStr">
        <is>
          <t>https://www.linkedin.com/in/sergey-a-fedotov/</t>
        </is>
      </c>
      <c r="D13" s="225" t="inlineStr">
        <is>
          <t>sergey.fedotov@tel.com</t>
        </is>
      </c>
      <c r="E13" s="143" t="inlineStr">
        <is>
          <t>650.360.8669</t>
        </is>
      </c>
      <c r="F13" s="226" t="n">
        <v>45912</v>
      </c>
      <c r="G13" s="227" t="n"/>
      <c r="H13" s="227" t="inlineStr">
        <is>
          <t>9/24 - meeting set for 10/2</t>
        </is>
      </c>
      <c r="I13" s="227" t="n"/>
      <c r="J13" s="227" t="n"/>
      <c r="K13" s="227" t="n"/>
      <c r="L13" s="234" t="n"/>
      <c r="M13" s="233" t="inlineStr">
        <is>
          <t>john asked him to schedule a follow up call - was follow up call scheduled / held?</t>
        </is>
      </c>
      <c r="N13" s="234" t="n"/>
      <c r="O13" s="234" t="n"/>
      <c r="P13" s="234" t="n"/>
      <c r="Q13" s="234" t="n"/>
      <c r="R13" s="234" t="n"/>
    </row>
    <row r="14" ht="15" customHeight="1" s="216">
      <c r="A14" s="227" t="inlineStr">
        <is>
          <t>Stowe Faircloth</t>
        </is>
      </c>
      <c r="B14" s="229" t="inlineStr">
        <is>
          <t>One Bow River</t>
        </is>
      </c>
      <c r="C14" s="228" t="inlineStr">
        <is>
          <t>https://www.linkedin.com/in/shane-sherman/</t>
        </is>
      </c>
      <c r="D14" s="92" t="inlineStr">
        <is>
          <t>shane.sherman@onebowriver.com; Stowe.faircloth@onebowriver.com</t>
        </is>
      </c>
      <c r="E14" s="228" t="inlineStr">
        <is>
          <t>720.910.9483</t>
        </is>
      </c>
      <c r="F14" s="228" t="n"/>
      <c r="G14" s="226" t="n">
        <v>45852</v>
      </c>
      <c r="H14" s="226" t="n">
        <v>45881</v>
      </c>
      <c r="I14" s="227" t="inlineStr">
        <is>
          <t>Stowe Faircloth &lt;Stowe.faircloth@onebowriver.com&gt;replied requesting a meeting on 9/22</t>
        </is>
      </c>
      <c r="J14" s="226" t="n">
        <v>45922</v>
      </c>
      <c r="K14" s="227" t="inlineStr">
        <is>
          <t>set meeting but didn't show on calendar missed it</t>
        </is>
      </c>
      <c r="L14" t="inlineStr">
        <is>
          <t>10/1 gentle nudge email with booking link to rebook at his convenience</t>
        </is>
      </c>
      <c r="M14" s="266" t="inlineStr">
        <is>
          <t>New meeting set for 10/6</t>
        </is>
      </c>
      <c r="N14" s="234" t="inlineStr">
        <is>
          <t xml:space="preserve">10/8 held call, sent follow up materials, was supposed to hear back </t>
        </is>
      </c>
      <c r="O14" s="234" t="inlineStr">
        <is>
          <t>12/18 follow up sent// replied to setup meeting for 12/23</t>
        </is>
      </c>
      <c r="P14" s="234" t="n"/>
      <c r="Q14" s="234" t="n"/>
      <c r="R14" s="234" t="n"/>
    </row>
    <row r="15" ht="14.25" customFormat="1" customHeight="1" s="234">
      <c r="A15" s="234" t="inlineStr">
        <is>
          <t>Steven Agathoklis</t>
        </is>
      </c>
      <c r="B15" s="337" t="inlineStr">
        <is>
          <t>Cerebro Capital</t>
        </is>
      </c>
      <c r="D15" s="337" t="inlineStr">
        <is>
          <t>sagathoklis@cerebrocapital.com</t>
        </is>
      </c>
      <c r="H15" s="234" t="inlineStr">
        <is>
          <t>meeting held on 10/16</t>
        </is>
      </c>
      <c r="J15" s="234" t="inlineStr">
        <is>
          <t xml:space="preserve">Offering Bridge loans </t>
        </is>
      </c>
      <c r="L15" s="234" t="inlineStr">
        <is>
          <t>post meeting follow up sent</t>
        </is>
      </c>
      <c r="M15" s="234" t="inlineStr">
        <is>
          <t>NDA Signed, balance sheet sent, awaiting debt schedule from Kyle</t>
        </is>
      </c>
    </row>
    <row r="16" ht="15" customHeight="1" s="216">
      <c r="A16" s="103" t="inlineStr">
        <is>
          <t>Tahmina Kahn</t>
        </is>
      </c>
      <c r="B16" s="234" t="n"/>
      <c r="C16" s="234" t="inlineStr">
        <is>
          <t>referred by Dereck</t>
        </is>
      </c>
      <c r="D16" s="92" t="inlineStr">
        <is>
          <t>tahmina.investing@gmail.com and hawken@edgewatersg.com and daniel.murillo@edgewatersg.com</t>
        </is>
      </c>
      <c r="E16" s="234" t="n"/>
      <c r="F16" s="234" t="n"/>
      <c r="G16" s="234" t="inlineStr">
        <is>
          <t>sent follow up with True Anomaly alignment after call on 11/5</t>
        </is>
      </c>
      <c r="H16" s="234" t="n"/>
      <c r="I16" s="268" t="inlineStr">
        <is>
          <t>11/24 call and materials sent</t>
        </is>
      </c>
      <c r="J16" s="234" t="inlineStr">
        <is>
          <t>follow up 12/18</t>
        </is>
      </c>
      <c r="K16" s="234" t="n"/>
      <c r="L16" s="234" t="n"/>
      <c r="M16" s="234" t="n"/>
      <c r="N16" s="234" t="n"/>
      <c r="O16" s="234" t="n"/>
      <c r="P16" s="234" t="n"/>
      <c r="Q16" s="234" t="n"/>
      <c r="R16" s="234" t="n"/>
    </row>
    <row r="17" ht="17.25" customHeight="1" s="216">
      <c r="A17" s="234" t="inlineStr">
        <is>
          <t>Bill Collier</t>
        </is>
      </c>
      <c r="B17" s="250" t="inlineStr">
        <is>
          <t>Noblis Ventures</t>
        </is>
      </c>
      <c r="C17" s="92" t="inlineStr">
        <is>
          <t>https://www.linkedin.com/in/williammarcuscollier/</t>
        </is>
      </c>
      <c r="D17" s="251" t="inlineStr">
        <is>
          <t>bill.collier@noblis.org</t>
        </is>
      </c>
      <c r="E17" s="373" t="n">
        <v>45903</v>
      </c>
      <c r="F17" s="80" t="n">
        <v>45972</v>
      </c>
      <c r="G17" t="inlineStr">
        <is>
          <t>meeting set for 11/12</t>
        </is>
      </c>
      <c r="H17" s="234" t="inlineStr">
        <is>
          <t>12/5 follow up sent</t>
        </is>
      </c>
      <c r="I17" s="234" t="n"/>
      <c r="J17" s="234" t="n"/>
      <c r="K17" s="234" t="n"/>
      <c r="L17" s="234" t="n"/>
      <c r="M17" s="234" t="n"/>
      <c r="N17" s="234" t="n"/>
      <c r="O17" s="234" t="n"/>
      <c r="P17" s="234" t="n"/>
      <c r="Q17" s="234" t="n"/>
      <c r="R17" s="234" t="n"/>
    </row>
    <row r="18" ht="15" customHeight="1" s="216">
      <c r="A18" s="234" t="inlineStr">
        <is>
          <t>Earl Cooke</t>
        </is>
      </c>
      <c r="B18" s="234" t="n"/>
      <c r="C18" s="234" t="n"/>
      <c r="D18" s="168" t="inlineStr">
        <is>
          <t>Cooketx@gmail.com</t>
        </is>
      </c>
      <c r="E18" s="234" t="n"/>
      <c r="F18" s="234" t="n"/>
      <c r="G18" s="234" t="inlineStr">
        <is>
          <t>meeting setup by Derek (I think), meeting never held - need to follow up to rebook</t>
        </is>
      </c>
      <c r="H18" s="234" t="n"/>
      <c r="I18" s="234" t="inlineStr">
        <is>
          <t>sent follow up 12/18</t>
        </is>
      </c>
      <c r="J18" s="234" t="n"/>
      <c r="K18" s="234" t="n"/>
      <c r="L18" s="234" t="n"/>
      <c r="M18" s="234" t="n"/>
      <c r="N18" s="234" t="n"/>
      <c r="O18" s="234" t="n"/>
      <c r="P18" s="234" t="n"/>
      <c r="Q18" s="234" t="n"/>
      <c r="R18" s="234" t="n"/>
    </row>
    <row r="19" ht="18" customHeight="1" s="216">
      <c r="A19" s="282" t="inlineStr">
        <is>
          <t>Dan Garretson</t>
        </is>
      </c>
      <c r="B19" s="269" t="inlineStr">
        <is>
          <t>CounterFlow Solutions</t>
        </is>
      </c>
      <c r="C19" s="271" t="n"/>
      <c r="D19" s="283" t="inlineStr">
        <is>
          <t>dgarretson@counterflowsolutions.com</t>
        </is>
      </c>
      <c r="E19" s="271" t="n"/>
      <c r="F19" s="271" t="inlineStr">
        <is>
          <t>12/19 in person site visit at exos</t>
        </is>
      </c>
      <c r="G19" s="271" t="inlineStr">
        <is>
          <t>12/22 - Dan requested follow up meeting with John</t>
        </is>
      </c>
      <c r="H19" s="282" t="inlineStr">
        <is>
          <t>12/23 john sent follow up reply</t>
        </is>
      </c>
      <c r="I19" s="273" t="inlineStr">
        <is>
          <t>Costs for wrong scope</t>
        </is>
      </c>
      <c r="J19" s="271" t="n"/>
      <c r="K19" s="274" t="n"/>
      <c r="L19" s="271" t="n"/>
      <c r="M19" s="282" t="n"/>
      <c r="N19" s="282" t="n"/>
      <c r="O19" s="282" t="n"/>
    </row>
    <row r="20" ht="18" customHeight="1" s="216">
      <c r="A20" s="282" t="inlineStr">
        <is>
          <t>Ashley Curless &amp; Mitch Cohen</t>
        </is>
      </c>
      <c r="B20" s="271" t="inlineStr">
        <is>
          <t>US Capital</t>
        </is>
      </c>
      <c r="C20" s="271" t="inlineStr">
        <is>
          <t>referred by Dereck</t>
        </is>
      </c>
      <c r="D20" s="283" t="inlineStr">
        <is>
          <t>ACurless@uscapital.com ; csims@uscapital.com ; bchristopher@uscapital.com ; mjlevas@uscapital.com ; jhGonzalez@uscapital.com ; mcohen@uscapital.com</t>
        </is>
      </c>
      <c r="E20" s="271" t="n"/>
      <c r="F20" s="271" t="inlineStr">
        <is>
          <t>11/13 - initial call with Mitch, he sent follow up materials</t>
        </is>
      </c>
      <c r="G20" s="271" t="inlineStr">
        <is>
          <t>11/18 call with Ashley Curless and team</t>
        </is>
      </c>
      <c r="H20" s="282" t="inlineStr">
        <is>
          <t>in data room ; sent terms but are they a strategic enough partner?</t>
        </is>
      </c>
      <c r="I20" s="273" t="inlineStr">
        <is>
          <t>bankers for hire- insufficient strategic alignment</t>
        </is>
      </c>
      <c r="J20" s="271" t="n"/>
      <c r="K20" s="274" t="n"/>
      <c r="L20" s="271" t="n"/>
      <c r="M20" s="282" t="n"/>
      <c r="N20" s="282" t="n"/>
      <c r="O20" s="282" t="n"/>
    </row>
    <row r="21" ht="18" customHeight="1" s="216">
      <c r="A21" s="282" t="inlineStr">
        <is>
          <t>Ron Bloom</t>
        </is>
      </c>
      <c r="B21" s="271" t="inlineStr">
        <is>
          <t>Starfighters / Investfortuna Connection</t>
        </is>
      </c>
      <c r="C21" s="271" t="n"/>
      <c r="D21" s="272" t="inlineStr">
        <is>
          <t>ron@ronbloom.com</t>
        </is>
      </c>
      <c r="E21" s="271" t="n"/>
      <c r="F21" s="271" t="n"/>
      <c r="G21" s="271" t="n"/>
      <c r="H21" s="330" t="inlineStr">
        <is>
          <t>Adisor to Fortuna</t>
        </is>
      </c>
      <c r="I21" s="273" t="inlineStr">
        <is>
          <t>Connection to Investfortuna and Starfighters not investor</t>
        </is>
      </c>
      <c r="J21" s="271" t="n"/>
      <c r="K21" s="274" t="inlineStr">
        <is>
          <t>In DD DATA ROOM ACCESSED</t>
        </is>
      </c>
      <c r="L21" s="271" t="n"/>
      <c r="M21" s="282" t="n"/>
      <c r="N21" s="282" t="n"/>
      <c r="O21" s="282" t="n"/>
    </row>
    <row r="22">
      <c r="A22" s="234" t="inlineStr">
        <is>
          <t>Joey Alfieri</t>
        </is>
      </c>
      <c r="B22" s="234" t="inlineStr">
        <is>
          <t>Tech Nexus</t>
        </is>
      </c>
      <c r="C22" s="234" t="n"/>
      <c r="D22" s="92" t="inlineStr">
        <is>
          <t>joey@technexus.com</t>
        </is>
      </c>
      <c r="E22" s="234" t="inlineStr">
        <is>
          <t>12/3 sent booking link to book call</t>
        </is>
      </c>
      <c r="F22" s="234" t="inlineStr">
        <is>
          <t>12/18 follow up sent</t>
        </is>
      </c>
      <c r="G22" s="234" t="n"/>
      <c r="H22" s="234" t="n"/>
      <c r="I22" s="234" t="n"/>
      <c r="J22" s="234" t="n"/>
      <c r="K22" s="234" t="n"/>
      <c r="L22" s="234" t="n"/>
      <c r="M22" s="234" t="n"/>
      <c r="N22" s="234" t="n"/>
      <c r="O22" s="234" t="n"/>
      <c r="P22" s="234" t="n"/>
      <c r="Q22" s="234" t="n"/>
      <c r="R22" s="234" t="n"/>
    </row>
    <row r="23" ht="14.25" customHeight="1" s="216">
      <c r="A23" s="278" t="inlineStr">
        <is>
          <t>Samuel Levitz</t>
        </is>
      </c>
      <c r="B23" s="279" t="inlineStr">
        <is>
          <t>Investor Ready Capital</t>
        </is>
      </c>
      <c r="C23" s="270" t="n"/>
      <c r="D23" s="280" t="inlineStr">
        <is>
          <t>samuel@investorreadycapital.com</t>
        </is>
      </c>
      <c r="E23" s="233" t="inlineStr">
        <is>
          <t>last email exchange I see is 11/23 and it looked promising - notes on what happened here? Looks like we need to follow up?</t>
        </is>
      </c>
      <c r="F23" s="234" t="n"/>
      <c r="G23" s="234" t="n"/>
      <c r="H23" s="234" t="n"/>
      <c r="I23" s="234" t="n"/>
      <c r="J23" s="234" t="n"/>
      <c r="K23" s="234" t="n"/>
      <c r="L23" s="234" t="n"/>
      <c r="M23" s="234" t="n"/>
      <c r="N23" s="234" t="n"/>
      <c r="O23" s="234" t="n"/>
      <c r="P23" s="234" t="n"/>
      <c r="Q23" s="234" t="n"/>
      <c r="R23" s="234" t="n"/>
    </row>
    <row r="24">
      <c r="A24" s="90" t="inlineStr">
        <is>
          <t>Joel Palathinkal - Kipton Intro</t>
        </is>
      </c>
      <c r="B24" s="90" t="inlineStr">
        <is>
          <t>Sutton Capital</t>
        </is>
      </c>
      <c r="C24" s="234" t="inlineStr">
        <is>
          <t>https://www.linkedin.com/in/joelpalathinkal/</t>
        </is>
      </c>
      <c r="D24" s="393" t="inlineStr">
        <is>
          <t>joel@suttoncapital.co</t>
        </is>
      </c>
      <c r="E24" s="373" t="n"/>
      <c r="F24" s="373" t="inlineStr">
        <is>
          <t>june &amp; july</t>
        </is>
      </c>
      <c r="G24" s="373" t="n">
        <v>46015</v>
      </c>
      <c r="H24" s="234" t="inlineStr">
        <is>
          <t>one pager sent on 12/29</t>
        </is>
      </c>
      <c r="I24" s="234" t="n"/>
      <c r="J24" s="234" t="n"/>
      <c r="K24" s="234" t="n"/>
      <c r="L24" s="234" t="n"/>
      <c r="M24" s="234" t="n"/>
      <c r="N24" s="234" t="n"/>
      <c r="O24" s="234" t="n"/>
      <c r="P24" s="234" t="n"/>
      <c r="Q24" s="234" t="n"/>
      <c r="R24" s="234" t="n"/>
    </row>
    <row r="25">
      <c r="A25" s="234" t="inlineStr">
        <is>
          <t xml:space="preserve">Kent Lietzau </t>
        </is>
      </c>
      <c r="B25" s="234" t="inlineStr">
        <is>
          <t>Cerberus</t>
        </is>
      </c>
      <c r="C25" s="234" t="n"/>
      <c r="D25" s="111" t="inlineStr">
        <is>
          <t>consult-klietzau@cerberusoperations.com</t>
        </is>
      </c>
      <c r="E25" s="234" t="n"/>
      <c r="F25" s="234" t="inlineStr">
        <is>
          <t>12/30 - sent one pager</t>
        </is>
      </c>
      <c r="G25" s="234" t="inlineStr">
        <is>
          <t>1/15 had call, sent email follow up</t>
        </is>
      </c>
      <c r="H25" s="234" t="n"/>
      <c r="I25" s="234" t="n"/>
      <c r="J25" s="234" t="n"/>
      <c r="K25" s="234" t="n"/>
      <c r="L25" s="234" t="n"/>
      <c r="M25" s="234" t="n"/>
      <c r="N25" s="234" t="n"/>
      <c r="O25" s="234" t="n"/>
      <c r="P25" s="234" t="n"/>
      <c r="Q25" s="234" t="n"/>
      <c r="R25" s="234" t="n"/>
    </row>
    <row r="26">
      <c r="A26" t="inlineStr">
        <is>
          <t>Ephraim Lindenbaum &amp; Daria</t>
        </is>
      </c>
      <c r="B26" t="inlineStr">
        <is>
          <t>Advance Ventures</t>
        </is>
      </c>
      <c r="C26" s="111" t="inlineStr">
        <is>
          <t>https://www.linkedin.com/in/ephraimlindenbaum/</t>
        </is>
      </c>
      <c r="D26" s="111" t="inlineStr">
        <is>
          <t>eph@advanceventures.com&amp; daria@advanceventures.com</t>
        </is>
      </c>
      <c r="E26" s="80" t="n"/>
      <c r="F26" s="80" t="inlineStr">
        <is>
          <t>09/30/2025 and 11/12/2025</t>
        </is>
      </c>
      <c r="G26" s="80" t="n">
        <v>46010</v>
      </c>
      <c r="H26" s="234" t="inlineStr">
        <is>
          <t>sent pitch deck on 1/3</t>
        </is>
      </c>
      <c r="I26" s="234" t="n"/>
      <c r="J26" s="234" t="n"/>
      <c r="K26" s="234" t="n"/>
      <c r="L26" s="234" t="n"/>
      <c r="M26" s="234" t="n"/>
      <c r="N26" s="234" t="n"/>
      <c r="O26" s="234" t="n"/>
      <c r="P26" s="234" t="n"/>
      <c r="Q26" s="234" t="n"/>
      <c r="R26" s="234" t="n"/>
    </row>
    <row r="27">
      <c r="A27" t="inlineStr">
        <is>
          <t>Jose Bengochea</t>
        </is>
      </c>
      <c r="B27" t="inlineStr">
        <is>
          <t>Iron Horse II</t>
        </is>
      </c>
      <c r="C27" t="inlineStr">
        <is>
          <t>referred by Zyad Wright</t>
        </is>
      </c>
      <c r="D27" s="111" t="inlineStr">
        <is>
          <t>jose@ironhorseacquisition.com</t>
        </is>
      </c>
      <c r="E27" t="inlineStr">
        <is>
          <t>email connection made 1/7 - should be booking meeting</t>
        </is>
      </c>
    </row>
    <row r="28" ht="14.25" customHeight="1" s="216">
      <c r="A28" s="257" t="inlineStr">
        <is>
          <t>Sulaiman Sulaimani</t>
        </is>
      </c>
      <c r="B28" t="inlineStr">
        <is>
          <t>Prospect Capital</t>
        </is>
      </c>
      <c r="C28" s="111" t="inlineStr">
        <is>
          <t>sulaiman@prospectcapital.com</t>
        </is>
      </c>
      <c r="D28" t="inlineStr">
        <is>
          <t>—</t>
        </is>
      </c>
      <c r="E28" t="inlineStr">
        <is>
          <t>Capital Partner (Debt / Structured Capital)</t>
        </is>
      </c>
      <c r="F28" t="inlineStr">
        <is>
          <t>TBD</t>
        </is>
      </c>
      <c r="G28" s="289" t="n">
        <v>46030</v>
      </c>
      <c r="H28" t="inlineStr">
        <is>
          <t>Introductory meeting held Jan 8. Prospect Capital operates through two distinct divisions; conversations are exploratory at this stage. Two divisions: core BDC credit and structured/special situations. EXOS aligns better with structured, event-driven capital vs traditional cash-flow lending.</t>
        </is>
      </c>
    </row>
    <row r="29">
      <c r="A29" t="inlineStr">
        <is>
          <t>Crescent Varrone</t>
        </is>
      </c>
      <c r="B29" s="275" t="inlineStr">
        <is>
          <t>Pickwick Capital</t>
        </is>
      </c>
      <c r="C29" s="111" t="inlineStr">
        <is>
          <t>varronec@pickwickcapital.com</t>
        </is>
      </c>
      <c r="D29" t="inlineStr">
        <is>
          <t>David Lance Alvarez (alvarezd@pickwickcapital.com); Mark Sauter (sauterm@pickwickcapital.com)</t>
        </is>
      </c>
      <c r="E29" t="inlineStr">
        <is>
          <t>Capital Partner (Equity / Strategic)</t>
        </is>
      </c>
      <c r="G29" s="289" t="n"/>
      <c r="H29" t="inlineStr">
        <is>
          <t xml:space="preserve">Active discussions underway. Pickwick has expressed interest; no term sheet yet. John had producitive meeting on 1/9. </t>
        </is>
      </c>
    </row>
    <row r="30" ht="14.25" customHeight="1" s="216">
      <c r="A30" s="257" t="inlineStr">
        <is>
          <t>Sulaiman Sulaimani</t>
        </is>
      </c>
      <c r="B30" t="inlineStr">
        <is>
          <t>Godspeed</t>
        </is>
      </c>
      <c r="C30" s="111" t="n"/>
      <c r="D30" s="388" t="inlineStr">
        <is>
          <t xml:space="preserve">Dean Demetri </t>
        </is>
      </c>
      <c r="F30" t="inlineStr">
        <is>
          <t>call on 2/26 1:30pm</t>
        </is>
      </c>
    </row>
    <row r="31" ht="15" customFormat="1" customHeight="1" s="390">
      <c r="A31" s="389" t="inlineStr">
        <is>
          <t>Sulaiman Sulaimani</t>
        </is>
      </c>
      <c r="B31" s="390" t="inlineStr">
        <is>
          <t>Irongate</t>
        </is>
      </c>
      <c r="C31" s="390" t="inlineStr">
        <is>
          <t>Ty</t>
        </is>
      </c>
      <c r="D31" s="390" t="inlineStr">
        <is>
          <t>Ty not booked yet 2-26 plan 1:30 - CONFLICTED</t>
        </is>
      </c>
      <c r="G31" s="391" t="inlineStr">
        <is>
          <t>interest discussiuons playing out with 34 Year Marine Colonel in DC in the mix.</t>
        </is>
      </c>
    </row>
    <row r="32" ht="14.25" customHeight="1" s="216">
      <c r="A32" s="257" t="inlineStr">
        <is>
          <t>Sulaiman Sulaimani</t>
        </is>
      </c>
      <c r="B32" s="392" t="inlineStr">
        <is>
          <t>Hanshin Leeand ETL</t>
        </is>
      </c>
      <c r="F32" t="inlineStr">
        <is>
          <t>all on 2/10 8am</t>
        </is>
      </c>
    </row>
    <row r="33">
      <c r="A33" t="inlineStr">
        <is>
          <t>Adam Oakes</t>
        </is>
      </c>
      <c r="B33" t="inlineStr">
        <is>
          <t>Firefly</t>
        </is>
      </c>
      <c r="D33" t="inlineStr">
        <is>
          <t>Adam Oakes &lt;Adam.Oakes@fireflyspace.com&gt;</t>
        </is>
      </c>
      <c r="G33" t="inlineStr">
        <is>
          <t xml:space="preserve">2/27 lunar lander build support contract request from earlier conversation. </t>
        </is>
      </c>
    </row>
    <row r="34" ht="409.6000061035156" customFormat="1" customHeight="1" s="403">
      <c r="A34" s="402" t="inlineStr">
        <is>
          <t xml:space="preserve">William Tam </t>
        </is>
      </c>
      <c r="B34" s="403" t="inlineStr">
        <is>
          <t>Alpine Investors</t>
        </is>
      </c>
      <c r="C34" s="404" t="inlineStr">
        <is>
          <t>sulaiman@tristatecap.com</t>
        </is>
      </c>
      <c r="F34" s="403" t="inlineStr">
        <is>
          <t>meeting on 3/12</t>
        </is>
      </c>
      <c r="G34" s="405" t="inlineStr">
        <is>
          <t xml:space="preserve">Thanks so much for sending, was a pleasure to meet John, and such an impressive platform and opportunity has.
I had the chance to sync with our team on interest in the opportunity with Exos + Scorpius and decided it would be best to stand down.
Most of the deals we do are majority buyout to full sale and minority can be tougher for us if not a path to majority ownership.
Additionally, the ~$1.5M Rev last year is a difficult launching point for us for a new platform.
We pushed our team that the opportunity with Exos is nearly so massive with the how differentiated a combo of Exos + Scorpius would be, but the team needed more scale to be able to comfortably underwrite within our model.
Very much appreciate the look here, we are big fans of John and his work, and looking forward to the next.
Appreciate as well the detail you sent me on IronGate, and I have shared with our team that focuses on government services and will let you know if any portfolio companies they highlight as potential interests.
Regards, William William Tan Alpine Investors
</t>
        </is>
      </c>
      <c r="H34" s="403" t="inlineStr">
        <is>
          <t>Passed after internal review. Strong interest in EXOS + Scorpius strategic potential and high regard for John, but not a fit for their model at this stage. Their firm typically prefers majority buyout to full-sale opportunities, and minority investments are harder without a clear path to majority ownership. They also felt the ~$1.5M revenue base last year was too early/small for underwriting a new platform within their model. They appreciated the opportunity and said they’ll keep EXOS in mind for future alignment. Also shared IronGate details internally with their government services team and may flag any relevant portfolio company interest.</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2.75"/>
  <cols>
    <col width="20.28515625" customWidth="1" style="216" min="1" max="1"/>
    <col width="9" customWidth="1" style="216" min="2" max="2"/>
    <col width="9.28515625" customWidth="1" style="216" min="3" max="3"/>
    <col width="11.85546875" customWidth="1" style="216" min="5" max="5"/>
    <col width="11" customWidth="1" style="216" min="6" max="6"/>
    <col width="18.85546875" customWidth="1" style="216" min="7" max="7"/>
    <col width="20.28515625" customWidth="1" style="216" min="8" max="8"/>
    <col width="16" customWidth="1" style="216" min="9" max="9"/>
    <col width="14.42578125" customWidth="1" style="216" min="10" max="10"/>
    <col width="13.28515625" customWidth="1" style="216" min="12" max="12"/>
    <col width="16.7109375" customWidth="1" style="216" min="13" max="13"/>
    <col width="13.42578125" customWidth="1" style="216" min="14" max="14"/>
    <col width="19.5703125" customWidth="1" style="216" min="15" max="15"/>
  </cols>
  <sheetData>
    <row r="1" ht="16.5" customHeight="1" s="216">
      <c r="A1" s="401" t="inlineStr">
        <is>
          <t>Date Sent</t>
        </is>
      </c>
      <c r="B1" s="401" t="inlineStr">
        <is>
          <t>Recipient</t>
        </is>
      </c>
      <c r="C1" s="401" t="inlineStr">
        <is>
          <t>Company</t>
        </is>
      </c>
      <c r="D1" s="401" t="inlineStr">
        <is>
          <t>Subject</t>
        </is>
      </c>
      <c r="E1" s="401" t="inlineStr">
        <is>
          <t>Thread Link</t>
        </is>
      </c>
      <c r="F1" s="401" t="inlineStr">
        <is>
          <t>Days Since</t>
        </is>
      </c>
      <c r="G1" s="401" t="inlineStr">
        <is>
          <t>Last Message From</t>
        </is>
      </c>
      <c r="H1" s="401" t="inlineStr">
        <is>
          <t>Meeting Requested?</t>
        </is>
      </c>
      <c r="I1" s="401" t="inlineStr">
        <is>
          <t>Reply Received?</t>
        </is>
      </c>
      <c r="J1" s="401" t="inlineStr">
        <is>
          <t>Deal Size (Est.)</t>
        </is>
      </c>
      <c r="K1" s="401" t="inlineStr">
        <is>
          <t>Stage</t>
        </is>
      </c>
      <c r="L1" s="401" t="inlineStr">
        <is>
          <t>Strategic Tier</t>
        </is>
      </c>
      <c r="M1" s="401" t="inlineStr">
        <is>
          <t>Close Probability</t>
        </is>
      </c>
      <c r="N1" s="401" t="inlineStr">
        <is>
          <t>Priority Score</t>
        </is>
      </c>
      <c r="O1" s="401" t="inlineStr">
        <is>
          <t>Notes / Next Action</t>
        </is>
      </c>
    </row>
    <row r="2">
      <c r="F2">
        <f>IF(A2="","",TODAY()-A2)</f>
        <v/>
      </c>
      <c r="I2">
        <f>IF(G2="","",IF(G2="John Quinn","No","Yes"))</f>
        <v/>
      </c>
      <c r="N2">
        <f>IF(I2="Yes","",
(0.6*MIN(J2/250000,1)) +
(0.15*K2) +
(0.15*L2) +
(0.1*M2) -
(0.02*F2)
)</f>
        <v/>
      </c>
    </row>
    <row r="13" ht="16.5" customHeight="1" s="216">
      <c r="A13" s="401" t="n"/>
    </row>
  </sheetData>
  <conditionalFormatting sqref="K1:K1048576">
    <cfRule type="cellIs" priority="3" operator="greaterThan" dxfId="2">
      <formula>0.75</formula>
    </cfRule>
  </conditionalFormatting>
  <conditionalFormatting sqref="A1:XFD1048576">
    <cfRule type="expression" priority="2" dxfId="1">
      <formula>AND($I2="No",$F2&gt;=7)</formula>
    </cfRule>
    <cfRule type="expression" priority="1" dxfId="0">
      <formula>AND($H2="Yes",$I2="No")</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2.75"/>
  <cols>
    <col width="34.5703125" customWidth="1" style="216" min="1" max="1"/>
    <col width="32.28515625" customWidth="1" style="216" min="2" max="2"/>
    <col width="36.140625" customWidth="1" style="216" min="3" max="3"/>
    <col width="28.7109375" customWidth="1" style="216" min="4" max="4"/>
    <col width="61.42578125" customWidth="1" style="216" min="5" max="5"/>
    <col width="115.42578125" customWidth="1" style="216" min="6" max="6"/>
    <col width="12.140625" customWidth="1" style="164" min="7" max="7"/>
    <col width="109.28515625" customWidth="1" style="216" min="8" max="8"/>
  </cols>
  <sheetData>
    <row r="1">
      <c r="A1" s="157" t="inlineStr">
        <is>
          <t>Company Name</t>
        </is>
      </c>
      <c r="B1" s="157" t="inlineStr">
        <is>
          <t>Main Contact Name</t>
        </is>
      </c>
      <c r="C1" s="157" t="inlineStr">
        <is>
          <t>Main Contact Email</t>
        </is>
      </c>
      <c r="D1" s="157" t="inlineStr">
        <is>
          <t>Secondary Contact(s)</t>
        </is>
      </c>
      <c r="E1" s="157" t="inlineStr">
        <is>
          <t>Offer Type</t>
        </is>
      </c>
      <c r="F1" s="157" t="inlineStr">
        <is>
          <t>Dollar Amount</t>
        </is>
      </c>
      <c r="G1" s="308" t="inlineStr">
        <is>
          <t>Last Contact</t>
        </is>
      </c>
      <c r="H1" s="157" t="inlineStr">
        <is>
          <t>Summary / Status</t>
        </is>
      </c>
      <c r="I1" s="157" t="inlineStr">
        <is>
          <t>Board Review Email Sent?</t>
        </is>
      </c>
    </row>
    <row r="2" ht="24.75" customFormat="1" customHeight="1" s="261">
      <c r="A2" s="345" t="inlineStr">
        <is>
          <t>AxisCades</t>
        </is>
      </c>
      <c r="B2" s="261" t="inlineStr">
        <is>
          <t>Suresh Babu Suryadevara</t>
        </is>
      </c>
      <c r="C2" s="346" t="inlineStr">
        <is>
          <t>suresh.s@axiscades.in</t>
        </is>
      </c>
      <c r="D2" s="261" t="inlineStr">
        <is>
          <t>Arun Arumugam; Rithvick Naidu</t>
        </is>
      </c>
      <c r="E2" s="261" t="inlineStr">
        <is>
          <t>Strategic Partnership-  Equity deal</t>
        </is>
      </c>
      <c r="F2" s="347" t="inlineStr">
        <is>
          <t>SSLC 51%</t>
        </is>
      </c>
      <c r="G2" s="366" t="n">
        <v>46055</v>
      </c>
      <c r="H2" s="261" t="inlineStr">
        <is>
          <t>Missed call toady at 08:30 - Follow-up framework shared outlining a phased, ITAR/EAR-compliant strategic partnership. Proposal includes AxisCades acquiring 51% of SSLC for $10M (phased capital), international sales support with commission structure, and long-term India-based manufacturing under TAA/MLA approvals. Discussions ongoing to confirm alignment on structure, valuation, and next steps.</t>
        </is>
      </c>
      <c r="J2" s="261" t="inlineStr">
        <is>
          <t>toured SSLC on 2/16</t>
        </is>
      </c>
    </row>
    <row r="3" ht="57.75" customFormat="1" customHeight="1" s="374">
      <c r="A3" s="359" t="inlineStr">
        <is>
          <t>Tristate Capital</t>
        </is>
      </c>
      <c r="B3" s="374" t="inlineStr">
        <is>
          <t>Sulaiman Sulaimani</t>
        </is>
      </c>
      <c r="C3" s="375" t="inlineStr">
        <is>
          <t>sulaiman@tristatecap.com</t>
        </is>
      </c>
      <c r="D3" s="374" t="inlineStr">
        <is>
          <t>—</t>
        </is>
      </c>
      <c r="E3" s="376" t="inlineStr">
        <is>
          <t>Capital Introduction (Success Fee + Equity) 
Cost of finance under Tristate:
2.0% cash + 1.0% non-voting equity
Only on Tristate-sourced, closed capital</t>
        </is>
      </c>
      <c r="F3" s="374" t="inlineStr">
        <is>
          <t>Active</t>
        </is>
      </c>
      <c r="G3" s="377" t="n">
        <v>46054</v>
      </c>
      <c r="H3" s="376" t="inlineStr">
        <is>
          <t xml:space="preserve">https://www.irongatevc.com/ 
Contracted with Sulaiman Sulaimani
​John Quinn​
​Neil Milburn​
John,
I'm scheduled to speak with our strategic partner Ty McCoy tomorrow. He just emailed me a company now that appears to be a close contact of his as there is someone on their team that is former CIA. I think we found the right partner for you and your team. Please give me sometime as I work on this for you and your team. I'll be back in touch. 
Thanks for the call yesterday. I enjoyed speaking with you. I was able to connect with our strategic partner Ty McCoy with IronGate. He is available to speak with us next week at 12 pm CST on 2/10.
I was also able to circle up with our clients from ETL. Hanshin Lee emailed me that he is interested in Exos Aerospace and speaking with us next week at 8 am CST on 2/10.
If you can please send me calendar invites for both calls on 2/10 8 am CST with ETL, and 12 pm CST with IronGate. Once I receive both invites, I'll be sure to pass them along. 
</t>
        </is>
      </c>
      <c r="I3" s="378" t="n">
        <v>46037</v>
      </c>
      <c r="J3" s="336" t="inlineStr">
        <is>
          <t>2/10 – Calls Held:</t>
        </is>
      </c>
      <c r="L3" s="374" t="inlineStr">
        <is>
          <t xml:space="preserve">etl dean rx? match with portfolio co </t>
        </is>
      </c>
      <c r="P3" s="374" t="inlineStr">
        <is>
          <t>follow up email with ty and dean correspondence</t>
        </is>
      </c>
    </row>
    <row r="4" customFormat="1" s="261">
      <c r="A4" s="261" t="inlineStr">
        <is>
          <t>Cloris Capital Group LLC</t>
        </is>
      </c>
      <c r="B4" s="261" t="inlineStr">
        <is>
          <t>Tahmina Khan</t>
        </is>
      </c>
      <c r="C4" s="333" t="inlineStr">
        <is>
          <t>tahmina.investing@gmail.com</t>
        </is>
      </c>
      <c r="E4" s="261" t="inlineStr">
        <is>
          <t>Capital Partner (Equity / Strategic) 2% of transaction</t>
        </is>
      </c>
      <c r="F4" s="358" t="n"/>
      <c r="G4" s="366" t="n"/>
      <c r="I4" s="286" t="n"/>
      <c r="J4" s="261" t="inlineStr">
        <is>
          <t>Completed discussions with both ETL and IronGate. No follow-up correspondence received to date. Awaiting next steps or investor feedback.</t>
        </is>
      </c>
      <c r="K4" s="261" t="inlineStr">
        <is>
          <t>Investor requested documentation showing revenue for the past three years and indicated interest if trailing 12-month revenue reflects ~$1M. Financial documents sent by John. Awaiting response/feedback.</t>
        </is>
      </c>
    </row>
    <row r="5" ht="28.5" customFormat="1" customHeight="1" s="261">
      <c r="A5" s="349" t="inlineStr">
        <is>
          <t xml:space="preserve">Digital Asset Management </t>
        </is>
      </c>
      <c r="B5" s="349" t="inlineStr">
        <is>
          <t>Juan Lorenzana</t>
        </is>
      </c>
      <c r="C5" s="354" t="n"/>
      <c r="D5" s="355" t="n"/>
      <c r="E5" s="356" t="inlineStr">
        <is>
          <t>no feedback on SEC filing AUM record</t>
        </is>
      </c>
      <c r="F5" s="350" t="inlineStr">
        <is>
          <t>$50M Fund</t>
        </is>
      </c>
      <c r="G5" s="351" t="n">
        <v>46059</v>
      </c>
      <c r="H5" s="352" t="inlineStr">
        <is>
          <t xml:space="preserve">$30K refundable.  Fund  with hedge of Gold metals real estate etc. </t>
        </is>
      </c>
      <c r="I5" s="353" t="n"/>
      <c r="J5" s="352" t="n"/>
      <c r="K5" s="352" t="n"/>
      <c r="M5" s="357" t="n"/>
      <c r="O5" s="358" t="n"/>
    </row>
    <row r="6" ht="61.5" customFormat="1" customHeight="1" s="261">
      <c r="A6" s="261" t="inlineStr">
        <is>
          <t>Bancroft Capital (Bancroft4Vets)</t>
        </is>
      </c>
      <c r="B6" s="261" t="inlineStr">
        <is>
          <t>Jason Diamond</t>
        </is>
      </c>
      <c r="C6" s="333" t="inlineStr">
        <is>
          <t>jdiamond@bancroft4vets.com</t>
        </is>
      </c>
      <c r="D6" s="261" t="inlineStr">
        <is>
          <t>Kipton Cariaga (kcariaga@bancroft4vets.com); Robert L. Malin (rmalin@bancroft4vets.com); Josh Goodman (jgoodman@bancroft4vets.com)</t>
        </is>
      </c>
      <c r="E6" s="261" t="inlineStr">
        <is>
          <t>Investment Banking / Capital Raise</t>
        </is>
      </c>
      <c r="F6" s="358" t="inlineStr">
        <is>
          <t>Jason Diamond | Bancroft Capital, LLC
Managing Director, Head of Investment Banking
+1 414 223-4401 (office)
+1 414 839-6547 (cell) 	
Text: (414) 251‑0144</t>
        </is>
      </c>
      <c r="G6" s="366" t="inlineStr">
        <is>
          <t>2-21 and 2-26</t>
        </is>
      </c>
      <c r="H6" s="261" t="inlineStr">
        <is>
          <t>Introduced via Kipton Cariaga. Terms/presentation shared. Defense- and veteran-focused investment bank. Logged for tracking and follow-up; no term sheet yet. Engaging BTIG 2-26-26</t>
        </is>
      </c>
      <c r="I6" s="286" t="n">
        <v>46038</v>
      </c>
      <c r="K6" s="261" t="inlineStr">
        <is>
          <t>At their request, sent forward-ready cover email with high-level company overview and $10M raise summary, along with attached presentations. Materials prepared for direct circulation to IB partners and investor network (Jason forwarding internally). Awaiting feedback and/or investor introductions.</t>
        </is>
      </c>
    </row>
    <row r="7" customFormat="1" s="234">
      <c r="A7" s="370" t="inlineStr">
        <is>
          <t>Odeon Capital</t>
        </is>
      </c>
      <c r="B7" s="234" t="inlineStr">
        <is>
          <t>Eric Gomberg</t>
        </is>
      </c>
      <c r="C7" s="371" t="inlineStr">
        <is>
          <t>egomberg@odeoncap.com</t>
        </is>
      </c>
      <c r="D7" s="234" t="inlineStr">
        <is>
          <t>—</t>
        </is>
      </c>
      <c r="E7" s="234" t="inlineStr">
        <is>
          <t>Capital Discussion</t>
        </is>
      </c>
      <c r="F7" s="234" t="inlineStr">
        <is>
          <t xml:space="preserve">Ghost- </t>
        </is>
      </c>
      <c r="G7" s="372" t="n">
        <v>46028</v>
      </c>
      <c r="H7" s="234" t="inlineStr">
        <is>
          <t>MNDA + data room sent Dec 17. No response prior to year-end. Follow-up email sent today.</t>
        </is>
      </c>
      <c r="I7" s="373" t="n">
        <v>46037</v>
      </c>
    </row>
    <row r="8" customFormat="1" s="234">
      <c r="A8" s="370" t="inlineStr">
        <is>
          <t>The Unity Group</t>
        </is>
      </c>
      <c r="B8" s="234" t="inlineStr">
        <is>
          <t>Alex Durie via Tahmina K</t>
        </is>
      </c>
      <c r="C8" s="92" t="inlineStr">
        <is>
          <t>alex@unity-group.com</t>
        </is>
      </c>
      <c r="D8" s="92" t="inlineStr">
        <is>
          <t>shorgan05@gmail.com, harry.young@theacquisitionrudis.com, jeremy@unity-group.com, victor.tan@unity-group.com</t>
        </is>
      </c>
      <c r="G8" s="372" t="inlineStr">
        <is>
          <t>3/18 meeting held - will have offer in 10 days</t>
        </is>
      </c>
      <c r="I8" s="373" t="n"/>
    </row>
    <row r="9" ht="36.75" customFormat="1" customHeight="1" s="234">
      <c r="A9" s="370" t="inlineStr">
        <is>
          <t>Sunbelt Dallas Metro</t>
        </is>
      </c>
      <c r="B9" s="234" t="inlineStr">
        <is>
          <t>Bill Nicholson</t>
        </is>
      </c>
      <c r="C9" s="371" t="inlineStr">
        <is>
          <t>bnicholson@sunbeltnetwork.com</t>
        </is>
      </c>
      <c r="D9" s="371" t="n"/>
      <c r="E9" t="inlineStr">
        <is>
          <t>Proposed intermediary engagement (retainer + success fee model under discussion; Board requesting performance-based structure)</t>
        </is>
      </c>
      <c r="F9" s="393" t="inlineStr">
        <is>
          <t>Retainer amount not yet specified
Success fee structure not yet provided</t>
        </is>
      </c>
      <c r="G9" s="372" t="n">
        <v>46083</v>
      </c>
      <c r="H9" s="393" t="inlineStr">
        <is>
          <t>Sunbelt inquired about including a retainer amount in the Engagement Letter.
John responded that the EXOS Board is unlikely to approve another open-ended retainer structure due to prior experiences with retainers that did not yield measurable outcomes. The Board is prioritizing:
Clearly defined deliverables
Performance-aligned compensation
Objective execution milestones
Defined transaction targets
SEC-compliant structure (broker-dealer participation as required)
John encouraged Sunbelt to propose a performance-based framework (reduced/deferred retainer, milestone-triggered payments, or primarily success-fee based on capital secured).
Bill acknowledged and is coordinating internally to revise the proposal. He requested timing of the next Board meeting.
Status: Awaiting revised engagement structure from Sunbelt for Board review.</t>
        </is>
      </c>
      <c r="I9" s="373" t="n"/>
      <c r="J9" s="234" t="inlineStr">
        <is>
          <t>sent email letting him know board doesn't want to pat retainer fees</t>
        </is>
      </c>
    </row>
    <row r="10" ht="73.5" customHeight="1" s="216">
      <c r="A10" s="291" t="inlineStr">
        <is>
          <t>Ricci Global Partners</t>
        </is>
      </c>
      <c r="B10" t="inlineStr">
        <is>
          <t>Riccardo Ricci</t>
        </is>
      </c>
      <c r="C10" s="111" t="inlineStr">
        <is>
          <t>riccardo@riccicapitalpartners.com</t>
        </is>
      </c>
      <c r="D10" t="inlineStr">
        <is>
          <t>—</t>
        </is>
      </c>
      <c r="E10" t="inlineStr">
        <is>
          <t>Capital Partner (Equity / Strategic)</t>
        </is>
      </c>
      <c r="F10" s="114" t="inlineStr">
        <is>
          <t xml:space="preserve">Riccardo Ricci Bilingual English and Italian
Managing Partner | Ricci Capital Partners
A: 4695 MacArthur Court, 11th Floor, Newport Beach, CA 92660
P: ‪+1 (224) 284‑0928‬
E: riccardo@riccicapitalpartners.com 
W: riccicapitalpartners.com
</t>
        </is>
      </c>
      <c r="G10" s="164" t="n">
        <v>46028</v>
      </c>
      <c r="H10" t="inlineStr">
        <is>
          <t xml:space="preserve"> MNDA executed and data room shared. Ricci requested finance working session and followed up again today to move forward</t>
        </is>
      </c>
      <c r="I10" s="80" t="n">
        <v>46037</v>
      </c>
      <c r="J10" s="80" t="n">
        <v>46094</v>
      </c>
    </row>
    <row r="11">
      <c r="A11" t="inlineStr">
        <is>
          <t>Cerberus Capital Management</t>
        </is>
      </c>
      <c r="B11" t="inlineStr">
        <is>
          <t>Kent (Cerberus Ops)</t>
        </is>
      </c>
      <c r="C11" s="111" t="inlineStr">
        <is>
          <t>consult-klietzau@cerberusoperations.com</t>
        </is>
      </c>
      <c r="D11" t="inlineStr">
        <is>
          <t>—</t>
        </is>
      </c>
      <c r="E11" t="inlineStr">
        <is>
          <t>Strategic Partner / Growth Capital</t>
        </is>
      </c>
      <c r="F11" t="inlineStr">
        <is>
          <t>$50–100M target over 5 years (indicative)</t>
        </is>
      </c>
      <c r="G11" s="310" t="n">
        <v>46023</v>
      </c>
      <c r="H11" t="inlineStr">
        <is>
          <t>Introductory conversation held; John sent story deck, finance-focused deck, and one-pager today. Framed as strategic partner aligned with Scorpius acquisition, revenue expansion, and hypersonics / Golden Dome support. Added as potential strategic partner for board consideration. Awaiting response.</t>
        </is>
      </c>
    </row>
    <row r="12">
      <c r="A12" t="inlineStr">
        <is>
          <t>Viking Mergers &amp; Acquisitions</t>
        </is>
      </c>
      <c r="B12" t="inlineStr">
        <is>
          <t>A. Rehwinkel</t>
        </is>
      </c>
      <c r="C12" s="111" t="inlineStr">
        <is>
          <t>arehwinkel@vikingmergers.com</t>
        </is>
      </c>
      <c r="G12" t="inlineStr">
        <is>
          <t>NDA signed / Data room access granted</t>
        </is>
      </c>
      <c r="H12" t="inlineStr">
        <is>
          <t>Initial engagement underway; reviewing materials in data room.</t>
        </is>
      </c>
    </row>
    <row r="13">
      <c r="A13" t="inlineStr">
        <is>
          <t xml:space="preserve">Ivy Asset Management </t>
        </is>
      </c>
      <c r="B13" t="inlineStr">
        <is>
          <t>Chris Roberts "Christopher Virginia Roberts"</t>
        </is>
      </c>
      <c r="C13" s="111" t="inlineStr">
        <is>
          <t>chrisr@ivyassetmngmt.com</t>
        </is>
      </c>
      <c r="G13" t="inlineStr">
        <is>
          <t>meeting held on 3/24, NDA signed, in data room on 3/25</t>
        </is>
      </c>
    </row>
    <row r="14" ht="28.5" customFormat="1" customHeight="1" s="233">
      <c r="A14" s="380" t="inlineStr">
        <is>
          <t>Rochefort Management</t>
        </is>
      </c>
      <c r="B14" s="380" t="inlineStr">
        <is>
          <t>Grayson Wotnosky</t>
        </is>
      </c>
      <c r="C14" s="381" t="inlineStr">
        <is>
          <t>gwotnosky@rochefort.us</t>
        </is>
      </c>
      <c r="D14" s="233" t="inlineStr">
        <is>
          <t>sschottenheimer@rochefort.us</t>
        </is>
      </c>
      <c r="E14" s="382" t="inlineStr">
        <is>
          <t>OSC Approved Connected with three Dallas area VC types</t>
        </is>
      </c>
      <c r="F14" s="383" t="inlineStr">
        <is>
          <t>Ghosting us- NEED phone # to call direct</t>
        </is>
      </c>
      <c r="G14" s="384" t="n">
        <v>46056</v>
      </c>
      <c r="H14" s="385" t="inlineStr">
        <is>
          <t xml:space="preserve">long lead time - 6 months + Government possible applicaiton for expansion $25M+ long term BLK4 funding path vs commercial capital for that. </t>
        </is>
      </c>
      <c r="I14" s="386" t="n">
        <v>46037</v>
      </c>
      <c r="J14" s="387" t="inlineStr">
        <is>
          <t>1/5 – Intro Call Scheduled:
Grayson scheduled meeting for 1/8 at 9:30am ET.
1/8 – Call Held.
2/3 – Follow-Up (OSC Funding Request):
John indicated EXOS would like to proceed with OSC funding request and requested brief call ahead of board presentation.
2/6 – Board Approval Secured:
John confirmed board approval to proceed and requested next call to advance funding discussion.
Status: Awaiting response.
Temperature: Warm but stalled post-board readiness signal.
Next Step: Strategic follow-up required.</t>
        </is>
      </c>
      <c r="K14" s="385" t="n"/>
      <c r="O14" s="382" t="n"/>
    </row>
    <row r="15" ht="72" customHeight="1" s="216">
      <c r="A15" s="340" t="inlineStr">
        <is>
          <t>Pickwick Capital</t>
        </is>
      </c>
      <c r="B15" s="146" t="inlineStr">
        <is>
          <t>Crescent Varrone</t>
        </is>
      </c>
      <c r="C15" s="341" t="inlineStr">
        <is>
          <t>varronec@pickwickcapital.com</t>
        </is>
      </c>
      <c r="D15" s="146" t="inlineStr">
        <is>
          <t>David Lance Alvarez (alvarezd@pickwickcapital.com); Mark Sauter (sauterm@pickwickcapital.com)</t>
        </is>
      </c>
      <c r="E15" s="146" t="inlineStr">
        <is>
          <t>Capital Partner (Equity / Strategic) $15k/ mon 6 Months</t>
        </is>
      </c>
      <c r="F15" s="145" t="inlineStr">
        <is>
          <t>, the proposed six-month fundraising program at $15K per month isn’t an approach we intend to pursue. It did, however, clarify that Pickwick’s role is as an advisor and connector to potential capital and strategic counterparties, rather than a direct capital deployer.
What would be of interest to us is engagement around strategically aligned companies or capital partners you are working with that see clear value in Exos’ ownership and operational turnaround of Scorpius Space Launch—particularly where that creates downstream benefit for VAYA Space or other stakeholders aligned with national security, space access, and defense applications.</t>
        </is>
      </c>
      <c r="G15" s="342" t="n">
        <v>46031</v>
      </c>
      <c r="H15" s="146" t="inlineStr">
        <is>
          <t xml:space="preserve">Active discussions underway. Pickwick has expressed interest; no term sheet yet. John had producitive meeting on 1/9. </t>
        </is>
      </c>
      <c r="I15" s="343" t="n">
        <v>46037</v>
      </c>
      <c r="J15" s="146" t="n"/>
      <c r="K15" s="146" t="n"/>
      <c r="L15" s="146" t="n"/>
      <c r="M15" s="146" t="n"/>
      <c r="N15" s="146" t="n"/>
      <c r="O15" s="146" t="n"/>
      <c r="P15" s="146" t="n"/>
      <c r="Q15" s="146" t="n"/>
      <c r="R15" s="146" t="n"/>
      <c r="S15" s="146" t="n"/>
      <c r="T15" s="146" t="n"/>
      <c r="U15" s="146" t="n"/>
      <c r="V15" s="146" t="n"/>
      <c r="W15" s="146" t="n"/>
      <c r="X15" s="146" t="n"/>
      <c r="Y15" s="146" t="n"/>
      <c r="Z15" s="146" t="n"/>
      <c r="AA15" s="146" t="n"/>
      <c r="AB15" s="146" t="n"/>
      <c r="AC15" s="146" t="n"/>
      <c r="AD15" s="146" t="n"/>
    </row>
    <row r="16" ht="24" customHeight="1" s="216">
      <c r="A16" s="146" t="inlineStr">
        <is>
          <t>InvestFortuna</t>
        </is>
      </c>
      <c r="B16" s="146" t="inlineStr">
        <is>
          <t>Sean Bromley</t>
        </is>
      </c>
      <c r="C16" s="341" t="inlineStr">
        <is>
          <t>sbromley@investfortuna.com</t>
        </is>
      </c>
      <c r="D16" s="341" t="inlineStr">
        <is>
          <t>Vahid Veghtesad (veghtesad@investfortuna.com)</t>
        </is>
      </c>
      <c r="E16" s="146" t="inlineStr">
        <is>
          <t>Advisory + Bridge / IPO Path</t>
        </is>
      </c>
      <c r="F16" s="146" t="inlineStr">
        <is>
          <t>~$5M bridge; IPO-focused</t>
        </is>
      </c>
      <c r="G16" s="344" t="n">
        <v>46023</v>
      </c>
      <c r="H16" s="145" t="inlineStr">
        <is>
          <t>The .4 term sheet, as drafted, is not registrable, not exchange-compliant, and not defensible for directors.
It can be salvaged only through structural changes that align it with industry norms that they rejected.</t>
        </is>
      </c>
      <c r="I16" s="343" t="n">
        <v>46037</v>
      </c>
      <c r="J16" s="146" t="inlineStr">
        <is>
          <t>Fortuna proposed an IPO-led advisory structure including a warrant offering, $5M minimum bridge financing (convertible at significant discount), and a $15M IPO financing, with substantial embedded dilution and control provisions. EXOS submitted a formal counter-term sheet replacing discounted instruments and automatic vesting with performance-based earn-out equity tied to post-IPO share price and market cap milestones, preserving a clean cap table and fiduciary compliance. Negotiations ongoing; awaiting Fortuna response.</t>
        </is>
      </c>
      <c r="K16" s="146" t="n"/>
      <c r="L16" s="146" t="n"/>
      <c r="M16" s="146" t="n"/>
      <c r="N16" s="146" t="n"/>
      <c r="O16" s="146" t="n"/>
      <c r="P16" s="146" t="n"/>
      <c r="Q16" s="146" t="n"/>
      <c r="R16" s="146" t="n"/>
      <c r="S16" s="146" t="n"/>
      <c r="T16" s="146" t="n"/>
      <c r="U16" s="146" t="n"/>
      <c r="V16" s="146" t="n"/>
      <c r="W16" s="146" t="n"/>
      <c r="X16" s="146" t="n"/>
      <c r="Y16" s="146" t="n"/>
      <c r="Z16" s="146" t="n"/>
      <c r="AA16" s="146" t="n"/>
      <c r="AB16" s="146" t="n"/>
      <c r="AC16" s="146" t="n"/>
      <c r="AD16" s="146" t="n"/>
    </row>
    <row r="17" customFormat="1" s="146">
      <c r="A17" s="146" t="inlineStr">
        <is>
          <t>CrossRoads Capital</t>
        </is>
      </c>
      <c r="B17" s="146" t="inlineStr">
        <is>
          <t xml:space="preserve">Rchard Phillips </t>
        </is>
      </c>
      <c r="C17" s="341" t="inlineStr">
        <is>
          <t>M&amp;A company sale acq</t>
        </is>
      </c>
      <c r="D17" s="146" t="inlineStr">
        <is>
          <t>Ken Runkles</t>
        </is>
      </c>
      <c r="E17" s="146" t="inlineStr">
        <is>
          <t>CTD acquisition or JV opportunity</t>
        </is>
      </c>
      <c r="F17" s="146" t="inlineStr">
        <is>
          <t xml:space="preserve">tbd- </t>
        </is>
      </c>
      <c r="G17" s="342" t="n">
        <v>46038</v>
      </c>
      <c r="H17" s="146" t="inlineStr">
        <is>
          <t>have new 18,000 sf facility just North of Denver Co.  $3-4M to scale</t>
        </is>
      </c>
      <c r="I17" s="343" t="n"/>
    </row>
    <row r="18" customFormat="1" s="146">
      <c r="A18" s="146" t="inlineStr">
        <is>
          <t>DC Finance</t>
        </is>
      </c>
      <c r="B18" s="146" t="inlineStr">
        <is>
          <t>Morris</t>
        </is>
      </c>
      <c r="C18" s="341" t="inlineStr">
        <is>
          <t>Family office meeting setups</t>
        </is>
      </c>
      <c r="E18" s="146" t="inlineStr">
        <is>
          <t>10K or 30k to put you in a room with 12 Family offices</t>
        </is>
      </c>
      <c r="F18" s="146" t="inlineStr">
        <is>
          <t>Details coming for $10M 3 weeks ahead for setup</t>
        </is>
      </c>
      <c r="G18" s="342" t="n"/>
      <c r="I18" s="343" t="n"/>
    </row>
    <row r="19">
      <c r="A19" s="324" t="inlineStr">
        <is>
          <t>US Capital</t>
        </is>
      </c>
      <c r="B19" s="325" t="inlineStr">
        <is>
          <t>Ashley Curless</t>
        </is>
      </c>
      <c r="C19" s="326" t="inlineStr">
        <is>
          <t>ACurless@uscapital.com</t>
        </is>
      </c>
      <c r="D19" s="325" t="inlineStr">
        <is>
          <t>Mitch Cohen et al.</t>
        </is>
      </c>
      <c r="E19" s="325" t="inlineStr">
        <is>
          <t>Capital Raise (Equity / Convertible)</t>
        </is>
      </c>
      <c r="F19" s="325" t="inlineStr">
        <is>
          <t>Up to $10M</t>
        </is>
      </c>
      <c r="G19" s="327" t="n">
        <v>45986</v>
      </c>
      <c r="H19" s="325" t="inlineStr">
        <is>
          <t>Terms shared; fee-heavy engagement model. $120K + 8%  $920K</t>
        </is>
      </c>
      <c r="I19" s="328" t="n">
        <v>46037</v>
      </c>
      <c r="J19" t="inlineStr">
        <is>
          <t>Submitted formal equity financing proposal for up to $10M. Structure includes 8% cash banking fee, 8% warrant coverage, and $120K upfront compliance/diligence/distribution fees. Process is heavily intermediary-led with broad investor marketing and placement focus. High fees and limited strategic value relative to capital efficiency; not a preferred path at this stage.</t>
        </is>
      </c>
    </row>
    <row r="20" customFormat="1" s="146">
      <c r="A20" s="340" t="inlineStr">
        <is>
          <t>CounterFlow Solutions</t>
        </is>
      </c>
      <c r="B20" s="146" t="inlineStr">
        <is>
          <t>Dan Garretson</t>
        </is>
      </c>
      <c r="C20" s="341" t="inlineStr">
        <is>
          <t>dgarretson@counterflowsolutions.com</t>
        </is>
      </c>
      <c r="D20" s="146" t="inlineStr">
        <is>
          <t>—</t>
        </is>
      </c>
      <c r="E20" s="146" t="inlineStr">
        <is>
          <t>Strategic Advisory (Narrative / Framing)</t>
        </is>
      </c>
      <c r="F20" s="146" t="inlineStr">
        <is>
          <t>~$10–15K proposed</t>
        </is>
      </c>
      <c r="G20" s="342" t="n">
        <v>46024</v>
      </c>
      <c r="H20" s="146" t="inlineStr">
        <is>
          <t>Proposed short sprint to reframe EXOS + Scorpius narrative. Decision pending.</t>
        </is>
      </c>
    </row>
    <row r="21" ht="96" customHeight="1" s="216">
      <c r="A21" s="292" t="inlineStr">
        <is>
          <t>Craft Capital</t>
        </is>
      </c>
      <c r="B21" t="inlineStr">
        <is>
          <t>Brandon Golenda</t>
        </is>
      </c>
      <c r="C21" s="111" t="inlineStr">
        <is>
          <t>bgolenda@craftcm.com</t>
        </is>
      </c>
      <c r="D21" t="inlineStr">
        <is>
          <t>Alex Hamilton</t>
        </is>
      </c>
      <c r="E21" s="114" t="inlineStr">
        <is>
          <t>Advisory (Paid) Cost of finance:
$30k fixed + 4–8% cash + 8% equity/warrants (if they introduce the capital)
How to exclude other funding:
The agreement already limits fees to Craft-introduced investors only, but
You should formalize exclusions in writing immediately to avoid disputes.</t>
        </is>
      </c>
      <c r="F21" t="inlineStr">
        <is>
          <t>$30K required</t>
        </is>
      </c>
      <c r="G21" s="164" t="n">
        <v>46020</v>
      </c>
      <c r="H21" t="inlineStr">
        <is>
          <t>Advisory offer contingent on $30K fee. We chose not to proceed; parked.</t>
        </is>
      </c>
    </row>
    <row r="22">
      <c r="A22" s="292" t="inlineStr">
        <is>
          <t>Cerebro Capital</t>
        </is>
      </c>
      <c r="B22" t="inlineStr">
        <is>
          <t>Steven Agathoklis</t>
        </is>
      </c>
      <c r="C22" s="111" t="inlineStr">
        <is>
          <t>sagathoklis@cerebrocapital.com</t>
        </is>
      </c>
      <c r="D22" t="inlineStr">
        <is>
          <t>—</t>
        </is>
      </c>
      <c r="E22" t="inlineStr">
        <is>
          <t>Bridge Loan</t>
        </is>
      </c>
      <c r="F22" t="inlineStr">
        <is>
          <t>TBD</t>
        </is>
      </c>
      <c r="G22" s="164" t="n">
        <v>45951</v>
      </c>
      <c r="H22" t="inlineStr">
        <is>
          <t>NDA signed; full financials provided. No response since; inactive.</t>
        </is>
      </c>
    </row>
    <row r="23">
      <c r="A23" s="292" t="inlineStr">
        <is>
          <t>Concord Ventures</t>
        </is>
      </c>
      <c r="B23" t="inlineStr">
        <is>
          <t>Salim Dada</t>
        </is>
      </c>
      <c r="C23" s="111" t="inlineStr">
        <is>
          <t>Salim.D@concordventuresinc.com</t>
        </is>
      </c>
      <c r="D23" t="inlineStr">
        <is>
          <t>—</t>
        </is>
      </c>
      <c r="E23" t="inlineStr">
        <is>
          <t>Sell-Side / Marketing Advisory (Exclusive)</t>
        </is>
      </c>
      <c r="F23" t="inlineStr">
        <is>
          <t>Retainer + 4% success</t>
        </is>
      </c>
      <c r="G23" s="164" t="n">
        <v>45958</v>
      </c>
      <c r="H23" t="inlineStr">
        <is>
          <t>Revised agreement sent; no follow-up since; inactive.</t>
        </is>
      </c>
    </row>
    <row r="24">
      <c r="A24" s="306" t="inlineStr">
        <is>
          <t>DelMorgan &amp; Co</t>
        </is>
      </c>
      <c r="B24" s="306" t="inlineStr">
        <is>
          <t>RJ Mollen</t>
        </is>
      </c>
      <c r="C24" s="307" t="inlineStr">
        <is>
          <t>rjm@delmorganco.com</t>
        </is>
      </c>
      <c r="D24" s="306" t="inlineStr">
        <is>
          <t>—</t>
        </is>
      </c>
      <c r="E24" s="306" t="inlineStr">
        <is>
          <t>Strategic Advisory / Infrastructure &amp; Capital Access</t>
        </is>
      </c>
      <c r="F24" s="306" t="inlineStr">
        <is>
          <t>Option 1: $50K (12 months); Option 2: $17.5K (4 months) + equity bonus</t>
        </is>
      </c>
      <c r="G24" s="309" t="n">
        <v>46037</v>
      </c>
      <c r="H24" s="306" t="inlineStr">
        <is>
          <t>Talked and rejected offer- RJ proposed two alternative advisory paths outside the DelMorgan framework: (1) Fast Space infrastructure and asset monetization strategy, and (2) Gleam Consulting advisory + investor introductions tied to a $10M raise. Fee-based advisory with equity success bonuses. Not aligned with current priorities; documented for reference.</t>
        </is>
      </c>
      <c r="I24" s="306" t="n"/>
      <c r="J24" s="306" t="n"/>
      <c r="K24" s="306" t="n"/>
      <c r="L24" s="306" t="n"/>
      <c r="M24" s="306" t="n"/>
      <c r="N24" s="306" t="n"/>
      <c r="O24" s="306" t="n"/>
      <c r="P24" s="306" t="n"/>
      <c r="Q24" s="306" t="n"/>
      <c r="R24" s="306" t="n"/>
      <c r="S24" s="306" t="n"/>
      <c r="T24" s="306" t="n"/>
      <c r="U24" s="306" t="n"/>
      <c r="V24" s="306" t="n"/>
      <c r="W24" s="306" t="n"/>
      <c r="X24" s="306" t="n"/>
      <c r="Y24" s="306" t="n"/>
      <c r="Z24" s="306" t="n"/>
      <c r="AA24" s="306" t="n"/>
      <c r="AB24" s="306" t="n"/>
      <c r="AC24" s="306" t="n"/>
      <c r="AD24" s="306" t="n"/>
    </row>
    <row r="26">
      <c r="A26" s="292" t="inlineStr">
        <is>
          <t xml:space="preserve">Red dropped </t>
        </is>
      </c>
    </row>
    <row r="27">
      <c r="A27" s="290" t="inlineStr">
        <is>
          <t xml:space="preserve">Green- costs </t>
        </is>
      </c>
    </row>
    <row r="28">
      <c r="A28" t="inlineStr">
        <is>
          <t>Black in Play</t>
        </is>
      </c>
    </row>
    <row r="29">
      <c r="A29" s="293" t="inlineStr">
        <is>
          <t>Blue under contract engagement</t>
        </is>
      </c>
    </row>
    <row r="30">
      <c r="A30" s="261" t="inlineStr">
        <is>
          <t>Screen with Visual Conmpliance</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1048466"/>
  <sheetViews>
    <sheetView workbookViewId="0">
      <selection activeCell="A1" sqref="A1"/>
    </sheetView>
  </sheetViews>
  <sheetFormatPr baseColWidth="8" defaultColWidth="12.5703125" defaultRowHeight="15.75"/>
  <cols>
    <col width="26" customWidth="1" style="216" min="1" max="1"/>
    <col width="30.42578125" customWidth="1" style="216" min="2" max="2"/>
    <col width="32.5703125" customWidth="1" style="216" min="3" max="3"/>
    <col width="41.42578125" customWidth="1" style="114" min="4" max="4"/>
    <col width="17" customWidth="1" style="216" min="5" max="5"/>
    <col width="32.42578125" customWidth="1" style="216" min="6" max="6"/>
    <col width="56.85546875" customWidth="1" style="216" min="7" max="7"/>
    <col width="20.28515625" customWidth="1" style="216" min="8" max="8"/>
    <col width="50.140625" customWidth="1" style="114" min="9" max="9"/>
    <col width="23.140625" customWidth="1" style="216" min="10" max="10"/>
  </cols>
  <sheetData>
    <row r="1" ht="12.75" customHeight="1" s="216">
      <c r="A1" s="40" t="inlineStr">
        <is>
          <t>NAME</t>
        </is>
      </c>
      <c r="B1" s="40" t="inlineStr">
        <is>
          <t>COMPANY</t>
        </is>
      </c>
      <c r="C1" s="40" t="inlineStr">
        <is>
          <t>LINKED IN</t>
        </is>
      </c>
      <c r="D1" s="176" t="inlineStr">
        <is>
          <t>EMAIL</t>
        </is>
      </c>
      <c r="E1" s="40" t="inlineStr">
        <is>
          <t>FIRST OUTREACH</t>
        </is>
      </c>
      <c r="F1" s="40" t="inlineStr">
        <is>
          <t>FOLLOW UP</t>
        </is>
      </c>
      <c r="G1" t="inlineStr">
        <is>
          <t>ONLINE APP</t>
        </is>
      </c>
      <c r="H1" s="94" t="inlineStr">
        <is>
          <t>APP FILLED OUT?</t>
        </is>
      </c>
      <c r="I1" s="176" t="inlineStr">
        <is>
          <t>NOTES</t>
        </is>
      </c>
      <c r="J1" s="94" t="inlineStr">
        <is>
          <t>THIRD FOLLOW UP</t>
        </is>
      </c>
    </row>
    <row r="2" ht="115.5" customHeight="1" s="216">
      <c r="A2" s="40" t="n"/>
      <c r="B2" s="2" t="inlineStr">
        <is>
          <t>REI</t>
        </is>
      </c>
      <c r="C2" s="2" t="inlineStr">
        <is>
          <t>Nick Book</t>
        </is>
      </c>
      <c r="D2" s="221" t="inlineStr">
        <is>
          <t>nickbookrei@g,ail.com</t>
        </is>
      </c>
      <c r="E2" s="222" t="n">
        <v>45917</v>
      </c>
      <c r="F2" s="2" t="inlineStr">
        <is>
          <t xml:space="preserve">onsite meeting  </t>
        </is>
      </c>
      <c r="H2" s="94" t="n"/>
      <c r="I2" s="218" t="inlineStr">
        <is>
          <t xml:space="preserve">Choctaw nation investor group interested in Space investments. Requesting site tour on 9-26 If you could send me a new link for a warehouse visit over the next week or so I’d really like to continue to dig into this and see where or who we can fit in. 
Also, please send me the deck and anything else you would like me to consider.  </t>
        </is>
      </c>
      <c r="J2" s="94" t="n"/>
    </row>
    <row r="3" ht="12.75" customHeight="1" s="216">
      <c r="A3" s="2" t="inlineStr">
        <is>
          <t>Salim Dada</t>
        </is>
      </c>
      <c r="B3" s="2" t="inlineStr">
        <is>
          <t>Concord Ventures</t>
        </is>
      </c>
      <c r="C3" s="2" t="inlineStr">
        <is>
          <t>Salim Dada, Safia Dada</t>
        </is>
      </c>
      <c r="D3" s="178" t="n"/>
      <c r="E3" s="222" t="n">
        <v>45917</v>
      </c>
      <c r="F3" s="2" t="inlineStr">
        <is>
          <t>nda and follow up with materials</t>
        </is>
      </c>
      <c r="H3" s="94" t="n"/>
      <c r="I3" s="176" t="n"/>
      <c r="J3" s="94" t="n"/>
    </row>
    <row r="4" ht="66" customHeight="1" s="216">
      <c r="A4" s="40" t="n"/>
      <c r="B4" s="2" t="inlineStr">
        <is>
          <t>Crossroads Capital</t>
        </is>
      </c>
      <c r="C4" s="2" t="inlineStr">
        <is>
          <t xml:space="preserve">Richard Phillips </t>
        </is>
      </c>
      <c r="D4" s="178" t="inlineStr">
        <is>
          <t>Andrew Buchholtz &lt;Andy@abuchholtz.com&gt; rphillips@crossroadscapitaldc.com</t>
        </is>
      </c>
      <c r="E4" s="222" t="n">
        <v>45917</v>
      </c>
      <c r="F4" s="2" t="inlineStr">
        <is>
          <t xml:space="preserve">?  check recording for actions. </t>
        </is>
      </c>
      <c r="H4" s="94" t="n"/>
      <c r="I4" s="217" t="inlineStr">
        <is>
          <t>Sent you the ELA draft this morning — let me if you didn’t receive or if you have any questions. We can schedule another call if you’d like to review together.</t>
        </is>
      </c>
      <c r="J4" s="94" t="n"/>
    </row>
    <row r="5" ht="15.75" customHeight="1" s="216">
      <c r="A5" s="2" t="inlineStr">
        <is>
          <t>Katherine Boyle</t>
        </is>
      </c>
      <c r="B5" s="2" t="inlineStr">
        <is>
          <t>Andreessen Horowitz</t>
        </is>
      </c>
      <c r="C5" s="3" t="inlineStr">
        <is>
          <t>https://www.linkedin.com/in/katherine-boyle-4531a67/</t>
        </is>
      </c>
      <c r="D5" s="177" t="inlineStr">
        <is>
          <t>katherine@a16z.com</t>
        </is>
      </c>
      <c r="E5" s="39" t="n">
        <v>45790</v>
      </c>
      <c r="F5" s="80" t="n">
        <v>45813</v>
      </c>
      <c r="J5" s="80" t="n">
        <v>45841</v>
      </c>
    </row>
    <row r="6" ht="15.75" customHeight="1" s="216">
      <c r="A6" s="2" t="inlineStr">
        <is>
          <t>Harry Nelis</t>
        </is>
      </c>
      <c r="B6" s="2" t="inlineStr">
        <is>
          <t>Accel</t>
        </is>
      </c>
      <c r="C6" s="3" t="inlineStr">
        <is>
          <t>https://www.linkedin.com/in/harry-nelis-429801/</t>
        </is>
      </c>
      <c r="D6" s="177" t="inlineStr">
        <is>
          <t>hnelis@accel.com</t>
        </is>
      </c>
      <c r="E6" s="39" t="n">
        <v>45790</v>
      </c>
      <c r="F6" s="80" t="n">
        <v>45813</v>
      </c>
      <c r="I6" s="217" t="n"/>
      <c r="J6" s="80" t="n">
        <v>45841</v>
      </c>
    </row>
    <row r="7" ht="15.75" customHeight="1" s="216">
      <c r="A7" s="2" t="inlineStr">
        <is>
          <t>Prashanth Prakash</t>
        </is>
      </c>
      <c r="B7" s="2" t="inlineStr">
        <is>
          <t>Accel</t>
        </is>
      </c>
      <c r="C7" s="3" t="inlineStr">
        <is>
          <t>https://www.linkedin.com/in/prakashprashanth/</t>
        </is>
      </c>
      <c r="D7" s="178" t="inlineStr">
        <is>
          <t>pprakash@accel.com</t>
        </is>
      </c>
      <c r="E7" s="39" t="n">
        <v>45790</v>
      </c>
      <c r="F7" s="80" t="n">
        <v>45813</v>
      </c>
      <c r="I7" s="217" t="n"/>
      <c r="J7" s="80" t="n">
        <v>45841</v>
      </c>
    </row>
    <row r="8" ht="15.75" customHeight="1" s="216">
      <c r="A8" s="2" t="inlineStr">
        <is>
          <t>Ben Fletcher</t>
        </is>
      </c>
      <c r="B8" s="2" t="inlineStr">
        <is>
          <t>Accel</t>
        </is>
      </c>
      <c r="C8" s="3" t="inlineStr">
        <is>
          <t>https://www.linkedin.com/in/bfletch11/</t>
        </is>
      </c>
      <c r="D8" s="177" t="inlineStr">
        <is>
          <t>bfletcher@accel.com</t>
        </is>
      </c>
      <c r="E8" s="39" t="n">
        <v>45790</v>
      </c>
      <c r="F8" s="80" t="n">
        <v>45813</v>
      </c>
      <c r="J8" s="80" t="n">
        <v>45841</v>
      </c>
    </row>
    <row r="9" ht="15.75" customHeight="1" s="216">
      <c r="A9" s="2" t="inlineStr">
        <is>
          <t>Ray O Johnson</t>
        </is>
      </c>
      <c r="B9" s="2" t="inlineStr">
        <is>
          <t>Bessemer Venture Partners</t>
        </is>
      </c>
      <c r="C9" s="3" t="inlineStr">
        <is>
          <t>https://www.linkedin.com/in/ray-o-johnson-278116/</t>
        </is>
      </c>
      <c r="D9" s="178" t="inlineStr">
        <is>
          <t>rjohnson@bvp.com</t>
        </is>
      </c>
      <c r="E9" s="39" t="n">
        <v>45790</v>
      </c>
      <c r="F9" s="80" t="n">
        <v>45813</v>
      </c>
      <c r="J9" s="80" t="n">
        <v>45841</v>
      </c>
    </row>
    <row r="10" ht="15.75" customHeight="1" s="216">
      <c r="A10" s="2" t="inlineStr">
        <is>
          <t>Wen Hsieh</t>
        </is>
      </c>
      <c r="B10" s="2" t="inlineStr">
        <is>
          <t>kleiner perkins</t>
        </is>
      </c>
      <c r="D10" s="177" t="inlineStr">
        <is>
          <t>wen@kleinerperkins.com</t>
        </is>
      </c>
      <c r="E10" s="39" t="n">
        <v>45790</v>
      </c>
      <c r="F10" s="80" t="n">
        <v>45813</v>
      </c>
      <c r="J10" s="80" t="n">
        <v>45841</v>
      </c>
    </row>
    <row r="11" ht="15.75" customHeight="1" s="216">
      <c r="A11" s="2" t="inlineStr">
        <is>
          <t>Ilya Fushman</t>
        </is>
      </c>
      <c r="B11" s="2" t="inlineStr">
        <is>
          <t>kleiner perkins</t>
        </is>
      </c>
      <c r="C11" s="3" t="inlineStr">
        <is>
          <t>https://www.linkedin.com/in/ilyafushman/</t>
        </is>
      </c>
      <c r="D11" s="177" t="inlineStr">
        <is>
          <t>ilya@kleinerperkins.com</t>
        </is>
      </c>
      <c r="E11" s="39" t="n">
        <v>45790</v>
      </c>
      <c r="F11" s="80" t="n">
        <v>45813</v>
      </c>
      <c r="J11" s="80" t="n">
        <v>45841</v>
      </c>
    </row>
    <row r="12" ht="15.75" customHeight="1" s="216">
      <c r="A12" s="2" t="inlineStr">
        <is>
          <t>Mamoon Hamid</t>
        </is>
      </c>
      <c r="B12" s="2" t="inlineStr">
        <is>
          <t>kleiner perkins</t>
        </is>
      </c>
      <c r="C12" s="3" t="inlineStr">
        <is>
          <t>https://www.linkedin.com/in/mamoonha/</t>
        </is>
      </c>
      <c r="D12" s="177" t="inlineStr">
        <is>
          <t>mamoon@kleinerperkins.com</t>
        </is>
      </c>
      <c r="E12" s="39" t="n">
        <v>45790</v>
      </c>
      <c r="F12" s="80" t="n">
        <v>45813</v>
      </c>
      <c r="J12" s="80" t="n">
        <v>45841</v>
      </c>
    </row>
    <row r="13" ht="15.75" customHeight="1" s="216">
      <c r="A13" s="2" t="inlineStr">
        <is>
          <t>Stephanie Zhan</t>
        </is>
      </c>
      <c r="B13" s="2" t="inlineStr">
        <is>
          <t>Sequoia Capital</t>
        </is>
      </c>
      <c r="C13" s="3" t="inlineStr">
        <is>
          <t>https://www.linkedin.com/in/stephaniezhan/</t>
        </is>
      </c>
      <c r="D13" s="177" t="inlineStr">
        <is>
          <t>szhan@sequoiacap.com</t>
        </is>
      </c>
      <c r="E13" s="39" t="n">
        <v>45790</v>
      </c>
      <c r="F13" t="inlineStr">
        <is>
          <t>Steve Simon working on Sequoia contacts</t>
        </is>
      </c>
    </row>
    <row r="14" ht="15.75" customHeight="1" s="216">
      <c r="A14" s="2" t="inlineStr">
        <is>
          <t>Jess Lee</t>
        </is>
      </c>
      <c r="B14" s="2" t="inlineStr">
        <is>
          <t>Sequoia Capital</t>
        </is>
      </c>
      <c r="C14" s="3" t="inlineStr">
        <is>
          <t>https://www.linkedin.com/in/jesskah/</t>
        </is>
      </c>
      <c r="D14" s="177" t="inlineStr">
        <is>
          <t>jess@sequoiacap.com</t>
        </is>
      </c>
      <c r="E14" s="39" t="n">
        <v>45790</v>
      </c>
      <c r="F14" t="inlineStr">
        <is>
          <t>Steve Simon working on Sequoia contacts</t>
        </is>
      </c>
    </row>
    <row r="15" ht="15.75" customHeight="1" s="216">
      <c r="A15" s="2" t="inlineStr">
        <is>
          <t>Jim Goetz</t>
        </is>
      </c>
      <c r="B15" s="2" t="inlineStr">
        <is>
          <t>Sequoia Capital</t>
        </is>
      </c>
      <c r="C15" s="3" t="inlineStr">
        <is>
          <t>https://www.linkedin.com/in/goetzjim/</t>
        </is>
      </c>
      <c r="D15" s="177" t="inlineStr">
        <is>
          <t>goetz@sequoiacap.com</t>
        </is>
      </c>
      <c r="E15" s="39" t="n">
        <v>45790</v>
      </c>
      <c r="F15" t="inlineStr">
        <is>
          <t>Steve Simon working on Sequoia contacts</t>
        </is>
      </c>
    </row>
    <row r="16" ht="15.75" customHeight="1" s="216">
      <c r="A16" s="2" t="inlineStr">
        <is>
          <t xml:space="preserve">Roelof Botha </t>
        </is>
      </c>
      <c r="B16" s="2" t="inlineStr">
        <is>
          <t>Sequoia Capital</t>
        </is>
      </c>
      <c r="C16" s="3" t="inlineStr">
        <is>
          <t>https://www.linkedin.com/in/roelofbotha/</t>
        </is>
      </c>
      <c r="D16" s="178" t="inlineStr">
        <is>
          <t>botha@sequoiacap.com</t>
        </is>
      </c>
      <c r="E16" s="39" t="n">
        <v>45790</v>
      </c>
      <c r="F16" t="inlineStr">
        <is>
          <t>Steve Simon working on Sequoia contacts</t>
        </is>
      </c>
    </row>
    <row r="17" ht="15.75" customHeight="1" s="216">
      <c r="A17" s="2" t="inlineStr">
        <is>
          <t>Douglas Leone</t>
        </is>
      </c>
      <c r="B17" s="2" t="inlineStr">
        <is>
          <t>Sequoia Capital</t>
        </is>
      </c>
      <c r="C17" s="3" t="inlineStr">
        <is>
          <t>https://www.linkedin.com/in/douglas-leone-a2714/</t>
        </is>
      </c>
      <c r="D17" s="178" t="inlineStr">
        <is>
          <t>leone@sequoiacap.com</t>
        </is>
      </c>
      <c r="E17" s="39" t="n">
        <v>45790</v>
      </c>
      <c r="F17" t="inlineStr">
        <is>
          <t>Steve Simon working on Sequoia contacts</t>
        </is>
      </c>
    </row>
    <row r="18" ht="15.75" customHeight="1" s="216">
      <c r="A18" s="101" t="inlineStr">
        <is>
          <t>Konstantine Buhler</t>
        </is>
      </c>
      <c r="B18" s="101" t="inlineStr">
        <is>
          <t>Sequoia Capital</t>
        </is>
      </c>
      <c r="C18" s="102" t="inlineStr">
        <is>
          <t>https://www.linkedin.com/in/konstantinebuhler/</t>
        </is>
      </c>
      <c r="D18" s="179" t="inlineStr">
        <is>
          <t>konstantine@sequoiacap.com+A15</t>
        </is>
      </c>
      <c r="E18" s="39" t="n">
        <v>45790</v>
      </c>
      <c r="F18" s="87" t="n"/>
      <c r="I18" s="114" t="inlineStr">
        <is>
          <t>says he is working on other things right now</t>
        </is>
      </c>
    </row>
    <row r="19" ht="15.75" customHeight="1" s="216">
      <c r="A19" s="2" t="inlineStr">
        <is>
          <t>Danny Rimer</t>
        </is>
      </c>
      <c r="B19" s="2" t="inlineStr">
        <is>
          <t>Index Ventures</t>
        </is>
      </c>
      <c r="C19" s="3" t="inlineStr">
        <is>
          <t>https://www.linkedin.com/in/dannyrimer/</t>
        </is>
      </c>
      <c r="D19" s="177" t="inlineStr">
        <is>
          <t>danny@indexventures.com</t>
        </is>
      </c>
      <c r="E19" s="39" t="n">
        <v>45791</v>
      </c>
      <c r="F19" s="80" t="n">
        <v>45841</v>
      </c>
    </row>
    <row r="20" ht="15.75" customHeight="1" s="216">
      <c r="A20" s="2" t="inlineStr">
        <is>
          <t>Jan Hammer</t>
        </is>
      </c>
      <c r="B20" s="2" t="inlineStr">
        <is>
          <t>Index Ventures</t>
        </is>
      </c>
      <c r="C20" s="3" t="inlineStr">
        <is>
          <t>https://www.linkedin.com/in/hammerjan/</t>
        </is>
      </c>
      <c r="D20" s="177" t="inlineStr">
        <is>
          <t>jan@indexventures.com</t>
        </is>
      </c>
      <c r="E20" s="39" t="n">
        <v>45791</v>
      </c>
      <c r="F20" s="80" t="n">
        <v>45813</v>
      </c>
      <c r="J20" s="80" t="n">
        <v>45841</v>
      </c>
    </row>
    <row r="21" ht="15.75" customHeight="1" s="216">
      <c r="A21" s="2" t="inlineStr">
        <is>
          <t>Santo Politi</t>
        </is>
      </c>
      <c r="B21" s="2" t="inlineStr">
        <is>
          <t>Spark Capital</t>
        </is>
      </c>
      <c r="C21" s="3" t="inlineStr">
        <is>
          <t>https://www.linkedin.com/in/santopoliti/</t>
        </is>
      </c>
      <c r="D21" s="177" t="inlineStr">
        <is>
          <t>santo@sparkcapital.com</t>
        </is>
      </c>
      <c r="E21" s="39" t="n">
        <v>45791</v>
      </c>
      <c r="F21" s="80" t="n">
        <v>45813</v>
      </c>
      <c r="I21" s="199" t="inlineStr">
        <is>
          <t>concerns over investment in potential competitor company</t>
        </is>
      </c>
      <c r="J21" s="80" t="n">
        <v>45841</v>
      </c>
    </row>
    <row r="22" ht="15.75" customHeight="1" s="216">
      <c r="A22" s="2" t="inlineStr">
        <is>
          <t>Yasmin Razavi</t>
        </is>
      </c>
      <c r="B22" s="2" t="inlineStr">
        <is>
          <t>Spark Capital</t>
        </is>
      </c>
      <c r="C22" s="3" t="inlineStr">
        <is>
          <t>https://www.linkedin.com/in/yasminrazavi/</t>
        </is>
      </c>
      <c r="D22" s="177" t="inlineStr">
        <is>
          <t>yasmin@sparkcapital.com</t>
        </is>
      </c>
      <c r="E22" s="39" t="n">
        <v>45791</v>
      </c>
      <c r="J22" s="80" t="n">
        <v>45841</v>
      </c>
    </row>
    <row r="23" ht="15.75" customHeight="1" s="216">
      <c r="A23" s="101" t="inlineStr">
        <is>
          <t>Nabeel Hyatt</t>
        </is>
      </c>
      <c r="B23" s="101" t="inlineStr">
        <is>
          <t>Spark Capital</t>
        </is>
      </c>
      <c r="C23" s="102" t="inlineStr">
        <is>
          <t>https://www.linkedin.com/in/nabeelhyatt/</t>
        </is>
      </c>
      <c r="D23" s="180" t="inlineStr">
        <is>
          <t>nabeel@sparkcapital.com</t>
        </is>
      </c>
      <c r="E23" s="113" t="n">
        <v>45791</v>
      </c>
      <c r="F23" t="inlineStr">
        <is>
          <t>not his area</t>
        </is>
      </c>
      <c r="J23" s="80" t="n">
        <v>45841</v>
      </c>
    </row>
    <row r="24" ht="15.75" customHeight="1" s="216">
      <c r="A24" s="2" t="inlineStr">
        <is>
          <t>Corinne Riley</t>
        </is>
      </c>
      <c r="B24" s="2" t="inlineStr">
        <is>
          <t>Greylock Partners</t>
        </is>
      </c>
      <c r="C24" s="3" t="inlineStr">
        <is>
          <t>https://www.linkedin.com/in/corinne-marie-riley/</t>
        </is>
      </c>
      <c r="D24" s="177" t="inlineStr">
        <is>
          <t>criley@greylock.com</t>
        </is>
      </c>
      <c r="E24" s="39" t="n">
        <v>45792</v>
      </c>
      <c r="F24" s="80" t="n">
        <v>45813</v>
      </c>
      <c r="J24" s="80" t="n">
        <v>45841</v>
      </c>
    </row>
    <row r="25" ht="15.75" customHeight="1" s="216">
      <c r="A25" s="2" t="inlineStr">
        <is>
          <t>Asheem Chandna</t>
        </is>
      </c>
      <c r="B25" s="2" t="inlineStr">
        <is>
          <t>Greylock Partners</t>
        </is>
      </c>
      <c r="C25" s="3" t="inlineStr">
        <is>
          <t>https://www.linkedin.com/in/chandna/</t>
        </is>
      </c>
      <c r="D25" s="177" t="inlineStr">
        <is>
          <t>achandna@greylock.com</t>
        </is>
      </c>
      <c r="E25" s="39" t="n">
        <v>45792</v>
      </c>
      <c r="F25" s="80" t="n">
        <v>45813</v>
      </c>
      <c r="J25" s="80" t="n">
        <v>45841</v>
      </c>
    </row>
    <row r="26" ht="15.75" customHeight="1" s="216">
      <c r="A26" s="2" t="inlineStr">
        <is>
          <t>Jerry Chen</t>
        </is>
      </c>
      <c r="B26" s="2" t="inlineStr">
        <is>
          <t>Greylock Partners</t>
        </is>
      </c>
      <c r="C26" s="3" t="inlineStr">
        <is>
          <t>https://www.linkedin.com/in/jerrychenprofile/</t>
        </is>
      </c>
      <c r="D26" s="177" t="inlineStr">
        <is>
          <t>jchen@greylock.com</t>
        </is>
      </c>
      <c r="E26" s="39" t="n">
        <v>45792</v>
      </c>
      <c r="F26" s="80" t="n">
        <v>45813</v>
      </c>
      <c r="J26" s="80" t="n">
        <v>45841</v>
      </c>
    </row>
    <row r="27" ht="15.75" customHeight="1" s="216">
      <c r="A27" s="2" t="inlineStr">
        <is>
          <t>Seth Rosenberg</t>
        </is>
      </c>
      <c r="B27" s="2" t="inlineStr">
        <is>
          <t>Greylock Partners</t>
        </is>
      </c>
      <c r="C27" s="3" t="inlineStr">
        <is>
          <t>https://www.linkedin.com/in/sethgrosenberg/</t>
        </is>
      </c>
      <c r="D27" s="177" t="inlineStr">
        <is>
          <t>srosenberg@greylock.com</t>
        </is>
      </c>
      <c r="E27" s="39" t="n">
        <v>45792</v>
      </c>
      <c r="F27" s="80" t="n">
        <v>45813</v>
      </c>
      <c r="J27" s="80" t="n">
        <v>45841</v>
      </c>
    </row>
    <row r="28" ht="15.75" customHeight="1" s="216">
      <c r="A28" s="2" t="inlineStr">
        <is>
          <t>Tim Tully</t>
        </is>
      </c>
      <c r="B28" s="2" t="inlineStr">
        <is>
          <t>Menlo Ventures</t>
        </is>
      </c>
      <c r="C28" s="3" t="inlineStr">
        <is>
          <t>https://www.linkedin.com/in/timothytully/</t>
        </is>
      </c>
      <c r="D28" s="177" t="inlineStr">
        <is>
          <t>tim@menlovc.com</t>
        </is>
      </c>
      <c r="E28" s="39" t="n">
        <v>45792</v>
      </c>
      <c r="F28" s="80" t="n">
        <v>45813</v>
      </c>
      <c r="G28" s="87" t="n"/>
      <c r="J28" s="80" t="n">
        <v>45841</v>
      </c>
    </row>
    <row r="29" ht="15.75" customHeight="1" s="216">
      <c r="A29" s="2" t="inlineStr">
        <is>
          <t>Matt Murphy</t>
        </is>
      </c>
      <c r="B29" s="2" t="inlineStr">
        <is>
          <t>Menlo Ventures</t>
        </is>
      </c>
      <c r="C29" s="3" t="inlineStr">
        <is>
          <t>https://www.linkedin.com/in/matt-murphy-0415543/</t>
        </is>
      </c>
      <c r="D29" s="177" t="inlineStr">
        <is>
          <t>matt@menlovc.com</t>
        </is>
      </c>
      <c r="E29" s="39" t="n">
        <v>45792</v>
      </c>
      <c r="F29" s="80" t="n">
        <v>45813</v>
      </c>
      <c r="G29" s="87" t="n"/>
      <c r="J29" s="80" t="n">
        <v>45841</v>
      </c>
    </row>
    <row r="30" ht="15.75" customHeight="1" s="216">
      <c r="A30" s="2" t="inlineStr">
        <is>
          <t>Dana Stalder</t>
        </is>
      </c>
      <c r="B30" s="2" t="inlineStr">
        <is>
          <t>Matrix Partners</t>
        </is>
      </c>
      <c r="C30" s="3" t="inlineStr">
        <is>
          <t>https://www.linkedin.com/in/dcstalder/</t>
        </is>
      </c>
      <c r="D30" s="177" t="inlineStr">
        <is>
          <t>dana@matrix.vc</t>
        </is>
      </c>
      <c r="E30" s="39" t="n">
        <v>45792</v>
      </c>
      <c r="F30" s="80" t="n">
        <v>45813</v>
      </c>
      <c r="G30" s="87" t="n"/>
      <c r="J30" s="80" t="n">
        <v>45841</v>
      </c>
    </row>
    <row r="31" ht="15" customHeight="1" s="216">
      <c r="A31" s="2" t="inlineStr">
        <is>
          <t>Kojo Osei</t>
        </is>
      </c>
      <c r="B31" s="2" t="inlineStr">
        <is>
          <t>Matrix Partners</t>
        </is>
      </c>
      <c r="C31" s="3" t="inlineStr">
        <is>
          <t>https://www.linkedin.com/in/kwosei/</t>
        </is>
      </c>
      <c r="D31" s="181" t="inlineStr">
        <is>
          <t>kojo@matrix.vc</t>
        </is>
      </c>
      <c r="E31" s="39" t="n">
        <v>45792</v>
      </c>
      <c r="F31" s="80" t="n">
        <v>45813</v>
      </c>
      <c r="G31" s="87" t="n"/>
      <c r="J31" s="80" t="n">
        <v>45841</v>
      </c>
    </row>
    <row r="32" ht="17.25" customHeight="1" s="216">
      <c r="A32" s="2" t="inlineStr">
        <is>
          <t>Ilya Sukhar</t>
        </is>
      </c>
      <c r="B32" s="2" t="inlineStr">
        <is>
          <t>Matrix Partners</t>
        </is>
      </c>
      <c r="C32" s="3" t="inlineStr">
        <is>
          <t>https://www.linkedin.com/in/ilyasukhar/</t>
        </is>
      </c>
      <c r="D32" s="177" t="inlineStr">
        <is>
          <t>ilya@matrix.vc</t>
        </is>
      </c>
      <c r="E32" s="39" t="n">
        <v>45792</v>
      </c>
      <c r="F32" s="80" t="n">
        <v>45813</v>
      </c>
      <c r="G32" s="87" t="n"/>
      <c r="J32" s="80" t="n">
        <v>45841</v>
      </c>
    </row>
    <row r="33" ht="12.75" customHeight="1" s="216">
      <c r="A33" s="2" t="inlineStr">
        <is>
          <t>Stan Reiss</t>
        </is>
      </c>
      <c r="B33" s="2" t="inlineStr">
        <is>
          <t>Matrix Partners</t>
        </is>
      </c>
      <c r="C33" s="3" t="inlineStr">
        <is>
          <t>https://www.linkedin.com/in/stanreiss/</t>
        </is>
      </c>
      <c r="D33" s="178" t="inlineStr">
        <is>
          <t>stan@matrix.vc</t>
        </is>
      </c>
      <c r="E33" s="39" t="n">
        <v>45792</v>
      </c>
      <c r="F33" s="80" t="n">
        <v>45813</v>
      </c>
      <c r="J33" s="80" t="n">
        <v>45841</v>
      </c>
    </row>
    <row r="34" ht="17.25" customHeight="1" s="216">
      <c r="A34" s="2" t="inlineStr">
        <is>
          <t>Rick Heitzmann</t>
        </is>
      </c>
      <c r="B34" s="2" t="inlineStr">
        <is>
          <t>First Mark</t>
        </is>
      </c>
      <c r="D34" s="177" t="inlineStr">
        <is>
          <t>rick@firstmark.com</t>
        </is>
      </c>
      <c r="E34" s="39" t="n">
        <v>45792</v>
      </c>
      <c r="F34" s="80" t="n">
        <v>45813</v>
      </c>
      <c r="J34" s="80" t="n">
        <v>45841</v>
      </c>
    </row>
    <row r="35" ht="17.25" customHeight="1" s="216">
      <c r="A35" s="2" t="inlineStr">
        <is>
          <t>Amish Jani</t>
        </is>
      </c>
      <c r="B35" s="2" t="inlineStr">
        <is>
          <t>First Mark</t>
        </is>
      </c>
      <c r="D35" s="177" t="inlineStr">
        <is>
          <t>amish@firstmark.com</t>
        </is>
      </c>
      <c r="E35" s="39" t="n">
        <v>45792</v>
      </c>
      <c r="F35" s="80" t="n">
        <v>45813</v>
      </c>
      <c r="J35" s="80" t="n">
        <v>45841</v>
      </c>
    </row>
    <row r="36" ht="17.25" customHeight="1" s="216">
      <c r="A36" s="2" t="inlineStr">
        <is>
          <t>Matt Turck</t>
        </is>
      </c>
      <c r="B36" s="2" t="inlineStr">
        <is>
          <t>First Mark</t>
        </is>
      </c>
      <c r="D36" s="177" t="inlineStr">
        <is>
          <t>matt@firstmark.com</t>
        </is>
      </c>
      <c r="E36" s="39" t="n">
        <v>45792</v>
      </c>
      <c r="F36" s="80" t="n">
        <v>45813</v>
      </c>
      <c r="J36" s="80" t="n">
        <v>45841</v>
      </c>
    </row>
    <row r="37" ht="12.75" customHeight="1" s="216">
      <c r="A37" s="2" t="inlineStr">
        <is>
          <t>Adam Nelson</t>
        </is>
      </c>
      <c r="B37" s="2" t="inlineStr">
        <is>
          <t>First Mark</t>
        </is>
      </c>
      <c r="D37" s="182" t="inlineStr">
        <is>
          <t>adam@firstmark.com</t>
        </is>
      </c>
      <c r="E37" s="39" t="n">
        <v>45792</v>
      </c>
      <c r="F37" s="80" t="n">
        <v>45813</v>
      </c>
      <c r="J37" s="80" t="n">
        <v>45841</v>
      </c>
    </row>
    <row r="38" ht="17.25" customHeight="1" s="216">
      <c r="A38" s="2" t="inlineStr">
        <is>
          <t>Viviana Faga</t>
        </is>
      </c>
      <c r="B38" s="2" t="inlineStr">
        <is>
          <t>Felicis Ventures</t>
        </is>
      </c>
      <c r="C38" s="3" t="inlineStr">
        <is>
          <t>https://www.linkedin.com/in/vivianafaga/</t>
        </is>
      </c>
      <c r="D38" s="177" t="inlineStr">
        <is>
          <t>viviana@felicis.com</t>
        </is>
      </c>
      <c r="E38" s="39" t="n">
        <v>45792</v>
      </c>
      <c r="F38" s="108" t="n">
        <v>45813</v>
      </c>
      <c r="J38" s="80" t="n">
        <v>45841</v>
      </c>
    </row>
    <row r="39" ht="17.25" customHeight="1" s="216">
      <c r="A39" s="2" t="inlineStr">
        <is>
          <t>Aydin Senkut</t>
        </is>
      </c>
      <c r="B39" s="2" t="inlineStr">
        <is>
          <t>Felicis Ventures</t>
        </is>
      </c>
      <c r="C39" s="3" t="inlineStr">
        <is>
          <t>https://www.linkedin.com/in/aydins/</t>
        </is>
      </c>
      <c r="D39" s="177" t="inlineStr">
        <is>
          <t>aydin@felicis.com</t>
        </is>
      </c>
      <c r="E39" s="39" t="n">
        <v>45792</v>
      </c>
      <c r="F39" s="108" t="n">
        <v>45813</v>
      </c>
      <c r="J39" s="80" t="n">
        <v>45841</v>
      </c>
    </row>
    <row r="40" ht="17.25" customHeight="1" s="216">
      <c r="A40" s="2" t="inlineStr">
        <is>
          <t>Nancy Wang</t>
        </is>
      </c>
      <c r="B40" s="2" t="inlineStr">
        <is>
          <t>Felicis Ventures</t>
        </is>
      </c>
      <c r="C40" s="3" t="inlineStr">
        <is>
          <t>https://www.linkedin.com/in/wangnancy/</t>
        </is>
      </c>
      <c r="D40" s="177" t="inlineStr">
        <is>
          <t>nancy@felicis.com</t>
        </is>
      </c>
      <c r="E40" s="39" t="n">
        <v>45792</v>
      </c>
      <c r="F40" s="108" t="n">
        <v>45813</v>
      </c>
      <c r="J40" s="80" t="n">
        <v>45841</v>
      </c>
    </row>
    <row r="41" ht="17.25" customHeight="1" s="216">
      <c r="A41" s="2" t="inlineStr">
        <is>
          <t>Astasia Myers</t>
        </is>
      </c>
      <c r="B41" s="2" t="inlineStr">
        <is>
          <t>Felicis Ventures</t>
        </is>
      </c>
      <c r="C41" s="3" t="inlineStr">
        <is>
          <t>https://www.linkedin.com/in/astasiamyers/</t>
        </is>
      </c>
      <c r="D41" s="177" t="inlineStr">
        <is>
          <t>astasia@felicis.com</t>
        </is>
      </c>
      <c r="E41" s="39" t="n">
        <v>45792</v>
      </c>
      <c r="F41" s="80" t="n">
        <v>45813</v>
      </c>
      <c r="J41" s="80" t="n">
        <v>45841</v>
      </c>
    </row>
    <row r="42" ht="17.25" customHeight="1" s="216">
      <c r="A42" s="2" t="inlineStr">
        <is>
          <t xml:space="preserve">Payal Agrawal Divakaran </t>
        </is>
      </c>
      <c r="B42" s="2" t="inlineStr">
        <is>
          <t>.406 Ventures</t>
        </is>
      </c>
      <c r="C42" s="3" t="inlineStr">
        <is>
          <t>https://www.linkedin.com/in/payaldivakaran/</t>
        </is>
      </c>
      <c r="D42" s="177" t="inlineStr">
        <is>
          <t>payal@406ventures.com</t>
        </is>
      </c>
      <c r="E42" s="39" t="n">
        <v>45792</v>
      </c>
      <c r="F42" s="80" t="n">
        <v>45813</v>
      </c>
      <c r="J42" s="80" t="n">
        <v>45841</v>
      </c>
    </row>
    <row r="43" ht="17.25" customHeight="1" s="216">
      <c r="A43" s="2" t="inlineStr">
        <is>
          <t>Greg Dracon</t>
        </is>
      </c>
      <c r="B43" s="2" t="inlineStr">
        <is>
          <t>.406 Ventures</t>
        </is>
      </c>
      <c r="C43" s="3" t="inlineStr">
        <is>
          <t>https://www.linkedin.com/in/gdracon/</t>
        </is>
      </c>
      <c r="D43" s="177" t="inlineStr">
        <is>
          <t>gdracon@406ventures.com</t>
        </is>
      </c>
      <c r="E43" s="39" t="n">
        <v>45792</v>
      </c>
      <c r="F43" s="80" t="n">
        <v>45813</v>
      </c>
      <c r="J43" s="80" t="n">
        <v>45841</v>
      </c>
    </row>
    <row r="44" ht="17.25" customHeight="1" s="216">
      <c r="A44" s="2" t="inlineStr">
        <is>
          <t>Graham Brooks</t>
        </is>
      </c>
      <c r="B44" s="2" t="inlineStr">
        <is>
          <t>.406 Ventures</t>
        </is>
      </c>
      <c r="C44" s="3" t="inlineStr">
        <is>
          <t>https://www.linkedin.com/in/grahambrooks/</t>
        </is>
      </c>
      <c r="D44" s="177" t="inlineStr">
        <is>
          <t>gbrooks@406ventures.com</t>
        </is>
      </c>
      <c r="E44" s="39" t="n">
        <v>45792</v>
      </c>
      <c r="F44" s="80" t="n">
        <v>45813</v>
      </c>
      <c r="J44" s="80" t="n">
        <v>45841</v>
      </c>
    </row>
    <row r="45" ht="17.25" customHeight="1" s="216">
      <c r="A45" s="2" t="inlineStr">
        <is>
          <t>Liam Donohue</t>
        </is>
      </c>
      <c r="B45" s="2" t="inlineStr">
        <is>
          <t>.406 Ventures</t>
        </is>
      </c>
      <c r="C45" s="3" t="inlineStr">
        <is>
          <t>https://www.linkedin.com/in/ldonohue/</t>
        </is>
      </c>
      <c r="D45" s="177" t="inlineStr">
        <is>
          <t>ldonohue@406ventures.com</t>
        </is>
      </c>
      <c r="E45" s="39" t="n">
        <v>45792</v>
      </c>
      <c r="F45" s="80" t="n">
        <v>45813</v>
      </c>
      <c r="J45" s="80" t="n">
        <v>45841</v>
      </c>
    </row>
    <row r="46" ht="12.75" customHeight="1" s="216">
      <c r="A46" s="2" t="inlineStr">
        <is>
          <t>Bryan Roberts</t>
        </is>
      </c>
      <c r="B46" s="2" t="inlineStr">
        <is>
          <t>Venrock</t>
        </is>
      </c>
      <c r="C46" s="3" t="inlineStr">
        <is>
          <t>https://www.linkedin.com/in/bryanrobertsvc/</t>
        </is>
      </c>
      <c r="D46" s="178" t="inlineStr">
        <is>
          <t>broberts@venrock.com</t>
        </is>
      </c>
      <c r="E46" s="39" t="n">
        <v>45792</v>
      </c>
      <c r="F46" s="80" t="n">
        <v>45813</v>
      </c>
      <c r="J46" s="80" t="n">
        <v>45841</v>
      </c>
    </row>
    <row r="47" ht="17.25" customHeight="1" s="216">
      <c r="A47" s="101" t="inlineStr">
        <is>
          <t>Rajesh Swaminathan</t>
        </is>
      </c>
      <c r="B47" s="101" t="inlineStr">
        <is>
          <t>Khosla Ventures</t>
        </is>
      </c>
      <c r="C47" s="102" t="inlineStr">
        <is>
          <t>https://www.linkedin.com/in/rajeshswaminathan/</t>
        </is>
      </c>
      <c r="D47" s="240" t="inlineStr">
        <is>
          <t>rs@khoslaventures.com</t>
        </is>
      </c>
      <c r="E47" s="113" t="n">
        <v>45792</v>
      </c>
      <c r="F47" s="129" t="n">
        <v>45814</v>
      </c>
      <c r="G47" t="inlineStr">
        <is>
          <t>Deck 7-7-25</t>
        </is>
      </c>
      <c r="I47" s="199" t="inlineStr">
        <is>
          <t>asked for deck / 7/7 sent deck</t>
        </is>
      </c>
      <c r="K47" t="inlineStr">
        <is>
          <t>not a fit</t>
        </is>
      </c>
    </row>
    <row r="48" ht="17.25" customHeight="1" s="216">
      <c r="A48" s="2" t="inlineStr">
        <is>
          <t>Kanu Gulati</t>
        </is>
      </c>
      <c r="B48" s="2" t="inlineStr">
        <is>
          <t>Khosla Ventures</t>
        </is>
      </c>
      <c r="C48" s="3" t="inlineStr">
        <is>
          <t>https://www.linkedin.com/in/kanugulati/</t>
        </is>
      </c>
      <c r="D48" s="177" t="inlineStr">
        <is>
          <t>kg@khoslaventures.com</t>
        </is>
      </c>
      <c r="E48" s="39" t="n">
        <v>45792</v>
      </c>
      <c r="F48" s="80" t="n">
        <v>45814</v>
      </c>
      <c r="J48" s="80" t="n"/>
    </row>
    <row r="49" ht="17.25" customHeight="1" s="216">
      <c r="A49" s="2" t="inlineStr">
        <is>
          <t>Alice Brooks</t>
        </is>
      </c>
      <c r="B49" s="2" t="inlineStr">
        <is>
          <t>Khosla Ventures</t>
        </is>
      </c>
      <c r="C49" s="3" t="inlineStr">
        <is>
          <t>https://www.linkedin.com/in/alice-brooks-1786992a/</t>
        </is>
      </c>
      <c r="D49" s="177" t="inlineStr">
        <is>
          <t>abrooks@khoslaventures.com</t>
        </is>
      </c>
      <c r="E49" s="39" t="n">
        <v>45792</v>
      </c>
      <c r="F49" s="80" t="n">
        <v>45814</v>
      </c>
    </row>
    <row r="50" ht="17.25" customHeight="1" s="216">
      <c r="A50" s="2" t="inlineStr">
        <is>
          <t>Jon Chu</t>
        </is>
      </c>
      <c r="B50" s="2" t="inlineStr">
        <is>
          <t>Khosla Ventures</t>
        </is>
      </c>
      <c r="C50" s="3" t="inlineStr">
        <is>
          <t>http://linkedin.com/in/jchu/</t>
        </is>
      </c>
      <c r="D50" s="177" t="inlineStr">
        <is>
          <t>jc@khoslaventures.com</t>
        </is>
      </c>
      <c r="E50" s="39" t="n">
        <v>45792</v>
      </c>
      <c r="F50" s="80" t="n">
        <v>45814</v>
      </c>
    </row>
    <row r="51" ht="15" customHeight="1" s="216">
      <c r="A51" s="2" t="inlineStr">
        <is>
          <t>Hemant Taneja</t>
        </is>
      </c>
      <c r="B51" s="2" t="inlineStr">
        <is>
          <t>General Catalyst</t>
        </is>
      </c>
      <c r="C51" s="3" t="inlineStr">
        <is>
          <t>https://www.linkedin.com/in/hemanttaneja/</t>
        </is>
      </c>
      <c r="D51" s="183" t="inlineStr">
        <is>
          <t xml:space="preserve"> hemant.taneja@gmail.com</t>
        </is>
      </c>
      <c r="E51" s="39" t="n">
        <v>45792</v>
      </c>
      <c r="F51" s="80" t="n">
        <v>45821</v>
      </c>
      <c r="J51" s="80" t="n">
        <v>45841</v>
      </c>
    </row>
    <row r="52" ht="15" customHeight="1" s="216">
      <c r="A52" s="2" t="inlineStr">
        <is>
          <t>David Fialkow</t>
        </is>
      </c>
      <c r="B52" s="2" t="inlineStr">
        <is>
          <t>General Catalyst</t>
        </is>
      </c>
      <c r="C52" s="3" t="inlineStr">
        <is>
          <t>https://www.linkedin.com/in/david-fialkow-20085852/</t>
        </is>
      </c>
      <c r="D52" s="181" t="inlineStr">
        <is>
          <t>dfialkow@generalcatalyst.com</t>
        </is>
      </c>
      <c r="E52" s="39" t="n">
        <v>45792</v>
      </c>
      <c r="F52" s="80" t="n">
        <v>45821</v>
      </c>
      <c r="J52" s="80" t="n">
        <v>45841</v>
      </c>
    </row>
    <row r="53" ht="16.5" customHeight="1" s="216">
      <c r="A53" s="2" t="inlineStr">
        <is>
          <t>Niko Bonatsos</t>
        </is>
      </c>
      <c r="B53" s="2" t="inlineStr">
        <is>
          <t>General Catalyst</t>
        </is>
      </c>
      <c r="C53" s="3" t="inlineStr">
        <is>
          <t>https://www.linkedin.com/in/bonatsos/</t>
        </is>
      </c>
      <c r="D53" s="184" t="inlineStr">
        <is>
          <t>nbonatsos@generalcatalyst.com</t>
        </is>
      </c>
      <c r="E53" s="39" t="n">
        <v>45792</v>
      </c>
      <c r="F53" s="80" t="n">
        <v>45821</v>
      </c>
      <c r="J53" s="80" t="n">
        <v>45841</v>
      </c>
    </row>
    <row r="54" ht="17.25" customHeight="1" s="216">
      <c r="A54" s="2" t="inlineStr">
        <is>
          <t>Joel Cutler</t>
        </is>
      </c>
      <c r="B54" s="2" t="inlineStr">
        <is>
          <t>General Catalyst</t>
        </is>
      </c>
      <c r="C54" s="3" t="inlineStr">
        <is>
          <t>https://www.linkedin.com/in/joel-cutler-317743/</t>
        </is>
      </c>
      <c r="D54" s="177" t="inlineStr">
        <is>
          <t>jcutler@generalcatalyst.com</t>
        </is>
      </c>
      <c r="E54" s="39" t="n">
        <v>45792</v>
      </c>
      <c r="F54" s="80" t="n">
        <v>45821</v>
      </c>
      <c r="J54" s="80" t="n">
        <v>45841</v>
      </c>
    </row>
    <row r="55" ht="17.25" customHeight="1" s="216">
      <c r="A55" s="103" t="inlineStr">
        <is>
          <t>David Cowan</t>
        </is>
      </c>
      <c r="B55" s="103" t="inlineStr">
        <is>
          <t>Bessemer Venture Partners</t>
        </is>
      </c>
      <c r="C55" s="104" t="inlineStr">
        <is>
          <t>https://www.linkedin.com/in/davidjcowan/</t>
        </is>
      </c>
      <c r="D55" s="185" t="inlineStr">
        <is>
          <t>david@bvp.com</t>
        </is>
      </c>
      <c r="E55" s="105" t="n">
        <v>45792</v>
      </c>
      <c r="F55" s="80" t="n">
        <v>45821</v>
      </c>
      <c r="J55" s="80" t="n">
        <v>45841</v>
      </c>
    </row>
    <row r="56" ht="17.25" customHeight="1" s="216">
      <c r="A56" s="103" t="inlineStr">
        <is>
          <t>Kent Bennett</t>
        </is>
      </c>
      <c r="B56" s="103" t="inlineStr">
        <is>
          <t>Bessemer Venture Partners</t>
        </is>
      </c>
      <c r="C56" s="104" t="inlineStr">
        <is>
          <t>https://www.linkedin.com/in/kentbennett/</t>
        </is>
      </c>
      <c r="D56" s="185" t="inlineStr">
        <is>
          <t>bennett@bvp.com</t>
        </is>
      </c>
      <c r="E56" s="105" t="n">
        <v>45792</v>
      </c>
      <c r="F56" s="80" t="n">
        <v>45821</v>
      </c>
      <c r="J56" s="80" t="n">
        <v>45841</v>
      </c>
    </row>
    <row r="57" ht="17.25" customHeight="1" s="216">
      <c r="A57" s="103" t="inlineStr">
        <is>
          <t>Byron Deeter</t>
        </is>
      </c>
      <c r="B57" s="103" t="inlineStr">
        <is>
          <t>Bessemer Venture Partners</t>
        </is>
      </c>
      <c r="C57" s="104" t="inlineStr">
        <is>
          <t>https://www.linkedin.com/in/byrondeeter/</t>
        </is>
      </c>
      <c r="D57" s="185" t="inlineStr">
        <is>
          <t>bdeeter@bvp.com</t>
        </is>
      </c>
      <c r="E57" s="105" t="n">
        <v>45792</v>
      </c>
      <c r="F57" s="80" t="n">
        <v>45821</v>
      </c>
      <c r="J57" s="80" t="n">
        <v>45841</v>
      </c>
    </row>
    <row r="58" ht="17.25" customHeight="1" s="216">
      <c r="A58" s="101" t="inlineStr">
        <is>
          <t>Mick Mountz</t>
        </is>
      </c>
      <c r="B58" s="101" t="inlineStr">
        <is>
          <t>Bessemer Venture Partners</t>
        </is>
      </c>
      <c r="C58" s="288" t="n"/>
      <c r="D58" s="180" t="inlineStr">
        <is>
          <t>mmountz@bvp.com</t>
        </is>
      </c>
      <c r="E58" s="113" t="n">
        <v>45792</v>
      </c>
      <c r="F58" s="87" t="inlineStr">
        <is>
          <t>"msg undeliverable"</t>
        </is>
      </c>
    </row>
    <row r="59" ht="17.25" customHeight="1" s="216">
      <c r="A59" s="101" t="inlineStr">
        <is>
          <t xml:space="preserve">Ravi Viswanathan </t>
        </is>
      </c>
      <c r="B59" s="101" t="inlineStr">
        <is>
          <t>Bessemer Venture Partners</t>
        </is>
      </c>
      <c r="C59" s="288" t="n"/>
      <c r="D59" s="180" t="inlineStr">
        <is>
          <t>rviswanathan@bvp.com</t>
        </is>
      </c>
      <c r="E59" s="113" t="n">
        <v>45792</v>
      </c>
      <c r="F59" s="87" t="inlineStr">
        <is>
          <t>"msh undeliverable"</t>
        </is>
      </c>
    </row>
    <row r="60" ht="17.25" customHeight="1" s="216">
      <c r="A60" s="2" t="inlineStr">
        <is>
          <t xml:space="preserve">Dan Levitan </t>
        </is>
      </c>
      <c r="B60" s="2" t="inlineStr">
        <is>
          <t>Maveron</t>
        </is>
      </c>
      <c r="C60" s="3" t="inlineStr">
        <is>
          <t>https://www.linkedin.com/in/dlevitan/</t>
        </is>
      </c>
      <c r="D60" s="177" t="inlineStr">
        <is>
          <t>dlevitan@maveron.com</t>
        </is>
      </c>
      <c r="E60" s="39" t="n">
        <v>45792</v>
      </c>
      <c r="F60" s="108" t="n">
        <v>45821</v>
      </c>
      <c r="G60" s="108" t="inlineStr">
        <is>
          <t>out of office till 6/15</t>
        </is>
      </c>
      <c r="J60" s="80" t="n">
        <v>45841</v>
      </c>
    </row>
    <row r="61" ht="12.75" customHeight="1" s="216">
      <c r="A61" s="2" t="inlineStr">
        <is>
          <t>Russell Fleischer</t>
        </is>
      </c>
      <c r="B61" s="2" t="inlineStr">
        <is>
          <t>Battery Ventures</t>
        </is>
      </c>
      <c r="C61" s="3" t="inlineStr">
        <is>
          <t>https://www.linkedin.com/in/russell-fleischer-37333934/</t>
        </is>
      </c>
      <c r="D61" s="182" t="inlineStr">
        <is>
          <t>rfleischer@battery.com</t>
        </is>
      </c>
      <c r="E61" s="39" t="n">
        <v>45793</v>
      </c>
      <c r="F61" s="80" t="n">
        <v>45821</v>
      </c>
      <c r="J61" s="80" t="n">
        <v>45841</v>
      </c>
    </row>
    <row r="62" ht="17.25" customHeight="1" s="216">
      <c r="A62" s="2" t="inlineStr">
        <is>
          <t>Michael Brown</t>
        </is>
      </c>
      <c r="B62" s="2" t="inlineStr">
        <is>
          <t>Battery Ventures</t>
        </is>
      </c>
      <c r="C62" s="3" t="inlineStr">
        <is>
          <t>https://www.linkedin.com/in/michaelbrownvc/</t>
        </is>
      </c>
      <c r="D62" s="177" t="inlineStr">
        <is>
          <t>mbrown@battery.com</t>
        </is>
      </c>
      <c r="E62" s="39" t="n">
        <v>45793</v>
      </c>
      <c r="F62" s="80" t="n">
        <v>45821</v>
      </c>
      <c r="J62" s="80" t="n">
        <v>45841</v>
      </c>
    </row>
    <row r="63" ht="17.25" customHeight="1" s="216">
      <c r="A63" s="2" t="inlineStr">
        <is>
          <t xml:space="preserve">Neeraj Agrawal </t>
        </is>
      </c>
      <c r="B63" s="2" t="inlineStr">
        <is>
          <t>Battery Ventures</t>
        </is>
      </c>
      <c r="C63" s="3" t="inlineStr">
        <is>
          <t>https://www.linkedin.com/in/neerajagrawal2000/</t>
        </is>
      </c>
      <c r="D63" s="177" t="inlineStr">
        <is>
          <t>nagrawal@battery.com</t>
        </is>
      </c>
      <c r="E63" s="39" t="n">
        <v>45793</v>
      </c>
      <c r="F63" s="80" t="n">
        <v>45821</v>
      </c>
      <c r="J63" s="80" t="n">
        <v>45841</v>
      </c>
    </row>
    <row r="64" ht="17.25" customHeight="1" s="216">
      <c r="A64" s="2" t="inlineStr">
        <is>
          <t xml:space="preserve">Morad Elhafed </t>
        </is>
      </c>
      <c r="B64" s="2" t="inlineStr">
        <is>
          <t>Battery Ventures</t>
        </is>
      </c>
      <c r="C64" s="3" t="inlineStr">
        <is>
          <t>https://www.linkedin.com/in/morad-elhafed-01a13b3/</t>
        </is>
      </c>
      <c r="D64" s="177" t="inlineStr">
        <is>
          <t>morad@battery.com</t>
        </is>
      </c>
      <c r="E64" s="39" t="n">
        <v>45793</v>
      </c>
      <c r="F64" s="80" t="n">
        <v>45821</v>
      </c>
      <c r="J64" s="80" t="n">
        <v>45841</v>
      </c>
    </row>
    <row r="65" ht="17.25" customHeight="1" s="216">
      <c r="A65" s="2" t="inlineStr">
        <is>
          <t>Jesse Feldman</t>
        </is>
      </c>
      <c r="B65" s="2" t="inlineStr">
        <is>
          <t>Battery Ventures</t>
        </is>
      </c>
      <c r="C65" s="3" t="inlineStr">
        <is>
          <t>https://www.linkedin.com/in/feldmanjesse/</t>
        </is>
      </c>
      <c r="D65" s="177" t="inlineStr">
        <is>
          <t>jesse@battery.com</t>
        </is>
      </c>
      <c r="E65" s="39" t="n">
        <v>45793</v>
      </c>
      <c r="F65" s="80" t="n">
        <v>45821</v>
      </c>
      <c r="J65" s="80" t="n">
        <v>45841</v>
      </c>
    </row>
    <row r="66" ht="17.25" customHeight="1" s="216">
      <c r="A66" s="2" t="inlineStr">
        <is>
          <t>Trae Stephens</t>
        </is>
      </c>
      <c r="B66" s="2" t="inlineStr">
        <is>
          <t>Founders Fund</t>
        </is>
      </c>
      <c r="C66" s="3" t="inlineStr">
        <is>
          <t>https://www.linkedin.com/in/trae-stephens-485a811/</t>
        </is>
      </c>
      <c r="D66" s="177" t="inlineStr">
        <is>
          <t>trae@foundersfund.com</t>
        </is>
      </c>
      <c r="E66" s="39" t="n">
        <v>45793</v>
      </c>
      <c r="F66" s="80" t="n">
        <v>45821</v>
      </c>
      <c r="J66" s="80" t="n">
        <v>45841</v>
      </c>
    </row>
    <row r="67" ht="17.25" customHeight="1" s="216">
      <c r="A67" s="2" t="inlineStr">
        <is>
          <t>Delian Asparouhov</t>
        </is>
      </c>
      <c r="B67" s="2" t="inlineStr">
        <is>
          <t>Founders Fund</t>
        </is>
      </c>
      <c r="C67" s="3" t="inlineStr">
        <is>
          <t>https://www.linkedin.com/in/delian-asparouhov-87447742/</t>
        </is>
      </c>
      <c r="D67" s="177" t="inlineStr">
        <is>
          <t>delian@foundersfund.com</t>
        </is>
      </c>
      <c r="E67" s="39" t="n">
        <v>45793</v>
      </c>
      <c r="F67" s="80" t="n">
        <v>45821</v>
      </c>
      <c r="J67" s="80" t="n">
        <v>45841</v>
      </c>
    </row>
    <row r="68" ht="17.25" customHeight="1" s="216">
      <c r="A68" s="2" t="inlineStr">
        <is>
          <t>Scott Nolan</t>
        </is>
      </c>
      <c r="B68" s="2" t="inlineStr">
        <is>
          <t>Founders Fund</t>
        </is>
      </c>
      <c r="C68" s="3" t="inlineStr">
        <is>
          <t>https://www.linkedin.com/in/scottpnolan/</t>
        </is>
      </c>
      <c r="D68" s="177" t="inlineStr">
        <is>
          <t>scott@foundersfund.com</t>
        </is>
      </c>
      <c r="E68" s="39" t="n">
        <v>45793</v>
      </c>
      <c r="F68" s="80" t="n">
        <v>45821</v>
      </c>
      <c r="J68" s="80" t="n">
        <v>45841</v>
      </c>
    </row>
    <row r="69" ht="17.25" customHeight="1" s="216">
      <c r="A69" s="101" t="inlineStr">
        <is>
          <t>Maya Bisineer</t>
        </is>
      </c>
      <c r="B69" s="101" t="inlineStr">
        <is>
          <t>Canaan Partners</t>
        </is>
      </c>
      <c r="C69" s="288" t="n"/>
      <c r="D69" s="180" t="inlineStr">
        <is>
          <t>mbisineer@canaan.com</t>
        </is>
      </c>
      <c r="E69" s="39" t="n">
        <v>45793</v>
      </c>
      <c r="F69" t="inlineStr">
        <is>
          <t>bad email</t>
        </is>
      </c>
    </row>
    <row r="70" ht="17.25" customHeight="1" s="216">
      <c r="A70" s="101" t="inlineStr">
        <is>
          <t>Hemant Mohapatra</t>
        </is>
      </c>
      <c r="B70" s="101" t="inlineStr">
        <is>
          <t>Canaan Partners</t>
        </is>
      </c>
      <c r="C70" s="288" t="n"/>
      <c r="D70" s="180" t="inlineStr">
        <is>
          <t>hmohapatra@canaan.com</t>
        </is>
      </c>
      <c r="E70" s="39" t="n">
        <v>45793</v>
      </c>
      <c r="F70" t="inlineStr">
        <is>
          <t>bad email</t>
        </is>
      </c>
    </row>
    <row r="71" ht="17.25" customHeight="1" s="216">
      <c r="A71" s="101" t="inlineStr">
        <is>
          <t>Karan Mehandru</t>
        </is>
      </c>
      <c r="B71" s="101" t="inlineStr">
        <is>
          <t>Canaan Partners</t>
        </is>
      </c>
      <c r="C71" s="288" t="n"/>
      <c r="D71" s="180" t="inlineStr">
        <is>
          <t>kmehandru@canaan.com</t>
        </is>
      </c>
      <c r="E71" s="39" t="n">
        <v>45793</v>
      </c>
      <c r="F71" t="inlineStr">
        <is>
          <t>bad email</t>
        </is>
      </c>
    </row>
    <row r="72" ht="17.25" customHeight="1" s="216">
      <c r="A72" s="101" t="inlineStr">
        <is>
          <t>David Teten</t>
        </is>
      </c>
      <c r="B72" s="101" t="inlineStr">
        <is>
          <t>Canaan Partners</t>
        </is>
      </c>
      <c r="C72" s="288" t="n"/>
      <c r="D72" s="180" t="inlineStr">
        <is>
          <t>dteten@canaan.com</t>
        </is>
      </c>
      <c r="E72" s="39" t="n">
        <v>45793</v>
      </c>
      <c r="F72" t="inlineStr">
        <is>
          <t>bad email</t>
        </is>
      </c>
    </row>
    <row r="73" ht="17.25" customHeight="1" s="216">
      <c r="A73" s="22" t="inlineStr">
        <is>
          <t>Kelly Perdew</t>
        </is>
      </c>
      <c r="B73" s="22" t="inlineStr">
        <is>
          <t>Moonshots Capital</t>
        </is>
      </c>
      <c r="C73" s="137" t="inlineStr">
        <is>
          <t>https://www.linkedin.com/in/kellyperdew/</t>
        </is>
      </c>
      <c r="D73" s="186" t="inlineStr">
        <is>
          <t>k.perdew@moonshotscapital.com</t>
        </is>
      </c>
      <c r="E73" s="106" t="n">
        <v>45793</v>
      </c>
      <c r="F73" s="2" t="inlineStr">
        <is>
          <t>bad email</t>
        </is>
      </c>
      <c r="G73" s="111" t="n"/>
    </row>
    <row r="74" ht="12.75" customHeight="1" s="216">
      <c r="A74" s="85" t="inlineStr">
        <is>
          <t xml:space="preserve">Craig Cummings </t>
        </is>
      </c>
      <c r="B74" s="85" t="inlineStr">
        <is>
          <t>Moonshots Capital</t>
        </is>
      </c>
      <c r="C74" s="86" t="inlineStr">
        <is>
          <t>https://www.linkedin.com/in/unleashcraig/</t>
        </is>
      </c>
      <c r="D74" s="179" t="inlineStr">
        <is>
          <t>craig@moonshotscapital.com</t>
        </is>
      </c>
      <c r="E74" s="107" t="n">
        <v>45793</v>
      </c>
      <c r="F74" t="inlineStr">
        <is>
          <t>bad email</t>
        </is>
      </c>
    </row>
    <row r="75" ht="12.75" customHeight="1" s="216">
      <c r="A75" s="2" t="inlineStr">
        <is>
          <t>Mac Hoffman</t>
        </is>
      </c>
      <c r="B75" s="2" t="inlineStr">
        <is>
          <t>Moonshots Capital</t>
        </is>
      </c>
      <c r="C75" s="111" t="inlineStr">
        <is>
          <t>https://www.linkedin.com/in/machoffman/</t>
        </is>
      </c>
      <c r="D75" s="182" t="inlineStr">
        <is>
          <t>mac@moonshotscapital.com</t>
        </is>
      </c>
      <c r="E75" s="39" t="n">
        <v>45793</v>
      </c>
      <c r="F75" s="80" t="n">
        <v>45813</v>
      </c>
      <c r="G75" t="inlineStr">
        <is>
          <t xml:space="preserve">Moonshots Application:  https://www.moonshotscapital.com/submit-your-startup-for-early-stage-investment/  </t>
        </is>
      </c>
    </row>
    <row r="76" ht="12.75" customHeight="1" s="216">
      <c r="A76" s="2" t="inlineStr">
        <is>
          <t>LTC Brian Titus Noble</t>
        </is>
      </c>
      <c r="B76" s="2" t="inlineStr">
        <is>
          <t>Moonshots Capital</t>
        </is>
      </c>
      <c r="C76" s="3" t="inlineStr">
        <is>
          <t>https://www.linkedin.com/in/titus-noble-8873b314/</t>
        </is>
      </c>
      <c r="D76" s="182" t="inlineStr">
        <is>
          <t>titus@moonshotscapital.com</t>
        </is>
      </c>
      <c r="E76" s="39" t="n">
        <v>45793</v>
      </c>
      <c r="F76" s="80" t="n">
        <v>45813</v>
      </c>
    </row>
    <row r="77" ht="12.75" customHeight="1" s="216">
      <c r="A77" s="16" t="inlineStr">
        <is>
          <t>James Cameron</t>
        </is>
      </c>
      <c r="B77" s="16" t="n"/>
      <c r="C77" s="16" t="n"/>
      <c r="D77" s="187" t="inlineStr">
        <is>
          <t>james@visionaryleadership.co.nz</t>
        </is>
      </c>
      <c r="E77" s="16" t="inlineStr">
        <is>
          <t>- refered by Tom 5/20</t>
        </is>
      </c>
      <c r="F77" s="80" t="n">
        <v>45821</v>
      </c>
      <c r="G77" s="146" t="inlineStr">
        <is>
          <t>dns fail</t>
        </is>
      </c>
    </row>
    <row r="78" ht="15.75" customHeight="1" s="216">
      <c r="A78" s="2" t="inlineStr">
        <is>
          <t>Jason Schwartz / Paul Gloyer GTL</t>
        </is>
      </c>
      <c r="D78" s="114" t="inlineStr">
        <is>
          <t>jason@leagueadvisors.com and paul.gloyer@gtlcompany.com</t>
        </is>
      </c>
      <c r="E78" s="80" t="n">
        <v>45799</v>
      </c>
      <c r="F78" s="80" t="n">
        <v>45821</v>
      </c>
    </row>
    <row r="79" ht="15.75" customHeight="1" s="216">
      <c r="A79" s="2" t="inlineStr">
        <is>
          <t>Kishen Raghunath</t>
        </is>
      </c>
      <c r="B79" s="2" t="inlineStr">
        <is>
          <t>ACMI Group</t>
        </is>
      </c>
      <c r="D79" s="114" t="inlineStr">
        <is>
          <t>kraghunath@acmigroup.com</t>
        </is>
      </c>
      <c r="E79" s="80" t="inlineStr">
        <is>
          <t>call on 4/24/2025</t>
        </is>
      </c>
      <c r="F79" t="inlineStr">
        <is>
          <t>sent one pager</t>
        </is>
      </c>
      <c r="I79" s="199" t="inlineStr">
        <is>
          <t>follow up email sent 5/27 // put you in contact with vboelscher@acmigroup.com // also talking to jbowling@acmigroup.com</t>
        </is>
      </c>
    </row>
    <row r="80" ht="15.75" customHeight="1" s="216">
      <c r="A80" s="2" t="inlineStr">
        <is>
          <t>Diana Ruddy</t>
        </is>
      </c>
      <c r="B80" s="2" t="inlineStr">
        <is>
          <t>Castle Placement</t>
        </is>
      </c>
      <c r="C80" t="inlineStr">
        <is>
          <t>https://www.linkedin.com/in/dianaruddy/</t>
        </is>
      </c>
      <c r="D80" s="114" t="inlineStr">
        <is>
          <t>via Linked In</t>
        </is>
      </c>
      <c r="E80" s="80" t="n">
        <v>45804</v>
      </c>
      <c r="F80" s="80" t="n">
        <v>45821</v>
      </c>
    </row>
    <row r="81" ht="15.75" customHeight="1" s="216">
      <c r="A81" s="2" t="inlineStr">
        <is>
          <t>Morgan Flager</t>
        </is>
      </c>
      <c r="B81" s="81" t="inlineStr">
        <is>
          <t xml:space="preserve">Silverton Partners </t>
        </is>
      </c>
      <c r="C81" t="inlineStr">
        <is>
          <t>https://www.linkedin.com/in/mflager</t>
        </is>
      </c>
      <c r="D81" s="198" t="inlineStr">
        <is>
          <t>mflager@silvertonpartners.com</t>
        </is>
      </c>
      <c r="E81" s="80" t="n">
        <v>45804</v>
      </c>
      <c r="F81" s="80" t="n">
        <v>45821</v>
      </c>
      <c r="J81" s="80" t="n">
        <v>45841</v>
      </c>
    </row>
    <row r="82" ht="15.75" customHeight="1" s="216">
      <c r="A82" t="inlineStr">
        <is>
          <t>Roger Chen</t>
        </is>
      </c>
      <c r="B82" s="81" t="inlineStr">
        <is>
          <t xml:space="preserve">Silverton Partners </t>
        </is>
      </c>
      <c r="C82" t="inlineStr">
        <is>
          <t>https://www.linkedin.com/in/chenro/</t>
        </is>
      </c>
      <c r="D82" s="206" t="inlineStr">
        <is>
          <t>roger@silvertonpartners.com</t>
        </is>
      </c>
      <c r="E82" s="80" t="n">
        <v>45804</v>
      </c>
      <c r="F82" s="80" t="n">
        <v>45821</v>
      </c>
      <c r="J82" s="80" t="n">
        <v>45841</v>
      </c>
    </row>
    <row r="83" ht="15.75" customHeight="1" s="216">
      <c r="A83" t="inlineStr">
        <is>
          <t>Mike Dodd</t>
        </is>
      </c>
      <c r="B83" s="81" t="inlineStr">
        <is>
          <t xml:space="preserve">Silverton Partners </t>
        </is>
      </c>
      <c r="C83" t="inlineStr">
        <is>
          <t>https://www.linkedin.com/in/mikedodd1/</t>
        </is>
      </c>
      <c r="D83" s="206" t="inlineStr">
        <is>
          <t>mike@silvertonpartners.com</t>
        </is>
      </c>
      <c r="E83" s="80" t="n">
        <v>45804</v>
      </c>
      <c r="F83" s="80" t="n">
        <v>45821</v>
      </c>
      <c r="J83" s="80" t="n">
        <v>45841</v>
      </c>
    </row>
    <row r="84" ht="15.75" customHeight="1" s="216">
      <c r="A84" s="82" t="inlineStr">
        <is>
          <t>Kip McClanahan</t>
        </is>
      </c>
      <c r="B84" s="81" t="inlineStr">
        <is>
          <t xml:space="preserve">Silverton Partners </t>
        </is>
      </c>
      <c r="C84" t="inlineStr">
        <is>
          <t>https://www.linkedin.com/in/kipmcclanahan/</t>
        </is>
      </c>
      <c r="D84" s="206" t="inlineStr">
        <is>
          <t>kmcclanahan@silvertonpartners.com</t>
        </is>
      </c>
      <c r="E84" s="80" t="n">
        <v>45804</v>
      </c>
      <c r="F84" s="80" t="n">
        <v>45821</v>
      </c>
      <c r="J84" s="80" t="n">
        <v>45841</v>
      </c>
    </row>
    <row r="85" ht="15.75" customHeight="1" s="216">
      <c r="A85" s="82" t="inlineStr">
        <is>
          <t>Sergio Cecutta</t>
        </is>
      </c>
      <c r="B85" s="81" t="inlineStr">
        <is>
          <t>SMG Consulting</t>
        </is>
      </c>
      <c r="C85" t="inlineStr">
        <is>
          <t>https://www.linkedin.com/in/sergiocecutta/</t>
        </is>
      </c>
      <c r="D85" s="206" t="inlineStr">
        <is>
          <t>sergio@smg-consulting.com</t>
        </is>
      </c>
      <c r="E85" s="80" t="n">
        <v>45805</v>
      </c>
      <c r="F85" s="80" t="n">
        <v>45821</v>
      </c>
      <c r="J85" s="80" t="n">
        <v>45841</v>
      </c>
    </row>
    <row r="86" ht="15.75" customHeight="1" s="216">
      <c r="A86" s="82" t="inlineStr">
        <is>
          <t>Rafferty Jackson</t>
        </is>
      </c>
      <c r="B86" s="81" t="inlineStr">
        <is>
          <t>Jack Industries</t>
        </is>
      </c>
      <c r="C86" s="109" t="inlineStr">
        <is>
          <t>https://www.linkedin.com/in/rafferty-jackson-1626162/</t>
        </is>
      </c>
      <c r="D86" s="206" t="inlineStr">
        <is>
          <t>rafferty@jack.industries</t>
        </is>
      </c>
      <c r="E86" s="80" t="n">
        <v>45805</v>
      </c>
      <c r="F86" s="80" t="n">
        <v>45821</v>
      </c>
      <c r="J86" s="80" t="n">
        <v>45841</v>
      </c>
    </row>
    <row r="87" ht="15.75" customHeight="1" s="216">
      <c r="A87" s="82" t="inlineStr">
        <is>
          <t>Mukesh Patel</t>
        </is>
      </c>
      <c r="B87" s="81" t="inlineStr">
        <is>
          <t>Evolito</t>
        </is>
      </c>
      <c r="C87" t="inlineStr">
        <is>
          <t>https://www.linkedin.com/in/mukesh--patel/</t>
        </is>
      </c>
      <c r="D87" s="206" t="inlineStr">
        <is>
          <t>mukesh.patel@evolito.aero</t>
        </is>
      </c>
      <c r="E87" s="80" t="n">
        <v>45805</v>
      </c>
      <c r="F87" s="80" t="n">
        <v>45821</v>
      </c>
      <c r="J87" s="80" t="n">
        <v>45841</v>
      </c>
    </row>
    <row r="88" ht="15.75" customHeight="1" s="216">
      <c r="A88" s="82" t="inlineStr">
        <is>
          <t>Michael Dyment</t>
        </is>
      </c>
      <c r="B88" s="81" t="inlineStr">
        <is>
          <t>NEXA Capital Partners</t>
        </is>
      </c>
      <c r="C88" t="inlineStr">
        <is>
          <t>https://www.linkedin.com/in/michael-j-dyment-85b2688/</t>
        </is>
      </c>
      <c r="D88" s="206" t="inlineStr">
        <is>
          <t>michael.j.dyment@nexacapital.com</t>
        </is>
      </c>
      <c r="E88" s="80" t="n">
        <v>45805</v>
      </c>
      <c r="F88" s="80" t="n">
        <v>45821</v>
      </c>
      <c r="J88" s="80" t="n">
        <v>45841</v>
      </c>
    </row>
    <row r="89" ht="15.75" customHeight="1" s="216">
      <c r="A89" t="inlineStr">
        <is>
          <t>Oksana Malysheva</t>
        </is>
      </c>
      <c r="B89" s="81" t="inlineStr">
        <is>
          <t>Sputnik ATX VC</t>
        </is>
      </c>
      <c r="D89" s="206" t="inlineStr">
        <is>
          <t>oksana@sputnikatx.com</t>
        </is>
      </c>
      <c r="E89" s="80" t="n">
        <v>45805</v>
      </c>
      <c r="F89" s="80" t="n">
        <v>45821</v>
      </c>
      <c r="J89" s="80" t="n">
        <v>45841</v>
      </c>
    </row>
    <row r="90" ht="15.75" customHeight="1" s="216">
      <c r="A90" t="inlineStr">
        <is>
          <t>Alex Krantz</t>
        </is>
      </c>
      <c r="B90" s="81" t="inlineStr">
        <is>
          <t>Goose Capital</t>
        </is>
      </c>
      <c r="C90" t="inlineStr">
        <is>
          <t>https://www.linkedin.com/in/alexander-krantz-connect/</t>
        </is>
      </c>
      <c r="D90" s="206" t="inlineStr">
        <is>
          <t>alex@goose.capital</t>
        </is>
      </c>
      <c r="E90" s="80" t="n">
        <v>45805</v>
      </c>
      <c r="F90" s="80" t="n">
        <v>45821</v>
      </c>
      <c r="G90" t="inlineStr">
        <is>
          <t xml:space="preserve">Goose Application: https://www.goose.capital/goose-capital-screening </t>
        </is>
      </c>
      <c r="J90" s="80" t="n">
        <v>45841</v>
      </c>
    </row>
    <row r="91" ht="15.75" customHeight="1" s="216">
      <c r="A91" s="288" t="inlineStr">
        <is>
          <t>Ashu Bhalla</t>
        </is>
      </c>
      <c r="B91" s="97" t="inlineStr">
        <is>
          <t>Moneta VC</t>
        </is>
      </c>
      <c r="C91" s="288" t="inlineStr">
        <is>
          <t>https://www.linkedin.com/in/ashu-bhalla-b44bb73/</t>
        </is>
      </c>
      <c r="D91" s="189" t="inlineStr">
        <is>
          <t>ashu@moneta.vc</t>
        </is>
      </c>
      <c r="E91" s="129" t="n">
        <v>45805</v>
      </c>
      <c r="F91" s="129" t="n">
        <v>45821</v>
      </c>
      <c r="G91" t="inlineStr">
        <is>
          <t>Moneta Application: https://moneta.vc/get-funding/</t>
        </is>
      </c>
    </row>
    <row r="92" ht="15.75" customHeight="1" s="216">
      <c r="A92" s="125" t="inlineStr">
        <is>
          <t>Vaibhav Nadgauda</t>
        </is>
      </c>
      <c r="B92" s="97" t="inlineStr">
        <is>
          <t>Moneta VC</t>
        </is>
      </c>
      <c r="C92" s="127" t="inlineStr">
        <is>
          <t>https://www.linkedin.com/in/vaibhav-nadgauda-0655799/</t>
        </is>
      </c>
      <c r="D92" s="189" t="inlineStr">
        <is>
          <t>vnadgauda@monetaventures.com</t>
        </is>
      </c>
      <c r="E92" s="129" t="n">
        <v>45805</v>
      </c>
      <c r="F92" s="129" t="n">
        <v>45821</v>
      </c>
    </row>
    <row r="93" ht="15.75" customHeight="1" s="216">
      <c r="A93" s="288" t="inlineStr">
        <is>
          <t>Lokesh Sikaria</t>
        </is>
      </c>
      <c r="B93" s="97" t="inlineStr">
        <is>
          <t>Moneta VC</t>
        </is>
      </c>
      <c r="C93" s="288" t="inlineStr">
        <is>
          <t>https://www.linkedin.com/in/lokeshsikaria/</t>
        </is>
      </c>
      <c r="D93" s="189" t="inlineStr">
        <is>
          <t>lsikaria@monetaventures.com</t>
        </is>
      </c>
      <c r="E93" s="129" t="n">
        <v>45805</v>
      </c>
      <c r="F93" s="129" t="n">
        <v>45821</v>
      </c>
    </row>
    <row r="94" ht="15.75" customHeight="1" s="216">
      <c r="A94" s="288" t="inlineStr">
        <is>
          <t>Aasim Hasan</t>
        </is>
      </c>
      <c r="B94" s="97" t="inlineStr">
        <is>
          <t>Moneta VC</t>
        </is>
      </c>
      <c r="C94" s="288" t="inlineStr">
        <is>
          <t>https://www.linkedin.com/in/aasimhasan/</t>
        </is>
      </c>
      <c r="D94" s="189" t="inlineStr">
        <is>
          <t>ahasan@monetaventures.com</t>
        </is>
      </c>
      <c r="E94" s="129" t="n">
        <v>45805</v>
      </c>
      <c r="F94" s="129" t="n">
        <v>45821</v>
      </c>
      <c r="G94" s="87" t="inlineStr">
        <is>
          <t>outside their scope</t>
        </is>
      </c>
    </row>
    <row r="95" ht="15.75" customHeight="1" s="216">
      <c r="A95" s="288" t="inlineStr">
        <is>
          <t>Brent Kelton</t>
        </is>
      </c>
      <c r="B95" s="97" t="inlineStr">
        <is>
          <t>Moneta VC</t>
        </is>
      </c>
      <c r="C95" s="288" t="inlineStr">
        <is>
          <t>https://www.linkedin.com/in/brentvkelton/</t>
        </is>
      </c>
      <c r="D95" s="189" t="inlineStr">
        <is>
          <t>brent@moneta.vc</t>
        </is>
      </c>
      <c r="E95" s="129" t="n">
        <v>45805</v>
      </c>
      <c r="F95" s="129" t="n">
        <v>45821</v>
      </c>
    </row>
    <row r="96" ht="15.75" customHeight="1" s="216">
      <c r="A96" s="87" t="inlineStr">
        <is>
          <t>Silverton Partners Group</t>
        </is>
      </c>
      <c r="B96" s="81" t="inlineStr">
        <is>
          <t xml:space="preserve">Silverton Partners </t>
        </is>
      </c>
      <c r="D96" s="114" t="inlineStr">
        <is>
          <t>businessplans@silvertonpartners.com</t>
        </is>
      </c>
      <c r="E96" s="80" t="n">
        <v>45807</v>
      </c>
    </row>
    <row r="97" ht="15.75" customHeight="1" s="216">
      <c r="A97" s="90" t="inlineStr">
        <is>
          <t xml:space="preserve">Kevin Parakkattu </t>
        </is>
      </c>
      <c r="B97" s="91" t="inlineStr">
        <is>
          <t>Plug and Play</t>
        </is>
      </c>
      <c r="C97" s="92" t="inlineStr">
        <is>
          <t>https://www.linkedin.com/in/kevinparakkattu/</t>
        </is>
      </c>
      <c r="D97" s="190" t="inlineStr">
        <is>
          <t>kp@pnptc.com</t>
        </is>
      </c>
      <c r="E97" s="373" t="n">
        <v>45807</v>
      </c>
      <c r="F97" s="80" t="n"/>
      <c r="G97" s="87" t="inlineStr">
        <is>
          <t>out of office till 6/9</t>
        </is>
      </c>
      <c r="J97" s="80" t="n">
        <v>45841</v>
      </c>
    </row>
    <row r="98" ht="15.75" customHeight="1" s="216">
      <c r="A98" s="87" t="inlineStr">
        <is>
          <t xml:space="preserve">Ivan Zgomba </t>
        </is>
      </c>
      <c r="B98" s="81" t="inlineStr">
        <is>
          <t>Plug and Play</t>
        </is>
      </c>
      <c r="C98" t="inlineStr">
        <is>
          <t>https://www.linkedin.com/in/zgombaivan/</t>
        </is>
      </c>
      <c r="D98" s="206" t="inlineStr">
        <is>
          <t>ivan@pnptc.com</t>
        </is>
      </c>
      <c r="E98" s="80" t="n">
        <v>45807</v>
      </c>
      <c r="F98" s="80" t="n">
        <v>45821</v>
      </c>
      <c r="G98" t="inlineStr">
        <is>
          <t xml:space="preserve"> Plug and Play Application: https://www.plugandplaytechcenter.com/contact </t>
        </is>
      </c>
      <c r="J98" s="80" t="n">
        <v>45841</v>
      </c>
    </row>
    <row r="99" ht="15.75" customHeight="1" s="216">
      <c r="A99" s="125" t="inlineStr">
        <is>
          <t>Alireza Masrour</t>
        </is>
      </c>
      <c r="B99" s="97" t="inlineStr">
        <is>
          <t>Plug and Play</t>
        </is>
      </c>
      <c r="C99" s="127" t="inlineStr">
        <is>
          <t>https://www.linkedin.com/in/alirezamasrour/</t>
        </is>
      </c>
      <c r="D99" s="281" t="inlineStr">
        <is>
          <t>alireza@pnptc.com</t>
        </is>
      </c>
      <c r="E99" s="129" t="n">
        <v>45807</v>
      </c>
      <c r="F99" s="125" t="inlineStr">
        <is>
          <t>wants you to send a pitch</t>
        </is>
      </c>
      <c r="G99" s="145" t="inlineStr">
        <is>
          <t>not a fit</t>
        </is>
      </c>
      <c r="J99" s="80" t="n">
        <v>45841</v>
      </c>
    </row>
    <row r="100" ht="15.75" customHeight="1" s="216">
      <c r="A100" s="87" t="inlineStr">
        <is>
          <t>Harvey Williams</t>
        </is>
      </c>
      <c r="B100" s="81" t="inlineStr">
        <is>
          <t>Plug and Play</t>
        </is>
      </c>
      <c r="C100" t="inlineStr">
        <is>
          <t>https://www.linkedin.com/in/harvey-m-williams/</t>
        </is>
      </c>
      <c r="D100" s="206" t="inlineStr">
        <is>
          <t>harvey@pnptc.com</t>
        </is>
      </c>
      <c r="E100" s="80" t="n">
        <v>45807</v>
      </c>
    </row>
    <row r="101" ht="15.75" customHeight="1" s="216">
      <c r="A101" s="87" t="inlineStr">
        <is>
          <t>Jojo Flores</t>
        </is>
      </c>
      <c r="B101" s="81" t="inlineStr">
        <is>
          <t>Plug and Play</t>
        </is>
      </c>
      <c r="C101" t="inlineStr">
        <is>
          <t>https://www.linkedin.com/in/jojof/</t>
        </is>
      </c>
      <c r="D101" s="206" t="inlineStr">
        <is>
          <t>jojo@pnptc.com</t>
        </is>
      </c>
      <c r="E101" s="80" t="n">
        <v>45807</v>
      </c>
    </row>
    <row r="102" ht="15.75" customHeight="1" s="216">
      <c r="A102" s="87" t="inlineStr">
        <is>
          <t>Saeed Amidi</t>
        </is>
      </c>
      <c r="B102" s="81" t="inlineStr">
        <is>
          <t>Plug and Play</t>
        </is>
      </c>
      <c r="C102" t="inlineStr">
        <is>
          <t>https://www.linkedin.com/in/saeedamidi/</t>
        </is>
      </c>
      <c r="D102" s="206" t="inlineStr">
        <is>
          <t>saeed@pnptc.com</t>
        </is>
      </c>
      <c r="E102" s="80" t="n">
        <v>45807</v>
      </c>
    </row>
    <row r="103" ht="15.75" customHeight="1" s="216">
      <c r="A103" s="87" t="inlineStr">
        <is>
          <t>Chris Howard</t>
        </is>
      </c>
      <c r="B103" s="81" t="inlineStr">
        <is>
          <t>Softeq</t>
        </is>
      </c>
      <c r="C103" t="inlineStr">
        <is>
          <t>https://www.linkedin.com/in/techris/</t>
        </is>
      </c>
      <c r="D103" s="198" t="inlineStr">
        <is>
          <t>chris.howard@softeq.com</t>
        </is>
      </c>
      <c r="E103" s="80" t="n">
        <v>45807</v>
      </c>
      <c r="F103" s="80" t="n">
        <v>45821</v>
      </c>
      <c r="G103" t="inlineStr">
        <is>
          <t xml:space="preserve">Softeq Application: https://www.softeq.com/contact </t>
        </is>
      </c>
      <c r="J103" s="80" t="n">
        <v>45841</v>
      </c>
    </row>
    <row r="104" ht="15.75" customHeight="1" s="216">
      <c r="A104" t="inlineStr">
        <is>
          <t>Craig Ceccanti</t>
        </is>
      </c>
      <c r="B104" s="81" t="inlineStr">
        <is>
          <t>Softeq</t>
        </is>
      </c>
      <c r="C104" t="inlineStr">
        <is>
          <t>https://www.linkedin.com/in/craigceccanti/</t>
        </is>
      </c>
      <c r="D104" s="206" t="inlineStr">
        <is>
          <t>craig.ceccanti@softeq.com</t>
        </is>
      </c>
      <c r="E104" s="80" t="n">
        <v>45807</v>
      </c>
      <c r="F104" s="80" t="n">
        <v>45821</v>
      </c>
      <c r="J104" s="80" t="n">
        <v>45841</v>
      </c>
    </row>
    <row r="105" ht="15.75" customHeight="1" s="216">
      <c r="A105" t="inlineStr">
        <is>
          <t>Albert Esser</t>
        </is>
      </c>
      <c r="B105" s="81" t="inlineStr">
        <is>
          <t>Softeq</t>
        </is>
      </c>
      <c r="D105" s="206" t="inlineStr">
        <is>
          <t>albert.esser@softeq.com</t>
        </is>
      </c>
      <c r="E105" s="80" t="n">
        <v>45821</v>
      </c>
      <c r="J105" s="80" t="n">
        <v>45841</v>
      </c>
    </row>
    <row r="106" ht="15.75" customHeight="1" s="216">
      <c r="A106" t="inlineStr">
        <is>
          <t>Edwin Lemus</t>
        </is>
      </c>
      <c r="B106" s="81" t="inlineStr">
        <is>
          <t>Softeq</t>
        </is>
      </c>
      <c r="C106" t="inlineStr">
        <is>
          <t>https://www.linkedin.com/in/edwin-lemus/</t>
        </is>
      </c>
      <c r="D106" s="206" t="inlineStr">
        <is>
          <t>edwin.lemus@softeq.com</t>
        </is>
      </c>
      <c r="E106" s="80" t="n">
        <v>45807</v>
      </c>
      <c r="F106" s="80" t="n">
        <v>45821</v>
      </c>
      <c r="J106" s="80" t="n">
        <v>45841</v>
      </c>
    </row>
    <row r="107" ht="15.75" customHeight="1" s="216">
      <c r="A107" s="87" t="inlineStr">
        <is>
          <t>Lawrence</t>
        </is>
      </c>
      <c r="B107" s="81" t="inlineStr">
        <is>
          <t>American Capital Partners, LLC</t>
        </is>
      </c>
      <c r="C107" t="inlineStr">
        <is>
          <t>Tom referral</t>
        </is>
      </c>
      <c r="D107" s="192" t="inlineStr">
        <is>
          <t>ljust@acpweb.com</t>
        </is>
      </c>
      <c r="E107" s="80" t="n">
        <v>45810</v>
      </c>
      <c r="F107" s="80" t="n">
        <v>45841</v>
      </c>
      <c r="J107" s="80" t="n"/>
    </row>
    <row r="108" ht="15.75" customHeight="1" s="216">
      <c r="A108" s="88" t="inlineStr">
        <is>
          <t>Keith</t>
        </is>
      </c>
      <c r="B108" s="89" t="n"/>
      <c r="C108" s="89" t="n"/>
      <c r="D108" s="193" t="inlineStr">
        <is>
          <t>keith@innoventcapital.com</t>
        </is>
      </c>
      <c r="E108" s="80" t="n">
        <v>45810</v>
      </c>
      <c r="G108" s="146" t="inlineStr">
        <is>
          <t>follewed up request for status 7-11</t>
        </is>
      </c>
    </row>
    <row r="109" ht="15.75" customHeight="1" s="216">
      <c r="A109" s="88" t="inlineStr">
        <is>
          <t>Kipton</t>
        </is>
      </c>
      <c r="B109" s="89" t="n"/>
      <c r="C109" s="89" t="n"/>
      <c r="D109" s="193" t="inlineStr">
        <is>
          <t>kipton@greatpineinvestments.com</t>
        </is>
      </c>
      <c r="E109" s="80" t="n">
        <v>45810</v>
      </c>
    </row>
    <row r="110" ht="15.75" customHeight="1" s="216">
      <c r="A110" s="87" t="inlineStr">
        <is>
          <t>Clay</t>
        </is>
      </c>
      <c r="C110" t="inlineStr">
        <is>
          <t>Tom referral</t>
        </is>
      </c>
      <c r="D110" s="114" t="inlineStr">
        <is>
          <t>claysba1@gmail.com</t>
        </is>
      </c>
      <c r="E110" s="80" t="n">
        <v>45810</v>
      </c>
      <c r="F110" s="80" t="n">
        <v>45841</v>
      </c>
    </row>
    <row r="111" ht="15.75" customHeight="1" s="216">
      <c r="A111" t="inlineStr">
        <is>
          <t>Samia Ahsan</t>
        </is>
      </c>
      <c r="B111" t="inlineStr">
        <is>
          <t>Houston Angel Network</t>
        </is>
      </c>
      <c r="C111" t="inlineStr">
        <is>
          <t>https://www.linkedin.com/in/samia-ahsan-894a28186/</t>
        </is>
      </c>
      <c r="D111" s="206" t="inlineStr">
        <is>
          <t>samia@houstonangelnetwork.org</t>
        </is>
      </c>
      <c r="E111" s="80" t="n">
        <v>45813</v>
      </c>
      <c r="F111" s="80" t="n">
        <v>45828</v>
      </c>
      <c r="G111" t="inlineStr">
        <is>
          <t>HAN Application $100 Fee: https://www.houstonangelnetwork.org/entrepreneurs</t>
        </is>
      </c>
      <c r="J111" s="80" t="n">
        <v>45841</v>
      </c>
    </row>
    <row r="112" ht="15.75" customHeight="1" s="216">
      <c r="A112" s="288" t="inlineStr">
        <is>
          <t>Eric Schneider</t>
        </is>
      </c>
      <c r="B112" s="288" t="inlineStr">
        <is>
          <t>Houston Angel Network</t>
        </is>
      </c>
      <c r="C112" s="288" t="inlineStr">
        <is>
          <t>https://www.linkedin.com/in/eric-schneider-cfa-4396664/</t>
        </is>
      </c>
      <c r="D112" s="189" t="inlineStr">
        <is>
          <t>e.schneider@comcast.net</t>
        </is>
      </c>
      <c r="E112" s="80" t="n">
        <v>45813</v>
      </c>
      <c r="F112" s="80" t="n">
        <v>45828</v>
      </c>
      <c r="H112" t="inlineStr">
        <is>
          <t>decided to start working with Joby Aviation</t>
        </is>
      </c>
      <c r="J112" s="80" t="n">
        <v>45841</v>
      </c>
    </row>
    <row r="113" ht="15.75" customHeight="1" s="216">
      <c r="A113" s="95" t="inlineStr">
        <is>
          <t>Katie Russel</t>
        </is>
      </c>
      <c r="B113" s="95" t="inlineStr">
        <is>
          <t>Central Texas Angel Network</t>
        </is>
      </c>
      <c r="C113" s="95" t="inlineStr">
        <is>
          <t>https://www.linkedin.com/in/katierussel/</t>
        </is>
      </c>
      <c r="D113" s="194" t="inlineStr">
        <is>
          <t>katie@ctan.com</t>
        </is>
      </c>
      <c r="E113" s="373" t="n">
        <v>45813</v>
      </c>
      <c r="F113" s="90" t="inlineStr">
        <is>
          <t>said to apply online</t>
        </is>
      </c>
      <c r="G113" s="234" t="inlineStr">
        <is>
          <t>CTAN Application: https://app.dealum.com/#/company/application/new/72264/cmwl94en1rop0rvg8k9x44vzlcw2hgrf</t>
        </is>
      </c>
      <c r="H113" s="234" t="n"/>
      <c r="I113" s="393" t="inlineStr">
        <is>
          <t>Said to apply online</t>
        </is>
      </c>
    </row>
    <row r="114" ht="15.75" customHeight="1" s="216">
      <c r="A114" t="inlineStr">
        <is>
          <t>Gary Forni</t>
        </is>
      </c>
      <c r="B114" t="inlineStr">
        <is>
          <t>Central Texas Angel Network</t>
        </is>
      </c>
      <c r="C114" t="inlineStr">
        <is>
          <t>https://www.linkedin.com/in/garyforni/</t>
        </is>
      </c>
      <c r="D114" s="206" t="inlineStr">
        <is>
          <t>gary@ctan.com</t>
        </is>
      </c>
      <c r="E114" s="80" t="n">
        <v>45813</v>
      </c>
    </row>
    <row r="115" ht="15.75" customHeight="1" s="216">
      <c r="A115" t="inlineStr">
        <is>
          <t>Jake Hampton</t>
        </is>
      </c>
      <c r="B115" t="inlineStr">
        <is>
          <t>Central Texas Angel Network</t>
        </is>
      </c>
      <c r="C115" t="inlineStr">
        <is>
          <t>https://www.linkedin.com/in/jake-hampton-134493/</t>
        </is>
      </c>
      <c r="D115" s="206" t="inlineStr">
        <is>
          <t>jake@ctan.com</t>
        </is>
      </c>
      <c r="E115" s="80" t="n">
        <v>45813</v>
      </c>
    </row>
    <row r="116" ht="15.75" customHeight="1" s="216">
      <c r="A116" t="inlineStr">
        <is>
          <t>Lance Adams</t>
        </is>
      </c>
      <c r="B116" t="inlineStr">
        <is>
          <t>Central Texas Angel Network</t>
        </is>
      </c>
      <c r="C116" t="inlineStr">
        <is>
          <t>https://www.linkedin.com/in/lanceadams1/</t>
        </is>
      </c>
      <c r="D116" s="206" t="inlineStr">
        <is>
          <t>lanceinaustin@hotmail.com</t>
        </is>
      </c>
      <c r="E116" s="80" t="n">
        <v>45813</v>
      </c>
    </row>
    <row r="117" ht="15.75" customHeight="1" s="216">
      <c r="A117" s="288" t="inlineStr">
        <is>
          <t>David Fonseca</t>
        </is>
      </c>
      <c r="B117" s="97" t="inlineStr">
        <is>
          <t xml:space="preserve">Alamo Angel Network </t>
        </is>
      </c>
      <c r="C117" s="288" t="inlineStr">
        <is>
          <t>https://www.linkedin.com/in/dfonseca1/</t>
        </is>
      </c>
      <c r="D117" s="189" t="inlineStr">
        <is>
          <t>david@alamoangels.com</t>
        </is>
      </c>
      <c r="E117" s="80" t="n">
        <v>45813</v>
      </c>
      <c r="F117" t="inlineStr">
        <is>
          <t>**email flagged as suspected spam so it didn't go through</t>
        </is>
      </c>
      <c r="G117" t="inlineStr">
        <is>
          <t>Alamo Angels Application: https://app.dealum.com/#/company/application/new/50504/2dp8w6dj7sw31i3aybp7bw7cwj3un777</t>
        </is>
      </c>
    </row>
    <row r="118" ht="15.75" customHeight="1" s="216">
      <c r="A118" s="288" t="inlineStr">
        <is>
          <t>Juan “Sebastian” Garzon</t>
        </is>
      </c>
      <c r="B118" s="97" t="inlineStr">
        <is>
          <t xml:space="preserve">Alamo Angel Network </t>
        </is>
      </c>
      <c r="C118" s="288" t="inlineStr">
        <is>
          <t>https://www.linkedin.com/in/juansebastiangarzon/</t>
        </is>
      </c>
      <c r="D118" s="189" t="inlineStr">
        <is>
          <t>juan@alamoangels.com</t>
        </is>
      </c>
      <c r="E118" s="80" t="n">
        <v>45813</v>
      </c>
      <c r="F118" t="inlineStr">
        <is>
          <t>**email flagged as suspected spam so it didn't go through</t>
        </is>
      </c>
    </row>
    <row r="119" ht="15.75" customHeight="1" s="216">
      <c r="A119" s="288" t="inlineStr">
        <is>
          <t>Mariano González Vasconcelos</t>
        </is>
      </c>
      <c r="B119" s="97" t="inlineStr">
        <is>
          <t xml:space="preserve">Alamo Angel Network </t>
        </is>
      </c>
      <c r="C119" s="288" t="inlineStr">
        <is>
          <t>https://www.linkedin.com/in/marianogonvas/</t>
        </is>
      </c>
      <c r="D119" s="189" t="inlineStr">
        <is>
          <t>mariano@alamoangels.com</t>
        </is>
      </c>
      <c r="E119" s="80" t="n">
        <v>45813</v>
      </c>
      <c r="F119" t="inlineStr">
        <is>
          <t>**email flagged as suspected spam so it didn't go through</t>
        </is>
      </c>
    </row>
    <row r="120" ht="15.75" customHeight="1" s="216">
      <c r="A120" s="87" t="inlineStr">
        <is>
          <t>Jordan Blashek</t>
        </is>
      </c>
      <c r="B120" s="81" t="inlineStr">
        <is>
          <t xml:space="preserve">America’s Frontier Fund </t>
        </is>
      </c>
      <c r="C120" t="inlineStr">
        <is>
          <t>https://www.linkedin.com/in/jordanblashek/</t>
        </is>
      </c>
      <c r="D120" s="206" t="inlineStr">
        <is>
          <t>jordan@americasfrontier.org</t>
        </is>
      </c>
      <c r="E120" s="80" t="n">
        <v>45813</v>
      </c>
      <c r="F120" s="80" t="n">
        <v>45828</v>
      </c>
      <c r="J120" s="80" t="n">
        <v>45841</v>
      </c>
    </row>
    <row r="121" ht="15.75" customHeight="1" s="216">
      <c r="A121" t="inlineStr">
        <is>
          <t>Brian Wilcove</t>
        </is>
      </c>
      <c r="B121" s="81" t="inlineStr">
        <is>
          <t xml:space="preserve">America’s Frontier Fund </t>
        </is>
      </c>
      <c r="C121" t="inlineStr">
        <is>
          <t>https://www.linkedin.com/in/brianwilcove/</t>
        </is>
      </c>
      <c r="D121" s="206" t="inlineStr">
        <is>
          <t>brian@americasfrontier.org</t>
        </is>
      </c>
      <c r="E121" s="80" t="n">
        <v>45813</v>
      </c>
      <c r="F121" s="80" t="n">
        <v>45828</v>
      </c>
      <c r="J121" s="80" t="n">
        <v>45841</v>
      </c>
    </row>
    <row r="122" ht="15.75" customHeight="1" s="216">
      <c r="A122" s="87" t="inlineStr">
        <is>
          <t>Gilman Louie</t>
        </is>
      </c>
      <c r="B122" s="81" t="inlineStr">
        <is>
          <t xml:space="preserve">America’s Frontier Fund </t>
        </is>
      </c>
      <c r="C122" t="inlineStr">
        <is>
          <t>https://www.linkedin.com/in/gilmanlouie/</t>
        </is>
      </c>
      <c r="D122" s="206" t="inlineStr">
        <is>
          <t>gilman@americasfrontier.org</t>
        </is>
      </c>
      <c r="E122" s="80" t="n">
        <v>45813</v>
      </c>
      <c r="F122" s="80" t="n">
        <v>45828</v>
      </c>
      <c r="J122" s="80" t="n">
        <v>45841</v>
      </c>
    </row>
    <row r="123" ht="15.75" customHeight="1" s="216">
      <c r="A123" s="87" t="inlineStr">
        <is>
          <t>Carla Stanmyre McDonald</t>
        </is>
      </c>
      <c r="B123" s="81" t="inlineStr">
        <is>
          <t>Dynabrand Ventures</t>
        </is>
      </c>
      <c r="C123" t="inlineStr">
        <is>
          <t>https://www.linkedin.com/in/carlastanmyremcdonald/</t>
        </is>
      </c>
      <c r="D123" s="206" t="inlineStr">
        <is>
          <t>carlamcdonald@dynabrand.com</t>
        </is>
      </c>
      <c r="E123" s="80" t="n">
        <v>45813</v>
      </c>
      <c r="F123" s="80" t="n">
        <v>45828</v>
      </c>
      <c r="G123" t="inlineStr">
        <is>
          <t>contact form on website</t>
        </is>
      </c>
      <c r="H123" s="87" t="inlineStr">
        <is>
          <t>I submitted an email through the website as well on 6/5</t>
        </is>
      </c>
      <c r="J123" s="80" t="n">
        <v>45841</v>
      </c>
    </row>
    <row r="124" ht="15.75" customHeight="1" s="216">
      <c r="A124" s="87" t="inlineStr">
        <is>
          <t>Juan Diego Briceño</t>
        </is>
      </c>
      <c r="B124" s="98" t="inlineStr">
        <is>
          <t xml:space="preserve">
Pomifer Capital </t>
        </is>
      </c>
      <c r="C124" t="inlineStr">
        <is>
          <t>https://www.linkedin.com/in/bricenojd/</t>
        </is>
      </c>
      <c r="D124" s="206" t="inlineStr">
        <is>
          <t>jdb@pomifercapital.com</t>
        </is>
      </c>
      <c r="E124" s="80" t="n">
        <v>45813</v>
      </c>
      <c r="F124" s="80" t="n">
        <v>45828</v>
      </c>
      <c r="J124" s="80" t="n">
        <v>45841</v>
      </c>
    </row>
    <row r="125" ht="15.75" customHeight="1" s="216">
      <c r="A125" s="87" t="inlineStr">
        <is>
          <t>Peter Teneriello</t>
        </is>
      </c>
      <c r="B125" s="98" t="inlineStr">
        <is>
          <t xml:space="preserve">
Pomifer Capital </t>
        </is>
      </c>
      <c r="C125" s="111" t="inlineStr">
        <is>
          <t>https://www.linkedin.com/in/peterteneriello/</t>
        </is>
      </c>
      <c r="D125" s="206" t="inlineStr">
        <is>
          <t>pt@pomifercapital.com</t>
        </is>
      </c>
      <c r="E125" s="80" t="n">
        <v>45813</v>
      </c>
      <c r="F125" s="80" t="n">
        <v>45828</v>
      </c>
      <c r="J125" s="80" t="n">
        <v>45841</v>
      </c>
    </row>
    <row r="126" ht="15.75" customHeight="1" s="216">
      <c r="A126" s="87" t="inlineStr">
        <is>
          <t>whole team</t>
        </is>
      </c>
      <c r="B126" s="81" t="inlineStr">
        <is>
          <t>Earl Grey Capital</t>
        </is>
      </c>
      <c r="D126" s="198" t="inlineStr">
        <is>
          <t>team@earlgrey.capital</t>
        </is>
      </c>
      <c r="E126" s="80" t="n">
        <v>45813</v>
      </c>
      <c r="F126" s="80" t="n">
        <v>45828</v>
      </c>
    </row>
    <row r="127" ht="15.75" customHeight="1" s="216">
      <c r="A127" s="87" t="inlineStr">
        <is>
          <t>Matt Sornson</t>
        </is>
      </c>
      <c r="B127" s="81" t="inlineStr">
        <is>
          <t>Earl Grey Capital</t>
        </is>
      </c>
      <c r="C127" t="inlineStr">
        <is>
          <t>https://www.linkedin.com/in/mattsornson/</t>
        </is>
      </c>
      <c r="D127" s="206" t="inlineStr">
        <is>
          <t>matt@earlgrey.capital and mattsornson@gmail.com</t>
        </is>
      </c>
      <c r="E127" s="80" t="n">
        <v>45813</v>
      </c>
      <c r="F127" s="80" t="n">
        <v>45828</v>
      </c>
      <c r="J127" s="80" t="n">
        <v>45841</v>
      </c>
    </row>
    <row r="128" ht="15.75" customHeight="1" s="216">
      <c r="A128" s="87" t="inlineStr">
        <is>
          <t>Amit Vasudev</t>
        </is>
      </c>
      <c r="B128" s="81" t="inlineStr">
        <is>
          <t>Earl Grey Capital</t>
        </is>
      </c>
      <c r="C128" t="inlineStr">
        <is>
          <t>https://www.linkedin.com/in/amitpvasudev/</t>
        </is>
      </c>
      <c r="D128" s="206" t="inlineStr">
        <is>
          <t xml:space="preserve"> and avasudev@gmail.com</t>
        </is>
      </c>
      <c r="E128" s="80" t="n">
        <v>45813</v>
      </c>
      <c r="F128" s="80" t="n">
        <v>45828</v>
      </c>
      <c r="J128" s="80" t="n">
        <v>45841</v>
      </c>
    </row>
    <row r="129" ht="15.75" customHeight="1" s="216">
      <c r="A129" s="87" t="inlineStr">
        <is>
          <t>Gabriel Reyna</t>
        </is>
      </c>
      <c r="B129" s="98" t="inlineStr">
        <is>
          <t>Bandera Capital</t>
        </is>
      </c>
      <c r="C129" t="inlineStr">
        <is>
          <t>https://www.linkedin.com/in/gabriel-reyna/</t>
        </is>
      </c>
      <c r="D129" s="206" t="inlineStr">
        <is>
          <t>gabriel@bandera.capital</t>
        </is>
      </c>
      <c r="E129" s="80" t="n">
        <v>45813</v>
      </c>
      <c r="F129" s="80" t="n">
        <v>45828</v>
      </c>
      <c r="J129" s="80" t="n">
        <v>45841</v>
      </c>
    </row>
    <row r="130" ht="15.75" customHeight="1" s="216">
      <c r="A130" s="87" t="inlineStr">
        <is>
          <t>David Solsky</t>
        </is>
      </c>
      <c r="B130" s="98" t="inlineStr">
        <is>
          <t>Bandera Capital</t>
        </is>
      </c>
      <c r="C130" t="inlineStr">
        <is>
          <t>https://www.linkedin.com/in/davidsolsky/</t>
        </is>
      </c>
      <c r="D130" s="206" t="inlineStr">
        <is>
          <t>david@bandera.capital</t>
        </is>
      </c>
      <c r="E130" s="80" t="n">
        <v>45813</v>
      </c>
      <c r="F130" s="80" t="n">
        <v>45828</v>
      </c>
      <c r="J130" s="80" t="n">
        <v>45841</v>
      </c>
    </row>
    <row r="131" ht="15.75" customHeight="1" s="216">
      <c r="A131" s="87" t="inlineStr">
        <is>
          <t>Paul Bennett</t>
        </is>
      </c>
      <c r="B131" s="98" t="inlineStr">
        <is>
          <t>Bandera Capital</t>
        </is>
      </c>
      <c r="C131" t="inlineStr">
        <is>
          <t>https://www.linkedin.com/in/paul-bennett-4ba22732/</t>
        </is>
      </c>
      <c r="D131" s="206" t="inlineStr">
        <is>
          <t>paul@bandera.capital</t>
        </is>
      </c>
      <c r="E131" s="80" t="n">
        <v>45813</v>
      </c>
      <c r="F131" s="80" t="n">
        <v>45828</v>
      </c>
      <c r="J131" s="80" t="n">
        <v>45841</v>
      </c>
    </row>
    <row r="132" ht="15.75" customHeight="1" s="216">
      <c r="A132" s="125" t="inlineStr">
        <is>
          <t>Craig</t>
        </is>
      </c>
      <c r="B132" s="126" t="inlineStr">
        <is>
          <t>Moonshots Capital</t>
        </is>
      </c>
      <c r="C132" s="255" t="inlineStr">
        <is>
          <t>https://www.linkedin.com/in/unleashcraig</t>
        </is>
      </c>
      <c r="D132" s="256" t="inlineStr">
        <is>
          <t>craig@moonshotscapital.com</t>
        </is>
      </c>
      <c r="E132" s="80" t="n">
        <v>45814</v>
      </c>
      <c r="F132" s="80" t="n">
        <v>45828</v>
      </c>
      <c r="G132" s="147" t="inlineStr">
        <is>
          <t>sent one pager on 6/23 OSC direct question 7-11</t>
        </is>
      </c>
      <c r="J132" s="80" t="n">
        <v>45848</v>
      </c>
    </row>
    <row r="133" ht="15.75" customHeight="1" s="216">
      <c r="A133" s="87" t="inlineStr">
        <is>
          <t>Investor Relations</t>
        </is>
      </c>
      <c r="B133" s="98" t="inlineStr">
        <is>
          <t>Acequia Capital</t>
        </is>
      </c>
      <c r="D133" s="198" t="inlineStr">
        <is>
          <t>investor.relations@acecap.com</t>
        </is>
      </c>
      <c r="E133" s="80" t="n">
        <v>45814</v>
      </c>
      <c r="F133" s="80" t="n">
        <v>45828</v>
      </c>
    </row>
    <row r="134" ht="15.75" customHeight="1" s="216">
      <c r="A134" s="87" t="inlineStr">
        <is>
          <t>info</t>
        </is>
      </c>
      <c r="B134" s="98" t="inlineStr">
        <is>
          <t>First Park Ventures</t>
        </is>
      </c>
      <c r="D134" s="206" t="inlineStr">
        <is>
          <t xml:space="preserve"> info@firstsparkventures.com</t>
        </is>
      </c>
      <c r="E134" s="80" t="n">
        <v>45814</v>
      </c>
      <c r="F134" s="80" t="n">
        <v>45828</v>
      </c>
    </row>
    <row r="135" ht="15.75" customHeight="1" s="216">
      <c r="A135" s="119" t="inlineStr">
        <is>
          <t>Jeremy Hitchcock</t>
        </is>
      </c>
      <c r="B135" s="123" t="inlineStr">
        <is>
          <t>New North VC</t>
        </is>
      </c>
      <c r="C135" s="124" t="inlineStr">
        <is>
          <t xml:space="preserve">https://www.newnorthvc.com/jeremyhitchcock </t>
        </is>
      </c>
      <c r="D135" s="205" t="inlineStr">
        <is>
          <t xml:space="preserve"> jeremy@newnorthventures.com</t>
        </is>
      </c>
      <c r="E135" s="80" t="n">
        <v>45814</v>
      </c>
      <c r="F135" s="80" t="n">
        <v>45841</v>
      </c>
      <c r="G135" s="148" t="inlineStr">
        <is>
          <t xml:space="preserve">sent deck to Clayton on 6/12- resend to alex@newnorthventures.com)  Clayton gone and Jeremy? </t>
        </is>
      </c>
      <c r="I135" s="199" t="inlineStr">
        <is>
          <t>Clayton is no longer with NNV</t>
        </is>
      </c>
      <c r="J135" s="80" t="n"/>
    </row>
    <row r="136" ht="15.75" customHeight="1" s="216">
      <c r="A136" s="87" t="inlineStr">
        <is>
          <t>Ryan Clinton</t>
        </is>
      </c>
      <c r="B136" s="98" t="inlineStr">
        <is>
          <t>Ridgeline VC</t>
        </is>
      </c>
      <c r="D136" s="198" t="inlineStr">
        <is>
          <t>rclinton@ridgeline.vc</t>
        </is>
      </c>
      <c r="E136" s="80" t="n">
        <v>45814</v>
      </c>
      <c r="F136" s="80" t="n">
        <v>45828</v>
      </c>
      <c r="J136" s="80" t="n">
        <v>45841</v>
      </c>
    </row>
    <row r="137" ht="15.75" customHeight="1" s="216">
      <c r="B137" s="98" t="inlineStr">
        <is>
          <t>Blue Yard VC</t>
        </is>
      </c>
      <c r="D137" s="114" t="inlineStr">
        <is>
          <t xml:space="preserve"> legal@blueyard.com</t>
        </is>
      </c>
      <c r="E137" s="80" t="n">
        <v>45814</v>
      </c>
      <c r="F137" s="80" t="n">
        <v>45828</v>
      </c>
      <c r="J137" s="80" t="n">
        <v>45841</v>
      </c>
    </row>
    <row r="138" ht="15.75" customHeight="1" s="216">
      <c r="A138" t="inlineStr">
        <is>
          <t>Lauren Graupman</t>
        </is>
      </c>
      <c r="B138" s="98" t="inlineStr">
        <is>
          <t>Aero Equity</t>
        </is>
      </c>
      <c r="C138" s="111" t="inlineStr">
        <is>
          <t>https://www.linkedin.com/in/lauren-graupman</t>
        </is>
      </c>
      <c r="D138" s="114" t="inlineStr">
        <is>
          <t xml:space="preserve"> lgraupman@aeroequity.com</t>
        </is>
      </c>
      <c r="E138" s="80" t="n">
        <v>45814</v>
      </c>
      <c r="F138" s="80" t="n">
        <v>45828</v>
      </c>
      <c r="J138" s="80" t="n">
        <v>45841</v>
      </c>
    </row>
    <row r="139" ht="15.75" customHeight="1" s="216">
      <c r="A139" s="87" t="inlineStr">
        <is>
          <t>Paul Damato</t>
        </is>
      </c>
      <c r="B139" s="98" t="inlineStr">
        <is>
          <t>Michigan Capital</t>
        </is>
      </c>
      <c r="C139" s="111" t="inlineStr">
        <is>
          <t>https://www.linkedin.com/in/paul-damato-405536a</t>
        </is>
      </c>
      <c r="D139" s="114" t="inlineStr">
        <is>
          <t xml:space="preserve"> paul@michigancapitalnetwork.com</t>
        </is>
      </c>
      <c r="E139" s="80" t="n">
        <v>45814</v>
      </c>
      <c r="F139" s="80" t="n">
        <v>45828</v>
      </c>
      <c r="J139" s="80" t="n">
        <v>45841</v>
      </c>
    </row>
    <row r="140" ht="15.75" customHeight="1" s="216">
      <c r="A140" s="87" t="inlineStr">
        <is>
          <t>Pete Koziol</t>
        </is>
      </c>
      <c r="B140" s="98" t="inlineStr">
        <is>
          <t>Dauntless Ventures</t>
        </is>
      </c>
      <c r="C140" s="111" t="inlineStr">
        <is>
          <t>https://breakline.org/pete-koziol-co-founder-of-dauntless-ventures-investing-in-americas-future/</t>
        </is>
      </c>
      <c r="D140" s="198" t="inlineStr">
        <is>
          <t>pete@dauntlessvc.com</t>
        </is>
      </c>
      <c r="E140" s="80" t="n">
        <v>45814</v>
      </c>
      <c r="F140" s="80" t="n">
        <v>45828</v>
      </c>
      <c r="J140" s="80" t="n">
        <v>45841</v>
      </c>
    </row>
    <row r="141" ht="15.75" customHeight="1" s="216">
      <c r="A141" s="87" t="inlineStr">
        <is>
          <t>Investor Relations</t>
        </is>
      </c>
      <c r="B141" s="98" t="inlineStr">
        <is>
          <t>America's Fronteir</t>
        </is>
      </c>
      <c r="D141" s="198" t="inlineStr">
        <is>
          <t>investor.relations@americasfrontier.com</t>
        </is>
      </c>
      <c r="E141" s="80" t="n">
        <v>45814</v>
      </c>
      <c r="F141" s="80" t="n">
        <v>45828</v>
      </c>
      <c r="J141" s="80" t="n">
        <v>45841</v>
      </c>
    </row>
    <row r="142" ht="15.75" customHeight="1" s="216">
      <c r="A142" s="87" t="inlineStr">
        <is>
          <t>Lillie Belle (Viebranz) Renner</t>
        </is>
      </c>
      <c r="B142" s="98" t="inlineStr">
        <is>
          <t>Snowpoint Ventures</t>
        </is>
      </c>
      <c r="C142" s="111" t="inlineStr">
        <is>
          <t>https://www.linkedin.com/in/lbviebranz/</t>
        </is>
      </c>
      <c r="D142" s="199" t="inlineStr">
        <is>
          <t xml:space="preserve"> lilliebelle@snowpoint.vc</t>
        </is>
      </c>
      <c r="E142" s="80" t="n">
        <v>45814</v>
      </c>
      <c r="F142" s="80" t="n">
        <v>45828</v>
      </c>
      <c r="I142" s="199" t="inlineStr">
        <is>
          <t>out until after labor day on maternity leave</t>
        </is>
      </c>
      <c r="J142" s="80" t="n">
        <v>45841</v>
      </c>
      <c r="K142" s="80" t="n">
        <v>45978</v>
      </c>
    </row>
    <row r="143" ht="15.75" customHeight="1" s="216">
      <c r="A143" s="87" t="inlineStr">
        <is>
          <t>Eric Wolking</t>
        </is>
      </c>
      <c r="B143" s="98" t="inlineStr">
        <is>
          <t>Blue Stone</t>
        </is>
      </c>
      <c r="C143" s="111" t="inlineStr">
        <is>
          <t>https://www.linkedin.com/in/eric-wolking-29a6701/</t>
        </is>
      </c>
      <c r="D143" s="198" t="inlineStr">
        <is>
          <t>ewolking@bluestoneinv.com</t>
        </is>
      </c>
      <c r="E143" s="80" t="n">
        <v>45814</v>
      </c>
      <c r="F143" s="80" t="n">
        <v>45828</v>
      </c>
      <c r="J143" s="80" t="n">
        <v>45841</v>
      </c>
    </row>
    <row r="144" ht="15.75" customHeight="1" s="216">
      <c r="A144" s="87" t="inlineStr">
        <is>
          <t>Shane Shermann</t>
        </is>
      </c>
      <c r="B144" s="98" t="inlineStr">
        <is>
          <t>One Bow River</t>
        </is>
      </c>
      <c r="C144" s="111" t="inlineStr">
        <is>
          <t>https://www.linkedin.com/in/shane-sherman/</t>
        </is>
      </c>
      <c r="D144" s="198" t="inlineStr">
        <is>
          <t>shane.sherman@onebowriver.com</t>
        </is>
      </c>
      <c r="E144" s="80" t="n">
        <v>45814</v>
      </c>
      <c r="F144" s="80" t="n">
        <v>45828</v>
      </c>
      <c r="J144" s="80" t="n">
        <v>45841</v>
      </c>
    </row>
    <row r="145" ht="15.75" customHeight="1" s="216">
      <c r="A145" s="125" t="inlineStr">
        <is>
          <t>Mark Morrissette</t>
        </is>
      </c>
      <c r="B145" s="126" t="inlineStr">
        <is>
          <t>Stifel Financial</t>
        </is>
      </c>
      <c r="C145" s="127" t="inlineStr">
        <is>
          <t>https://www.linkedin.com/in/markmorrissette/</t>
        </is>
      </c>
      <c r="D145" s="281" t="inlineStr">
        <is>
          <t>mmorrissette@stifel.com</t>
        </is>
      </c>
      <c r="E145" s="80" t="n">
        <v>45814</v>
      </c>
      <c r="F145" s="80" t="n"/>
      <c r="G145" s="87" t="inlineStr">
        <is>
          <t>outside of their scope</t>
        </is>
      </c>
    </row>
    <row r="146" ht="15.75" customHeight="1" s="216">
      <c r="A146" s="119" t="inlineStr">
        <is>
          <t>Steele Schottenheimer</t>
        </is>
      </c>
      <c r="B146" s="123" t="inlineStr">
        <is>
          <t xml:space="preserve">Rochefort Management </t>
        </is>
      </c>
      <c r="C146" s="122" t="n"/>
      <c r="D146" s="191" t="inlineStr">
        <is>
          <t>sschottenheimer@rochefort.us</t>
        </is>
      </c>
      <c r="E146" s="80" t="n">
        <v>45814</v>
      </c>
      <c r="F146" s="80" t="n">
        <v>45828</v>
      </c>
      <c r="G146" s="149" t="inlineStr">
        <is>
          <t>sent one pager on 6/23 not in my outbox?  resend</t>
        </is>
      </c>
      <c r="I146" s="199" t="inlineStr">
        <is>
          <t>passed onto gwotnosky@rochefort.us - Grayson</t>
        </is>
      </c>
    </row>
    <row r="147" ht="15.75" customHeight="1" s="216">
      <c r="A147" s="115" t="inlineStr">
        <is>
          <t>Nick Breedlove</t>
        </is>
      </c>
      <c r="B147" s="116" t="inlineStr">
        <is>
          <t>BBK Capital</t>
        </is>
      </c>
      <c r="C147" s="117" t="inlineStr">
        <is>
          <t>https://www.linkedin.com/in/nickbreedlove/</t>
        </is>
      </c>
      <c r="D147" s="201" t="inlineStr">
        <is>
          <t>nick@bbkcap.com</t>
        </is>
      </c>
      <c r="E147" s="80" t="n">
        <v>45814</v>
      </c>
      <c r="F147" s="118" t="inlineStr">
        <is>
          <t>check back in 2026</t>
        </is>
      </c>
    </row>
    <row r="148" ht="15.75" customHeight="1" s="216">
      <c r="A148" s="87" t="inlineStr">
        <is>
          <t>Steve Dollase</t>
        </is>
      </c>
      <c r="D148" s="202" t="inlineStr">
        <is>
          <t>sdollase@gmail.com</t>
        </is>
      </c>
    </row>
    <row r="149" ht="15.75" customHeight="1" s="216">
      <c r="A149" s="87" t="inlineStr">
        <is>
          <t>Greg Shore</t>
        </is>
      </c>
      <c r="B149" s="98" t="inlineStr">
        <is>
          <t>Community Capital</t>
        </is>
      </c>
      <c r="C149" s="114" t="inlineStr">
        <is>
          <t xml:space="preserve">
https://www.linkedin.com/in/gregoryshore/</t>
        </is>
      </c>
      <c r="D149" s="198" t="inlineStr">
        <is>
          <t>greg@communityct.com</t>
        </is>
      </c>
      <c r="E149" s="80" t="n">
        <v>45818</v>
      </c>
      <c r="F149" s="80" t="n">
        <v>45828</v>
      </c>
      <c r="G149" s="80" t="n">
        <v>45841</v>
      </c>
      <c r="H149" s="80" t="n">
        <v>46013</v>
      </c>
      <c r="J149" s="80" t="n">
        <v>45841</v>
      </c>
    </row>
    <row r="150" ht="15.75" customHeight="1" s="216">
      <c r="A150" t="inlineStr">
        <is>
          <t>Andrew Healey</t>
        </is>
      </c>
      <c r="B150" s="98" t="inlineStr">
        <is>
          <t>Arcis Group</t>
        </is>
      </c>
      <c r="C150" t="inlineStr">
        <is>
          <t>https://www.linkedin.com/in/andrew-healey-39a61125/</t>
        </is>
      </c>
      <c r="D150" s="206" t="inlineStr">
        <is>
          <t>ahealey@arcisgroup.com</t>
        </is>
      </c>
      <c r="E150" s="80" t="n">
        <v>45818</v>
      </c>
      <c r="F150" s="80" t="n">
        <v>45835</v>
      </c>
      <c r="G150" s="80" t="n">
        <v>46013</v>
      </c>
    </row>
    <row r="151" ht="15.75" customHeight="1" s="216">
      <c r="A151" s="87" t="inlineStr">
        <is>
          <t xml:space="preserve">Arnaud Isnard </t>
        </is>
      </c>
      <c r="B151" s="98" t="inlineStr">
        <is>
          <t>Arcis Group</t>
        </is>
      </c>
      <c r="C151" t="inlineStr">
        <is>
          <t>https://www.linkedin.com/in/arnaud-isnard-929603/</t>
        </is>
      </c>
      <c r="D151" s="206" t="inlineStr">
        <is>
          <t>aisnard@arcisgroup.com</t>
        </is>
      </c>
      <c r="E151" s="80" t="n">
        <v>45818</v>
      </c>
      <c r="F151" s="80" t="n">
        <v>45835</v>
      </c>
      <c r="G151" s="80" t="n">
        <v>46013</v>
      </c>
    </row>
    <row r="152" ht="15.75" customHeight="1" s="216">
      <c r="A152" s="87" t="inlineStr">
        <is>
          <t xml:space="preserve">Henri Isnard </t>
        </is>
      </c>
      <c r="B152" s="98" t="inlineStr">
        <is>
          <t>Arcis Group</t>
        </is>
      </c>
      <c r="C152" t="inlineStr">
        <is>
          <t>https://www.linkedin.com/in/henri-isnard-646a3b330/</t>
        </is>
      </c>
      <c r="D152" s="206" t="inlineStr">
        <is>
          <t>hisnard@arcisgroup.com</t>
        </is>
      </c>
      <c r="E152" s="80" t="n">
        <v>45818</v>
      </c>
      <c r="F152" s="80" t="n">
        <v>45835</v>
      </c>
      <c r="G152" s="80" t="n">
        <v>46013</v>
      </c>
    </row>
    <row r="153" ht="15.75" customHeight="1" s="216">
      <c r="A153" s="87" t="inlineStr">
        <is>
          <t>David Coudray</t>
        </is>
      </c>
      <c r="B153" s="98" t="inlineStr">
        <is>
          <t>Arcis Group</t>
        </is>
      </c>
      <c r="C153" t="inlineStr">
        <is>
          <t>https://www.linkedin.com/in/david-coudray-450024103/</t>
        </is>
      </c>
      <c r="D153" s="206" t="inlineStr">
        <is>
          <t>dcoudray@arcisgroup.com</t>
        </is>
      </c>
      <c r="E153" s="80" t="n">
        <v>45818</v>
      </c>
      <c r="F153" s="80" t="n">
        <v>45835</v>
      </c>
      <c r="G153" s="80" t="n">
        <v>46013</v>
      </c>
    </row>
    <row r="154" ht="15.75" customHeight="1" s="216">
      <c r="A154" s="87" t="inlineStr">
        <is>
          <t>Romain Bouché</t>
        </is>
      </c>
      <c r="B154" s="98" t="inlineStr">
        <is>
          <t>Arcis Group</t>
        </is>
      </c>
      <c r="D154" s="206" t="inlineStr">
        <is>
          <t>rbouche@arcisgroup.com</t>
        </is>
      </c>
      <c r="E154" s="80" t="n">
        <v>45818</v>
      </c>
      <c r="F154" s="80" t="n">
        <v>45835</v>
      </c>
      <c r="G154" s="80" t="n">
        <v>46013</v>
      </c>
    </row>
    <row r="155" ht="15.75" customHeight="1" s="216">
      <c r="A155" s="87" t="inlineStr">
        <is>
          <t>Jeff Abbott</t>
        </is>
      </c>
      <c r="B155" s="98" t="inlineStr">
        <is>
          <t>Blitzscaling Ventures</t>
        </is>
      </c>
      <c r="C155" t="inlineStr">
        <is>
          <t>linkedin.com/in/jeffreydabbott</t>
        </is>
      </c>
      <c r="D155" s="206" t="inlineStr">
        <is>
          <t>jeff@blitzscalingventures.com</t>
        </is>
      </c>
      <c r="E155" s="80" t="n">
        <v>45819</v>
      </c>
      <c r="F155" s="80" t="n">
        <v>45835</v>
      </c>
      <c r="G155" s="80" t="n">
        <v>46013</v>
      </c>
    </row>
    <row r="156" ht="15.75" customHeight="1" s="216">
      <c r="A156" s="87" t="inlineStr">
        <is>
          <t>Scott Johnson</t>
        </is>
      </c>
      <c r="B156" s="98" t="inlineStr">
        <is>
          <t>Blitzscaling Ventures</t>
        </is>
      </c>
      <c r="C156" t="inlineStr">
        <is>
          <t>linkedin.com/in/scott-johnson-49345</t>
        </is>
      </c>
      <c r="D156" s="198" t="inlineStr">
        <is>
          <t>scott@blitzscalingventures.com</t>
        </is>
      </c>
      <c r="E156" s="80" t="n">
        <v>45819</v>
      </c>
      <c r="F156" s="80" t="n">
        <v>45835</v>
      </c>
      <c r="G156" s="80" t="n">
        <v>46013</v>
      </c>
    </row>
    <row r="157" ht="15.75" customHeight="1" s="216">
      <c r="A157" s="87" t="inlineStr">
        <is>
          <t>Chris Yeh</t>
        </is>
      </c>
      <c r="B157" s="98" t="inlineStr">
        <is>
          <t>Blitzscaling Ventures</t>
        </is>
      </c>
      <c r="C157" t="inlineStr">
        <is>
          <t>linkedin.com/in/chrisyeh</t>
        </is>
      </c>
      <c r="D157" s="206" t="inlineStr">
        <is>
          <t>chris@blitzscalingventures.com</t>
        </is>
      </c>
      <c r="E157" s="80" t="n">
        <v>45819</v>
      </c>
      <c r="F157" s="80" t="n">
        <v>45835</v>
      </c>
      <c r="G157" s="80" t="n">
        <v>46013</v>
      </c>
    </row>
    <row r="158" ht="15.75" customHeight="1" s="216">
      <c r="A158" s="288" t="inlineStr">
        <is>
          <t>Jeremiah Owyang</t>
        </is>
      </c>
      <c r="B158" s="126" t="inlineStr">
        <is>
          <t>Blitzscaling Ventures</t>
        </is>
      </c>
      <c r="C158" s="288" t="inlineStr">
        <is>
          <t>https://www.linkedin.com/in/jowyang/</t>
        </is>
      </c>
      <c r="D158" s="189" t="inlineStr">
        <is>
          <t>jeremiah@blitzscalingventures.com</t>
        </is>
      </c>
      <c r="E158" s="129" t="n">
        <v>45819</v>
      </c>
      <c r="F158" s="129" t="n">
        <v>45835</v>
      </c>
      <c r="G158" s="288" t="inlineStr">
        <is>
          <t>"out of thesis - more focused on AI startups"</t>
        </is>
      </c>
      <c r="H158" s="288" t="n"/>
      <c r="I158" s="207" t="n"/>
    </row>
    <row r="159" ht="15.75" customHeight="1" s="216">
      <c r="A159" s="87" t="inlineStr">
        <is>
          <t>Meagan Metzger</t>
        </is>
      </c>
      <c r="B159" s="98" t="inlineStr">
        <is>
          <t>Dcode Capital</t>
        </is>
      </c>
      <c r="C159" t="inlineStr">
        <is>
          <t>https://www.linkedin.com/in/meaganmetzger/</t>
        </is>
      </c>
      <c r="D159" s="206" t="inlineStr">
        <is>
          <t>meagan@dcodecapital.com</t>
        </is>
      </c>
      <c r="E159" s="80" t="n">
        <v>45819</v>
      </c>
      <c r="F159" s="80" t="n">
        <v>45835</v>
      </c>
      <c r="G159" s="80" t="n">
        <v>46013</v>
      </c>
    </row>
    <row r="160" ht="15.75" customHeight="1" s="216">
      <c r="A160" s="87" t="inlineStr">
        <is>
          <t>Rebecca Gevalt</t>
        </is>
      </c>
      <c r="B160" s="98" t="inlineStr">
        <is>
          <t>Dcode Capital</t>
        </is>
      </c>
      <c r="C160" t="inlineStr">
        <is>
          <t>https://www.linkedin.com/in/rebecca-gevalt-9383a5112/</t>
        </is>
      </c>
      <c r="D160" s="206" t="inlineStr">
        <is>
          <t>rebecca@dcodecapital.com</t>
        </is>
      </c>
      <c r="E160" s="80" t="n">
        <v>45819</v>
      </c>
      <c r="F160" s="80" t="n">
        <v>45835</v>
      </c>
      <c r="G160" s="80" t="n">
        <v>46013</v>
      </c>
    </row>
    <row r="161" ht="15.75" customHeight="1" s="216">
      <c r="A161" s="125" t="inlineStr">
        <is>
          <t>Meg Vorland</t>
        </is>
      </c>
      <c r="B161" s="126" t="inlineStr">
        <is>
          <t>Dcode Capital</t>
        </is>
      </c>
      <c r="C161" s="288" t="inlineStr">
        <is>
          <t>https://www.linkedin.com/in/meganvorland/</t>
        </is>
      </c>
      <c r="D161" s="189" t="inlineStr">
        <is>
          <t>meg@dcodecapital.com</t>
        </is>
      </c>
      <c r="E161" s="129" t="n">
        <v>45819</v>
      </c>
      <c r="F161" s="129" t="n">
        <v>45835</v>
      </c>
      <c r="G161" s="288" t="inlineStr">
        <is>
          <t>"don't invest in hardware"</t>
        </is>
      </c>
      <c r="H161" s="288" t="n"/>
      <c r="I161" s="207" t="n"/>
    </row>
    <row r="162" ht="15.75" customHeight="1" s="216">
      <c r="A162" s="125" t="inlineStr">
        <is>
          <t>the team</t>
        </is>
      </c>
      <c r="B162" s="126" t="inlineStr">
        <is>
          <t>Dcode Capital</t>
        </is>
      </c>
      <c r="C162" s="288" t="n"/>
      <c r="D162" s="281" t="inlineStr">
        <is>
          <t>info@dcodecapital.com</t>
        </is>
      </c>
      <c r="E162" s="129" t="n">
        <v>45819</v>
      </c>
      <c r="F162" s="288" t="n"/>
      <c r="G162" s="288" t="n"/>
      <c r="H162" s="288" t="n"/>
      <c r="I162" s="207" t="n"/>
    </row>
    <row r="163" ht="15.75" customHeight="1" s="216">
      <c r="A163" s="87" t="inlineStr">
        <is>
          <t>Nick Adams</t>
        </is>
      </c>
      <c r="B163" s="98" t="inlineStr">
        <is>
          <t>Differential VC</t>
        </is>
      </c>
      <c r="C163" t="inlineStr">
        <is>
          <t>https://www.linkedin.com/in/nickadams11</t>
        </is>
      </c>
      <c r="D163" s="206" t="inlineStr">
        <is>
          <t>nick@differential.vc</t>
        </is>
      </c>
      <c r="E163" s="80" t="n">
        <v>45820</v>
      </c>
      <c r="F163" s="80" t="n">
        <v>45835</v>
      </c>
      <c r="G163" s="80" t="n">
        <v>46013</v>
      </c>
    </row>
    <row r="164" ht="15.75" customHeight="1" s="216">
      <c r="A164" s="87" t="inlineStr">
        <is>
          <t>David Magerman</t>
        </is>
      </c>
      <c r="B164" s="98" t="inlineStr">
        <is>
          <t>Differential VC</t>
        </is>
      </c>
      <c r="C164" t="inlineStr">
        <is>
          <t>https://www.linkedin.com/in/david-magerman-954b25174/</t>
        </is>
      </c>
      <c r="D164" s="206" t="inlineStr">
        <is>
          <t>david@differential.vc</t>
        </is>
      </c>
      <c r="E164" s="80" t="n">
        <v>45820</v>
      </c>
      <c r="F164" s="80" t="n">
        <v>45835</v>
      </c>
      <c r="G164" s="80" t="n">
        <v>46013</v>
      </c>
    </row>
    <row r="165" ht="15.75" customHeight="1" s="216">
      <c r="A165" s="87" t="inlineStr">
        <is>
          <t>Jeremy Kirsch</t>
        </is>
      </c>
      <c r="B165" s="98" t="inlineStr">
        <is>
          <t>Differential VC</t>
        </is>
      </c>
      <c r="C165" s="81" t="inlineStr">
        <is>
          <t>https://www.linkedin.com/in/jeremy-kirsch-73b15a/</t>
        </is>
      </c>
      <c r="D165" s="206" t="inlineStr">
        <is>
          <t>jeremy@differential.vc</t>
        </is>
      </c>
      <c r="E165" s="80" t="n">
        <v>45820</v>
      </c>
      <c r="F165" s="80" t="n">
        <v>45835</v>
      </c>
      <c r="G165" s="80" t="n">
        <v>46013</v>
      </c>
    </row>
    <row r="166" ht="15.75" customHeight="1" s="216">
      <c r="A166" s="87" t="inlineStr">
        <is>
          <t>Serhat Pala</t>
        </is>
      </c>
      <c r="B166" s="98" t="inlineStr">
        <is>
          <t>Cross Ocean Ventures</t>
        </is>
      </c>
      <c r="C166" t="inlineStr">
        <is>
          <t>linkedin.com/in/serhatpala</t>
        </is>
      </c>
      <c r="D166" s="206" t="inlineStr">
        <is>
          <t>serhat@crossoceanfund.com</t>
        </is>
      </c>
      <c r="E166" s="80" t="n">
        <v>45820</v>
      </c>
      <c r="F166" s="80" t="n">
        <v>45835</v>
      </c>
      <c r="G166" s="80" t="n">
        <v>46013</v>
      </c>
    </row>
    <row r="167" ht="15.75" customHeight="1" s="216">
      <c r="A167" s="87" t="inlineStr">
        <is>
          <t>Alex Altomare</t>
        </is>
      </c>
      <c r="B167" s="98" t="inlineStr">
        <is>
          <t>Cross Ocean Ventures</t>
        </is>
      </c>
      <c r="C167" t="inlineStr">
        <is>
          <t>https://www.linkedin.com/in/alexaltomare</t>
        </is>
      </c>
      <c r="D167" s="206" t="inlineStr">
        <is>
          <t>alex.altomare@gmail.com</t>
        </is>
      </c>
      <c r="E167" s="80" t="n">
        <v>45820</v>
      </c>
      <c r="F167" s="80" t="n">
        <v>45835</v>
      </c>
      <c r="G167" s="80" t="n">
        <v>46014</v>
      </c>
    </row>
    <row r="168" ht="15.75" customHeight="1" s="216">
      <c r="A168" s="87" t="inlineStr">
        <is>
          <t>Milan Saes</t>
        </is>
      </c>
      <c r="B168" s="98" t="inlineStr">
        <is>
          <t>Cross Ocean Ventures</t>
        </is>
      </c>
      <c r="C168" s="111" t="inlineStr">
        <is>
          <t>https://www.linkedin.com/in/milan-saes/</t>
        </is>
      </c>
      <c r="D168" s="206" t="inlineStr">
        <is>
          <t>milan@crossoceanfund.com</t>
        </is>
      </c>
      <c r="E168" s="80" t="n">
        <v>45820</v>
      </c>
      <c r="F168" s="80" t="n">
        <v>45835</v>
      </c>
      <c r="G168" s="80" t="n">
        <v>46014</v>
      </c>
    </row>
    <row r="169" ht="15.75" customHeight="1" s="216">
      <c r="A169" s="87" t="inlineStr">
        <is>
          <t>Zeynep Ilgaz</t>
        </is>
      </c>
      <c r="B169" s="98" t="inlineStr">
        <is>
          <t>Cross Ocean Ventures</t>
        </is>
      </c>
      <c r="C169" t="inlineStr">
        <is>
          <t>https://www.linkedin.com/in/zeynep-ilgaz-78732a5/</t>
        </is>
      </c>
      <c r="D169" s="206" t="inlineStr">
        <is>
          <t>zeynep@crossoceanfund.com</t>
        </is>
      </c>
      <c r="E169" s="80" t="n">
        <v>45820</v>
      </c>
      <c r="F169" s="80" t="n">
        <v>45835</v>
      </c>
      <c r="G169" s="80" t="n">
        <v>46014</v>
      </c>
    </row>
    <row r="170" ht="15.75" customHeight="1" s="216">
      <c r="A170" s="125" t="inlineStr">
        <is>
          <t>Dan Altschuler</t>
        </is>
      </c>
      <c r="B170" s="126" t="inlineStr">
        <is>
          <t>Unovis</t>
        </is>
      </c>
      <c r="C170" s="288" t="inlineStr">
        <is>
          <t>http://linkedin.com/in/danaltschuler</t>
        </is>
      </c>
      <c r="D170" s="189" t="inlineStr">
        <is>
          <t>da@unovis.vc</t>
        </is>
      </c>
      <c r="E170" s="129" t="n">
        <v>45820</v>
      </c>
      <c r="F170" s="129" t="n">
        <v>45835</v>
      </c>
      <c r="G170" s="288" t="n"/>
      <c r="H170" s="288" t="n"/>
    </row>
    <row r="171" ht="15.75" customHeight="1" s="216">
      <c r="A171" s="125" t="inlineStr">
        <is>
          <t>Kim Odhner</t>
        </is>
      </c>
      <c r="B171" s="126" t="inlineStr">
        <is>
          <t>Unovis</t>
        </is>
      </c>
      <c r="C171" s="288" t="inlineStr">
        <is>
          <t>https://www.linkedin.com/in/kim-anders-odhner/</t>
        </is>
      </c>
      <c r="D171" s="189" t="inlineStr">
        <is>
          <t>ko@unovis.vc</t>
        </is>
      </c>
      <c r="E171" s="129" t="n">
        <v>45835</v>
      </c>
      <c r="F171" s="129" t="n"/>
      <c r="G171" s="288" t="n"/>
      <c r="H171" s="288" t="n"/>
    </row>
    <row r="172" ht="15.75" customHeight="1" s="216">
      <c r="A172" s="125" t="inlineStr">
        <is>
          <t>Kevin Boylan</t>
        </is>
      </c>
      <c r="B172" s="126" t="inlineStr">
        <is>
          <t>Unovis</t>
        </is>
      </c>
      <c r="C172" s="288" t="inlineStr">
        <is>
          <t>linkedin.com/in/kgbuam</t>
        </is>
      </c>
      <c r="D172" s="189" t="inlineStr">
        <is>
          <t>kb@unovis.vc</t>
        </is>
      </c>
      <c r="E172" s="129" t="n">
        <v>45821</v>
      </c>
      <c r="F172" s="129" t="n">
        <v>45835</v>
      </c>
      <c r="G172" s="288" t="n"/>
      <c r="H172" s="288" t="inlineStr">
        <is>
          <t>invest in food tech</t>
        </is>
      </c>
    </row>
    <row r="173" ht="15.75" customHeight="1" s="216">
      <c r="A173" s="87" t="inlineStr">
        <is>
          <t>Arvind Ayyala</t>
        </is>
      </c>
      <c r="B173" s="98" t="inlineStr">
        <is>
          <t>Geodesic Capital</t>
        </is>
      </c>
      <c r="C173" t="inlineStr">
        <is>
          <t>https://www.linkedin.com/in/arvindayyala1/</t>
        </is>
      </c>
      <c r="D173" s="206" t="inlineStr">
        <is>
          <t>aayyala@geodesiccap.com</t>
        </is>
      </c>
      <c r="E173" s="80" t="n">
        <v>45821</v>
      </c>
      <c r="F173" s="80" t="n">
        <v>45835</v>
      </c>
      <c r="G173" s="80" t="n">
        <v>46014</v>
      </c>
    </row>
    <row r="174" ht="15.75" customHeight="1" s="216">
      <c r="A174" s="87" t="inlineStr">
        <is>
          <t>Matt Fuller</t>
        </is>
      </c>
      <c r="B174" s="98" t="inlineStr">
        <is>
          <t>Geodesic Capital</t>
        </is>
      </c>
      <c r="C174" t="inlineStr">
        <is>
          <t>https://www.linkedin.com/in/matthew-fuller-86142015/</t>
        </is>
      </c>
      <c r="D174" s="206" t="inlineStr">
        <is>
          <t>mfuller@geodesiccap.com</t>
        </is>
      </c>
      <c r="E174" s="80" t="n">
        <v>45821</v>
      </c>
      <c r="F174" s="80" t="n">
        <v>45835</v>
      </c>
      <c r="G174" s="80" t="n">
        <v>46014</v>
      </c>
    </row>
    <row r="175" ht="15.75" customHeight="1" s="216">
      <c r="A175" s="87" t="inlineStr">
        <is>
          <t xml:space="preserve">Jon Rezneck </t>
        </is>
      </c>
      <c r="B175" s="98" t="inlineStr">
        <is>
          <t>Geodesic Capital</t>
        </is>
      </c>
      <c r="C175" t="inlineStr">
        <is>
          <t>https://www.linkedin.com/in/jon-rezneck-358140a/</t>
        </is>
      </c>
      <c r="D175" s="206" t="inlineStr">
        <is>
          <t>jrezneck@geodesiccap.com</t>
        </is>
      </c>
      <c r="E175" s="80" t="n">
        <v>45821</v>
      </c>
      <c r="F175" s="80" t="n">
        <v>45835</v>
      </c>
      <c r="G175" s="80" t="n">
        <v>46014</v>
      </c>
    </row>
    <row r="176" ht="15.75" customHeight="1" s="216">
      <c r="A176" s="87" t="inlineStr">
        <is>
          <t>John Roos</t>
        </is>
      </c>
      <c r="B176" s="98" t="inlineStr">
        <is>
          <t>Geodesic Capital</t>
        </is>
      </c>
      <c r="C176" t="inlineStr">
        <is>
          <t>https://www.linkedin.com/in/john-roos-99978a57/</t>
        </is>
      </c>
      <c r="D176" s="206" t="inlineStr">
        <is>
          <t>jroos@geodesiccap.com</t>
        </is>
      </c>
      <c r="E176" s="80" t="n">
        <v>45821</v>
      </c>
      <c r="F176" s="80" t="n">
        <v>45835</v>
      </c>
      <c r="G176" s="80" t="n">
        <v>46014</v>
      </c>
    </row>
    <row r="177" ht="15.75" customHeight="1" s="216">
      <c r="A177" s="115" t="inlineStr">
        <is>
          <t xml:space="preserve">info </t>
        </is>
      </c>
      <c r="B177" s="116" t="inlineStr">
        <is>
          <t>Alumni Ventures</t>
        </is>
      </c>
      <c r="C177" s="118" t="n"/>
      <c r="D177" s="203" t="inlineStr">
        <is>
          <t>info@av.vc</t>
        </is>
      </c>
      <c r="E177" s="99" t="n">
        <v>45821</v>
      </c>
      <c r="F177" s="115" t="inlineStr">
        <is>
          <t>interested after lead investor is secured</t>
        </is>
      </c>
    </row>
    <row r="178" ht="15.75" customHeight="1" s="216">
      <c r="A178" s="115" t="inlineStr">
        <is>
          <t xml:space="preserve">Matt Caspari </t>
        </is>
      </c>
      <c r="B178" s="116" t="inlineStr">
        <is>
          <t>Alumni Ventures</t>
        </is>
      </c>
      <c r="C178" s="118" t="n"/>
      <c r="D178" s="204" t="inlineStr">
        <is>
          <t>matt@av.vc</t>
        </is>
      </c>
      <c r="E178" s="99" t="n">
        <v>45821</v>
      </c>
    </row>
    <row r="179" ht="15.75" customHeight="1" s="216">
      <c r="A179" s="115" t="inlineStr">
        <is>
          <t>Carl Choi</t>
        </is>
      </c>
      <c r="B179" s="116" t="inlineStr">
        <is>
          <t>Alumni Ventures</t>
        </is>
      </c>
      <c r="C179" s="118" t="n"/>
      <c r="D179" s="204" t="inlineStr">
        <is>
          <t>carl@av.vc</t>
        </is>
      </c>
      <c r="E179" s="99" t="n">
        <v>45821</v>
      </c>
    </row>
    <row r="180" ht="15.75" customHeight="1" s="216">
      <c r="A180" s="115" t="inlineStr">
        <is>
          <t>Rupika Brito</t>
        </is>
      </c>
      <c r="B180" s="116" t="inlineStr">
        <is>
          <t>Alumni Ventures</t>
        </is>
      </c>
      <c r="C180" s="118" t="n"/>
      <c r="D180" s="204" t="inlineStr">
        <is>
          <t>rupika@av.vc</t>
        </is>
      </c>
      <c r="E180" s="99" t="n">
        <v>45821</v>
      </c>
    </row>
    <row r="181" ht="15.75" customHeight="1" s="216">
      <c r="A181" s="115" t="inlineStr">
        <is>
          <t>Mike Collins</t>
        </is>
      </c>
      <c r="B181" s="116" t="inlineStr">
        <is>
          <t>Alumni Ventures</t>
        </is>
      </c>
      <c r="C181" s="118" t="n"/>
      <c r="D181" s="204" t="inlineStr">
        <is>
          <t>mike@av.vc</t>
        </is>
      </c>
      <c r="E181" s="99" t="n">
        <v>45821</v>
      </c>
    </row>
    <row r="182" ht="15.75" customHeight="1" s="216">
      <c r="A182" s="115" t="inlineStr">
        <is>
          <t>Mark Edwards</t>
        </is>
      </c>
      <c r="B182" s="116" t="inlineStr">
        <is>
          <t>Alumni Ventures</t>
        </is>
      </c>
      <c r="C182" s="118" t="n"/>
      <c r="D182" s="204" t="inlineStr">
        <is>
          <t>mark@av.vc</t>
        </is>
      </c>
      <c r="E182" s="99" t="n">
        <v>45821</v>
      </c>
    </row>
    <row r="183" ht="15.75" customHeight="1" s="216">
      <c r="A183" s="115" t="inlineStr">
        <is>
          <t>Greg Baker</t>
        </is>
      </c>
      <c r="B183" s="116" t="inlineStr">
        <is>
          <t>Alumni Ventures</t>
        </is>
      </c>
      <c r="C183" s="118" t="n"/>
      <c r="D183" s="204" t="inlineStr">
        <is>
          <t>greg@av.vc</t>
        </is>
      </c>
      <c r="E183" s="99" t="n">
        <v>45821</v>
      </c>
    </row>
    <row r="184" ht="15.75" customHeight="1" s="216">
      <c r="A184" s="115" t="inlineStr">
        <is>
          <t>David Beazley</t>
        </is>
      </c>
      <c r="B184" s="116" t="inlineStr">
        <is>
          <t>Alumni Ventures</t>
        </is>
      </c>
      <c r="C184" s="118" t="n"/>
      <c r="D184" s="204" t="inlineStr">
        <is>
          <t>david@av.vc</t>
        </is>
      </c>
      <c r="E184" s="99" t="n">
        <v>45821</v>
      </c>
    </row>
    <row r="185" ht="15.75" customHeight="1" s="216">
      <c r="A185" s="115" t="inlineStr">
        <is>
          <t>Mike Perry</t>
        </is>
      </c>
      <c r="B185" s="116" t="inlineStr">
        <is>
          <t>Alumni Ventures</t>
        </is>
      </c>
      <c r="C185" s="118" t="inlineStr">
        <is>
          <t>https://www.linkedin.com/in/michaelmatthewsperry/</t>
        </is>
      </c>
      <c r="D185" s="204" t="inlineStr">
        <is>
          <t>michael.perry@av.vc</t>
        </is>
      </c>
      <c r="E185" s="99" t="n">
        <v>45821</v>
      </c>
    </row>
    <row r="186" ht="15.75" customHeight="1" s="216">
      <c r="A186" s="87" t="inlineStr">
        <is>
          <t>Zbigniew Barwicz</t>
        </is>
      </c>
      <c r="B186" s="98" t="inlineStr">
        <is>
          <t>Freya Capital</t>
        </is>
      </c>
      <c r="C186" t="inlineStr">
        <is>
          <t>https://www.linkedin.com/in/zbigniew-barwicz-b47aa01/</t>
        </is>
      </c>
      <c r="D186" s="114" t="inlineStr">
        <is>
          <t>zbigniew@freyacap.com</t>
        </is>
      </c>
      <c r="E186" s="80" t="n">
        <v>45821</v>
      </c>
      <c r="F186" s="80" t="n">
        <v>45835</v>
      </c>
      <c r="G186" s="80" t="n">
        <v>46014</v>
      </c>
    </row>
    <row r="187" ht="15.75" customHeight="1" s="216">
      <c r="A187" s="87" t="inlineStr">
        <is>
          <t>Jan Grochowicz</t>
        </is>
      </c>
      <c r="B187" s="98" t="inlineStr">
        <is>
          <t>Freya Capital</t>
        </is>
      </c>
      <c r="C187" t="inlineStr">
        <is>
          <t>https://www.linkedin.com/in/jangrochowicz/</t>
        </is>
      </c>
      <c r="D187" s="114" t="inlineStr">
        <is>
          <t>jan@freyacap.com</t>
        </is>
      </c>
      <c r="E187" s="80" t="n">
        <v>45821</v>
      </c>
      <c r="F187" s="80" t="n">
        <v>45835</v>
      </c>
      <c r="G187" s="80" t="n">
        <v>46014</v>
      </c>
    </row>
    <row r="188" ht="15.75" customHeight="1" s="216">
      <c r="A188" s="87" t="inlineStr">
        <is>
          <t>Michał Lewandowski</t>
        </is>
      </c>
      <c r="B188" s="98" t="inlineStr">
        <is>
          <t>Freya Capital</t>
        </is>
      </c>
      <c r="C188" t="inlineStr">
        <is>
          <t>https://www.linkedin.com/in/ACoAABRT4boBSN5xN6sPXZ17nQhUceC-WvLHPXQ/</t>
        </is>
      </c>
      <c r="D188" s="114" t="inlineStr">
        <is>
          <t>michal@freyacap.com</t>
        </is>
      </c>
      <c r="E188" s="80" t="n">
        <v>45821</v>
      </c>
      <c r="F188" s="80" t="n">
        <v>45835</v>
      </c>
      <c r="G188" s="80" t="n">
        <v>46014</v>
      </c>
    </row>
    <row r="189" ht="15.75" customHeight="1" s="216">
      <c r="A189" s="125" t="inlineStr">
        <is>
          <t>Gary Benerofe</t>
        </is>
      </c>
      <c r="B189" s="126" t="inlineStr">
        <is>
          <t>MU Ventures</t>
        </is>
      </c>
      <c r="C189" s="288" t="inlineStr">
        <is>
          <t>https://www.linkedin.com/in/gary-benerofe/</t>
        </is>
      </c>
      <c r="D189" s="189" t="inlineStr">
        <is>
          <t>gary@muventures.com</t>
        </is>
      </c>
      <c r="E189" s="129" t="n">
        <v>45821</v>
      </c>
      <c r="G189" s="87" t="inlineStr">
        <is>
          <t>not a fit</t>
        </is>
      </c>
      <c r="H189" t="inlineStr">
        <is>
          <t>online application: https://airtable.com/app7oFpuEBhSQDqVs/pagZDGTU1EMibc45y/form</t>
        </is>
      </c>
    </row>
    <row r="190" ht="15.75" customHeight="1" s="216">
      <c r="A190" s="87" t="inlineStr">
        <is>
          <t>Rob Biederman</t>
        </is>
      </c>
      <c r="B190" s="98" t="inlineStr">
        <is>
          <t>Asymmetric Capital Partners</t>
        </is>
      </c>
      <c r="C190" t="inlineStr">
        <is>
          <t>https://www.linkedin.com/in/robertdukebiederman/</t>
        </is>
      </c>
      <c r="D190" s="114" t="inlineStr">
        <is>
          <t>rob@acp.vc</t>
        </is>
      </c>
      <c r="E190" s="80" t="n">
        <v>45821</v>
      </c>
      <c r="F190" s="80" t="n">
        <v>45835</v>
      </c>
      <c r="G190" s="80" t="n">
        <v>46014</v>
      </c>
    </row>
    <row r="191" ht="15.75" customHeight="1" s="216">
      <c r="A191" s="87" t="inlineStr">
        <is>
          <t>Sarah Biggs</t>
        </is>
      </c>
      <c r="B191" s="98" t="inlineStr">
        <is>
          <t>Asymmetric Capital Partners</t>
        </is>
      </c>
      <c r="C191" t="inlineStr">
        <is>
          <t>https://www.linkedin.com/in/sarah-unger-biggs/</t>
        </is>
      </c>
      <c r="D191" s="206" t="inlineStr">
        <is>
          <t>sarah@acp.vc</t>
        </is>
      </c>
      <c r="E191" s="80" t="n">
        <v>45821</v>
      </c>
      <c r="F191" s="80" t="n">
        <v>45835</v>
      </c>
      <c r="G191" s="80" t="n">
        <v>46014</v>
      </c>
    </row>
    <row r="192" ht="15.75" customHeight="1" s="216">
      <c r="A192" s="87" t="inlineStr">
        <is>
          <t>Michele Spitzer</t>
        </is>
      </c>
      <c r="B192" s="98" t="inlineStr">
        <is>
          <t>Asymmetric Capital Partners</t>
        </is>
      </c>
      <c r="C192" t="inlineStr">
        <is>
          <t>https://www.linkedin.com/in/michelespitzer/</t>
        </is>
      </c>
      <c r="D192" s="206" t="inlineStr">
        <is>
          <t>michele@acp.vc</t>
        </is>
      </c>
      <c r="E192" s="80" t="n">
        <v>45821</v>
      </c>
      <c r="F192" s="80" t="n">
        <v>45835</v>
      </c>
      <c r="G192" s="80" t="n">
        <v>46014</v>
      </c>
    </row>
    <row r="193" ht="15.75" customHeight="1" s="216">
      <c r="A193" s="87" t="inlineStr">
        <is>
          <t>Sam Clayman</t>
        </is>
      </c>
      <c r="B193" s="98" t="inlineStr">
        <is>
          <t>Asymmetric Capital Partners</t>
        </is>
      </c>
      <c r="C193" t="inlineStr">
        <is>
          <t>https://www.linkedin.com/in/sam-clayman-41628a32/</t>
        </is>
      </c>
      <c r="D193" s="206" t="inlineStr">
        <is>
          <t>sam@acp.vc</t>
        </is>
      </c>
      <c r="E193" s="80" t="n">
        <v>45821</v>
      </c>
      <c r="F193" s="80" t="n">
        <v>45835</v>
      </c>
      <c r="G193" s="80" t="n">
        <v>46014</v>
      </c>
    </row>
    <row r="194" ht="15.75" customHeight="1" s="216">
      <c r="A194" s="87" t="inlineStr">
        <is>
          <t>Nancy Chou</t>
        </is>
      </c>
      <c r="B194" s="98" t="inlineStr">
        <is>
          <t>Asymmetric Capital Partners</t>
        </is>
      </c>
      <c r="C194" t="inlineStr">
        <is>
          <t>https://www.linkedin.com/in/nancy-chou-b8496b29/</t>
        </is>
      </c>
      <c r="D194" s="206" t="inlineStr">
        <is>
          <t>nancy@acp.vc</t>
        </is>
      </c>
      <c r="E194" s="80" t="n">
        <v>45821</v>
      </c>
      <c r="F194" s="80" t="n">
        <v>45835</v>
      </c>
      <c r="G194" s="80" t="n">
        <v>46014</v>
      </c>
    </row>
    <row r="195" ht="15.75" customHeight="1" s="216">
      <c r="A195" s="87" t="inlineStr">
        <is>
          <t xml:space="preserve">Guillaume Bouyoux </t>
        </is>
      </c>
      <c r="B195" s="98" t="inlineStr">
        <is>
          <t>Forepont Capital Partners</t>
        </is>
      </c>
      <c r="C195" t="inlineStr">
        <is>
          <t>https://www.linkedin.com/in/guillaume-bouyoux/</t>
        </is>
      </c>
      <c r="D195" s="198" t="inlineStr">
        <is>
          <t>guillaume.bouyoux@forepont.com</t>
        </is>
      </c>
      <c r="E195" s="80" t="n">
        <v>45821</v>
      </c>
      <c r="F195" s="80" t="n">
        <v>45835</v>
      </c>
      <c r="G195" s="80" t="n">
        <v>46014</v>
      </c>
    </row>
    <row r="196" ht="15.75" customHeight="1" s="216">
      <c r="A196" s="87" t="inlineStr">
        <is>
          <t>Ali Cheikh Lahlou</t>
        </is>
      </c>
      <c r="B196" s="98" t="inlineStr">
        <is>
          <t>Forepont Capital Partners</t>
        </is>
      </c>
      <c r="C196" t="inlineStr">
        <is>
          <t>https://www.linkedin.com/in/ali-cheikh-lahlou-90a52736/</t>
        </is>
      </c>
      <c r="D196" s="206" t="inlineStr">
        <is>
          <t>ali.cheikhlahlou@forepont.com</t>
        </is>
      </c>
      <c r="E196" s="80" t="n">
        <v>45821</v>
      </c>
      <c r="F196" s="80" t="n">
        <v>45835</v>
      </c>
      <c r="G196" s="80" t="n">
        <v>46014</v>
      </c>
    </row>
    <row r="197" ht="15.75" customHeight="1" s="216">
      <c r="A197" s="87" t="inlineStr">
        <is>
          <t>Louis Moulin</t>
        </is>
      </c>
      <c r="B197" s="98" t="inlineStr">
        <is>
          <t>Forepont Capital Partners</t>
        </is>
      </c>
      <c r="C197" t="inlineStr">
        <is>
          <t>https://www.linkedin.com/in/louis-moulin-8a7850ba/</t>
        </is>
      </c>
      <c r="D197" s="206" t="inlineStr">
        <is>
          <t>louis.moulin@forepont.com</t>
        </is>
      </c>
      <c r="E197" s="80" t="n">
        <v>45821</v>
      </c>
      <c r="F197" s="80" t="n">
        <v>45835</v>
      </c>
      <c r="G197" s="80" t="n">
        <v>46014</v>
      </c>
    </row>
    <row r="198" ht="15.75" customHeight="1" s="216">
      <c r="A198" s="87" t="inlineStr">
        <is>
          <t>Andy Tang</t>
        </is>
      </c>
      <c r="B198" s="98" t="inlineStr">
        <is>
          <t>Draper Associates</t>
        </is>
      </c>
      <c r="C198" t="inlineStr">
        <is>
          <t>https://www.linkedin.com/in/andytangvc/</t>
        </is>
      </c>
      <c r="D198" s="206" t="inlineStr">
        <is>
          <t>andy@draper.vc</t>
        </is>
      </c>
      <c r="E198" s="80" t="n">
        <v>45821</v>
      </c>
      <c r="F198" s="80" t="n">
        <v>45835</v>
      </c>
      <c r="G198" s="80" t="n">
        <v>46014</v>
      </c>
      <c r="H198" s="87" t="inlineStr">
        <is>
          <t>you can email a pitch to draper: plans@draper.vc</t>
        </is>
      </c>
    </row>
    <row r="199" ht="15.75" customHeight="1" s="216">
      <c r="A199" s="87" t="inlineStr">
        <is>
          <t>Tim Draper</t>
        </is>
      </c>
      <c r="B199" s="98" t="inlineStr">
        <is>
          <t>Draper Associates</t>
        </is>
      </c>
      <c r="C199" t="inlineStr">
        <is>
          <t>https://www.linkedin.com/in/timothydraper/</t>
        </is>
      </c>
      <c r="D199" s="206" t="inlineStr">
        <is>
          <t>tim@draper.vc</t>
        </is>
      </c>
      <c r="E199" s="80" t="n">
        <v>45821</v>
      </c>
      <c r="F199" s="80" t="n">
        <v>45835</v>
      </c>
      <c r="G199" s="80" t="n">
        <v>46014</v>
      </c>
    </row>
    <row r="200" ht="15.75" customHeight="1" s="216">
      <c r="A200" s="87" t="inlineStr">
        <is>
          <t>James Walker</t>
        </is>
      </c>
      <c r="B200" s="98" t="inlineStr">
        <is>
          <t>Draper Associates</t>
        </is>
      </c>
      <c r="C200" t="inlineStr">
        <is>
          <t>linkedin.com/in/jamespatrickwalker</t>
        </is>
      </c>
      <c r="D200" s="206" t="inlineStr">
        <is>
          <t>james@draper.vc</t>
        </is>
      </c>
      <c r="E200" s="80" t="n">
        <v>45821</v>
      </c>
      <c r="F200" s="80" t="n">
        <v>45835</v>
      </c>
      <c r="G200" s="80" t="n">
        <v>46014</v>
      </c>
    </row>
    <row r="201" ht="15.75" customHeight="1" s="216">
      <c r="A201" s="87" t="inlineStr">
        <is>
          <t xml:space="preserve">Maxime Bucaille </t>
        </is>
      </c>
      <c r="B201" s="98" t="inlineStr">
        <is>
          <t>Draper Associates</t>
        </is>
      </c>
      <c r="C201" t="inlineStr">
        <is>
          <t>https://www.linkedin.com/in/maxime-bucaille-60a91a93/</t>
        </is>
      </c>
      <c r="D201" s="206" t="inlineStr">
        <is>
          <t>maxime@draper.vc</t>
        </is>
      </c>
      <c r="E201" s="80" t="n">
        <v>45821</v>
      </c>
      <c r="F201" s="80" t="n">
        <v>45835</v>
      </c>
      <c r="G201" s="80" t="n">
        <v>46014</v>
      </c>
    </row>
    <row r="202" ht="15.75" customHeight="1" s="216">
      <c r="A202" s="87" t="inlineStr">
        <is>
          <t>Ken Elefant</t>
        </is>
      </c>
      <c r="B202" s="98" t="inlineStr">
        <is>
          <t>Sorenson Capital</t>
        </is>
      </c>
      <c r="C202" t="inlineStr">
        <is>
          <t>https://www.linkedin.com/in/kenelefant/</t>
        </is>
      </c>
      <c r="D202" s="206" t="inlineStr">
        <is>
          <t>kelefant@sorensoncap.com</t>
        </is>
      </c>
      <c r="E202" s="80" t="n">
        <v>45821</v>
      </c>
      <c r="F202" s="80" t="n">
        <v>45835</v>
      </c>
      <c r="G202" s="80" t="n">
        <v>46014</v>
      </c>
    </row>
    <row r="203" ht="15.75" customHeight="1" s="216">
      <c r="A203" s="87" t="inlineStr">
        <is>
          <t>Rob Rueckert</t>
        </is>
      </c>
      <c r="B203" s="98" t="inlineStr">
        <is>
          <t>Sorenson Capital</t>
        </is>
      </c>
      <c r="C203" t="inlineStr">
        <is>
          <t>https://www.linkedin.com/in/robrueckert/</t>
        </is>
      </c>
      <c r="D203" s="206" t="inlineStr">
        <is>
          <t>rrueckert@sorensoncap.com</t>
        </is>
      </c>
      <c r="E203" s="80" t="n">
        <v>45821</v>
      </c>
      <c r="F203" s="80" t="n">
        <v>45835</v>
      </c>
      <c r="G203" s="80" t="n">
        <v>46014</v>
      </c>
    </row>
    <row r="204" ht="15.75" customHeight="1" s="216">
      <c r="A204" s="87" t="inlineStr">
        <is>
          <t>Brady Broadbent</t>
        </is>
      </c>
      <c r="B204" s="98" t="inlineStr">
        <is>
          <t>Sorenson Capital</t>
        </is>
      </c>
      <c r="C204" t="inlineStr">
        <is>
          <t>https://www.linkedin.com/in/brady-broadbent-554a7a1/</t>
        </is>
      </c>
      <c r="D204" s="206" t="inlineStr">
        <is>
          <t>bbroadbent@sorensoncap.com</t>
        </is>
      </c>
      <c r="E204" s="80" t="n">
        <v>45821</v>
      </c>
      <c r="F204" s="80" t="n">
        <v>45835</v>
      </c>
      <c r="G204" s="80" t="n">
        <v>46014</v>
      </c>
    </row>
    <row r="205" ht="15.75" customHeight="1" s="216">
      <c r="A205" s="87" t="inlineStr">
        <is>
          <t>Eric Hilton</t>
        </is>
      </c>
      <c r="B205" s="98" t="inlineStr">
        <is>
          <t>Sorenson Capital</t>
        </is>
      </c>
      <c r="C205" t="inlineStr">
        <is>
          <t>https://www.linkedin.com/in/eric-hilton/</t>
        </is>
      </c>
      <c r="D205" s="206" t="inlineStr">
        <is>
          <t>ehilton@sorensoncap.com</t>
        </is>
      </c>
      <c r="E205" s="80" t="n">
        <v>45821</v>
      </c>
      <c r="F205" s="80" t="n">
        <v>45835</v>
      </c>
      <c r="G205" s="80" t="n">
        <v>46014</v>
      </c>
    </row>
    <row r="206" ht="15.75" customHeight="1" s="216">
      <c r="A206" s="87" t="inlineStr">
        <is>
          <t>Burke Davis</t>
        </is>
      </c>
      <c r="B206" s="98" t="inlineStr">
        <is>
          <t>Sorenson Capital</t>
        </is>
      </c>
      <c r="C206" t="inlineStr">
        <is>
          <t>linkedin.com/in/burkedavis</t>
        </is>
      </c>
      <c r="D206" s="206" t="inlineStr">
        <is>
          <t>bdavis@sorensoncap.com</t>
        </is>
      </c>
      <c r="E206" s="80" t="n">
        <v>45821</v>
      </c>
      <c r="F206" s="80" t="n">
        <v>45835</v>
      </c>
      <c r="G206" s="80" t="n">
        <v>46014</v>
      </c>
    </row>
    <row r="207" ht="15.75" customHeight="1" s="216">
      <c r="A207" s="87" t="inlineStr">
        <is>
          <t>Suril Butala</t>
        </is>
      </c>
      <c r="B207" s="98" t="inlineStr">
        <is>
          <t>Sorenson Capital</t>
        </is>
      </c>
      <c r="C207" t="inlineStr">
        <is>
          <t>https://www.linkedin.com/in/surilbutala/</t>
        </is>
      </c>
      <c r="D207" s="206" t="inlineStr">
        <is>
          <t>sbutala@sorensoncap.com</t>
        </is>
      </c>
      <c r="E207" s="80" t="n">
        <v>45821</v>
      </c>
      <c r="F207" s="80" t="n">
        <v>45835</v>
      </c>
      <c r="G207" s="80" t="n">
        <v>46014</v>
      </c>
    </row>
    <row r="208" ht="15.75" customHeight="1" s="216">
      <c r="A208" s="115" t="inlineStr">
        <is>
          <t>Brant Meyer</t>
        </is>
      </c>
      <c r="B208" s="116" t="inlineStr">
        <is>
          <t>Trac VC</t>
        </is>
      </c>
      <c r="C208" s="118" t="inlineStr">
        <is>
          <t>https://www.linkedin.com/in/brant-meyer-27846221b/</t>
        </is>
      </c>
      <c r="D208" s="204" t="inlineStr">
        <is>
          <t>brant@tracvc.com</t>
        </is>
      </c>
      <c r="E208" s="99" t="n">
        <v>45822</v>
      </c>
      <c r="F208" s="87" t="inlineStr">
        <is>
          <t>algorithim based - must fill out intake form</t>
        </is>
      </c>
      <c r="G208" s="115" t="inlineStr">
        <is>
          <t>intake form: https://www.cognitoforms.com/TRACLLC1/_10Questions5Minutes</t>
        </is>
      </c>
    </row>
    <row r="209" ht="15.75" customHeight="1" s="216">
      <c r="A209" s="115" t="inlineStr">
        <is>
          <t>Scott Pyne</t>
        </is>
      </c>
      <c r="B209" s="116" t="inlineStr">
        <is>
          <t>Trac VC</t>
        </is>
      </c>
      <c r="C209" s="118" t="inlineStr">
        <is>
          <t>https://www.linkedin.com/in/scottpyne/</t>
        </is>
      </c>
      <c r="D209" s="204" t="inlineStr">
        <is>
          <t>scott@tracvc.com</t>
        </is>
      </c>
      <c r="E209" s="99" t="n">
        <v>45822</v>
      </c>
    </row>
    <row r="210" ht="15.75" customHeight="1" s="216">
      <c r="A210" s="115" t="inlineStr">
        <is>
          <t>Fred Campbell</t>
        </is>
      </c>
      <c r="B210" s="116" t="inlineStr">
        <is>
          <t>Trac VC</t>
        </is>
      </c>
      <c r="C210" s="118" t="inlineStr">
        <is>
          <t>https://www.linkedin.com/in/fred-campbell-3bb0731b/</t>
        </is>
      </c>
      <c r="D210" s="204" t="inlineStr">
        <is>
          <t>fred@tracvc.com</t>
        </is>
      </c>
      <c r="E210" s="99" t="n">
        <v>45822</v>
      </c>
    </row>
    <row r="211" ht="15.75" customHeight="1" s="216">
      <c r="A211" s="115" t="inlineStr">
        <is>
          <t>Joseph Aaron</t>
        </is>
      </c>
      <c r="B211" s="116" t="inlineStr">
        <is>
          <t>Trac VC</t>
        </is>
      </c>
      <c r="C211" s="118" t="inlineStr">
        <is>
          <t>linkedin.com/in/josephaaron1</t>
        </is>
      </c>
      <c r="D211" s="204" t="inlineStr">
        <is>
          <t>joe@tracvc.com</t>
        </is>
      </c>
      <c r="E211" s="99" t="n">
        <v>45822</v>
      </c>
      <c r="F211" s="80" t="n"/>
    </row>
    <row r="212" ht="15.75" customHeight="1" s="216">
      <c r="A212" s="87" t="inlineStr">
        <is>
          <t>Frank Miaw</t>
        </is>
      </c>
      <c r="B212" s="98" t="inlineStr">
        <is>
          <t>Draper Dragon</t>
        </is>
      </c>
      <c r="C212" t="inlineStr">
        <is>
          <t>https://www.linkedin.com/in/s-frank-miaw-550a253/</t>
        </is>
      </c>
      <c r="D212" s="206" t="inlineStr">
        <is>
          <t>frank@draperdragon.com</t>
        </is>
      </c>
      <c r="E212" s="80" t="n">
        <v>45822</v>
      </c>
      <c r="F212" s="80" t="n">
        <v>45835</v>
      </c>
      <c r="G212" s="108" t="n">
        <v>46014</v>
      </c>
      <c r="H212" s="87" t="inlineStr">
        <is>
          <t>online application: https://draperdragon.com/contact</t>
        </is>
      </c>
    </row>
    <row r="213" ht="15.75" customHeight="1" s="216">
      <c r="A213" s="87" t="inlineStr">
        <is>
          <t>Yiming Hu</t>
        </is>
      </c>
      <c r="B213" s="98" t="inlineStr">
        <is>
          <t>Draper Dragon</t>
        </is>
      </c>
      <c r="C213" t="inlineStr">
        <is>
          <t>https://www.linkedin.com/in/yiming-hu-07a12b104/</t>
        </is>
      </c>
      <c r="D213" s="206" t="inlineStr">
        <is>
          <t>yiming@draperdragon.com</t>
        </is>
      </c>
      <c r="E213" s="80" t="n">
        <v>45822</v>
      </c>
      <c r="F213" s="80" t="n">
        <v>45835</v>
      </c>
      <c r="G213" s="108" t="n">
        <v>46014</v>
      </c>
    </row>
    <row r="214" ht="15.75" customHeight="1" s="216">
      <c r="A214" s="87" t="inlineStr">
        <is>
          <t>James Cantre</t>
        </is>
      </c>
      <c r="B214" s="98" t="inlineStr">
        <is>
          <t>Draper Dragon</t>
        </is>
      </c>
      <c r="C214" t="inlineStr">
        <is>
          <t>http://linkedin.com/in/james-r-cantre/</t>
        </is>
      </c>
      <c r="D214" s="206" t="inlineStr">
        <is>
          <t>james@draperdragon.com</t>
        </is>
      </c>
      <c r="E214" s="80" t="n">
        <v>45822</v>
      </c>
      <c r="F214" s="80" t="n">
        <v>45835</v>
      </c>
      <c r="G214" s="108" t="n">
        <v>46014</v>
      </c>
    </row>
    <row r="215" ht="15.75" customHeight="1" s="216">
      <c r="A215" s="87" t="inlineStr">
        <is>
          <t>Larry Li</t>
        </is>
      </c>
      <c r="B215" s="98" t="inlineStr">
        <is>
          <t>Draper Dragon</t>
        </is>
      </c>
      <c r="D215" s="206" t="inlineStr">
        <is>
          <t>larry@draperdragon.com</t>
        </is>
      </c>
      <c r="E215" s="80" t="n">
        <v>45822</v>
      </c>
      <c r="F215" s="80" t="n">
        <v>45835</v>
      </c>
      <c r="G215" s="108" t="n">
        <v>46014</v>
      </c>
    </row>
    <row r="216" ht="15.75" customHeight="1" s="216">
      <c r="A216" s="87" t="inlineStr">
        <is>
          <t>Hiro Kakiya</t>
        </is>
      </c>
      <c r="B216" s="98" t="inlineStr">
        <is>
          <t>Draper Dragon</t>
        </is>
      </c>
      <c r="D216" s="206" t="inlineStr">
        <is>
          <t>hiro@draperdragon.com</t>
        </is>
      </c>
      <c r="E216" s="80" t="n">
        <v>45822</v>
      </c>
      <c r="F216" s="80" t="n">
        <v>45835</v>
      </c>
      <c r="G216" s="108" t="n">
        <v>46014</v>
      </c>
    </row>
    <row r="217" ht="15.75" customHeight="1" s="216">
      <c r="A217" s="87" t="inlineStr">
        <is>
          <t>Matt Huang</t>
        </is>
      </c>
      <c r="B217" s="98" t="inlineStr">
        <is>
          <t>Draper Dragon</t>
        </is>
      </c>
      <c r="C217" s="111" t="inlineStr">
        <is>
          <t>https://www.linkedin.com/in/matthuangusa/</t>
        </is>
      </c>
      <c r="D217" s="206" t="inlineStr">
        <is>
          <t>matt@draperdragon.com</t>
        </is>
      </c>
      <c r="E217" s="80" t="n">
        <v>45822</v>
      </c>
      <c r="F217" s="80" t="n">
        <v>45835</v>
      </c>
      <c r="G217" s="108" t="n">
        <v>46014</v>
      </c>
    </row>
    <row r="218" ht="15.75" customHeight="1" s="216">
      <c r="A218" s="87" t="inlineStr">
        <is>
          <t>Kavan Canekeratne</t>
        </is>
      </c>
      <c r="B218" s="98" t="inlineStr">
        <is>
          <t>Draper Dragon</t>
        </is>
      </c>
      <c r="C218" t="inlineStr">
        <is>
          <t>https://www.linkedin.com/in/kavan-canekeratne-111854132/</t>
        </is>
      </c>
      <c r="D218" s="206" t="inlineStr">
        <is>
          <t>kavan@draperdragon.com</t>
        </is>
      </c>
      <c r="E218" s="80" t="n">
        <v>45822</v>
      </c>
      <c r="F218" s="80" t="n">
        <v>45835</v>
      </c>
      <c r="G218" s="108" t="n">
        <v>46014</v>
      </c>
    </row>
    <row r="219" ht="15.75" customHeight="1" s="216">
      <c r="B219" s="98" t="inlineStr">
        <is>
          <t>Eunike Ventures</t>
        </is>
      </c>
      <c r="D219" s="198" t="inlineStr">
        <is>
          <t>info@eunikeventures.com</t>
        </is>
      </c>
      <c r="E219" s="80" t="n">
        <v>45824</v>
      </c>
      <c r="G219" t="inlineStr">
        <is>
          <t>online application: https://www.eunikeventures.com/application</t>
        </is>
      </c>
    </row>
    <row r="220" ht="15.75" customHeight="1" s="216">
      <c r="A220" s="87" t="inlineStr">
        <is>
          <t>Amy Henry</t>
        </is>
      </c>
      <c r="B220" s="98" t="inlineStr">
        <is>
          <t>Eunike Ventures</t>
        </is>
      </c>
      <c r="C220" t="inlineStr">
        <is>
          <t>https://www.linkedin.com/in/amyhenry/</t>
        </is>
      </c>
      <c r="D220" s="206" t="inlineStr">
        <is>
          <t>amy.henry@eunikeventures.com</t>
        </is>
      </c>
      <c r="E220" s="80" t="n">
        <v>45824</v>
      </c>
      <c r="F220" s="80" t="n">
        <v>45841</v>
      </c>
      <c r="G220" s="108" t="n">
        <v>46014</v>
      </c>
    </row>
    <row r="221" ht="15.75" customHeight="1" s="216">
      <c r="A221" s="87" t="inlineStr">
        <is>
          <t>Thomas Henry</t>
        </is>
      </c>
      <c r="B221" s="98" t="inlineStr">
        <is>
          <t>Eunike Ventures</t>
        </is>
      </c>
      <c r="C221" t="inlineStr">
        <is>
          <t>linkedin.com/in/thomasbhenry</t>
        </is>
      </c>
      <c r="D221" s="206" t="inlineStr">
        <is>
          <t>thomas.henry@eunikeventures.com</t>
        </is>
      </c>
      <c r="E221" s="80" t="n">
        <v>45824</v>
      </c>
      <c r="F221" s="80" t="n">
        <v>45841</v>
      </c>
      <c r="G221" s="108" t="n">
        <v>46014</v>
      </c>
    </row>
    <row r="222" ht="15.75" customHeight="1" s="216">
      <c r="A222" s="87" t="inlineStr">
        <is>
          <t>William Frazier</t>
        </is>
      </c>
      <c r="B222" s="98" t="inlineStr">
        <is>
          <t>Eunike Ventures</t>
        </is>
      </c>
      <c r="C222" t="inlineStr">
        <is>
          <t>https://www.linkedin.com/in/william-fraizer-energy2016/</t>
        </is>
      </c>
      <c r="D222" s="206" t="inlineStr">
        <is>
          <t>william.fraizer@eunikeventures.com</t>
        </is>
      </c>
      <c r="E222" s="80" t="n">
        <v>45824</v>
      </c>
      <c r="F222" s="80" t="n">
        <v>45841</v>
      </c>
      <c r="G222" s="108" t="n">
        <v>46014</v>
      </c>
    </row>
    <row r="223" ht="15.75" customHeight="1" s="216">
      <c r="A223" s="87" t="inlineStr">
        <is>
          <t xml:space="preserve">Shyam Kamadolli </t>
        </is>
      </c>
      <c r="B223" s="98" t="inlineStr">
        <is>
          <t>Fine Structure Ventures</t>
        </is>
      </c>
      <c r="C223" t="inlineStr">
        <is>
          <t>https://www.linkedin.com/in/shyam/</t>
        </is>
      </c>
      <c r="D223" s="206" t="inlineStr">
        <is>
          <t>shyam@finestructure.vc</t>
        </is>
      </c>
      <c r="E223" s="80" t="n">
        <v>45824</v>
      </c>
      <c r="F223" s="80" t="n">
        <v>45841</v>
      </c>
      <c r="G223" s="108" t="n">
        <v>46014</v>
      </c>
    </row>
    <row r="224" ht="15.75" customHeight="1" s="216">
      <c r="A224" s="87" t="inlineStr">
        <is>
          <t>Jennifer Uhrig</t>
        </is>
      </c>
      <c r="B224" s="98" t="inlineStr">
        <is>
          <t>Fine Structure Ventures</t>
        </is>
      </c>
      <c r="C224" t="inlineStr">
        <is>
          <t>https://www.linkedin.com/in/jennifer-uhrig-3b876812/</t>
        </is>
      </c>
      <c r="D224" s="206" t="inlineStr">
        <is>
          <t>jennifer@finestructure.vc</t>
        </is>
      </c>
      <c r="E224" s="80" t="n">
        <v>45824</v>
      </c>
      <c r="F224" s="80" t="n">
        <v>45841</v>
      </c>
      <c r="G224" s="108" t="n">
        <v>46014</v>
      </c>
    </row>
    <row r="225" ht="15.75" customHeight="1" s="216">
      <c r="A225" s="87" t="inlineStr">
        <is>
          <t>David Needell</t>
        </is>
      </c>
      <c r="B225" s="98" t="inlineStr">
        <is>
          <t>Fine Structure Ventures</t>
        </is>
      </c>
      <c r="C225" t="inlineStr">
        <is>
          <t>https://www.linkedin.com/in/davidrneedell/</t>
        </is>
      </c>
      <c r="D225" s="206" t="inlineStr">
        <is>
          <t>david@finestructure.vc</t>
        </is>
      </c>
      <c r="E225" s="80" t="n">
        <v>45824</v>
      </c>
      <c r="F225" s="80" t="n">
        <v>45841</v>
      </c>
      <c r="G225" s="108" t="n">
        <v>46014</v>
      </c>
    </row>
    <row r="226" ht="15.75" customHeight="1" s="216">
      <c r="A226" s="87" t="inlineStr">
        <is>
          <t>Shomik Dutta</t>
        </is>
      </c>
      <c r="B226" s="98" t="inlineStr">
        <is>
          <t>Overture VC</t>
        </is>
      </c>
      <c r="C226" t="inlineStr">
        <is>
          <t>linkedin.com/in/shomik-dutta-355a4316</t>
        </is>
      </c>
      <c r="D226" s="206" t="inlineStr">
        <is>
          <t>shomik@overture.eco</t>
        </is>
      </c>
      <c r="E226" s="80" t="n">
        <v>45824</v>
      </c>
      <c r="F226" s="80" t="n">
        <v>45841</v>
      </c>
      <c r="G226" s="108" t="n">
        <v>46014</v>
      </c>
    </row>
    <row r="227" ht="15.75" customHeight="1" s="216">
      <c r="A227" s="87" t="inlineStr">
        <is>
          <t>Tamim Mourad</t>
        </is>
      </c>
      <c r="B227" s="98" t="inlineStr">
        <is>
          <t>Overture VC</t>
        </is>
      </c>
      <c r="C227" t="inlineStr">
        <is>
          <t>https://www.linkedin.com/in/tamim-mourad-0646b013/</t>
        </is>
      </c>
      <c r="D227" s="206" t="inlineStr">
        <is>
          <t>tamim@overture.eco</t>
        </is>
      </c>
      <c r="E227" s="80" t="n">
        <v>45824</v>
      </c>
      <c r="F227" s="80" t="n">
        <v>45841</v>
      </c>
      <c r="G227" s="108" t="n">
        <v>46014</v>
      </c>
    </row>
    <row r="228" ht="15.75" customHeight="1" s="216">
      <c r="A228" s="87" t="inlineStr">
        <is>
          <t>Michael O’Neil</t>
        </is>
      </c>
      <c r="B228" s="98" t="inlineStr">
        <is>
          <t>Overture VC</t>
        </is>
      </c>
      <c r="D228" s="206" t="inlineStr">
        <is>
          <t>michael@overture.eco</t>
        </is>
      </c>
      <c r="E228" s="80" t="n">
        <v>45824</v>
      </c>
      <c r="F228" s="80" t="n">
        <v>45841</v>
      </c>
      <c r="G228" s="108" t="n">
        <v>46014</v>
      </c>
    </row>
    <row r="229" ht="15.75" customHeight="1" s="216">
      <c r="A229" s="87" t="inlineStr">
        <is>
          <t>Allison Hinckley</t>
        </is>
      </c>
      <c r="B229" s="98" t="inlineStr">
        <is>
          <t>Overture VC</t>
        </is>
      </c>
      <c r="C229" t="inlineStr">
        <is>
          <t>https://www.linkedin.com/in/allison-hinckley/</t>
        </is>
      </c>
      <c r="D229" s="206" t="inlineStr">
        <is>
          <t>allison@overture.eco</t>
        </is>
      </c>
      <c r="E229" s="80" t="n">
        <v>45824</v>
      </c>
      <c r="F229" s="80" t="n">
        <v>45841</v>
      </c>
      <c r="G229" s="108" t="n">
        <v>46014</v>
      </c>
    </row>
    <row r="230" ht="15.75" customHeight="1" s="216">
      <c r="A230" s="125" t="inlineStr">
        <is>
          <t xml:space="preserve">John Serafini </t>
        </is>
      </c>
      <c r="B230" s="126" t="inlineStr">
        <is>
          <t>Shield Capital</t>
        </is>
      </c>
      <c r="C230" s="288" t="inlineStr">
        <is>
          <t>https://www.linkedin.com/in/john-serafini-950793a/</t>
        </is>
      </c>
      <c r="D230" s="189" t="inlineStr">
        <is>
          <t>jserafini@shieldcap.com</t>
        </is>
      </c>
      <c r="E230" s="129" t="n">
        <v>45828</v>
      </c>
      <c r="F230" s="80" t="n"/>
      <c r="G230" s="87" t="inlineStr">
        <is>
          <t>online application (easy): https://shieldcap.com/contact</t>
        </is>
      </c>
    </row>
    <row r="231" ht="15.75" customHeight="1" s="216">
      <c r="A231" s="125" t="inlineStr">
        <is>
          <t xml:space="preserve">Michael Brown </t>
        </is>
      </c>
      <c r="B231" s="126" t="inlineStr">
        <is>
          <t>Shield Capital</t>
        </is>
      </c>
      <c r="C231" s="288" t="inlineStr">
        <is>
          <t>https://www.linkedin.com/in/michaelabrownceo/</t>
        </is>
      </c>
      <c r="D231" s="189" t="inlineStr">
        <is>
          <t>mbrown@shieldcap.com</t>
        </is>
      </c>
      <c r="E231" s="129" t="n">
        <v>45828</v>
      </c>
      <c r="G231" s="87" t="inlineStr">
        <is>
          <t>referred to David // David says outside Shield Thesis</t>
        </is>
      </c>
    </row>
    <row r="232" ht="15.75" customHeight="1" s="216">
      <c r="A232" s="125" t="inlineStr">
        <is>
          <t>Raj Shah</t>
        </is>
      </c>
      <c r="B232" s="126" t="inlineStr">
        <is>
          <t>Shield Capital</t>
        </is>
      </c>
      <c r="C232" s="288" t="inlineStr">
        <is>
          <t>https://www.linkedin.com/in/rajshah3/</t>
        </is>
      </c>
      <c r="D232" s="189" t="inlineStr">
        <is>
          <t>rshah@shieldcap.com</t>
        </is>
      </c>
      <c r="E232" s="129" t="n">
        <v>45828</v>
      </c>
    </row>
    <row r="233" ht="15.75" customHeight="1" s="216">
      <c r="A233" s="125" t="inlineStr">
        <is>
          <t>Philip Bilden</t>
        </is>
      </c>
      <c r="B233" s="126" t="inlineStr">
        <is>
          <t>Shield Capital</t>
        </is>
      </c>
      <c r="C233" s="288" t="inlineStr">
        <is>
          <t>https://www.linkedin.com/in/philip-m-bilden-38918320a/</t>
        </is>
      </c>
      <c r="D233" s="189" t="inlineStr">
        <is>
          <t>pbilden@shieldcap.com</t>
        </is>
      </c>
      <c r="E233" s="129" t="n">
        <v>45828</v>
      </c>
      <c r="G233" s="108" t="n"/>
    </row>
    <row r="234" ht="15.75" customHeight="1" s="216">
      <c r="A234" s="87" t="inlineStr">
        <is>
          <t>Tim Howe</t>
        </is>
      </c>
      <c r="B234" s="98" t="inlineStr">
        <is>
          <t>Collinson Howe Venture Partners</t>
        </is>
      </c>
      <c r="C234" s="81" t="inlineStr">
        <is>
          <t>linkedin.com/in/timothy-f-howe</t>
        </is>
      </c>
      <c r="D234" s="206" t="inlineStr">
        <is>
          <t>thowe@chlmedical.com</t>
        </is>
      </c>
      <c r="E234" s="80" t="n">
        <v>45828</v>
      </c>
      <c r="F234" s="80" t="n">
        <v>45841</v>
      </c>
      <c r="G234" s="108" t="n">
        <v>46014</v>
      </c>
    </row>
    <row r="235" ht="15.75" customHeight="1" s="216">
      <c r="A235" s="87" t="inlineStr">
        <is>
          <t>Mark Munoz</t>
        </is>
      </c>
      <c r="B235" s="98" t="inlineStr">
        <is>
          <t>OMVC (formerly Vectr Fintech Partners)</t>
        </is>
      </c>
      <c r="C235" t="inlineStr">
        <is>
          <t>https://www.linkedin.com/in/munozmark/</t>
        </is>
      </c>
      <c r="D235" s="206" t="inlineStr">
        <is>
          <t>mark@omvc.co</t>
        </is>
      </c>
      <c r="E235" s="80" t="n">
        <v>45828</v>
      </c>
      <c r="F235" s="80" t="n">
        <v>45841</v>
      </c>
      <c r="G235" s="108" t="n">
        <v>46014</v>
      </c>
      <c r="H235" s="87" t="inlineStr">
        <is>
          <t>online application: https://form.typeform.com/to/Ods1gr8R?typeform-source=www.omvc.co</t>
        </is>
      </c>
    </row>
    <row r="236" ht="15.75" customHeight="1" s="216">
      <c r="A236" s="87" t="inlineStr">
        <is>
          <t>Ben Hoxie</t>
        </is>
      </c>
      <c r="B236" s="98" t="inlineStr">
        <is>
          <t>OMVC (formerly Vectr Fintech Partners)</t>
        </is>
      </c>
      <c r="C236" t="inlineStr">
        <is>
          <t>https://www.linkedin.com/in/ben-hoxie-92917a115/</t>
        </is>
      </c>
      <c r="D236" s="206" t="inlineStr">
        <is>
          <t>ben.hoxie@omvc.co</t>
        </is>
      </c>
      <c r="E236" s="80" t="n">
        <v>45828</v>
      </c>
      <c r="F236" s="80" t="n">
        <v>45841</v>
      </c>
      <c r="G236" s="80" t="n">
        <v>46014</v>
      </c>
    </row>
    <row r="237" ht="15.75" customHeight="1" s="216">
      <c r="A237" s="125" t="inlineStr">
        <is>
          <t>Catherine Corrigan</t>
        </is>
      </c>
      <c r="B237" s="126" t="inlineStr">
        <is>
          <t>Rockfleet Financial</t>
        </is>
      </c>
      <c r="C237" s="288" t="inlineStr">
        <is>
          <t>https://www.linkedin.com/in/catherine-corrigan-18992b12/</t>
        </is>
      </c>
      <c r="D237" s="281" t="inlineStr">
        <is>
          <t xml:space="preserve">catherine.corrigan@rockfleetfinancial.com </t>
        </is>
      </c>
      <c r="E237" s="129" t="n">
        <v>45831</v>
      </c>
    </row>
    <row r="238" ht="15.75" customHeight="1" s="216">
      <c r="A238" s="125" t="inlineStr">
        <is>
          <t>John Swift</t>
        </is>
      </c>
      <c r="B238" s="126" t="inlineStr">
        <is>
          <t>Rockfleet Financial</t>
        </is>
      </c>
      <c r="C238" s="288" t="inlineStr">
        <is>
          <t>linkedin.com/in/jr-swift</t>
        </is>
      </c>
      <c r="D238" s="281" t="inlineStr">
        <is>
          <t>john.swift@rockfleetfinancial.com</t>
        </is>
      </c>
      <c r="E238" s="129" t="n">
        <v>45831</v>
      </c>
      <c r="G238" s="147" t="inlineStr">
        <is>
          <t>meeting held on 7/2 &amp; NDA in process- Followed up 7-11</t>
        </is>
      </c>
    </row>
    <row r="239" ht="15.75" customHeight="1" s="216">
      <c r="A239" s="87" t="inlineStr">
        <is>
          <t>Rich Thomson</t>
        </is>
      </c>
      <c r="B239" s="98" t="inlineStr">
        <is>
          <t>Caprice Capital</t>
        </is>
      </c>
      <c r="C239" t="inlineStr">
        <is>
          <t>https://www.linkedin.com/in/richthomson/</t>
        </is>
      </c>
      <c r="D239" s="206" t="inlineStr">
        <is>
          <t>rthomson@capricecapital.com</t>
        </is>
      </c>
      <c r="E239" s="80" t="n">
        <v>45831</v>
      </c>
      <c r="F239" s="80" t="n">
        <v>45841</v>
      </c>
      <c r="G239" s="80" t="n">
        <v>46014</v>
      </c>
    </row>
    <row r="240" ht="15.75" customHeight="1" s="216">
      <c r="A240" s="87" t="inlineStr">
        <is>
          <t>Joe Li</t>
        </is>
      </c>
      <c r="B240" s="98" t="inlineStr">
        <is>
          <t>Caprice Capital</t>
        </is>
      </c>
      <c r="C240" t="inlineStr">
        <is>
          <t>https://www.linkedin.com/in/joe-li-b3520922/</t>
        </is>
      </c>
      <c r="D240" s="206" t="inlineStr">
        <is>
          <t>jli@capricecapital.com</t>
        </is>
      </c>
      <c r="E240" s="80" t="n">
        <v>45831</v>
      </c>
      <c r="F240" s="80" t="n">
        <v>45841</v>
      </c>
      <c r="G240" s="80" t="n">
        <v>46014</v>
      </c>
    </row>
    <row r="241" ht="15.75" customHeight="1" s="216">
      <c r="A241" s="87" t="inlineStr">
        <is>
          <t>Michael Vinci</t>
        </is>
      </c>
      <c r="B241" s="98" t="inlineStr">
        <is>
          <t>Caprice Capital</t>
        </is>
      </c>
      <c r="C241" t="inlineStr">
        <is>
          <t>https://www.linkedin.com/in/michael-vinci-aa8152207/</t>
        </is>
      </c>
      <c r="D241" s="206" t="inlineStr">
        <is>
          <t>mvinci@capricecapital.com</t>
        </is>
      </c>
      <c r="E241" s="80" t="n">
        <v>45831</v>
      </c>
      <c r="F241" s="80" t="n">
        <v>45841</v>
      </c>
      <c r="G241" s="80" t="n">
        <v>46014</v>
      </c>
    </row>
    <row r="242" ht="15.75" customHeight="1" s="216">
      <c r="A242" s="87" t="inlineStr">
        <is>
          <t>Investor Reations</t>
        </is>
      </c>
      <c r="B242" s="98" t="inlineStr">
        <is>
          <t>Caprice Capital</t>
        </is>
      </c>
      <c r="D242" s="114" t="inlineStr">
        <is>
          <t>investor-relations@capricecapital.com</t>
        </is>
      </c>
      <c r="E242" s="80" t="n">
        <v>45831</v>
      </c>
      <c r="F242" s="80" t="n"/>
      <c r="G242" s="80" t="n">
        <v>46014</v>
      </c>
    </row>
    <row r="243" ht="15.75" customHeight="1" s="216">
      <c r="A243" s="87" t="inlineStr">
        <is>
          <t>Kevin Hong</t>
        </is>
      </c>
      <c r="B243" s="98" t="inlineStr">
        <is>
          <t>Caprae Capital</t>
        </is>
      </c>
      <c r="C243" t="inlineStr">
        <is>
          <t>linkedin.com/in/kevinhshong</t>
        </is>
      </c>
      <c r="D243" s="206" t="inlineStr">
        <is>
          <t>kevinhshong@gmail.com</t>
        </is>
      </c>
      <c r="E243" s="80" t="n">
        <v>45831</v>
      </c>
      <c r="F243" s="80" t="n">
        <v>45841</v>
      </c>
      <c r="G243" s="80" t="n">
        <v>46014</v>
      </c>
    </row>
    <row r="244" ht="15.75" customHeight="1" s="216">
      <c r="A244" s="87" t="inlineStr">
        <is>
          <t>Partners</t>
        </is>
      </c>
      <c r="B244" s="98" t="inlineStr">
        <is>
          <t>Caprae Capital</t>
        </is>
      </c>
      <c r="D244" s="199" t="inlineStr">
        <is>
          <t>partners@capraecapital.com</t>
        </is>
      </c>
      <c r="E244" s="80" t="n">
        <v>45832</v>
      </c>
      <c r="F244" s="80" t="n">
        <v>45848</v>
      </c>
      <c r="G244" s="80" t="n">
        <v>46014</v>
      </c>
    </row>
    <row r="245" ht="15.75" customHeight="1" s="216">
      <c r="A245" s="87" t="inlineStr">
        <is>
          <t>Fred Wang</t>
        </is>
      </c>
      <c r="B245" s="98" t="inlineStr">
        <is>
          <t>Mirante Partners</t>
        </is>
      </c>
      <c r="C245" t="inlineStr">
        <is>
          <t>https://www.linkedin.com/in/fredswang</t>
        </is>
      </c>
      <c r="D245" s="206" t="inlineStr">
        <is>
          <t>fred.wang@mirantepartners.com</t>
        </is>
      </c>
      <c r="E245" s="80" t="n">
        <v>45832</v>
      </c>
      <c r="F245" s="80" t="n">
        <v>45848</v>
      </c>
      <c r="G245" s="80" t="n">
        <v>46014</v>
      </c>
    </row>
    <row r="246" ht="15.75" customHeight="1" s="216">
      <c r="A246" s="87" t="inlineStr">
        <is>
          <t xml:space="preserve">Diego Rosario </t>
        </is>
      </c>
      <c r="B246" s="98" t="inlineStr">
        <is>
          <t>Mirante Partners</t>
        </is>
      </c>
      <c r="C246" t="inlineStr">
        <is>
          <t>linkedin.com/in/diego-pimentel-do-rosario</t>
        </is>
      </c>
      <c r="D246" s="206" t="inlineStr">
        <is>
          <t>diego.rosario@mirantepartners.com</t>
        </is>
      </c>
      <c r="E246" s="80" t="n">
        <v>45832</v>
      </c>
      <c r="F246" s="80" t="n">
        <v>45848</v>
      </c>
      <c r="G246" s="80" t="n">
        <v>46014</v>
      </c>
    </row>
    <row r="247" ht="15.75" customHeight="1" s="216">
      <c r="A247" s="87" t="inlineStr">
        <is>
          <t>Contact Page</t>
        </is>
      </c>
      <c r="B247" s="98" t="inlineStr">
        <is>
          <t>Mirante Partners</t>
        </is>
      </c>
      <c r="D247" s="206" t="inlineStr">
        <is>
          <t>on their website</t>
        </is>
      </c>
      <c r="E247" s="80" t="n">
        <v>45832</v>
      </c>
      <c r="F247" s="80" t="n"/>
    </row>
    <row r="248" ht="15.75" customHeight="1" s="216">
      <c r="A248" s="119" t="inlineStr">
        <is>
          <t>the team</t>
        </is>
      </c>
      <c r="B248" s="123" t="inlineStr">
        <is>
          <t>New Private Equity</t>
        </is>
      </c>
      <c r="C248" s="122" t="n"/>
      <c r="D248" s="128" t="inlineStr">
        <is>
          <t xml:space="preserve">info@newprivateequity.com
</t>
        </is>
      </c>
      <c r="E248" s="121" t="n">
        <v>45832</v>
      </c>
      <c r="G248" s="87" t="n"/>
      <c r="H248" s="87" t="inlineStr">
        <is>
          <t>sent one pager on 6/24</t>
        </is>
      </c>
    </row>
    <row r="249" ht="15.75" customHeight="1" s="216">
      <c r="A249" s="119" t="inlineStr">
        <is>
          <t>Mike Royston</t>
        </is>
      </c>
      <c r="B249" s="123" t="inlineStr">
        <is>
          <t>Collective Equity</t>
        </is>
      </c>
      <c r="C249" s="122" t="n"/>
      <c r="D249" s="205" t="inlineStr">
        <is>
          <t>mike@collectiveequity.com</t>
        </is>
      </c>
      <c r="E249" s="122" t="n"/>
      <c r="G249" s="87" t="n"/>
      <c r="H249" s="87" t="inlineStr">
        <is>
          <t>meeting on 6/25 / follow up meeting in the works / ziyi@collectiveequity.com</t>
        </is>
      </c>
    </row>
    <row r="250" ht="48" customHeight="1" s="216">
      <c r="A250" s="119" t="inlineStr">
        <is>
          <t>Samuel Levitz</t>
        </is>
      </c>
      <c r="B250" s="123" t="inlineStr">
        <is>
          <t>Investor Ready Capital</t>
        </is>
      </c>
      <c r="C250" s="122" t="n"/>
      <c r="D250" s="128" t="inlineStr">
        <is>
          <t>samuel@investorreadycapital.com</t>
        </is>
      </c>
      <c r="E250" s="122" t="n"/>
      <c r="G250" s="148" t="n"/>
      <c r="H250" s="148" t="inlineStr">
        <is>
          <t>meeting held on 6/24 / follow up meeting on 6/27- Question replied to and followed up on 7-11</t>
        </is>
      </c>
    </row>
    <row r="251" ht="15.75" customHeight="1" s="216">
      <c r="A251" s="87" t="inlineStr">
        <is>
          <t>the team</t>
        </is>
      </c>
      <c r="B251" s="98" t="inlineStr">
        <is>
          <t>Partner Capital</t>
        </is>
      </c>
      <c r="D251" s="206" t="inlineStr">
        <is>
          <t>contact us page</t>
        </is>
      </c>
      <c r="E251" s="80" t="n">
        <v>45833</v>
      </c>
    </row>
    <row r="252" ht="15.75" customHeight="1" s="216">
      <c r="A252" s="87" t="inlineStr">
        <is>
          <t>the dallas office team</t>
        </is>
      </c>
      <c r="B252" s="98" t="inlineStr">
        <is>
          <t>Partner Capital</t>
        </is>
      </c>
      <c r="D252" s="206" t="inlineStr">
        <is>
          <t>contacts us page</t>
        </is>
      </c>
      <c r="E252" s="80" t="n">
        <v>45833</v>
      </c>
    </row>
    <row r="253" ht="15.75" customHeight="1" s="216">
      <c r="A253" s="87" t="inlineStr">
        <is>
          <t xml:space="preserve"> Arjun Raghavan</t>
        </is>
      </c>
      <c r="B253" s="98" t="inlineStr">
        <is>
          <t>Partner Capital</t>
        </is>
      </c>
      <c r="C253" t="inlineStr">
        <is>
          <t>https://www.linkedin.com/in/arjun-raghavan-24514a/</t>
        </is>
      </c>
      <c r="D253" s="206" t="inlineStr">
        <is>
          <t>arjun.raghavan@partners-cap.com</t>
        </is>
      </c>
      <c r="E253" s="80" t="n">
        <v>45833</v>
      </c>
      <c r="F253" s="80" t="n">
        <v>45848</v>
      </c>
      <c r="G253" s="80" t="n">
        <v>46014</v>
      </c>
    </row>
    <row r="254" ht="15.75" customHeight="1" s="216">
      <c r="A254" s="87" t="inlineStr">
        <is>
          <t>Alex Band</t>
        </is>
      </c>
      <c r="B254" s="98" t="inlineStr">
        <is>
          <t>Partner Capital</t>
        </is>
      </c>
      <c r="C254" t="inlineStr">
        <is>
          <t>https://www.linkedin.com/in/alexband/</t>
        </is>
      </c>
      <c r="D254" s="206" t="inlineStr">
        <is>
          <t>alex.band@partners-cap.com</t>
        </is>
      </c>
      <c r="E254" s="80" t="n">
        <v>45833</v>
      </c>
      <c r="F254" s="80" t="n">
        <v>45848</v>
      </c>
      <c r="G254" s="80" t="n">
        <v>46014</v>
      </c>
    </row>
    <row r="255" ht="15.75" customHeight="1" s="216">
      <c r="A255" s="87" t="inlineStr">
        <is>
          <t>Adam Spence</t>
        </is>
      </c>
      <c r="B255" s="98" t="inlineStr">
        <is>
          <t>Partner Capital</t>
        </is>
      </c>
      <c r="C255" t="inlineStr">
        <is>
          <t>https://www.linkedin.com/in/adam-spence-3152116/</t>
        </is>
      </c>
      <c r="D255" s="206" t="inlineStr">
        <is>
          <t>adam.spence@partners-cap.com</t>
        </is>
      </c>
      <c r="E255" s="80" t="n">
        <v>45833</v>
      </c>
      <c r="F255" s="80" t="n">
        <v>45848</v>
      </c>
      <c r="G255" s="80" t="n">
        <v>46014</v>
      </c>
    </row>
    <row r="256" ht="15.75" customHeight="1" s="216">
      <c r="A256" s="87" t="inlineStr">
        <is>
          <t>Paul Dimitruk</t>
        </is>
      </c>
      <c r="B256" s="98" t="inlineStr">
        <is>
          <t>Partner Capital</t>
        </is>
      </c>
      <c r="C256" t="inlineStr">
        <is>
          <t>linkedin.com/in/paul-dimitruk-94288073</t>
        </is>
      </c>
      <c r="D256" s="206" t="inlineStr">
        <is>
          <t>paul.dimitruk@partners-cap.com</t>
        </is>
      </c>
      <c r="E256" s="80" t="n">
        <v>45833</v>
      </c>
      <c r="F256" s="80" t="n">
        <v>45848</v>
      </c>
      <c r="G256" s="80" t="n">
        <v>46014</v>
      </c>
    </row>
    <row r="257" ht="15.75" customHeight="1" s="216">
      <c r="A257" s="87" t="inlineStr">
        <is>
          <t>Jennifer Bensimon</t>
        </is>
      </c>
      <c r="B257" s="98" t="inlineStr">
        <is>
          <t>Partner Capital</t>
        </is>
      </c>
      <c r="C257" t="inlineStr">
        <is>
          <t>https://www.linkedin.com/in/jennifer-fox-bensimon-cfa-647ba121</t>
        </is>
      </c>
      <c r="D257" s="206" t="inlineStr">
        <is>
          <t>jennifer.bensimon@partners-cap.com</t>
        </is>
      </c>
      <c r="E257" s="80" t="n">
        <v>45833</v>
      </c>
      <c r="F257" s="80" t="n">
        <v>45848</v>
      </c>
      <c r="G257" s="80" t="n">
        <v>46014</v>
      </c>
    </row>
    <row r="258" ht="15.75" customHeight="1" s="216">
      <c r="A258" s="87" t="inlineStr">
        <is>
          <t>Olivia Newell</t>
        </is>
      </c>
      <c r="B258" s="98" t="inlineStr">
        <is>
          <t>Partner Capital</t>
        </is>
      </c>
      <c r="C258" t="inlineStr">
        <is>
          <t>https://www.linkedin.com/in/olivia-cogan-newell-cfa-95896872/</t>
        </is>
      </c>
      <c r="D258" s="206" t="inlineStr">
        <is>
          <t>olivia.cogan@partners-cap.com</t>
        </is>
      </c>
      <c r="E258" s="80" t="n">
        <v>45833</v>
      </c>
      <c r="F258" s="80" t="n">
        <v>45848</v>
      </c>
      <c r="G258" s="80" t="n">
        <v>46014</v>
      </c>
    </row>
    <row r="259" ht="15.75" customHeight="1" s="216">
      <c r="A259" s="87" t="inlineStr">
        <is>
          <t>Rich Scarinci</t>
        </is>
      </c>
      <c r="B259" s="98" t="inlineStr">
        <is>
          <t>Partner Capital</t>
        </is>
      </c>
      <c r="C259" t="inlineStr">
        <is>
          <t>https://www.linkedin.com/in/richard-scarinci-066b1670/</t>
        </is>
      </c>
      <c r="D259" s="206" t="inlineStr">
        <is>
          <t>richard.scarinci@partners-cap.com</t>
        </is>
      </c>
      <c r="E259" s="80" t="n">
        <v>45833</v>
      </c>
      <c r="F259" s="80" t="n">
        <v>45848</v>
      </c>
      <c r="G259" s="80" t="n">
        <v>46014</v>
      </c>
    </row>
    <row r="260" ht="15.75" customHeight="1" s="216">
      <c r="A260" s="87" t="inlineStr">
        <is>
          <t>Timothy Bovard</t>
        </is>
      </c>
      <c r="B260" s="87" t="inlineStr">
        <is>
          <t>Search Fund Accelerator</t>
        </is>
      </c>
      <c r="C260" t="inlineStr">
        <is>
          <t>https://www.linkedin.com/in/timothy-bovard-00514916/</t>
        </is>
      </c>
      <c r="D260" s="206" t="inlineStr">
        <is>
          <t>timothy@searchfundaccelerator.com</t>
        </is>
      </c>
      <c r="E260" s="80" t="n">
        <v>45833</v>
      </c>
      <c r="F260" s="80" t="n">
        <v>45848</v>
      </c>
      <c r="G260" s="80" t="n">
        <v>46014</v>
      </c>
    </row>
    <row r="261" ht="15.75" customHeight="1" s="216">
      <c r="A261" s="87" t="inlineStr">
        <is>
          <t>Jeremy Silverman</t>
        </is>
      </c>
      <c r="B261" s="87" t="inlineStr">
        <is>
          <t>Search Fund Accelerator</t>
        </is>
      </c>
      <c r="C261" t="inlineStr">
        <is>
          <t>https://www.linkedin.com/in/jeremysilverman/</t>
        </is>
      </c>
      <c r="D261" s="206" t="inlineStr">
        <is>
          <t>jeremy@searchfundaccelerator.com</t>
        </is>
      </c>
      <c r="E261" s="80" t="n">
        <v>45833</v>
      </c>
      <c r="F261" s="80" t="n">
        <v>45848</v>
      </c>
      <c r="G261" s="80" t="n">
        <v>46014</v>
      </c>
    </row>
    <row r="262" ht="15.75" customHeight="1" s="216">
      <c r="A262" s="87" t="inlineStr">
        <is>
          <t>Sean O'Neil</t>
        </is>
      </c>
      <c r="B262" s="87" t="inlineStr">
        <is>
          <t>Search Fund Accelerator</t>
        </is>
      </c>
      <c r="C262" t="inlineStr">
        <is>
          <t>https://www.linkedin.com/in/sean0neill/</t>
        </is>
      </c>
      <c r="D262" s="206" t="inlineStr">
        <is>
          <t>sean@searchfundaccelerator.com</t>
        </is>
      </c>
      <c r="E262" s="80" t="n">
        <v>45833</v>
      </c>
      <c r="F262" s="80" t="n">
        <v>45848</v>
      </c>
      <c r="G262" s="80" t="n">
        <v>46014</v>
      </c>
    </row>
    <row r="263" ht="15.75" customHeight="1" s="216">
      <c r="A263" s="87" t="inlineStr">
        <is>
          <t>contact form on website</t>
        </is>
      </c>
      <c r="B263" s="87" t="inlineStr">
        <is>
          <t>Next Gen Growth Partners</t>
        </is>
      </c>
      <c r="D263" s="206" t="inlineStr">
        <is>
          <t>directly on website</t>
        </is>
      </c>
      <c r="E263" s="80" t="n">
        <v>45833</v>
      </c>
    </row>
    <row r="264" ht="15.75" customHeight="1" s="216">
      <c r="A264" s="87" t="inlineStr">
        <is>
          <t>Rich Herrick</t>
        </is>
      </c>
      <c r="B264" s="87" t="inlineStr">
        <is>
          <t>Next Gen Growth Partners</t>
        </is>
      </c>
      <c r="C264" s="81" t="inlineStr">
        <is>
          <t>https://www.linkedin.com/in/rich-herrick-a156ba3/</t>
        </is>
      </c>
      <c r="D264" s="206" t="inlineStr">
        <is>
          <t>rherrick@nextgengp.com</t>
        </is>
      </c>
      <c r="E264" s="80" t="n">
        <v>45833</v>
      </c>
      <c r="F264" s="80" t="n">
        <v>45848</v>
      </c>
      <c r="G264" s="80" t="n">
        <v>46014</v>
      </c>
    </row>
    <row r="265" ht="15.75" customHeight="1" s="216">
      <c r="A265" s="87" t="inlineStr">
        <is>
          <t>Brian O'Connor</t>
        </is>
      </c>
      <c r="B265" s="87" t="inlineStr">
        <is>
          <t>Next Gen Growth Partners</t>
        </is>
      </c>
      <c r="C265" s="81" t="inlineStr">
        <is>
          <t>linkedin.com/in/brian-o-connor-7638204</t>
        </is>
      </c>
      <c r="D265" s="206" t="inlineStr">
        <is>
          <t>boconnor@nextgengp.com</t>
        </is>
      </c>
      <c r="E265" s="80" t="n">
        <v>45833</v>
      </c>
      <c r="F265" s="80" t="n">
        <v>45848</v>
      </c>
      <c r="G265" s="80" t="n">
        <v>46014</v>
      </c>
    </row>
    <row r="266" ht="15.75" customHeight="1" s="216">
      <c r="A266" s="87" t="inlineStr">
        <is>
          <t>Nicholas Olmstead</t>
        </is>
      </c>
      <c r="B266" s="87" t="inlineStr">
        <is>
          <t>Next Gen Growth Partners</t>
        </is>
      </c>
      <c r="C266" t="inlineStr">
        <is>
          <t>https://www.linkedin.com/in/nicholas-olmstead</t>
        </is>
      </c>
      <c r="D266" s="206" t="inlineStr">
        <is>
          <t>nolmstead@nextgengp.com</t>
        </is>
      </c>
      <c r="E266" s="80" t="n">
        <v>45834</v>
      </c>
      <c r="F266" s="80" t="n">
        <v>45848</v>
      </c>
      <c r="G266" s="80" t="n">
        <v>46014</v>
      </c>
    </row>
    <row r="267" ht="15.75" customHeight="1" s="216">
      <c r="A267" s="87" t="inlineStr">
        <is>
          <t>Eric Wilson</t>
        </is>
      </c>
      <c r="B267" s="87" t="inlineStr">
        <is>
          <t>Next Gen Growth Partners</t>
        </is>
      </c>
      <c r="C267" t="inlineStr">
        <is>
          <t>https://www.linkedin.com/in/ericrwilson/</t>
        </is>
      </c>
      <c r="D267" s="206" t="inlineStr">
        <is>
          <t>ewilson@nextgengp.com</t>
        </is>
      </c>
      <c r="E267" s="80" t="n">
        <v>45834</v>
      </c>
      <c r="F267" s="80" t="n">
        <v>45848</v>
      </c>
      <c r="G267" s="80" t="n">
        <v>46014</v>
      </c>
    </row>
    <row r="268" ht="15.75" customHeight="1" s="216">
      <c r="A268" s="87" t="inlineStr">
        <is>
          <t>Jim Bland</t>
        </is>
      </c>
      <c r="B268" s="87" t="inlineStr">
        <is>
          <t>Next Gen Growth Partners</t>
        </is>
      </c>
      <c r="C268" t="inlineStr">
        <is>
          <t>https://www.linkedin.com/in/jim-bland-0bb1b4/</t>
        </is>
      </c>
      <c r="D268" s="206" t="inlineStr">
        <is>
          <t>jbland@nextgengp.com</t>
        </is>
      </c>
      <c r="E268" s="80" t="n">
        <v>45834</v>
      </c>
      <c r="F268" s="80" t="n">
        <v>45848</v>
      </c>
      <c r="G268" s="80" t="n">
        <v>46014</v>
      </c>
    </row>
    <row r="269" ht="15.75" customHeight="1" s="216">
      <c r="A269" s="125" t="inlineStr">
        <is>
          <t>Kevin Higgins - Kipton Intro</t>
        </is>
      </c>
      <c r="B269" s="125" t="inlineStr">
        <is>
          <t>Snowpoint Ventures</t>
        </is>
      </c>
      <c r="C269" s="125" t="inlineStr">
        <is>
          <t>https://www.linkedin.com/in/kevin-higgins-a981667/</t>
        </is>
      </c>
      <c r="D269" s="207" t="inlineStr">
        <is>
          <t>kevin@snowpoint.vc</t>
        </is>
      </c>
      <c r="E269" s="129" t="n">
        <v>45835</v>
      </c>
      <c r="F269" s="80" t="n">
        <v>45848</v>
      </c>
      <c r="G269" t="inlineStr">
        <is>
          <t>outside scope</t>
        </is>
      </c>
    </row>
    <row r="270" ht="15.75" customHeight="1" s="216">
      <c r="A270" s="87" t="inlineStr">
        <is>
          <t>Rahul Singh - Kipton intro</t>
        </is>
      </c>
      <c r="B270" s="87" t="inlineStr">
        <is>
          <t>Dual Use Ventures</t>
        </is>
      </c>
      <c r="C270" t="inlineStr">
        <is>
          <t>https://www.linkedin.com/in/rahulasingh/</t>
        </is>
      </c>
      <c r="D270" s="114" t="inlineStr">
        <is>
          <t>rsingh@dualuseventures.com</t>
        </is>
      </c>
      <c r="E270" s="80" t="n">
        <v>45835</v>
      </c>
      <c r="F270" s="80" t="n">
        <v>45848</v>
      </c>
      <c r="G270" s="80" t="n">
        <v>46015</v>
      </c>
    </row>
    <row r="271" ht="15.75" customHeight="1" s="216">
      <c r="A271" s="87" t="inlineStr">
        <is>
          <t>Joel Palathinkal - Kipton Intro</t>
        </is>
      </c>
      <c r="B271" s="87" t="inlineStr">
        <is>
          <t>Sutton Capital</t>
        </is>
      </c>
      <c r="C271" t="inlineStr">
        <is>
          <t>https://www.linkedin.com/in/joelpalathinkal/</t>
        </is>
      </c>
      <c r="D271" s="114" t="inlineStr">
        <is>
          <t>joel@suttoncapital.co</t>
        </is>
      </c>
      <c r="E271" s="80" t="n">
        <v>45835</v>
      </c>
      <c r="F271" s="80" t="n">
        <v>45848</v>
      </c>
      <c r="G271" s="80" t="n">
        <v>46015</v>
      </c>
      <c r="H271" t="inlineStr">
        <is>
          <t>asked for deck on 12/26</t>
        </is>
      </c>
    </row>
    <row r="272" ht="15.75" customHeight="1" s="216">
      <c r="A272" s="125" t="inlineStr">
        <is>
          <t>Gerik - Kipton Intro</t>
        </is>
      </c>
      <c r="B272" s="125" t="inlineStr">
        <is>
          <t>Axle Point</t>
        </is>
      </c>
      <c r="C272" s="288" t="inlineStr">
        <is>
          <t>https://www.linkedin.com/in/gerikdegner/</t>
        </is>
      </c>
      <c r="D272" s="207" t="inlineStr">
        <is>
          <t>gdegner@axlepoint.com</t>
        </is>
      </c>
      <c r="E272" s="129" t="n">
        <v>45835</v>
      </c>
      <c r="G272" t="inlineStr">
        <is>
          <t>outside scope, said he would pass on to anyone he thinks may be a good fit</t>
        </is>
      </c>
    </row>
    <row r="273" ht="15.75" customHeight="1" s="216">
      <c r="B273" s="87" t="inlineStr">
        <is>
          <t>Impact Venture Capital</t>
        </is>
      </c>
      <c r="E273" s="80" t="n"/>
      <c r="G273" s="87" t="n"/>
      <c r="H273" s="87" t="inlineStr">
        <is>
          <t>form online: https://impactvc.typeform.com/startups?typeform-source=impactvc.com</t>
        </is>
      </c>
    </row>
    <row r="274" ht="15.75" customHeight="1" s="216">
      <c r="A274" s="87" t="inlineStr">
        <is>
          <t>Parikshit Sharma</t>
        </is>
      </c>
      <c r="B274" s="87" t="inlineStr">
        <is>
          <t>Indie Bio</t>
        </is>
      </c>
      <c r="C274" t="inlineStr">
        <is>
          <t>https://www.linkedin.com/in/parikshit-sharma-indiebio/</t>
        </is>
      </c>
      <c r="D274" s="206" t="inlineStr">
        <is>
          <t>parikshit.sharma@indiebio.co</t>
        </is>
      </c>
      <c r="E274" s="80" t="n">
        <v>45835</v>
      </c>
      <c r="F274" s="80" t="n">
        <v>45848</v>
      </c>
      <c r="G274" s="80" t="n">
        <v>46017</v>
      </c>
    </row>
    <row r="275" ht="15.75" customHeight="1" s="216">
      <c r="A275" s="87" t="inlineStr">
        <is>
          <t>Po Bronson</t>
        </is>
      </c>
      <c r="B275" s="87" t="inlineStr">
        <is>
          <t>Indie Bio</t>
        </is>
      </c>
      <c r="C275" t="inlineStr">
        <is>
          <t>https://www.linkedin.com/in/po-bronson/</t>
        </is>
      </c>
      <c r="D275" s="206" t="inlineStr">
        <is>
          <t>po.bronson@indiebio.co</t>
        </is>
      </c>
      <c r="E275" s="80" t="n">
        <v>45835</v>
      </c>
      <c r="F275" s="80" t="n">
        <v>45848</v>
      </c>
      <c r="G275" s="80" t="n">
        <v>46017</v>
      </c>
    </row>
    <row r="276" ht="15.75" customHeight="1" s="216">
      <c r="A276" s="87" t="inlineStr">
        <is>
          <t>Stephen Chambers</t>
        </is>
      </c>
      <c r="B276" s="87" t="inlineStr">
        <is>
          <t>Indie Bio</t>
        </is>
      </c>
      <c r="C276" t="inlineStr">
        <is>
          <t>https://www.linkedin.com/in/drstephenchambers/</t>
        </is>
      </c>
      <c r="D276" s="206" t="inlineStr">
        <is>
          <t>stephen.chambers@indiebio.co</t>
        </is>
      </c>
      <c r="E276" s="80" t="n">
        <v>45835</v>
      </c>
      <c r="F276" s="80" t="n">
        <v>45848</v>
      </c>
      <c r="G276" s="80" t="n">
        <v>46017</v>
      </c>
    </row>
    <row r="277" ht="15.75" customHeight="1" s="216">
      <c r="A277" s="87" t="inlineStr">
        <is>
          <t>Deborah Zajac</t>
        </is>
      </c>
      <c r="B277" s="87" t="inlineStr">
        <is>
          <t>Indie Bio</t>
        </is>
      </c>
      <c r="D277" s="198" t="inlineStr">
        <is>
          <t>deborahzajac@indiebio.co</t>
        </is>
      </c>
      <c r="E277" s="80" t="n">
        <v>45835</v>
      </c>
      <c r="F277" s="80" t="n">
        <v>45848</v>
      </c>
      <c r="G277" s="80" t="n">
        <v>46017</v>
      </c>
    </row>
    <row r="278" ht="15.75" customHeight="1" s="216">
      <c r="A278" s="87" t="inlineStr">
        <is>
          <t>Alex Kopelyan</t>
        </is>
      </c>
      <c r="B278" s="87" t="inlineStr">
        <is>
          <t>Indie Bio</t>
        </is>
      </c>
      <c r="C278" t="inlineStr">
        <is>
          <t>https://indiebio.co/team/alex-kopelyan/</t>
        </is>
      </c>
      <c r="D278" s="198" t="inlineStr">
        <is>
          <t>alexkopelyan@indiebio.co</t>
        </is>
      </c>
      <c r="E278" s="80" t="n">
        <v>45835</v>
      </c>
      <c r="F278" s="80" t="n">
        <v>45848</v>
      </c>
      <c r="G278" s="80" t="n">
        <v>46017</v>
      </c>
    </row>
    <row r="279" ht="15.75" customHeight="1" s="216">
      <c r="A279" s="87" t="inlineStr">
        <is>
          <t>Austin Hwang</t>
        </is>
      </c>
      <c r="B279" s="87" t="inlineStr">
        <is>
          <t>Taiwan Global Angels</t>
        </is>
      </c>
      <c r="C279" t="inlineStr">
        <is>
          <t>https://www.linkedin.com/in/austin-hwang/</t>
        </is>
      </c>
      <c r="D279" s="206" t="inlineStr">
        <is>
          <t>austin@taiwanglobalangels.com</t>
        </is>
      </c>
      <c r="E279" s="80" t="n">
        <v>45835</v>
      </c>
      <c r="F279" s="80" t="n">
        <v>45848</v>
      </c>
      <c r="G279" s="80" t="n">
        <v>46017</v>
      </c>
      <c r="H279" s="150" t="inlineStr">
        <is>
          <t>pitch application: https://airtable.com/appPe7LVD2CEtZk2o/shrbSa84CnndXQIIM</t>
        </is>
      </c>
    </row>
    <row r="280" ht="15.75" customHeight="1" s="216">
      <c r="A280" s="119" t="inlineStr">
        <is>
          <t>the team</t>
        </is>
      </c>
      <c r="B280" s="119" t="inlineStr">
        <is>
          <t>Taiwan Global Angels</t>
        </is>
      </c>
      <c r="C280" s="122" t="n"/>
      <c r="D280" s="191" t="inlineStr">
        <is>
          <t>info@taiwanglobalangels.com</t>
        </is>
      </c>
      <c r="E280" s="121" t="n">
        <v>45835</v>
      </c>
      <c r="F280" s="80" t="n">
        <v>45848</v>
      </c>
      <c r="H280" t="inlineStr">
        <is>
          <t>asked for deck on 7/10</t>
        </is>
      </c>
    </row>
    <row r="281" ht="15.75" customHeight="1" s="216">
      <c r="A281" s="87" t="inlineStr">
        <is>
          <t>Matthew Young</t>
        </is>
      </c>
      <c r="B281" s="87" t="inlineStr">
        <is>
          <t>Longitude Capital</t>
        </is>
      </c>
      <c r="C281" t="inlineStr">
        <is>
          <t>linkedin.com/in/matthew-young-b8747713</t>
        </is>
      </c>
      <c r="D281" s="206" t="inlineStr">
        <is>
          <t>myoung@longitudecapital.com</t>
        </is>
      </c>
      <c r="E281" s="80" t="n">
        <v>45835</v>
      </c>
      <c r="F281" s="80" t="n">
        <v>45848</v>
      </c>
      <c r="G281" s="80" t="n">
        <v>46017</v>
      </c>
    </row>
    <row r="282" ht="15.75" customHeight="1" s="216">
      <c r="A282" s="87" t="inlineStr">
        <is>
          <t>Marc-Henri Galetti</t>
        </is>
      </c>
      <c r="B282" s="87" t="inlineStr">
        <is>
          <t>Longitude Capital</t>
        </is>
      </c>
      <c r="C282" t="inlineStr">
        <is>
          <t>https://www.linkedin.com/in/marc-henri-galletti-1315b45/</t>
        </is>
      </c>
      <c r="D282" s="206" t="inlineStr">
        <is>
          <t>mgalletti@longitudecapital.com</t>
        </is>
      </c>
      <c r="E282" s="80" t="n">
        <v>45838</v>
      </c>
      <c r="F282" s="80" t="n">
        <v>45861</v>
      </c>
      <c r="G282" s="108" t="n">
        <v>46017</v>
      </c>
    </row>
    <row r="283" ht="15.75" customHeight="1" s="216">
      <c r="A283" s="87" t="inlineStr">
        <is>
          <t xml:space="preserve"> Juliet Tammenoms Bakker</t>
        </is>
      </c>
      <c r="B283" s="87" t="inlineStr">
        <is>
          <t>Longitude Capital</t>
        </is>
      </c>
      <c r="C283" t="inlineStr">
        <is>
          <t>https://www.linkedin.com/in/juliet-tammenoms-bakker-2a8a6240/</t>
        </is>
      </c>
      <c r="D283" s="206" t="inlineStr">
        <is>
          <t>jbakker@longitudecapital.com</t>
        </is>
      </c>
      <c r="E283" s="80" t="n">
        <v>45838</v>
      </c>
      <c r="F283" s="80" t="n">
        <v>45861</v>
      </c>
      <c r="G283" s="108" t="n">
        <v>46017</v>
      </c>
    </row>
    <row r="284" ht="15.75" customHeight="1" s="216">
      <c r="A284" s="87" t="inlineStr">
        <is>
          <t>Bethany Chen</t>
        </is>
      </c>
      <c r="B284" s="87" t="inlineStr">
        <is>
          <t>Longitude Capital</t>
        </is>
      </c>
      <c r="C284" t="inlineStr">
        <is>
          <t>linkedin.com/in/bethany-chen</t>
        </is>
      </c>
      <c r="D284" s="206" t="inlineStr">
        <is>
          <t>bchen@longitudecapital.com</t>
        </is>
      </c>
      <c r="E284" s="80" t="n">
        <v>45838</v>
      </c>
      <c r="F284" s="80" t="n">
        <v>45861</v>
      </c>
      <c r="G284" s="108" t="n">
        <v>46017</v>
      </c>
    </row>
    <row r="285" ht="15.75" customHeight="1" s="216">
      <c r="A285" s="87" t="inlineStr">
        <is>
          <t>Patrick G. Enright</t>
        </is>
      </c>
      <c r="B285" s="87" t="inlineStr">
        <is>
          <t>Longitude Capital</t>
        </is>
      </c>
      <c r="C285" t="inlineStr">
        <is>
          <t>https://www.linkedin.com/in/patrick-enright-0a936821/</t>
        </is>
      </c>
      <c r="D285" s="206" t="inlineStr">
        <is>
          <t>penright@longitudecapital.com</t>
        </is>
      </c>
      <c r="E285" s="80" t="n">
        <v>45838</v>
      </c>
      <c r="F285" s="80" t="n">
        <v>45861</v>
      </c>
      <c r="G285" s="108" t="n">
        <v>46017</v>
      </c>
    </row>
    <row r="286" ht="15.75" customHeight="1" s="216">
      <c r="A286" s="87" t="inlineStr">
        <is>
          <t>Zack Ely</t>
        </is>
      </c>
      <c r="B286" s="87" t="inlineStr">
        <is>
          <t>Longitude Capital</t>
        </is>
      </c>
      <c r="C286" t="inlineStr">
        <is>
          <t>https://www.linkedin.com/in/zack-ely-062093251/</t>
        </is>
      </c>
      <c r="D286" s="206" t="inlineStr">
        <is>
          <t>zely@longitudecapital.com</t>
        </is>
      </c>
      <c r="E286" s="80" t="n">
        <v>45838</v>
      </c>
      <c r="F286" s="80" t="n">
        <v>45861</v>
      </c>
      <c r="G286" s="108" t="n">
        <v>46017</v>
      </c>
    </row>
    <row r="287" ht="15.75" customHeight="1" s="216">
      <c r="A287" s="87" t="inlineStr">
        <is>
          <t>General</t>
        </is>
      </c>
      <c r="B287" s="87" t="inlineStr">
        <is>
          <t>Xeraya Capital</t>
        </is>
      </c>
      <c r="D287" s="198" t="inlineStr">
        <is>
          <t>xeraya@xeraya.com</t>
        </is>
      </c>
      <c r="E287" s="80" t="n">
        <v>45838</v>
      </c>
      <c r="F287" s="80" t="n">
        <v>45861</v>
      </c>
      <c r="G287" s="108" t="n">
        <v>46017</v>
      </c>
    </row>
    <row r="288" ht="15.75" customHeight="1" s="216">
      <c r="A288" s="87" t="inlineStr">
        <is>
          <t>Bruce Cohen</t>
        </is>
      </c>
      <c r="B288" s="87" t="inlineStr">
        <is>
          <t>Xeraya Capital</t>
        </is>
      </c>
      <c r="C288" t="inlineStr">
        <is>
          <t>https://www.linkedin.com/in/bruceacohen/</t>
        </is>
      </c>
      <c r="D288" s="206" t="inlineStr">
        <is>
          <t>bruce.cohen@xeraya.com</t>
        </is>
      </c>
      <c r="E288" s="80" t="n">
        <v>45839</v>
      </c>
      <c r="F288" s="80" t="n">
        <v>45861</v>
      </c>
      <c r="G288" s="108" t="n">
        <v>46017</v>
      </c>
    </row>
    <row r="289" ht="15.75" customHeight="1" s="216">
      <c r="A289" s="87" t="inlineStr">
        <is>
          <t>Fares Zahir</t>
        </is>
      </c>
      <c r="B289" s="87" t="inlineStr">
        <is>
          <t>Xeraya Capital</t>
        </is>
      </c>
      <c r="C289" t="inlineStr">
        <is>
          <t>https://www.linkedin.com/in/fares-zahir-57847810/</t>
        </is>
      </c>
      <c r="D289" s="206" t="inlineStr">
        <is>
          <t>fares.zahir@xeraya.com</t>
        </is>
      </c>
      <c r="E289" s="80" t="n">
        <v>45839</v>
      </c>
      <c r="F289" s="80" t="n">
        <v>45861</v>
      </c>
      <c r="G289" s="108" t="n">
        <v>46017</v>
      </c>
    </row>
    <row r="290" ht="15.75" customHeight="1" s="216">
      <c r="A290" s="87" t="inlineStr">
        <is>
          <t xml:space="preserve">Aditya Puri </t>
        </is>
      </c>
      <c r="B290" s="87" t="inlineStr">
        <is>
          <t>Xeraya Capital</t>
        </is>
      </c>
      <c r="C290" t="inlineStr">
        <is>
          <t>https://www.linkedin.com/in/aditya-puri-investor/</t>
        </is>
      </c>
      <c r="D290" s="206" t="inlineStr">
        <is>
          <t>aditya.puri@xeraya.com</t>
        </is>
      </c>
      <c r="E290" s="80" t="n">
        <v>45839</v>
      </c>
      <c r="F290" s="80" t="n">
        <v>45861</v>
      </c>
      <c r="G290" s="108" t="n">
        <v>46017</v>
      </c>
    </row>
    <row r="291" ht="15.75" customHeight="1" s="216">
      <c r="A291" s="87" t="inlineStr">
        <is>
          <t>Jason Rushton</t>
        </is>
      </c>
      <c r="B291" s="87" t="inlineStr">
        <is>
          <t>Xeraya Capital</t>
        </is>
      </c>
      <c r="D291" s="206" t="inlineStr">
        <is>
          <t>jason.rushton@xeraya.com</t>
        </is>
      </c>
      <c r="E291" s="80" t="n">
        <v>45839</v>
      </c>
      <c r="F291" s="80" t="n">
        <v>45861</v>
      </c>
      <c r="G291" s="80" t="n">
        <v>46017</v>
      </c>
    </row>
    <row r="292" ht="15.75" customHeight="1" s="216">
      <c r="A292" s="87" t="inlineStr">
        <is>
          <t>Michael Cunningham</t>
        </is>
      </c>
      <c r="B292" s="130" t="inlineStr">
        <is>
          <t>Mikal Ventures</t>
        </is>
      </c>
      <c r="C292" t="inlineStr">
        <is>
          <t>https://www.linkedin.com/in/michaeljcunningham10/</t>
        </is>
      </c>
      <c r="D292" s="206" t="inlineStr">
        <is>
          <t>mike.cunningham@mikalventures.com</t>
        </is>
      </c>
      <c r="E292" s="80" t="n">
        <v>45839</v>
      </c>
      <c r="F292" s="80" t="n">
        <v>45861</v>
      </c>
      <c r="G292" s="108" t="n">
        <v>46017</v>
      </c>
    </row>
    <row r="293" ht="15.75" customHeight="1" s="216">
      <c r="A293" s="87" t="inlineStr">
        <is>
          <t>Christopher Malter</t>
        </is>
      </c>
      <c r="B293" s="130" t="inlineStr">
        <is>
          <t>Mikal Ventures</t>
        </is>
      </c>
      <c r="C293" t="inlineStr">
        <is>
          <t>https://www.linkedin.com/in/christopher-malter-035636/</t>
        </is>
      </c>
      <c r="D293" s="206" t="inlineStr">
        <is>
          <t>chris.malter@mikalventures.com</t>
        </is>
      </c>
      <c r="E293" s="80" t="n">
        <v>45839</v>
      </c>
      <c r="F293" s="80" t="n">
        <v>45861</v>
      </c>
      <c r="G293" s="108" t="n">
        <v>46017</v>
      </c>
    </row>
    <row r="294" ht="15.75" customHeight="1" s="216">
      <c r="A294" s="87" t="inlineStr">
        <is>
          <t>the team</t>
        </is>
      </c>
      <c r="B294" s="130" t="inlineStr">
        <is>
          <t>Mikal Ventures</t>
        </is>
      </c>
      <c r="D294" s="131" t="inlineStr">
        <is>
          <t>info@mikalventures.com</t>
        </is>
      </c>
      <c r="E294" s="80" t="n">
        <v>45839</v>
      </c>
      <c r="F294" s="80" t="n">
        <v>45861</v>
      </c>
      <c r="G294" s="108" t="n">
        <v>46017</v>
      </c>
    </row>
    <row r="295" ht="15.75" customHeight="1" s="216">
      <c r="A295" s="87" t="inlineStr">
        <is>
          <t>Mark Roberge</t>
        </is>
      </c>
      <c r="B295" s="130" t="inlineStr">
        <is>
          <t>Stage2 Capital</t>
        </is>
      </c>
      <c r="C295" t="inlineStr">
        <is>
          <t>https://www.linkedin.com/in/markroberge/</t>
        </is>
      </c>
      <c r="D295" s="206" t="inlineStr">
        <is>
          <t>mark@stage2.capital</t>
        </is>
      </c>
      <c r="E295" s="80" t="n">
        <v>45839</v>
      </c>
      <c r="F295" s="80" t="n">
        <v>45861</v>
      </c>
      <c r="G295" s="108" t="n">
        <v>46017</v>
      </c>
      <c r="H295" s="150" t="inlineStr">
        <is>
          <t>online application: https://www.stage2.capital/seek-capital</t>
        </is>
      </c>
    </row>
    <row r="296" ht="15.75" customHeight="1" s="216">
      <c r="A296" s="87" t="inlineStr">
        <is>
          <t>Sakib Dadi</t>
        </is>
      </c>
      <c r="B296" s="130" t="inlineStr">
        <is>
          <t>Stage2 Capital</t>
        </is>
      </c>
      <c r="C296" t="inlineStr">
        <is>
          <t>linkedin.com/in/sakibdadi</t>
        </is>
      </c>
      <c r="D296" s="206" t="inlineStr">
        <is>
          <t>sakib@stage2.capital</t>
        </is>
      </c>
      <c r="E296" s="80" t="n">
        <v>45839</v>
      </c>
      <c r="F296" s="80" t="n">
        <v>45861</v>
      </c>
      <c r="G296" s="108" t="n">
        <v>46017</v>
      </c>
    </row>
    <row r="297" ht="15.75" customHeight="1" s="216">
      <c r="A297" s="87" t="inlineStr">
        <is>
          <t xml:space="preserve">Liz Christo </t>
        </is>
      </c>
      <c r="B297" s="130" t="inlineStr">
        <is>
          <t>Stage2 Capital</t>
        </is>
      </c>
      <c r="C297" t="inlineStr">
        <is>
          <t>linkedin.com/in/lizchristo</t>
        </is>
      </c>
      <c r="D297" s="206" t="inlineStr">
        <is>
          <t>liz@stage2.capital</t>
        </is>
      </c>
      <c r="E297" s="80" t="n">
        <v>45839</v>
      </c>
      <c r="F297" s="80" t="n">
        <v>45861</v>
      </c>
      <c r="G297" s="108" t="n">
        <v>46017</v>
      </c>
    </row>
    <row r="298" ht="15.75" customHeight="1" s="216">
      <c r="A298" s="87" t="inlineStr">
        <is>
          <t>Jay Po</t>
        </is>
      </c>
      <c r="B298" s="130" t="inlineStr">
        <is>
          <t>Stage2 Capital</t>
        </is>
      </c>
      <c r="C298" t="inlineStr">
        <is>
          <t>linkedin.com/in/jaylpo</t>
        </is>
      </c>
      <c r="D298" s="206" t="inlineStr">
        <is>
          <t>jay@stage2.capital</t>
        </is>
      </c>
      <c r="E298" s="80" t="n">
        <v>45839</v>
      </c>
      <c r="F298" s="80" t="n">
        <v>45861</v>
      </c>
      <c r="G298" s="108" t="n">
        <v>46017</v>
      </c>
    </row>
    <row r="299" ht="15.75" customHeight="1" s="216">
      <c r="A299" s="87" t="inlineStr">
        <is>
          <t>George Ugras</t>
        </is>
      </c>
      <c r="B299" s="130" t="inlineStr">
        <is>
          <t>AV8 Ventures</t>
        </is>
      </c>
      <c r="C299" s="81" t="inlineStr">
        <is>
          <t>https://www.linkedin.com/in/ugras/</t>
        </is>
      </c>
      <c r="D299" s="206" t="inlineStr">
        <is>
          <t>george@av8.vc</t>
        </is>
      </c>
      <c r="E299" s="80" t="n">
        <v>45839</v>
      </c>
      <c r="F299" s="80" t="n">
        <v>45861</v>
      </c>
      <c r="G299" s="108" t="n">
        <v>46017</v>
      </c>
    </row>
    <row r="300" ht="15.75" customHeight="1" s="216">
      <c r="A300" s="87" t="inlineStr">
        <is>
          <t>Brett Battles</t>
        </is>
      </c>
      <c r="B300" s="130" t="inlineStr">
        <is>
          <t>AV8 Ventures</t>
        </is>
      </c>
      <c r="C300" t="inlineStr">
        <is>
          <t>https://www.linkedin.com/in/bbattles/</t>
        </is>
      </c>
      <c r="D300" s="206" t="inlineStr">
        <is>
          <t>brett@av8.vc</t>
        </is>
      </c>
      <c r="E300" s="80" t="n">
        <v>45839</v>
      </c>
      <c r="F300" s="80" t="n">
        <v>45861</v>
      </c>
      <c r="G300" s="108" t="n">
        <v>46017</v>
      </c>
    </row>
    <row r="301" ht="15.75" customHeight="1" s="216">
      <c r="A301" s="87" t="inlineStr">
        <is>
          <t>Shawn Kung</t>
        </is>
      </c>
      <c r="B301" s="130" t="inlineStr">
        <is>
          <t>AV8 Ventures</t>
        </is>
      </c>
      <c r="C301" t="inlineStr">
        <is>
          <t>https://www.linkedin.com/in/shawnkung/</t>
        </is>
      </c>
      <c r="D301" s="206" t="inlineStr">
        <is>
          <t>shawn@av8.vc</t>
        </is>
      </c>
      <c r="E301" s="80" t="n">
        <v>45839</v>
      </c>
      <c r="F301" s="80" t="n">
        <v>45861</v>
      </c>
      <c r="G301" s="108" t="n">
        <v>46017</v>
      </c>
    </row>
    <row r="302" ht="15.75" customHeight="1" s="216">
      <c r="A302" s="87" t="inlineStr">
        <is>
          <t>Ruchita Sinha</t>
        </is>
      </c>
      <c r="B302" s="130" t="inlineStr">
        <is>
          <t>AV8 Ventures</t>
        </is>
      </c>
      <c r="C302" t="inlineStr">
        <is>
          <t>https://www.linkedin.com/in/ruchita-sinha/</t>
        </is>
      </c>
      <c r="D302" s="206" t="inlineStr">
        <is>
          <t>ruchita@av8.vc</t>
        </is>
      </c>
      <c r="E302" s="80" t="n">
        <v>45839</v>
      </c>
      <c r="F302" s="80" t="n">
        <v>45861</v>
      </c>
      <c r="G302" s="108" t="n">
        <v>46017</v>
      </c>
    </row>
    <row r="303" ht="15.75" customHeight="1" s="216">
      <c r="A303" s="87" t="inlineStr">
        <is>
          <t>Simon Cote</t>
        </is>
      </c>
      <c r="B303" s="130" t="inlineStr">
        <is>
          <t>NA Ventures</t>
        </is>
      </c>
      <c r="C303" t="inlineStr">
        <is>
          <t>https://www.linkedin.com/in/simon-cote-35072a7/</t>
        </is>
      </c>
      <c r="D303" s="206" t="inlineStr">
        <is>
          <t>sim.cote@bnc.ca</t>
        </is>
      </c>
      <c r="E303" s="80" t="n">
        <v>45839</v>
      </c>
      <c r="F303" s="80" t="n">
        <v>45861</v>
      </c>
      <c r="G303" s="108" t="n">
        <v>46017</v>
      </c>
    </row>
    <row r="304" ht="15.75" customHeight="1" s="216">
      <c r="A304" s="87" t="inlineStr">
        <is>
          <t>the team</t>
        </is>
      </c>
      <c r="B304" s="130" t="inlineStr">
        <is>
          <t>NA Ventures</t>
        </is>
      </c>
      <c r="D304" s="114" t="inlineStr">
        <is>
          <t>NAventures@nbc.ca</t>
        </is>
      </c>
      <c r="E304" s="80" t="n">
        <v>45839</v>
      </c>
      <c r="F304" s="80" t="n">
        <v>45861</v>
      </c>
      <c r="G304" s="108" t="n">
        <v>46017</v>
      </c>
    </row>
    <row r="305" ht="15.75" customHeight="1" s="216">
      <c r="A305" s="87" t="inlineStr">
        <is>
          <t>the team</t>
        </is>
      </c>
      <c r="B305" s="130" t="inlineStr">
        <is>
          <t>Helium-3 Ventures</t>
        </is>
      </c>
      <c r="D305" s="198" t="inlineStr">
        <is>
          <t>contact@helium-3ventures.com</t>
        </is>
      </c>
      <c r="E305" s="80" t="n">
        <v>45839</v>
      </c>
      <c r="F305" s="80" t="n">
        <v>45861</v>
      </c>
      <c r="G305" s="108" t="n">
        <v>46017</v>
      </c>
    </row>
    <row r="306" ht="15.75" customHeight="1" s="216">
      <c r="A306" s="87" t="inlineStr">
        <is>
          <t>David Hendrickson</t>
        </is>
      </c>
      <c r="B306" s="130" t="inlineStr">
        <is>
          <t>Helium-3 Ventures</t>
        </is>
      </c>
      <c r="C306" t="inlineStr">
        <is>
          <t>https://www.linkedin.com/in/david-hendrickson-4aa0347/</t>
        </is>
      </c>
      <c r="D306" s="206" t="inlineStr">
        <is>
          <t>dave@helium-3ventures.com</t>
        </is>
      </c>
      <c r="E306" s="80" t="n">
        <v>45839</v>
      </c>
      <c r="F306" s="80" t="n">
        <v>45861</v>
      </c>
      <c r="G306" s="108" t="n">
        <v>46017</v>
      </c>
    </row>
    <row r="307" ht="15.75" customHeight="1" s="216">
      <c r="A307" s="125" t="inlineStr">
        <is>
          <t xml:space="preserve">John Dauer </t>
        </is>
      </c>
      <c r="B307" s="133" t="inlineStr">
        <is>
          <t>Helium-3 Ventures</t>
        </is>
      </c>
      <c r="C307" s="288" t="inlineStr">
        <is>
          <t>https://www.linkedin.com/in/john-dauer-893871141/</t>
        </is>
      </c>
      <c r="D307" s="189" t="inlineStr">
        <is>
          <t>john@helium-3ventures.com</t>
        </is>
      </c>
      <c r="E307" s="129" t="n">
        <v>45839</v>
      </c>
      <c r="F307" s="129" t="n">
        <v>45861</v>
      </c>
      <c r="G307" t="inlineStr">
        <is>
          <t>timing doesn't work</t>
        </is>
      </c>
    </row>
    <row r="308" ht="15.75" customHeight="1" s="216">
      <c r="A308" s="87" t="inlineStr">
        <is>
          <t>Matthew Bellamy</t>
        </is>
      </c>
      <c r="B308" s="130" t="inlineStr">
        <is>
          <t>Helium-3 Ventures</t>
        </is>
      </c>
      <c r="C308" t="inlineStr">
        <is>
          <t>https://www.linkedin.com/in/matthew-bellamy-331747226/</t>
        </is>
      </c>
      <c r="D308" s="206" t="inlineStr">
        <is>
          <t>matt@helium-3ventures.com</t>
        </is>
      </c>
      <c r="E308" s="80" t="n">
        <v>45839</v>
      </c>
      <c r="F308" s="80" t="n">
        <v>45861</v>
      </c>
      <c r="G308" s="108" t="n">
        <v>46017</v>
      </c>
    </row>
    <row r="309" ht="15.75" customHeight="1" s="216">
      <c r="A309" s="199" t="inlineStr">
        <is>
          <t xml:space="preserve">
Akriti Dokania</t>
        </is>
      </c>
      <c r="B309" s="130" t="inlineStr">
        <is>
          <t>Ridge Ventures</t>
        </is>
      </c>
      <c r="C309" t="inlineStr">
        <is>
          <t>linkedin.com/in/akritidokania</t>
        </is>
      </c>
      <c r="D309" s="206" t="inlineStr">
        <is>
          <t>akriti@ridge.vc</t>
        </is>
      </c>
      <c r="E309" s="80" t="n">
        <v>45839</v>
      </c>
      <c r="F309" s="80" t="n">
        <v>45861</v>
      </c>
      <c r="G309" s="108" t="n">
        <v>46017</v>
      </c>
    </row>
    <row r="310" ht="15.75" customHeight="1" s="216">
      <c r="A310" s="87" t="inlineStr">
        <is>
          <t>the team</t>
        </is>
      </c>
      <c r="B310" s="130" t="inlineStr">
        <is>
          <t>Ridge Ventures</t>
        </is>
      </c>
      <c r="D310" s="198" t="inlineStr">
        <is>
          <t>info@ridge.vc</t>
        </is>
      </c>
      <c r="E310" s="80" t="n">
        <v>45839</v>
      </c>
      <c r="F310" s="80" t="n"/>
      <c r="G310" s="108" t="n">
        <v>46017</v>
      </c>
    </row>
    <row r="311" ht="15.75" customHeight="1" s="216">
      <c r="A311" s="125" t="inlineStr">
        <is>
          <t>Yousuf Khan</t>
        </is>
      </c>
      <c r="B311" s="133" t="inlineStr">
        <is>
          <t>Ridge Ventures</t>
        </is>
      </c>
      <c r="C311" s="288" t="inlineStr">
        <is>
          <t>https://www.linkedin.com/in/yousufakhan/</t>
        </is>
      </c>
      <c r="D311" s="189" t="inlineStr">
        <is>
          <t>yousuf@ridge.vc</t>
        </is>
      </c>
      <c r="E311" s="80" t="n">
        <v>45839</v>
      </c>
      <c r="F311" t="inlineStr">
        <is>
          <t>not a good fit</t>
        </is>
      </c>
    </row>
    <row r="312" ht="15.75" customHeight="1" s="216">
      <c r="A312" s="87" t="inlineStr">
        <is>
          <t>Wendy Phillips</t>
        </is>
      </c>
      <c r="B312" s="130" t="inlineStr">
        <is>
          <t>Ridge Ventures</t>
        </is>
      </c>
      <c r="C312" t="inlineStr">
        <is>
          <t>https://www.linkedin.com/in/wendy-phillips-6234a96/</t>
        </is>
      </c>
      <c r="D312" s="206" t="inlineStr">
        <is>
          <t>wendy@ridge.vc</t>
        </is>
      </c>
      <c r="E312" s="80" t="n">
        <v>45839</v>
      </c>
      <c r="G312" s="108" t="n">
        <v>46017</v>
      </c>
    </row>
    <row r="313" ht="15.75" customHeight="1" s="216">
      <c r="A313" s="87" t="inlineStr">
        <is>
          <t>Langston Dugger</t>
        </is>
      </c>
      <c r="B313" s="130" t="inlineStr">
        <is>
          <t>Reinventure capital</t>
        </is>
      </c>
      <c r="C313" t="inlineStr">
        <is>
          <t>https://www.linkedin.com/in/langstondugger/</t>
        </is>
      </c>
      <c r="D313" s="206" t="inlineStr">
        <is>
          <t>langston@reinventurecapital.com</t>
        </is>
      </c>
      <c r="E313" s="80" t="n">
        <v>45839</v>
      </c>
      <c r="F313" s="80" t="n">
        <v>45861</v>
      </c>
      <c r="G313" s="108" t="n">
        <v>46017</v>
      </c>
      <c r="H313" s="87" t="inlineStr">
        <is>
          <t>online application: https://reinventurecapital.com/contact/</t>
        </is>
      </c>
    </row>
    <row r="314" ht="15.75" customHeight="1" s="216">
      <c r="A314" s="125" t="inlineStr">
        <is>
          <t>Zyad Wright</t>
        </is>
      </c>
      <c r="B314" s="288" t="n"/>
      <c r="C314" s="288" t="n"/>
      <c r="D314" s="189" t="inlineStr">
        <is>
          <t>zyadwright@gmail.com</t>
        </is>
      </c>
      <c r="E314" s="288" t="n"/>
      <c r="F314" s="125" t="inlineStr">
        <is>
          <t>had call on 7/1</t>
        </is>
      </c>
      <c r="G314" s="111" t="inlineStr">
        <is>
          <t>cfs2128@gmail.com - Colm ??</t>
        </is>
      </c>
    </row>
    <row r="315" ht="33" customHeight="1" s="216">
      <c r="A315" s="125" t="inlineStr">
        <is>
          <t>Bruce Blechman</t>
        </is>
      </c>
      <c r="B315" s="133" t="inlineStr">
        <is>
          <t>referred by Dereck McCarthy</t>
        </is>
      </c>
      <c r="C315" s="288" t="n"/>
      <c r="D315" s="208" t="inlineStr">
        <is>
          <t>Bruceblechman@msn.com</t>
        </is>
      </c>
      <c r="E315" s="129" t="n">
        <v>45840</v>
      </c>
      <c r="G315" s="145" t="inlineStr">
        <is>
          <t xml:space="preserve">Referrd me to Sarah and we declined to do business with her. </t>
        </is>
      </c>
    </row>
    <row r="316" ht="15.75" customHeight="1" s="216">
      <c r="A316" s="87" t="inlineStr">
        <is>
          <t>Hemant Elhence</t>
        </is>
      </c>
      <c r="B316" s="130" t="inlineStr">
        <is>
          <t>3 Lines VC</t>
        </is>
      </c>
      <c r="C316" t="inlineStr">
        <is>
          <t>https://www.linkedin.com/in/hemantelhence/</t>
        </is>
      </c>
      <c r="D316" s="206" t="inlineStr">
        <is>
          <t>hemant@3lines.vc</t>
        </is>
      </c>
      <c r="E316" s="80" t="n">
        <v>45840</v>
      </c>
      <c r="F316" s="80" t="n">
        <v>45861</v>
      </c>
      <c r="G316" s="80" t="n">
        <v>46017</v>
      </c>
      <c r="H316" s="150" t="inlineStr">
        <is>
          <t>online application: https://3lines.vc/appl</t>
        </is>
      </c>
    </row>
    <row r="317" ht="15.75" customHeight="1" s="216">
      <c r="A317" s="87" t="inlineStr">
        <is>
          <t>Sumanth Channabasappa</t>
        </is>
      </c>
      <c r="B317" s="130" t="inlineStr">
        <is>
          <t>3 Lines VC</t>
        </is>
      </c>
      <c r="C317" t="inlineStr">
        <is>
          <t>linkedin.com/in/sumanthc</t>
        </is>
      </c>
      <c r="D317" s="206" t="inlineStr">
        <is>
          <t>sumanth@3lines.vc</t>
        </is>
      </c>
      <c r="E317" s="80" t="n">
        <v>45840</v>
      </c>
      <c r="F317" s="80" t="n">
        <v>45861</v>
      </c>
      <c r="G317" s="80" t="n">
        <v>46017</v>
      </c>
    </row>
    <row r="318" ht="15.75" customHeight="1" s="216">
      <c r="A318" s="87" t="inlineStr">
        <is>
          <t>Rajiv Roy</t>
        </is>
      </c>
      <c r="B318" s="130" t="inlineStr">
        <is>
          <t>3 Lines VC</t>
        </is>
      </c>
      <c r="C318" t="inlineStr">
        <is>
          <t>https://www.linkedin.com/in/rajivroy/</t>
        </is>
      </c>
      <c r="D318" s="206" t="inlineStr">
        <is>
          <t>rajiv.roy@3lines.vc</t>
        </is>
      </c>
      <c r="E318" s="80" t="n">
        <v>45840</v>
      </c>
      <c r="F318" s="80" t="n">
        <v>45861</v>
      </c>
      <c r="G318" s="80" t="n">
        <v>46017</v>
      </c>
    </row>
    <row r="319" ht="15.75" customHeight="1" s="216">
      <c r="A319" s="87" t="inlineStr">
        <is>
          <t xml:space="preserve">Kamalesh Dwivedi </t>
        </is>
      </c>
      <c r="B319" s="130" t="inlineStr">
        <is>
          <t>3 Lines VC</t>
        </is>
      </c>
      <c r="D319" s="206" t="inlineStr">
        <is>
          <t>kamalesh.dwivedi@3lines.vc</t>
        </is>
      </c>
      <c r="E319" s="80" t="n">
        <v>45840</v>
      </c>
      <c r="F319" s="80" t="n">
        <v>45861</v>
      </c>
      <c r="G319" s="80" t="n">
        <v>46017</v>
      </c>
    </row>
    <row r="320" ht="15.75" customHeight="1" s="216">
      <c r="A320" s="87" t="inlineStr">
        <is>
          <t xml:space="preserve">Krishna Kunapuli </t>
        </is>
      </c>
      <c r="B320" s="130" t="inlineStr">
        <is>
          <t>3 Lines VC</t>
        </is>
      </c>
      <c r="C320" t="inlineStr">
        <is>
          <t>https://www.linkedin.com/in/krishna-kunapuli-3lines/</t>
        </is>
      </c>
      <c r="D320" s="206" t="inlineStr">
        <is>
          <t>krishna.kunapuli@3lines.vc</t>
        </is>
      </c>
      <c r="E320" s="80" t="n">
        <v>45840</v>
      </c>
      <c r="F320" s="80" t="n">
        <v>45861</v>
      </c>
      <c r="G320" s="80" t="n">
        <v>46017</v>
      </c>
    </row>
    <row r="321" ht="15.75" customHeight="1" s="216">
      <c r="A321" s="87" t="inlineStr">
        <is>
          <t>Pallab K. Chatterjee</t>
        </is>
      </c>
      <c r="B321" s="130" t="inlineStr">
        <is>
          <t>3 Lines VC</t>
        </is>
      </c>
      <c r="C321" t="inlineStr">
        <is>
          <t>https://www.linkedin.com/in/dr-pallab-chatterjee-854921/</t>
        </is>
      </c>
      <c r="D321" s="206" t="inlineStr">
        <is>
          <t>pallab.chatterjee@3lines.vc</t>
        </is>
      </c>
      <c r="E321" s="80" t="n">
        <v>45840</v>
      </c>
      <c r="F321" s="80" t="n">
        <v>45861</v>
      </c>
      <c r="G321" s="80" t="n">
        <v>46017</v>
      </c>
    </row>
    <row r="322" ht="15.75" customHeight="1" s="216">
      <c r="A322" s="87" t="inlineStr">
        <is>
          <t>Zach Ellis</t>
        </is>
      </c>
      <c r="B322" s="130" t="inlineStr">
        <is>
          <t>South Loop VC</t>
        </is>
      </c>
      <c r="C322" t="inlineStr">
        <is>
          <t>https://www.linkedin.com/in/zacharyellisjr/</t>
        </is>
      </c>
      <c r="D322" s="206" t="inlineStr">
        <is>
          <t>zach@southloop.vc</t>
        </is>
      </c>
      <c r="E322" s="80" t="n">
        <v>45840</v>
      </c>
      <c r="F322" s="80" t="n">
        <v>45861</v>
      </c>
      <c r="G322" s="80" t="n">
        <v>46017</v>
      </c>
      <c r="H322" s="150" t="inlineStr">
        <is>
          <t>online application: https://www.southloop.vc/contact</t>
        </is>
      </c>
    </row>
    <row r="323" ht="15.75" customHeight="1" s="216">
      <c r="A323" s="87" t="inlineStr">
        <is>
          <t>Blair Garrou</t>
        </is>
      </c>
      <c r="B323" s="130" t="inlineStr">
        <is>
          <t>South Loop VC</t>
        </is>
      </c>
      <c r="C323" t="inlineStr">
        <is>
          <t>https://www.linkedin.com/in/bgarrou/</t>
        </is>
      </c>
      <c r="D323" s="206" t="inlineStr">
        <is>
          <t>bgarrou@gmail.com</t>
        </is>
      </c>
      <c r="E323" s="80" t="n">
        <v>45840</v>
      </c>
      <c r="F323" s="80" t="n">
        <v>45861</v>
      </c>
      <c r="G323" s="80" t="n">
        <v>46017</v>
      </c>
    </row>
    <row r="324" ht="15.75" customHeight="1" s="216">
      <c r="A324" s="87" t="inlineStr">
        <is>
          <t>Shane Feldberg</t>
        </is>
      </c>
      <c r="B324" s="130" t="inlineStr">
        <is>
          <t>Feld Ventures</t>
        </is>
      </c>
      <c r="C324" t="inlineStr">
        <is>
          <t>https://www.linkedin.com/in/shane-feldberg-4b6966b6/</t>
        </is>
      </c>
      <c r="D324" s="206" t="inlineStr">
        <is>
          <t>shane@feldventures.com</t>
        </is>
      </c>
      <c r="E324" s="80" t="n">
        <v>45840</v>
      </c>
      <c r="F324" s="80" t="n">
        <v>45861</v>
      </c>
      <c r="G324" s="80" t="n">
        <v>46017</v>
      </c>
      <c r="H324" s="150" t="inlineStr">
        <is>
          <t>online application: https://feldventures.com/contact-us/</t>
        </is>
      </c>
    </row>
    <row r="325" ht="15.75" customHeight="1" s="216">
      <c r="A325" s="87" t="inlineStr">
        <is>
          <t>Adam Liposky</t>
        </is>
      </c>
      <c r="B325" s="130" t="inlineStr">
        <is>
          <t>Feld Ventures</t>
        </is>
      </c>
      <c r="C325" t="inlineStr">
        <is>
          <t>linkedin.com/in/adamliposky</t>
        </is>
      </c>
      <c r="D325" s="206" t="inlineStr">
        <is>
          <t>adam@feldventures.com</t>
        </is>
      </c>
      <c r="E325" s="80" t="n">
        <v>45840</v>
      </c>
      <c r="F325" s="80" t="n">
        <v>45861</v>
      </c>
      <c r="G325" s="80" t="n">
        <v>46017</v>
      </c>
    </row>
    <row r="326" ht="15.75" customHeight="1" s="216">
      <c r="A326" s="87" t="inlineStr">
        <is>
          <t>John Lema</t>
        </is>
      </c>
      <c r="B326" s="130" t="inlineStr">
        <is>
          <t>Feld Ventures</t>
        </is>
      </c>
      <c r="C326" t="inlineStr">
        <is>
          <t>linkedin.com/in/johnlema</t>
        </is>
      </c>
      <c r="D326" s="206" t="inlineStr">
        <is>
          <t>john@feldventures.com</t>
        </is>
      </c>
      <c r="E326" s="80" t="n">
        <v>45840</v>
      </c>
      <c r="F326" s="80" t="n">
        <v>45861</v>
      </c>
      <c r="G326" s="80" t="n">
        <v>46017</v>
      </c>
    </row>
    <row r="327" ht="15.75" customHeight="1" s="216">
      <c r="A327" s="87" t="inlineStr">
        <is>
          <t xml:space="preserve">Dmitry Alimov </t>
        </is>
      </c>
      <c r="B327" s="130" t="inlineStr">
        <is>
          <t>Frontier Ventures</t>
        </is>
      </c>
      <c r="C327" t="inlineStr">
        <is>
          <t>https://www.linkedin.com/in/dalimov/</t>
        </is>
      </c>
      <c r="D327" s="206" t="inlineStr">
        <is>
          <t>dmitry@frontier.ventures</t>
        </is>
      </c>
      <c r="E327" s="80" t="n">
        <v>45840</v>
      </c>
      <c r="F327" s="80" t="n">
        <v>45861</v>
      </c>
      <c r="G327" s="80" t="n">
        <v>46017</v>
      </c>
      <c r="H327" s="150" t="inlineStr">
        <is>
          <t>online application: https://frontier.ventures/contacts/</t>
        </is>
      </c>
    </row>
    <row r="328" ht="15.75" customHeight="1" s="216">
      <c r="A328" s="87" t="inlineStr">
        <is>
          <t>Najam Kidwai</t>
        </is>
      </c>
      <c r="B328" s="130" t="inlineStr">
        <is>
          <t>Frontier Ventures</t>
        </is>
      </c>
      <c r="C328" t="inlineStr">
        <is>
          <t>https://www.linkedin.com/in/najamkidwai/</t>
        </is>
      </c>
      <c r="D328" s="206" t="inlineStr">
        <is>
          <t>ir@frontier.ventures</t>
        </is>
      </c>
      <c r="E328" s="80" t="n">
        <v>45840</v>
      </c>
      <c r="F328" s="80" t="n">
        <v>45861</v>
      </c>
      <c r="G328" s="80" t="n">
        <v>46017</v>
      </c>
    </row>
    <row r="329" ht="15.75" customHeight="1" s="216">
      <c r="A329" s="87" t="inlineStr">
        <is>
          <t>Fabian Flatz</t>
        </is>
      </c>
      <c r="B329" s="130" t="inlineStr">
        <is>
          <t>Frontier Ventures</t>
        </is>
      </c>
      <c r="C329" t="inlineStr">
        <is>
          <t>https://www.linkedin.com/in/fabian-flatz/</t>
        </is>
      </c>
      <c r="D329" s="206" t="inlineStr">
        <is>
          <t>fabian@frontier.ventures</t>
        </is>
      </c>
      <c r="E329" s="80" t="n">
        <v>45840</v>
      </c>
      <c r="F329" s="80" t="n">
        <v>45861</v>
      </c>
      <c r="G329" s="80" t="n">
        <v>46017</v>
      </c>
    </row>
    <row r="330" ht="15.75" customHeight="1" s="216">
      <c r="A330" s="125" t="inlineStr">
        <is>
          <t>Jake Fuchs</t>
        </is>
      </c>
      <c r="B330" s="133" t="inlineStr">
        <is>
          <t>Bank Tech Ventures</t>
        </is>
      </c>
      <c r="C330" s="288" t="inlineStr">
        <is>
          <t>https://www.linkedin.com/in/jake-fuchs-7b5ab472/</t>
        </is>
      </c>
      <c r="D330" s="189" t="inlineStr">
        <is>
          <t>jake@banktechventures.com</t>
        </is>
      </c>
      <c r="E330" s="129" t="n">
        <v>45840</v>
      </c>
      <c r="G330" s="80" t="n">
        <v>46017</v>
      </c>
      <c r="I330" s="114" t="inlineStr">
        <is>
          <t>doesn't align with thesis</t>
        </is>
      </c>
    </row>
    <row r="331" ht="15.75" customHeight="1" s="216">
      <c r="A331" s="125" t="inlineStr">
        <is>
          <t>Katie Quilligan</t>
        </is>
      </c>
      <c r="B331" s="133" t="inlineStr">
        <is>
          <t>Bank Tech Ventures</t>
        </is>
      </c>
      <c r="C331" s="125" t="inlineStr">
        <is>
          <t>https://www.linkedin.com/in/katie-quilligan-207/</t>
        </is>
      </c>
      <c r="D331" s="189" t="inlineStr">
        <is>
          <t>katie@banktechventures.com</t>
        </is>
      </c>
      <c r="E331" s="129" t="n">
        <v>45840</v>
      </c>
      <c r="G331" s="80" t="n">
        <v>46017</v>
      </c>
    </row>
    <row r="332" ht="15.75" customHeight="1" s="216">
      <c r="A332" s="87" t="inlineStr">
        <is>
          <t>Jason Fiedler</t>
        </is>
      </c>
      <c r="B332" s="130" t="inlineStr">
        <is>
          <t>Left Lane Capital</t>
        </is>
      </c>
      <c r="C332" t="inlineStr">
        <is>
          <t>https://www.linkedin.com/in/fiedlerjason/</t>
        </is>
      </c>
      <c r="D332" s="206" t="inlineStr">
        <is>
          <t>jason@leftlanecap.com</t>
        </is>
      </c>
      <c r="E332" s="80" t="n">
        <v>45840</v>
      </c>
      <c r="F332" s="80" t="n">
        <v>45861</v>
      </c>
      <c r="G332" s="80" t="n">
        <v>46017</v>
      </c>
    </row>
    <row r="333" ht="15.75" customHeight="1" s="216">
      <c r="A333" s="87" t="inlineStr">
        <is>
          <t xml:space="preserve">Vinny Pujji </t>
        </is>
      </c>
      <c r="B333" s="130" t="inlineStr">
        <is>
          <t>Left Lane Capital</t>
        </is>
      </c>
      <c r="C333" t="inlineStr">
        <is>
          <t>https://www.linkedin.com/in/vpujji/</t>
        </is>
      </c>
      <c r="D333" s="206" t="inlineStr">
        <is>
          <t>vinny@leftlanecap.com</t>
        </is>
      </c>
      <c r="E333" s="80" t="n">
        <v>45840</v>
      </c>
      <c r="F333" s="80" t="n">
        <v>45861</v>
      </c>
      <c r="G333" s="80" t="n">
        <v>46017</v>
      </c>
    </row>
    <row r="334" ht="15.75" customHeight="1" s="216">
      <c r="A334" s="87" t="inlineStr">
        <is>
          <t>Harley Miller</t>
        </is>
      </c>
      <c r="B334" s="130" t="inlineStr">
        <is>
          <t>Left Lane Capital</t>
        </is>
      </c>
      <c r="C334" t="inlineStr">
        <is>
          <t>https://www.linkedin.com/in/harley-miller-4aab0521/</t>
        </is>
      </c>
      <c r="D334" s="206" t="inlineStr">
        <is>
          <t>harley@leftlanecap.com</t>
        </is>
      </c>
      <c r="E334" s="80" t="n">
        <v>45840</v>
      </c>
      <c r="F334" s="80" t="n">
        <v>45861</v>
      </c>
      <c r="G334" s="80" t="n">
        <v>46017</v>
      </c>
    </row>
    <row r="335" ht="15.75" customHeight="1" s="216">
      <c r="A335" s="87" t="inlineStr">
        <is>
          <t>Dan Ahrens</t>
        </is>
      </c>
      <c r="B335" s="130" t="inlineStr">
        <is>
          <t>Left Lane Capital</t>
        </is>
      </c>
      <c r="C335" t="inlineStr">
        <is>
          <t>https://www.linkedin.com/in/dan-ahrens-bb77a337/</t>
        </is>
      </c>
      <c r="D335" s="206" t="inlineStr">
        <is>
          <t>dan@leftlanecap.com</t>
        </is>
      </c>
      <c r="E335" s="80" t="n">
        <v>45840</v>
      </c>
      <c r="F335" s="80" t="n">
        <v>45861</v>
      </c>
      <c r="G335" s="80" t="n">
        <v>46017</v>
      </c>
    </row>
    <row r="336" ht="15.75" customHeight="1" s="216">
      <c r="A336" s="87" t="inlineStr">
        <is>
          <t>contact page</t>
        </is>
      </c>
      <c r="B336" s="130" t="inlineStr">
        <is>
          <t>Flare Capital</t>
        </is>
      </c>
      <c r="D336" s="206" t="n"/>
      <c r="E336" s="80" t="n">
        <v>45840</v>
      </c>
      <c r="F336" s="80" t="n">
        <v>45861</v>
      </c>
      <c r="G336" s="80" t="n">
        <v>46017</v>
      </c>
    </row>
    <row r="337" ht="15.75" customHeight="1" s="216">
      <c r="A337" s="87" t="inlineStr">
        <is>
          <t>Victor Lanio</t>
        </is>
      </c>
      <c r="B337" s="130" t="inlineStr">
        <is>
          <t>Flare Capital</t>
        </is>
      </c>
      <c r="C337" t="inlineStr">
        <is>
          <t>linkedin.com/in/victor-lanio-2976a921</t>
        </is>
      </c>
      <c r="D337" s="206" t="inlineStr">
        <is>
          <t>vic@flarecapital.com</t>
        </is>
      </c>
      <c r="E337" s="80" t="n">
        <v>45840</v>
      </c>
      <c r="F337" s="80" t="n">
        <v>45861</v>
      </c>
      <c r="G337" s="80" t="n">
        <v>46017</v>
      </c>
    </row>
    <row r="338" ht="15.75" customHeight="1" s="216">
      <c r="A338" s="87" t="inlineStr">
        <is>
          <t xml:space="preserve">Bill Geary </t>
        </is>
      </c>
      <c r="B338" s="130" t="inlineStr">
        <is>
          <t>Flare Capital</t>
        </is>
      </c>
      <c r="C338" t="inlineStr">
        <is>
          <t>linkedin.com/in/bgeary</t>
        </is>
      </c>
      <c r="D338" s="206" t="inlineStr">
        <is>
          <t>bill@flarecapital.com</t>
        </is>
      </c>
      <c r="E338" s="80" t="n">
        <v>45840</v>
      </c>
      <c r="F338" s="80" t="n">
        <v>45861</v>
      </c>
      <c r="G338" s="80" t="n">
        <v>46017</v>
      </c>
    </row>
    <row r="339" ht="15.75" customHeight="1" s="216">
      <c r="A339" s="87" t="inlineStr">
        <is>
          <t>Dan Gebremedhin</t>
        </is>
      </c>
      <c r="B339" s="130" t="inlineStr">
        <is>
          <t>Flare Capital</t>
        </is>
      </c>
      <c r="C339" t="inlineStr">
        <is>
          <t>linkedin.com/in/dgebremedhin</t>
        </is>
      </c>
      <c r="D339" s="206" t="inlineStr">
        <is>
          <t>dan@flarecapital.com</t>
        </is>
      </c>
      <c r="E339" s="80" t="n">
        <v>45840</v>
      </c>
      <c r="F339" s="80" t="n">
        <v>45861</v>
      </c>
      <c r="G339" s="80" t="n">
        <v>46017</v>
      </c>
    </row>
    <row r="340" ht="15.75" customHeight="1" s="216">
      <c r="A340" s="87" t="inlineStr">
        <is>
          <t xml:space="preserve">Michael Greeley </t>
        </is>
      </c>
      <c r="B340" s="130" t="inlineStr">
        <is>
          <t>Flare Capital</t>
        </is>
      </c>
      <c r="C340" t="inlineStr">
        <is>
          <t>https://www.linkedin.com/in/michaelagreeley/</t>
        </is>
      </c>
      <c r="D340" s="206" t="inlineStr">
        <is>
          <t>michael@flarecapital.com</t>
        </is>
      </c>
      <c r="E340" s="80" t="n">
        <v>45840</v>
      </c>
      <c r="F340" s="80" t="n">
        <v>45861</v>
      </c>
      <c r="G340" s="80" t="n">
        <v>46017</v>
      </c>
    </row>
    <row r="341" ht="15.75" customHeight="1" s="216">
      <c r="A341" s="87" t="inlineStr">
        <is>
          <t>Ian Chiang</t>
        </is>
      </c>
      <c r="B341" s="130" t="inlineStr">
        <is>
          <t>Flare Capital</t>
        </is>
      </c>
      <c r="C341" t="inlineStr">
        <is>
          <t>https://www.linkedin.com/in/ian-chiang-mba/</t>
        </is>
      </c>
      <c r="D341" s="206" t="inlineStr">
        <is>
          <t>ian@flarecapital.com</t>
        </is>
      </c>
      <c r="E341" s="80" t="n">
        <v>45840</v>
      </c>
      <c r="F341" s="80" t="n">
        <v>45861</v>
      </c>
      <c r="G341" s="80" t="n">
        <v>46017</v>
      </c>
    </row>
    <row r="342" ht="15.75" customHeight="1" s="216">
      <c r="A342" s="87" t="inlineStr">
        <is>
          <t>Johnathon George</t>
        </is>
      </c>
      <c r="B342" s="130" t="inlineStr">
        <is>
          <t>Flare Capital</t>
        </is>
      </c>
      <c r="C342" t="inlineStr">
        <is>
          <t>https://www.linkedin.com/in/jonathongeorge/</t>
        </is>
      </c>
      <c r="D342" s="206" t="inlineStr">
        <is>
          <t>jon@flarecapital.com</t>
        </is>
      </c>
      <c r="E342" s="80" t="n">
        <v>45840</v>
      </c>
      <c r="F342" s="80" t="n">
        <v>45861</v>
      </c>
      <c r="G342" s="80" t="n">
        <v>46017</v>
      </c>
    </row>
    <row r="343" ht="15.75" customHeight="1" s="216">
      <c r="A343" s="87" t="inlineStr">
        <is>
          <t>Allan Gobbs</t>
        </is>
      </c>
      <c r="B343" s="130" t="inlineStr">
        <is>
          <t>ATEM Capital</t>
        </is>
      </c>
      <c r="C343" s="81" t="inlineStr">
        <is>
          <t>https://www.linkedin.com/in/gobbs/</t>
        </is>
      </c>
      <c r="D343" s="206" t="inlineStr">
        <is>
          <t>ag@atemcap.com</t>
        </is>
      </c>
      <c r="E343" s="80" t="n">
        <v>45841</v>
      </c>
      <c r="F343" s="80" t="n">
        <v>45861</v>
      </c>
      <c r="G343" s="80" t="n">
        <v>46017</v>
      </c>
    </row>
    <row r="344" ht="15.75" customHeight="1" s="216">
      <c r="A344" s="87" t="inlineStr">
        <is>
          <t>Elena Maley</t>
        </is>
      </c>
      <c r="B344" s="130" t="inlineStr">
        <is>
          <t>ATEM Capital</t>
        </is>
      </c>
      <c r="C344" t="inlineStr">
        <is>
          <t>https://www.linkedin.com/in/elena-maley-96627914/</t>
        </is>
      </c>
      <c r="D344" s="206" t="inlineStr">
        <is>
          <t>em@atemcap.com</t>
        </is>
      </c>
      <c r="E344" s="80" t="n">
        <v>45841</v>
      </c>
      <c r="F344" s="80" t="n">
        <v>45861</v>
      </c>
      <c r="G344" s="80" t="n">
        <v>46017</v>
      </c>
    </row>
    <row r="345" ht="15.75" customHeight="1" s="216">
      <c r="A345" s="87" t="inlineStr">
        <is>
          <t>Chuck Stormon</t>
        </is>
      </c>
      <c r="B345" s="130" t="inlineStr">
        <is>
          <t>StartFast Ventures</t>
        </is>
      </c>
      <c r="C345" s="81" t="inlineStr">
        <is>
          <t>https://www.linkedin.com/in/chuckstormon</t>
        </is>
      </c>
      <c r="D345" s="206" t="inlineStr">
        <is>
          <t>chuck@startfastventures.com</t>
        </is>
      </c>
      <c r="E345" s="80" t="n">
        <v>45841</v>
      </c>
      <c r="F345" s="80" t="n">
        <v>45861</v>
      </c>
      <c r="G345" s="80" t="n">
        <v>46017</v>
      </c>
    </row>
    <row r="346" ht="15.75" customHeight="1" s="216">
      <c r="A346" s="87" t="inlineStr">
        <is>
          <t>Olivia Goldstein</t>
        </is>
      </c>
      <c r="B346" s="130" t="inlineStr">
        <is>
          <t>StartFast Ventures</t>
        </is>
      </c>
      <c r="C346" t="inlineStr">
        <is>
          <t>https://www.linkedin.com/in/oliviagoldstein/</t>
        </is>
      </c>
      <c r="D346" s="206" t="inlineStr">
        <is>
          <t>olivia@startfastventures.com</t>
        </is>
      </c>
      <c r="E346" s="80" t="n">
        <v>45841</v>
      </c>
      <c r="F346" s="80" t="n">
        <v>45861</v>
      </c>
      <c r="G346" s="80" t="n">
        <v>46017</v>
      </c>
    </row>
    <row r="347" ht="15.75" customHeight="1" s="216">
      <c r="A347" s="87" t="inlineStr">
        <is>
          <t xml:space="preserve">Nasir Ali </t>
        </is>
      </c>
      <c r="B347" s="130" t="inlineStr">
        <is>
          <t>StartFast Ventures</t>
        </is>
      </c>
      <c r="C347" t="inlineStr">
        <is>
          <t>linkedin.com/in/snasirali</t>
        </is>
      </c>
      <c r="D347" s="206" t="inlineStr">
        <is>
          <t>nasir@startfastventures.com</t>
        </is>
      </c>
      <c r="E347" s="80" t="n">
        <v>45841</v>
      </c>
      <c r="F347" s="80" t="n">
        <v>45861</v>
      </c>
      <c r="G347" s="80" t="n">
        <v>46017</v>
      </c>
    </row>
    <row r="348" ht="15.75" customHeight="1" s="216">
      <c r="A348" s="87" t="inlineStr">
        <is>
          <t>the team</t>
        </is>
      </c>
      <c r="B348" s="130" t="inlineStr">
        <is>
          <t>StartFast Ventures</t>
        </is>
      </c>
      <c r="D348" s="198" t="inlineStr">
        <is>
          <t>myco@startfastventures.com</t>
        </is>
      </c>
      <c r="E348" s="80" t="n">
        <v>45861</v>
      </c>
      <c r="G348" s="80" t="n">
        <v>46017</v>
      </c>
    </row>
    <row r="349" ht="15.75" customHeight="1" s="216">
      <c r="A349" s="125" t="inlineStr">
        <is>
          <t>Steve Kiser</t>
        </is>
      </c>
      <c r="B349" s="133" t="inlineStr">
        <is>
          <t>Veteran Ventures</t>
        </is>
      </c>
      <c r="C349" s="288" t="n"/>
      <c r="D349" s="276" t="inlineStr">
        <is>
          <t>steve@veteranventures.us</t>
        </is>
      </c>
      <c r="E349" s="80" t="n">
        <v>45782</v>
      </c>
      <c r="F349" s="80" t="n">
        <v>45845</v>
      </c>
      <c r="H349" t="inlineStr">
        <is>
          <t>replied on 5/6</t>
        </is>
      </c>
      <c r="I349" s="220" t="n">
        <v>45861</v>
      </c>
    </row>
    <row r="350" ht="15.75" customHeight="1" s="216">
      <c r="A350" s="125" t="inlineStr">
        <is>
          <t>the team</t>
        </is>
      </c>
      <c r="B350" s="133" t="inlineStr">
        <is>
          <t>Framework VC</t>
        </is>
      </c>
      <c r="C350" s="288" t="inlineStr">
        <is>
          <t>https://www.linkedin.com/company/frameworkventures/</t>
        </is>
      </c>
      <c r="D350" s="281" t="inlineStr">
        <is>
          <t>startups@framework.vc</t>
        </is>
      </c>
      <c r="E350" s="129" t="n">
        <v>45845</v>
      </c>
      <c r="G350" s="87" t="inlineStr">
        <is>
          <t>only invests in softwarre</t>
        </is>
      </c>
    </row>
    <row r="351" ht="15.75" customHeight="1" s="216">
      <c r="A351" s="125" t="inlineStr">
        <is>
          <t>Jim Texier</t>
        </is>
      </c>
      <c r="B351" s="133" t="inlineStr">
        <is>
          <t>Framework VC</t>
        </is>
      </c>
      <c r="C351" s="288" t="inlineStr">
        <is>
          <t>linkedin.com/in/texierjm</t>
        </is>
      </c>
      <c r="D351" s="189" t="inlineStr">
        <is>
          <t>jim@framework.vc</t>
        </is>
      </c>
      <c r="E351" s="129" t="n">
        <v>45845</v>
      </c>
    </row>
    <row r="352" ht="15.75" customHeight="1" s="216">
      <c r="A352" s="125" t="inlineStr">
        <is>
          <t>Ajay Gopal</t>
        </is>
      </c>
      <c r="B352" s="133" t="inlineStr">
        <is>
          <t>Framework VC</t>
        </is>
      </c>
      <c r="C352" s="288" t="inlineStr">
        <is>
          <t>https://www.linkedin.com/in/ajay-gopal-815a3159/</t>
        </is>
      </c>
      <c r="D352" s="189" t="inlineStr">
        <is>
          <t>ajay@framework.vc</t>
        </is>
      </c>
      <c r="E352" s="129" t="n">
        <v>45845</v>
      </c>
      <c r="F352" s="87" t="inlineStr">
        <is>
          <t>out of office till 7/14</t>
        </is>
      </c>
    </row>
    <row r="353" ht="15.75" customHeight="1" s="216">
      <c r="A353" s="125" t="inlineStr">
        <is>
          <t xml:space="preserve">Mike Dobbins </t>
        </is>
      </c>
      <c r="B353" s="133" t="inlineStr">
        <is>
          <t>Framework VC</t>
        </is>
      </c>
      <c r="C353" s="288" t="inlineStr">
        <is>
          <t>https://www.linkedin.com/in/mike-dobbins-a5a7241/</t>
        </is>
      </c>
      <c r="D353" s="189" t="inlineStr">
        <is>
          <t>mike@framework.vc</t>
        </is>
      </c>
      <c r="E353" s="129" t="n">
        <v>45845</v>
      </c>
    </row>
    <row r="354" ht="15.75" customHeight="1" s="216">
      <c r="A354" s="125" t="inlineStr">
        <is>
          <t xml:space="preserve">Peter Misek </t>
        </is>
      </c>
      <c r="B354" s="133" t="inlineStr">
        <is>
          <t>Framework VC</t>
        </is>
      </c>
      <c r="C354" s="125" t="inlineStr">
        <is>
          <t>https://www.linkedin.com/in/peter-misek-3191394/</t>
        </is>
      </c>
      <c r="D354" s="189" t="inlineStr">
        <is>
          <t>peter@framework.vc</t>
        </is>
      </c>
      <c r="E354" s="129" t="n">
        <v>45845</v>
      </c>
    </row>
    <row r="355" ht="15.75" customHeight="1" s="216">
      <c r="A355" s="87" t="inlineStr">
        <is>
          <t>the team</t>
        </is>
      </c>
      <c r="B355" s="130" t="inlineStr">
        <is>
          <t>Pari Passu Venture Partners</t>
        </is>
      </c>
      <c r="D355" s="114" t="inlineStr">
        <is>
          <t>partners@ppvp.com</t>
        </is>
      </c>
      <c r="E355" s="80" t="n">
        <v>45845</v>
      </c>
      <c r="F355" s="80" t="n">
        <v>45861</v>
      </c>
      <c r="G355" s="80" t="n">
        <v>46017</v>
      </c>
    </row>
    <row r="356" ht="15.75" customHeight="1" s="216">
      <c r="A356" s="87" t="inlineStr">
        <is>
          <t>Kyle Widrick</t>
        </is>
      </c>
      <c r="B356" s="130" t="inlineStr">
        <is>
          <t>Pari Passu Venture Partners</t>
        </is>
      </c>
      <c r="C356" t="inlineStr">
        <is>
          <t>https://www.linkedin.com/in/kwidrick/</t>
        </is>
      </c>
      <c r="D356" s="206" t="inlineStr">
        <is>
          <t>kyle@ppvp.com</t>
        </is>
      </c>
      <c r="E356" s="80" t="n">
        <v>45845</v>
      </c>
      <c r="F356" s="80" t="n">
        <v>45861</v>
      </c>
      <c r="G356" s="80" t="n">
        <v>46017</v>
      </c>
    </row>
    <row r="357" ht="15.75" customHeight="1" s="216">
      <c r="A357" s="87" t="inlineStr">
        <is>
          <t>Julia Gudish Krieger</t>
        </is>
      </c>
      <c r="B357" s="130" t="inlineStr">
        <is>
          <t>Pari Passu Venture Partners</t>
        </is>
      </c>
      <c r="C357" t="inlineStr">
        <is>
          <t>https://www.linkedin.com/in/yuliyagudish/</t>
        </is>
      </c>
      <c r="D357" s="206" t="inlineStr">
        <is>
          <t>julia@ppvp.com</t>
        </is>
      </c>
      <c r="E357" s="80" t="n">
        <v>45845</v>
      </c>
      <c r="F357" s="80" t="n">
        <v>45861</v>
      </c>
      <c r="G357" s="80" t="n">
        <v>46017</v>
      </c>
    </row>
    <row r="358" ht="15.75" customHeight="1" s="216">
      <c r="A358" s="125" t="inlineStr">
        <is>
          <t>Andrew J. Buchholtz and David Ford</t>
        </is>
      </c>
      <c r="B358" s="277" t="inlineStr">
        <is>
          <t>A.Buchholtz &amp; Company, LLC</t>
        </is>
      </c>
      <c r="C358" s="288" t="n"/>
      <c r="D358" s="126" t="inlineStr">
        <is>
          <t xml:space="preserve"> Andy@abuchholtz.com &amp; df@silverpeakib.com</t>
        </is>
      </c>
      <c r="E358" s="129" t="n">
        <v>45846</v>
      </c>
      <c r="G358" s="150" t="inlineStr">
        <is>
          <t>had a call, sent deck</t>
        </is>
      </c>
    </row>
    <row r="359" ht="15.75" customHeight="1" s="216">
      <c r="A359" s="87" t="inlineStr">
        <is>
          <t>the team</t>
        </is>
      </c>
      <c r="B359" s="130" t="inlineStr">
        <is>
          <t>Arbor Ventures</t>
        </is>
      </c>
      <c r="D359" s="114" t="inlineStr">
        <is>
          <t>info@arborventures.com</t>
        </is>
      </c>
      <c r="E359" s="80" t="n">
        <v>45846</v>
      </c>
      <c r="F359" s="80" t="n">
        <v>45861</v>
      </c>
      <c r="G359" s="80" t="n">
        <v>46017</v>
      </c>
    </row>
    <row r="360" ht="15.75" customHeight="1" s="216">
      <c r="A360" s="87" t="inlineStr">
        <is>
          <t>Wei Hopeman</t>
        </is>
      </c>
      <c r="B360" s="130" t="inlineStr">
        <is>
          <t>Arbor Ventures</t>
        </is>
      </c>
      <c r="C360" t="inlineStr">
        <is>
          <t>https://www.linkedin.com/in/whopeman/</t>
        </is>
      </c>
      <c r="D360" s="206" t="inlineStr">
        <is>
          <t>whopeman@arborventures.com</t>
        </is>
      </c>
      <c r="E360" s="80" t="n">
        <v>45846</v>
      </c>
      <c r="F360" s="80" t="n">
        <v>45861</v>
      </c>
      <c r="G360" s="80" t="n">
        <v>46017</v>
      </c>
    </row>
    <row r="361" ht="15.75" customHeight="1" s="216">
      <c r="A361" s="87" t="inlineStr">
        <is>
          <t>Stephanie Baum‑Zepeda</t>
        </is>
      </c>
      <c r="B361" s="130" t="inlineStr">
        <is>
          <t>Arbor Ventures</t>
        </is>
      </c>
      <c r="C361" t="inlineStr">
        <is>
          <t>https://www.linkedin.com/in/baumzepedastephanie/</t>
        </is>
      </c>
      <c r="D361" s="206" t="inlineStr">
        <is>
          <t>stephanie@arborventures.com</t>
        </is>
      </c>
      <c r="E361" s="80" t="n">
        <v>45846</v>
      </c>
      <c r="F361" s="80" t="n">
        <v>45861</v>
      </c>
      <c r="G361" s="80" t="n">
        <v>46017</v>
      </c>
    </row>
    <row r="362" ht="15.75" customHeight="1" s="216">
      <c r="A362" s="125" t="inlineStr">
        <is>
          <t xml:space="preserve">Khaled Lababidi </t>
        </is>
      </c>
      <c r="B362" s="133" t="inlineStr">
        <is>
          <t>Arbor Ventures</t>
        </is>
      </c>
      <c r="C362" s="288" t="inlineStr">
        <is>
          <t>https://www.linkedin.com/in/khaled-lababidi-5793414/</t>
        </is>
      </c>
      <c r="D362" s="189" t="inlineStr">
        <is>
          <t>khaled@arborventures.com</t>
        </is>
      </c>
      <c r="E362" s="129" t="n">
        <v>45846</v>
      </c>
      <c r="F362" s="129" t="n">
        <v>45861</v>
      </c>
    </row>
    <row r="363" ht="15.75" customHeight="1" s="216">
      <c r="A363" s="87" t="inlineStr">
        <is>
          <t>Melissa Cannon Guzy</t>
        </is>
      </c>
      <c r="B363" s="130" t="inlineStr">
        <is>
          <t>Arbor Ventures</t>
        </is>
      </c>
      <c r="C363" s="87" t="inlineStr">
        <is>
          <t>https://www.linkedin.com/in/melissa-c-guzy</t>
        </is>
      </c>
      <c r="D363" s="206" t="inlineStr">
        <is>
          <t>melissa@arborventures.com</t>
        </is>
      </c>
      <c r="E363" s="80" t="n">
        <v>45846</v>
      </c>
      <c r="F363" s="80" t="n">
        <v>45861</v>
      </c>
      <c r="G363" s="80" t="n">
        <v>46017</v>
      </c>
    </row>
    <row r="364" ht="15.75" customHeight="1" s="216">
      <c r="A364" s="87" t="inlineStr">
        <is>
          <t>Matt Dill</t>
        </is>
      </c>
      <c r="B364" s="130" t="inlineStr">
        <is>
          <t>Arbor Ventures</t>
        </is>
      </c>
      <c r="D364" s="206" t="inlineStr">
        <is>
          <t>matt@arborventures.com</t>
        </is>
      </c>
      <c r="E364" s="80" t="n">
        <v>45846</v>
      </c>
      <c r="F364" s="80" t="n">
        <v>45861</v>
      </c>
      <c r="G364" s="80" t="n">
        <v>46017</v>
      </c>
    </row>
    <row r="365" ht="15.75" customHeight="1" s="216">
      <c r="A365" t="inlineStr">
        <is>
          <t>the team</t>
        </is>
      </c>
      <c r="B365" s="130" t="inlineStr">
        <is>
          <t>Touchdown Ventures / Cerity Partner Ventures</t>
        </is>
      </c>
      <c r="D365" s="114" t="inlineStr">
        <is>
          <t>contact page on site</t>
        </is>
      </c>
      <c r="E365" s="80" t="n">
        <v>45846</v>
      </c>
      <c r="F365" s="80" t="n"/>
      <c r="I365" s="199" t="inlineStr">
        <is>
          <t>I sent in request on contact page</t>
        </is>
      </c>
    </row>
    <row r="366" ht="15.75" customHeight="1" s="216">
      <c r="A366" t="inlineStr">
        <is>
          <t>Kurt Miscinski</t>
        </is>
      </c>
      <c r="B366" s="130" t="inlineStr">
        <is>
          <t>Touchdown Ventures / Cerity Partner Ventures</t>
        </is>
      </c>
      <c r="C366" s="111" t="inlineStr">
        <is>
          <t>https://www.linkedin.com/in/kurtmiscinski/</t>
        </is>
      </c>
      <c r="D366" s="210" t="inlineStr">
        <is>
          <t>kmiscinski@ceritypartners.com</t>
        </is>
      </c>
      <c r="E366" s="80" t="n">
        <v>45846</v>
      </c>
      <c r="F366" s="80" t="n">
        <v>45861</v>
      </c>
      <c r="G366" s="80" t="n">
        <v>46017</v>
      </c>
    </row>
    <row r="367" ht="15.75" customHeight="1" s="216">
      <c r="A367" t="inlineStr">
        <is>
          <t>Peter Martin</t>
        </is>
      </c>
      <c r="B367" s="130" t="inlineStr">
        <is>
          <t>Touchdown Ventures / Cerity Partner Ventures</t>
        </is>
      </c>
      <c r="C367" s="111" t="inlineStr">
        <is>
          <t>https://www.linkedin.com/in/peter-martin-fw76008/</t>
        </is>
      </c>
      <c r="D367" s="210" t="inlineStr">
        <is>
          <t>pmartin@ceritypartners.com</t>
        </is>
      </c>
      <c r="E367" s="80" t="n">
        <v>45846</v>
      </c>
      <c r="F367" s="80" t="n">
        <v>45861</v>
      </c>
      <c r="G367" s="80" t="n">
        <v>46017</v>
      </c>
    </row>
    <row r="368" ht="15.75" customHeight="1" s="216">
      <c r="A368" s="144" t="inlineStr">
        <is>
          <t>Amy Rudersdorf</t>
        </is>
      </c>
      <c r="B368" t="inlineStr">
        <is>
          <t>AVP (formerly AXA Venture Partners)</t>
        </is>
      </c>
      <c r="C368" t="inlineStr">
        <is>
          <t>linkedin.com/in/amyrudersdorf</t>
        </is>
      </c>
      <c r="D368" s="210" t="inlineStr">
        <is>
          <t>amy@weareavp.com</t>
        </is>
      </c>
      <c r="E368" s="80" t="n">
        <v>45847</v>
      </c>
      <c r="F368" s="80" t="n">
        <v>45861</v>
      </c>
      <c r="G368" s="80" t="n">
        <v>46017</v>
      </c>
    </row>
    <row r="369" ht="15.75" customHeight="1" s="216">
      <c r="A369" t="inlineStr">
        <is>
          <t>Ethan Volk</t>
        </is>
      </c>
      <c r="B369" t="inlineStr">
        <is>
          <t>AVP (formerly AXA Venture Partners)</t>
        </is>
      </c>
      <c r="C369" t="inlineStr">
        <is>
          <t>linkedin.com/in/ethanvolk</t>
        </is>
      </c>
      <c r="D369" s="210" t="inlineStr">
        <is>
          <t>ethan.volk@axavp.com</t>
        </is>
      </c>
      <c r="E369" s="80" t="n">
        <v>45847</v>
      </c>
      <c r="F369" s="80" t="n">
        <v>45861</v>
      </c>
      <c r="G369" s="80" t="n">
        <v>46017</v>
      </c>
    </row>
    <row r="370" ht="15.75" customHeight="1" s="216">
      <c r="A370" t="inlineStr">
        <is>
          <t>Gregory Krisberg</t>
        </is>
      </c>
      <c r="B370" t="inlineStr">
        <is>
          <t>AVP (formerly AXA Venture Partners)</t>
        </is>
      </c>
      <c r="C370" t="inlineStr">
        <is>
          <t>linkedin.com/in/gregory-krisberg-90834b143</t>
        </is>
      </c>
      <c r="D370" s="210" t="inlineStr">
        <is>
          <t>gregory.krisberg@axavp.com</t>
        </is>
      </c>
      <c r="E370" s="80" t="n">
        <v>45847</v>
      </c>
      <c r="F370" s="80" t="n">
        <v>45861</v>
      </c>
      <c r="G370" s="80" t="n">
        <v>46017</v>
      </c>
    </row>
    <row r="371" ht="15.75" customHeight="1" s="216">
      <c r="A371" s="144" t="inlineStr">
        <is>
          <t>Nate Loewentheil</t>
        </is>
      </c>
      <c r="B371" t="inlineStr">
        <is>
          <t>Commonweal Ventures</t>
        </is>
      </c>
      <c r="C371" s="111" t="inlineStr">
        <is>
          <t>https://www.linkedin.com/in/nate-loewentheil/</t>
        </is>
      </c>
      <c r="D371" s="210" t="inlineStr">
        <is>
          <t>nate@commonwealventures.com</t>
        </is>
      </c>
      <c r="E371" s="80" t="n">
        <v>45847</v>
      </c>
      <c r="F371" s="80" t="n">
        <v>45861</v>
      </c>
      <c r="G371" s="80" t="n">
        <v>46017</v>
      </c>
    </row>
    <row r="372" ht="15.75" customHeight="1" s="216">
      <c r="A372" s="288" t="inlineStr">
        <is>
          <t>Zac Geinzer</t>
        </is>
      </c>
      <c r="B372" s="288" t="inlineStr">
        <is>
          <t>Commonweal Ventures</t>
        </is>
      </c>
      <c r="C372" s="288" t="inlineStr">
        <is>
          <t>linkedin.com/in/zacgeinzer</t>
        </is>
      </c>
      <c r="D372" s="211" t="inlineStr">
        <is>
          <t>zac@commonwealventures.com</t>
        </is>
      </c>
      <c r="E372" s="129" t="n">
        <v>45847</v>
      </c>
      <c r="F372" s="129" t="n">
        <v>45861</v>
      </c>
      <c r="G372" t="inlineStr">
        <is>
          <t>not a fit</t>
        </is>
      </c>
    </row>
    <row r="373" ht="15.75" customHeight="1" s="216">
      <c r="A373" t="inlineStr">
        <is>
          <t>Ron Bloom</t>
        </is>
      </c>
      <c r="B373" t="inlineStr">
        <is>
          <t>Commonweal Ventures</t>
        </is>
      </c>
      <c r="C373" t="inlineStr">
        <is>
          <t>linkedin.com/in/ron-bloom-6180145</t>
        </is>
      </c>
      <c r="D373" s="210" t="inlineStr">
        <is>
          <t>ron@commonwealventures.com</t>
        </is>
      </c>
      <c r="E373" s="80" t="n">
        <v>45847</v>
      </c>
      <c r="F373" s="80" t="n">
        <v>45861</v>
      </c>
      <c r="G373" s="80" t="n">
        <v>46017</v>
      </c>
    </row>
    <row r="374" ht="15.75" customHeight="1" s="216">
      <c r="A374" t="inlineStr">
        <is>
          <t>Vivin Hegde</t>
        </is>
      </c>
      <c r="B374" t="inlineStr">
        <is>
          <t>Zacua Ventures</t>
        </is>
      </c>
      <c r="C374" s="111" t="inlineStr">
        <is>
          <t>https://www.linkedin.com/in/vivin-hegde/</t>
        </is>
      </c>
      <c r="D374" s="210" t="inlineStr">
        <is>
          <t>vivin@zacuaventures.com</t>
        </is>
      </c>
      <c r="E374" s="80" t="n">
        <v>45847</v>
      </c>
      <c r="F374" s="80" t="n">
        <v>45861</v>
      </c>
      <c r="G374" s="80" t="n">
        <v>46017</v>
      </c>
      <c r="I374" s="114" t="inlineStr">
        <is>
          <t>submit a deck: https://zacuaventures.com/contact/</t>
        </is>
      </c>
    </row>
    <row r="375" ht="15.75" customHeight="1" s="216">
      <c r="A375" t="inlineStr">
        <is>
          <t>Juan Nieto</t>
        </is>
      </c>
      <c r="B375" t="inlineStr">
        <is>
          <t>Zacua Ventures</t>
        </is>
      </c>
      <c r="C375" t="inlineStr">
        <is>
          <t>linkedin.com/in/juannietovillamandos</t>
        </is>
      </c>
      <c r="D375" s="210" t="inlineStr">
        <is>
          <t>juan@zacuaventures.com</t>
        </is>
      </c>
      <c r="E375" s="80" t="n">
        <v>45847</v>
      </c>
      <c r="F375" s="80" t="n">
        <v>45861</v>
      </c>
      <c r="G375" s="80" t="n">
        <v>46017</v>
      </c>
    </row>
    <row r="376" ht="15.75" customHeight="1" s="216">
      <c r="A376" t="inlineStr">
        <is>
          <t>Mauricio Tessi Weiss</t>
        </is>
      </c>
      <c r="B376" t="inlineStr">
        <is>
          <t>Zacua Ventures</t>
        </is>
      </c>
      <c r="C376" s="111" t="inlineStr">
        <is>
          <t>https://www.linkedin.com/in/mauricioweiss</t>
        </is>
      </c>
      <c r="D376" s="210" t="inlineStr">
        <is>
          <t>mauricio@zacuaventures.com</t>
        </is>
      </c>
      <c r="E376" s="80" t="n">
        <v>45847</v>
      </c>
      <c r="F376" s="80" t="n">
        <v>45861</v>
      </c>
      <c r="G376" s="80" t="n">
        <v>46017</v>
      </c>
    </row>
    <row r="377" ht="15.75" customHeight="1" s="216">
      <c r="A377" t="inlineStr">
        <is>
          <t>Anas Bataw</t>
        </is>
      </c>
      <c r="B377" t="inlineStr">
        <is>
          <t>Zacua Ventures</t>
        </is>
      </c>
      <c r="C377" s="111" t="inlineStr">
        <is>
          <t>http://linkedin.com/in/dr-anas-bataw-3b885b57</t>
        </is>
      </c>
      <c r="D377" s="210" t="inlineStr">
        <is>
          <t>anas@zacuaventures.com</t>
        </is>
      </c>
      <c r="E377" s="80" t="n">
        <v>45847</v>
      </c>
      <c r="F377" s="80" t="n">
        <v>45861</v>
      </c>
      <c r="G377" s="80" t="n">
        <v>46017</v>
      </c>
    </row>
    <row r="378" ht="15.75" customHeight="1" s="216">
      <c r="A378" t="inlineStr">
        <is>
          <t>Caecilia Kemper</t>
        </is>
      </c>
      <c r="B378" t="inlineStr">
        <is>
          <t>Zacua Ventures</t>
        </is>
      </c>
      <c r="C378" t="inlineStr">
        <is>
          <t>linkedin.com/in/caecilia-kemper</t>
        </is>
      </c>
      <c r="D378" s="210" t="inlineStr">
        <is>
          <t>caecilia@zacuaventures.com</t>
        </is>
      </c>
      <c r="E378" s="80" t="n">
        <v>45847</v>
      </c>
      <c r="F378" s="80" t="n">
        <v>45861</v>
      </c>
      <c r="G378" s="80" t="n">
        <v>46017</v>
      </c>
    </row>
    <row r="379" ht="15.75" customHeight="1" s="216">
      <c r="A379" t="inlineStr">
        <is>
          <t>Terry Huang</t>
        </is>
      </c>
      <c r="B379" t="inlineStr">
        <is>
          <t>Core Angels</t>
        </is>
      </c>
      <c r="C379" t="inlineStr">
        <is>
          <t>linkedin.com/in/terry-huang-phd-mph-mba</t>
        </is>
      </c>
      <c r="D379" s="210" t="inlineStr">
        <is>
          <t>thuang@coreangels.com</t>
        </is>
      </c>
      <c r="E379" s="80" t="n">
        <v>45848</v>
      </c>
      <c r="F379" s="80" t="n">
        <v>45861</v>
      </c>
      <c r="G379" s="80" t="n">
        <v>46017</v>
      </c>
    </row>
    <row r="380" ht="15.75" customHeight="1" s="216">
      <c r="A380" t="inlineStr">
        <is>
          <t>Rui Falcão</t>
        </is>
      </c>
      <c r="B380" t="inlineStr">
        <is>
          <t>Core Angels</t>
        </is>
      </c>
      <c r="C380" s="111" t="inlineStr">
        <is>
          <t>https://www.linkedin.com/in/ruifalcao</t>
        </is>
      </c>
      <c r="D380" s="210" t="inlineStr">
        <is>
          <t>rfalcao@coreangels.com</t>
        </is>
      </c>
      <c r="E380" s="80" t="n">
        <v>45848</v>
      </c>
      <c r="F380" s="80" t="n">
        <v>45861</v>
      </c>
      <c r="G380" s="80" t="n">
        <v>46017</v>
      </c>
    </row>
    <row r="381" ht="15.75" customHeight="1" s="216">
      <c r="A381" t="inlineStr">
        <is>
          <t>Pedro Bandeira</t>
        </is>
      </c>
      <c r="B381" t="inlineStr">
        <is>
          <t>Core Angels</t>
        </is>
      </c>
      <c r="C381" s="111" t="inlineStr">
        <is>
          <t>https://www.linkedin.com/in/pedrobandeira/</t>
        </is>
      </c>
      <c r="D381" s="210" t="inlineStr">
        <is>
          <t>pbandeira@coreangels.com</t>
        </is>
      </c>
      <c r="E381" s="80" t="n">
        <v>45848</v>
      </c>
      <c r="F381" s="80" t="n">
        <v>45861</v>
      </c>
      <c r="G381" s="80" t="n">
        <v>46017</v>
      </c>
    </row>
    <row r="382" ht="15.75" customHeight="1" s="216">
      <c r="A382" t="inlineStr">
        <is>
          <t>Ela Zohrevandi</t>
        </is>
      </c>
      <c r="B382" t="inlineStr">
        <is>
          <t>Core Angels</t>
        </is>
      </c>
      <c r="C382" s="111" t="inlineStr">
        <is>
          <t>https://www.linkedin.com/in/elazohrevandi/</t>
        </is>
      </c>
      <c r="D382" s="210" t="inlineStr">
        <is>
          <t>ezohrevandi@coreangels.com</t>
        </is>
      </c>
      <c r="E382" s="80" t="n">
        <v>45848</v>
      </c>
      <c r="F382" s="80" t="n">
        <v>45861</v>
      </c>
      <c r="G382" s="80" t="n">
        <v>46017</v>
      </c>
    </row>
    <row r="383" ht="15.75" customHeight="1" s="216">
      <c r="A383" t="inlineStr">
        <is>
          <t>Marjorie Ferro</t>
        </is>
      </c>
      <c r="B383" t="inlineStr">
        <is>
          <t>Core Angels</t>
        </is>
      </c>
      <c r="C383" s="111" t="inlineStr">
        <is>
          <t>https://www.linkedin.com/in/marjorie-ferro/</t>
        </is>
      </c>
      <c r="D383" s="210" t="inlineStr">
        <is>
          <t>mferro@coreangels.com</t>
        </is>
      </c>
      <c r="E383" s="80" t="n">
        <v>45848</v>
      </c>
      <c r="F383" s="80" t="n">
        <v>45861</v>
      </c>
      <c r="G383" s="80" t="n">
        <v>46017</v>
      </c>
    </row>
    <row r="384" ht="15.75" customHeight="1" s="216">
      <c r="A384" s="288" t="inlineStr">
        <is>
          <t>Bruce Jaffe</t>
        </is>
      </c>
      <c r="B384" s="288" t="inlineStr">
        <is>
          <t>J4 Ventures</t>
        </is>
      </c>
      <c r="C384" s="288" t="inlineStr">
        <is>
          <t>https://www.linkedin.com/in/brucejaffe/</t>
        </is>
      </c>
      <c r="D384" s="211" t="inlineStr">
        <is>
          <t>bruce@j4.ventures</t>
        </is>
      </c>
      <c r="E384" s="129" t="n">
        <v>45848</v>
      </c>
      <c r="G384" t="inlineStr">
        <is>
          <t>outside scope</t>
        </is>
      </c>
    </row>
    <row r="385" ht="15.75" customHeight="1" s="216">
      <c r="A385" s="288" t="inlineStr">
        <is>
          <t>Jamie Rapperport</t>
        </is>
      </c>
      <c r="B385" s="288" t="inlineStr">
        <is>
          <t>J4 Ventures</t>
        </is>
      </c>
      <c r="C385" s="127" t="inlineStr">
        <is>
          <t>https://www.linkedin.com/in/jamierapperport/</t>
        </is>
      </c>
      <c r="D385" s="211" t="inlineStr">
        <is>
          <t>jamie@j4.ventures</t>
        </is>
      </c>
      <c r="E385" s="129" t="n">
        <v>45848</v>
      </c>
    </row>
    <row r="386" ht="15.75" customHeight="1" s="216">
      <c r="A386" s="288" t="inlineStr">
        <is>
          <t xml:space="preserve">John Mitchell </t>
        </is>
      </c>
      <c r="B386" s="288" t="inlineStr">
        <is>
          <t>J4 Ventures</t>
        </is>
      </c>
      <c r="C386" s="127" t="inlineStr">
        <is>
          <t>https://www.linkedin.com/in/john-mitchell-36338a8/</t>
        </is>
      </c>
      <c r="D386" s="211" t="inlineStr">
        <is>
          <t>john@j4.ventures</t>
        </is>
      </c>
      <c r="E386" s="129" t="n">
        <v>45848</v>
      </c>
    </row>
    <row r="387" ht="15.75" customHeight="1" s="216">
      <c r="A387" s="288" t="inlineStr">
        <is>
          <t xml:space="preserve">Erik Johnson </t>
        </is>
      </c>
      <c r="B387" s="288" t="inlineStr">
        <is>
          <t>J4 Ventures</t>
        </is>
      </c>
      <c r="C387" s="127" t="inlineStr">
        <is>
          <t>https://www.linkedin.com/in/erik-johnson-192630/</t>
        </is>
      </c>
      <c r="D387" s="281" t="inlineStr">
        <is>
          <t>erik@j4.ventures</t>
        </is>
      </c>
      <c r="E387" s="129" t="n">
        <v>45848</v>
      </c>
    </row>
    <row r="388" ht="15.75" customHeight="1" s="216">
      <c r="A388" t="inlineStr">
        <is>
          <t>Jack Januszewski</t>
        </is>
      </c>
      <c r="B388" t="inlineStr">
        <is>
          <t>Spring Mountain Capital</t>
        </is>
      </c>
      <c r="C388" s="111" t="inlineStr">
        <is>
          <t>https://www.linkedin.com/in/jjanuszewski/</t>
        </is>
      </c>
      <c r="D388" s="210" t="inlineStr">
        <is>
          <t>jjanuszewski@smcinvest.com</t>
        </is>
      </c>
      <c r="E388" s="80" t="n">
        <v>45848</v>
      </c>
      <c r="F388" s="80" t="n">
        <v>45861</v>
      </c>
      <c r="G388" s="80" t="n">
        <v>46017</v>
      </c>
    </row>
    <row r="389" ht="15.75" customHeight="1" s="216">
      <c r="A389" t="inlineStr">
        <is>
          <t>Gregory P. Ho</t>
        </is>
      </c>
      <c r="B389" t="inlineStr">
        <is>
          <t>Spring Mountain Capital</t>
        </is>
      </c>
      <c r="C389" t="inlineStr">
        <is>
          <t>https://www.linkedin.com/in/gregory-ho-68126215/</t>
        </is>
      </c>
      <c r="D389" s="210" t="inlineStr">
        <is>
          <t>gh@smcinvest.com</t>
        </is>
      </c>
      <c r="E389" s="80" t="n">
        <v>45848</v>
      </c>
      <c r="F389" s="80" t="n">
        <v>45861</v>
      </c>
      <c r="G389" s="80" t="n">
        <v>46017</v>
      </c>
    </row>
    <row r="390" ht="15.75" customHeight="1" s="216">
      <c r="A390" t="inlineStr">
        <is>
          <t xml:space="preserve">Katie Jacobs Stanton </t>
        </is>
      </c>
      <c r="B390" t="inlineStr">
        <is>
          <t>Moxxie VC</t>
        </is>
      </c>
      <c r="C390" t="inlineStr">
        <is>
          <t>linkedin.com/in/katiestanton</t>
        </is>
      </c>
      <c r="D390" s="210" t="inlineStr">
        <is>
          <t>katie@moxxie.vc</t>
        </is>
      </c>
      <c r="E390" s="80" t="n">
        <v>45848</v>
      </c>
      <c r="F390" s="80" t="n">
        <v>45861</v>
      </c>
      <c r="G390" s="80" t="n">
        <v>46017</v>
      </c>
    </row>
    <row r="391" ht="15.75" customHeight="1" s="216">
      <c r="A391" t="inlineStr">
        <is>
          <t>Alex Roetter</t>
        </is>
      </c>
      <c r="B391" t="inlineStr">
        <is>
          <t>Moxxie VC</t>
        </is>
      </c>
      <c r="C391" t="inlineStr">
        <is>
          <t>linkedin.com/in/alex-roetter</t>
        </is>
      </c>
      <c r="D391" s="210" t="inlineStr">
        <is>
          <t>alex@moxxie.vc</t>
        </is>
      </c>
      <c r="E391" s="80" t="n">
        <v>45848</v>
      </c>
      <c r="F391" s="80" t="n">
        <v>45861</v>
      </c>
      <c r="G391" s="80" t="n">
        <v>46017</v>
      </c>
    </row>
    <row r="392" ht="15.75" customHeight="1" s="216">
      <c r="A392" t="inlineStr">
        <is>
          <t>Prateek Joshi</t>
        </is>
      </c>
      <c r="B392" t="inlineStr">
        <is>
          <t>Moxxie VC</t>
        </is>
      </c>
      <c r="C392" t="inlineStr">
        <is>
          <t>https://www.linkedin.com/in/prateek-joshi-infinite/</t>
        </is>
      </c>
      <c r="D392" s="210" t="inlineStr">
        <is>
          <t>prateek@moxxie.vc</t>
        </is>
      </c>
      <c r="E392" s="80" t="n">
        <v>45848</v>
      </c>
      <c r="F392" s="80" t="n">
        <v>45861</v>
      </c>
      <c r="G392" s="80" t="n">
        <v>46017</v>
      </c>
    </row>
    <row r="393" ht="15.75" customHeight="1" s="216">
      <c r="A393" t="inlineStr">
        <is>
          <t>Ashwin Lalendran</t>
        </is>
      </c>
      <c r="B393" t="inlineStr">
        <is>
          <t>Moxxie VC</t>
        </is>
      </c>
      <c r="C393" s="111" t="inlineStr">
        <is>
          <t>https://www.linkedin.com/in/ashwinl/</t>
        </is>
      </c>
      <c r="D393" s="210" t="inlineStr">
        <is>
          <t>ashwin@moxxie.vc</t>
        </is>
      </c>
      <c r="E393" s="80" t="n">
        <v>45848</v>
      </c>
      <c r="F393" s="80" t="n">
        <v>45861</v>
      </c>
      <c r="G393" s="80" t="n">
        <v>46017</v>
      </c>
    </row>
    <row r="394" ht="15.75" customHeight="1" s="216">
      <c r="A394" s="288" t="inlineStr">
        <is>
          <t>Alex Kash</t>
        </is>
      </c>
      <c r="B394" s="288" t="inlineStr">
        <is>
          <t>IAG Capital Partners</t>
        </is>
      </c>
      <c r="C394" s="288" t="inlineStr">
        <is>
          <t>linkedin.com/in/alex-kash-03894b159</t>
        </is>
      </c>
      <c r="D394" s="211" t="inlineStr">
        <is>
          <t>alex@iagcapitalpartners.com</t>
        </is>
      </c>
      <c r="E394" s="129" t="n">
        <v>45848</v>
      </c>
      <c r="F394" s="129" t="n">
        <v>45861</v>
      </c>
      <c r="G394" t="inlineStr">
        <is>
          <t>not a fit</t>
        </is>
      </c>
    </row>
    <row r="395" ht="15.75" customHeight="1" s="216">
      <c r="A395" t="inlineStr">
        <is>
          <t>Dennis Sacha</t>
        </is>
      </c>
      <c r="B395" t="inlineStr">
        <is>
          <t>IAG Capital Partners</t>
        </is>
      </c>
      <c r="C395" s="111" t="inlineStr">
        <is>
          <t>https://www.linkedin.com/in/dennis-sacha-11623a5/</t>
        </is>
      </c>
      <c r="D395" s="210" t="inlineStr">
        <is>
          <t>ds@iagcapitalpartners.com</t>
        </is>
      </c>
      <c r="E395" s="80" t="n">
        <v>45848</v>
      </c>
      <c r="F395" s="80" t="n">
        <v>45861</v>
      </c>
      <c r="G395" s="80" t="n">
        <v>46017</v>
      </c>
    </row>
    <row r="396" ht="15.75" customHeight="1" s="216">
      <c r="A396" t="inlineStr">
        <is>
          <t>Joel Whitley</t>
        </is>
      </c>
      <c r="B396" t="inlineStr">
        <is>
          <t>IAG Capital Partners</t>
        </is>
      </c>
      <c r="C396" t="inlineStr">
        <is>
          <t>linkedin.com/in/joel-whitley-a90b144a</t>
        </is>
      </c>
      <c r="D396" s="210" t="inlineStr">
        <is>
          <t>joel@iagcapitalpartners.com</t>
        </is>
      </c>
      <c r="E396" s="80" t="n">
        <v>45848</v>
      </c>
      <c r="F396" s="80" t="n">
        <v>45861</v>
      </c>
      <c r="G396" s="80" t="n">
        <v>46017</v>
      </c>
    </row>
    <row r="397" ht="15.75" customHeight="1" s="216">
      <c r="A397" t="inlineStr">
        <is>
          <t>Ehsan Jabbarzadeh</t>
        </is>
      </c>
      <c r="B397" t="inlineStr">
        <is>
          <t>IAG Capital Partners</t>
        </is>
      </c>
      <c r="C397" s="111" t="inlineStr">
        <is>
          <t>https://www.linkedin.com/in/ehsanjabbarzadeh/</t>
        </is>
      </c>
      <c r="D397" s="210" t="inlineStr">
        <is>
          <t>ehsan@iagcapitalpartners.com</t>
        </is>
      </c>
      <c r="E397" s="80" t="n">
        <v>45848</v>
      </c>
      <c r="F397" s="80" t="n">
        <v>45861</v>
      </c>
      <c r="G397" s="80" t="n">
        <v>46017</v>
      </c>
    </row>
    <row r="398" ht="15.75" customHeight="1" s="216">
      <c r="A398" t="inlineStr">
        <is>
          <t>Max Kilberg</t>
        </is>
      </c>
      <c r="B398" t="inlineStr">
        <is>
          <t>Village Global</t>
        </is>
      </c>
      <c r="C398" t="inlineStr">
        <is>
          <t>https://www.linkedin.com/in/max-kilberg</t>
        </is>
      </c>
      <c r="D398" s="210" t="inlineStr">
        <is>
          <t>max@villageglobal.vc</t>
        </is>
      </c>
      <c r="E398" s="80" t="n">
        <v>45849</v>
      </c>
      <c r="F398" s="80" t="n">
        <v>45878</v>
      </c>
      <c r="G398" s="80" t="n">
        <v>46017</v>
      </c>
      <c r="H398" t="inlineStr">
        <is>
          <t>submit your deck here: hello@villageglobal.vc</t>
        </is>
      </c>
    </row>
    <row r="399" ht="15.75" customHeight="1" s="216">
      <c r="A399" t="inlineStr">
        <is>
          <t>Anne Dwane</t>
        </is>
      </c>
      <c r="B399" t="inlineStr">
        <is>
          <t>Village Global</t>
        </is>
      </c>
      <c r="C399" s="111" t="inlineStr">
        <is>
          <t>https://www.linkedin.com/in/dwane</t>
        </is>
      </c>
      <c r="D399" s="210" t="inlineStr">
        <is>
          <t>anne@villageglobal.vc</t>
        </is>
      </c>
      <c r="E399" s="80" t="n">
        <v>45849</v>
      </c>
      <c r="F399" s="80" t="n">
        <v>45878</v>
      </c>
      <c r="G399" s="80" t="n">
        <v>46017</v>
      </c>
    </row>
    <row r="400" ht="15.75" customHeight="1" s="216">
      <c r="A400" t="inlineStr">
        <is>
          <t>Ben Casnocha</t>
        </is>
      </c>
      <c r="B400" t="inlineStr">
        <is>
          <t>Village Global</t>
        </is>
      </c>
      <c r="C400" s="111" t="inlineStr">
        <is>
          <t>https://www.linkedin.com/in/bencasnocha/</t>
        </is>
      </c>
      <c r="D400" s="210" t="inlineStr">
        <is>
          <t>ben@villageglobal.vc</t>
        </is>
      </c>
      <c r="E400" s="80" t="n">
        <v>45849</v>
      </c>
      <c r="F400" s="80" t="n">
        <v>45878</v>
      </c>
      <c r="G400" s="80" t="n">
        <v>46017</v>
      </c>
    </row>
    <row r="401" ht="15.75" customHeight="1" s="216">
      <c r="A401" t="inlineStr">
        <is>
          <t>Lindsay Pettinghill</t>
        </is>
      </c>
      <c r="B401" t="inlineStr">
        <is>
          <t>Village Global</t>
        </is>
      </c>
      <c r="C401" t="inlineStr">
        <is>
          <t>https://www.linkedin.com/in/lpettingill/</t>
        </is>
      </c>
      <c r="D401" s="210" t="inlineStr">
        <is>
          <t>lindsay@villageglobal.vc</t>
        </is>
      </c>
      <c r="E401" s="80" t="n">
        <v>45849</v>
      </c>
      <c r="F401" s="80" t="n">
        <v>45878</v>
      </c>
      <c r="G401" s="80" t="n">
        <v>46017</v>
      </c>
    </row>
    <row r="402" ht="15.75" customHeight="1" s="216">
      <c r="A402" t="inlineStr">
        <is>
          <t>Sam Kirschner</t>
        </is>
      </c>
      <c r="B402" t="inlineStr">
        <is>
          <t>Village Global</t>
        </is>
      </c>
      <c r="C402" t="inlineStr">
        <is>
          <t>https://www.linkedin.com/in/samlkirschner/</t>
        </is>
      </c>
      <c r="D402" s="210" t="inlineStr">
        <is>
          <t>sam@villageglobal.vc</t>
        </is>
      </c>
      <c r="E402" s="80" t="n">
        <v>45849</v>
      </c>
      <c r="F402" s="80" t="n">
        <v>45878</v>
      </c>
      <c r="G402" s="80" t="n">
        <v>46017</v>
      </c>
    </row>
    <row r="403" ht="15.75" customHeight="1" s="216">
      <c r="A403" t="inlineStr">
        <is>
          <t>Amrit Rao</t>
        </is>
      </c>
      <c r="B403" t="inlineStr">
        <is>
          <t>Village Global</t>
        </is>
      </c>
      <c r="C403" s="111" t="inlineStr">
        <is>
          <t>https://www.linkedin.com/in/amrit-rao/</t>
        </is>
      </c>
      <c r="D403" s="210" t="inlineStr">
        <is>
          <t>amrit@villageglobal.vc</t>
        </is>
      </c>
      <c r="E403" s="80" t="n">
        <v>45849</v>
      </c>
      <c r="F403" s="80" t="n">
        <v>45878</v>
      </c>
      <c r="G403" s="80" t="n">
        <v>46017</v>
      </c>
    </row>
    <row r="404" ht="15.75" customHeight="1" s="216">
      <c r="A404" t="inlineStr">
        <is>
          <t>Justus Kilian</t>
        </is>
      </c>
      <c r="B404" t="inlineStr">
        <is>
          <t>Space Capital</t>
        </is>
      </c>
      <c r="C404" t="inlineStr">
        <is>
          <t>linkedin.com/in/justuskilian</t>
        </is>
      </c>
      <c r="D404" s="210" t="inlineStr">
        <is>
          <t>justus@spacecapital.com</t>
        </is>
      </c>
      <c r="E404" s="80" t="n">
        <v>45849</v>
      </c>
      <c r="F404" s="80" t="n">
        <v>45878</v>
      </c>
      <c r="G404" s="80" t="n">
        <v>46017</v>
      </c>
      <c r="H404" s="154" t="inlineStr">
        <is>
          <t>Contact us</t>
        </is>
      </c>
    </row>
    <row r="405" ht="15.75" customHeight="1" s="216">
      <c r="A405" t="inlineStr">
        <is>
          <t>Alan Yu</t>
        </is>
      </c>
      <c r="B405" t="inlineStr">
        <is>
          <t>Space Capital</t>
        </is>
      </c>
      <c r="C405" s="111" t="inlineStr">
        <is>
          <t>https://www.linkedin.com/in/alan-yu-spacecapital/</t>
        </is>
      </c>
      <c r="D405" s="210" t="inlineStr">
        <is>
          <t>alan@spacecapital.com</t>
        </is>
      </c>
      <c r="E405" s="80" t="n">
        <v>45849</v>
      </c>
      <c r="F405" s="80" t="n">
        <v>45878</v>
      </c>
      <c r="G405" s="80" t="n">
        <v>46017</v>
      </c>
      <c r="H405" s="155" t="inlineStr">
        <is>
          <t>If you would like to share your ideas, business, or feedback with us, please email us. All business plan submissions must include a clear description of your operations and current progress.</t>
        </is>
      </c>
    </row>
    <row r="406" ht="15.75" customHeight="1" s="216">
      <c r="A406" t="inlineStr">
        <is>
          <t>Chad Anderson</t>
        </is>
      </c>
      <c r="B406" t="inlineStr">
        <is>
          <t>Space Capital</t>
        </is>
      </c>
      <c r="C406" s="111" t="inlineStr">
        <is>
          <t>https://www.linkedin.com/in/chadson</t>
        </is>
      </c>
      <c r="D406" s="210" t="inlineStr">
        <is>
          <t>chad@spacecapital.com</t>
        </is>
      </c>
      <c r="E406" s="80" t="n">
        <v>45849</v>
      </c>
      <c r="F406" s="80" t="n">
        <v>45878</v>
      </c>
      <c r="G406" s="80" t="n">
        <v>46017</v>
      </c>
    </row>
    <row r="407" ht="15.75" customHeight="1" s="216">
      <c r="A407" t="inlineStr">
        <is>
          <t>Tom Ingersoll</t>
        </is>
      </c>
      <c r="B407" t="inlineStr">
        <is>
          <t>Space Capital</t>
        </is>
      </c>
      <c r="C407" s="111" t="inlineStr">
        <is>
          <t>https://www.linkedin.com/in/tom-ingersoll-6382b11/</t>
        </is>
      </c>
      <c r="D407" s="210" t="inlineStr">
        <is>
          <t>tom@spacecapital.com</t>
        </is>
      </c>
      <c r="E407" s="80" t="n">
        <v>45849</v>
      </c>
      <c r="F407" s="80" t="n">
        <v>45878</v>
      </c>
      <c r="G407" s="80" t="n">
        <v>46017</v>
      </c>
      <c r="H407" s="198" t="inlineStr">
        <is>
          <t>launch@spacecapital.com</t>
        </is>
      </c>
    </row>
    <row r="408" ht="15.75" customHeight="1" s="216">
      <c r="A408" s="122" t="inlineStr">
        <is>
          <t xml:space="preserve">Kathy Cusumano </t>
        </is>
      </c>
      <c r="B408" s="122" t="inlineStr">
        <is>
          <t>Hanover International</t>
        </is>
      </c>
      <c r="C408" s="122" t="n"/>
      <c r="D408" s="191" t="inlineStr">
        <is>
          <t xml:space="preserve">ka@hanoverintlinc.com </t>
        </is>
      </c>
      <c r="E408" s="121" t="n">
        <v>45852</v>
      </c>
      <c r="H408" t="inlineStr">
        <is>
          <t>call for 7/16</t>
        </is>
      </c>
    </row>
    <row r="409" ht="15.75" customHeight="1" s="216">
      <c r="A409" t="inlineStr">
        <is>
          <t>Ed Colloton</t>
        </is>
      </c>
      <c r="B409" t="inlineStr">
        <is>
          <t>Bessemer Venture</t>
        </is>
      </c>
      <c r="D409" s="198" t="inlineStr">
        <is>
          <t>ed@bvp.com</t>
        </is>
      </c>
      <c r="E409" s="80" t="n">
        <v>45854</v>
      </c>
      <c r="F409" s="80" t="n">
        <v>45878</v>
      </c>
      <c r="G409" s="80" t="n">
        <v>46017</v>
      </c>
    </row>
    <row r="410" ht="15.75" customHeight="1" s="216">
      <c r="A410" s="118" t="inlineStr">
        <is>
          <t>David Ford</t>
        </is>
      </c>
      <c r="B410" s="118" t="inlineStr">
        <is>
          <t>Silver Peak</t>
        </is>
      </c>
      <c r="C410" s="118" t="inlineStr">
        <is>
          <t>refered by Andy@abuchholtz.com</t>
        </is>
      </c>
      <c r="D410" s="201" t="inlineStr">
        <is>
          <t>df@silverpeakib.com</t>
        </is>
      </c>
      <c r="E410" s="99" t="n">
        <v>45855</v>
      </c>
      <c r="G410" t="inlineStr">
        <is>
          <t>too small right now, said to follow up later on - avg deal is $40 mil</t>
        </is>
      </c>
    </row>
    <row r="411" ht="15.75" customHeight="1" s="216">
      <c r="A411" t="inlineStr">
        <is>
          <t>Ahmet Lutfi Varoglu</t>
        </is>
      </c>
      <c r="B411" t="inlineStr">
        <is>
          <t>Tawazun Economic Council</t>
        </is>
      </c>
      <c r="C411" s="111" t="inlineStr">
        <is>
          <t>https://www.linkedin.com/in/ahmet-lutfi-varoglu-695b7224/</t>
        </is>
      </c>
      <c r="D411" s="210" t="inlineStr">
        <is>
          <t>avaroglu@tawazun.ae</t>
        </is>
      </c>
      <c r="E411" s="80" t="n">
        <v>45856</v>
      </c>
      <c r="F411" s="80" t="n">
        <v>45878</v>
      </c>
      <c r="G411" s="80" t="n">
        <v>46017</v>
      </c>
    </row>
    <row r="412" ht="15.75" customHeight="1" s="216">
      <c r="A412" t="inlineStr">
        <is>
          <t>Karim Michel Sabbagh</t>
        </is>
      </c>
      <c r="B412" t="inlineStr">
        <is>
          <t>Space 42</t>
        </is>
      </c>
      <c r="D412" s="210" t="inlineStr">
        <is>
          <t>karim.sabbagh@space42.ai</t>
        </is>
      </c>
      <c r="E412" s="80" t="n">
        <v>45856</v>
      </c>
      <c r="F412" s="80" t="n">
        <v>45878</v>
      </c>
      <c r="G412" s="80" t="n">
        <v>46017</v>
      </c>
    </row>
    <row r="413" ht="15.75" customHeight="1" s="216">
      <c r="A413" s="159" t="inlineStr">
        <is>
          <t>Carter Dessommes</t>
        </is>
      </c>
      <c r="B413" s="322" t="inlineStr">
        <is>
          <t>Palm Drive Capital</t>
        </is>
      </c>
      <c r="C413" s="122" t="n"/>
      <c r="D413" s="209" t="inlineStr">
        <is>
          <t>carter@palmdrive.vc</t>
        </is>
      </c>
      <c r="E413" s="121" t="n">
        <v>45859</v>
      </c>
      <c r="G413" t="inlineStr">
        <is>
          <t>meeting held</t>
        </is>
      </c>
    </row>
    <row r="414" ht="15.75" customHeight="1" s="216">
      <c r="A414" t="inlineStr">
        <is>
          <t>Sarah Kim</t>
        </is>
      </c>
      <c r="B414" t="inlineStr">
        <is>
          <t>Centana Growth</t>
        </is>
      </c>
      <c r="C414" s="111" t="inlineStr">
        <is>
          <t>https://www.linkedin.com/in/sarah-kim-05709025/</t>
        </is>
      </c>
      <c r="D414" s="210" t="inlineStr">
        <is>
          <t>skim@centanagrowth.com</t>
        </is>
      </c>
      <c r="E414" s="80" t="n">
        <v>45860</v>
      </c>
      <c r="F414" s="80" t="n">
        <v>45878</v>
      </c>
      <c r="G414" s="80" t="n">
        <v>46017</v>
      </c>
    </row>
    <row r="415" ht="15.75" customHeight="1" s="216">
      <c r="A415" t="inlineStr">
        <is>
          <t>Eric Byunn</t>
        </is>
      </c>
      <c r="B415" t="inlineStr">
        <is>
          <t>Centana Growth</t>
        </is>
      </c>
      <c r="C415" s="111" t="inlineStr">
        <is>
          <t>https://www.linkedin.com/in/ericbyunn</t>
        </is>
      </c>
      <c r="D415" s="210" t="inlineStr">
        <is>
          <t>ebyunn@centanagrowth.com</t>
        </is>
      </c>
      <c r="E415" s="80" t="n">
        <v>45860</v>
      </c>
      <c r="F415" s="80" t="n">
        <v>45878</v>
      </c>
      <c r="G415" s="80" t="n">
        <v>46017</v>
      </c>
    </row>
    <row r="416" ht="15.75" customHeight="1" s="216">
      <c r="A416" t="inlineStr">
        <is>
          <t>Matthew Alfieri</t>
        </is>
      </c>
      <c r="B416" t="inlineStr">
        <is>
          <t>Centana Growth</t>
        </is>
      </c>
      <c r="C416" t="inlineStr">
        <is>
          <t>https://www.linkedin.com/in/matthew-alfieri-50555113/</t>
        </is>
      </c>
      <c r="D416" s="210" t="inlineStr">
        <is>
          <t>malfieri@centanagrowth.com</t>
        </is>
      </c>
      <c r="E416" s="80" t="n">
        <v>45860</v>
      </c>
      <c r="F416" s="80" t="n">
        <v>45878</v>
      </c>
      <c r="G416" s="80" t="n">
        <v>46017</v>
      </c>
    </row>
    <row r="417" ht="15.75" customHeight="1" s="216">
      <c r="A417" t="inlineStr">
        <is>
          <t>Ben Cukier</t>
        </is>
      </c>
      <c r="B417" t="inlineStr">
        <is>
          <t>Centana Growth</t>
        </is>
      </c>
      <c r="C417" s="111" t="inlineStr">
        <is>
          <t>https://www.linkedin.com/in/bcukier/</t>
        </is>
      </c>
      <c r="D417" s="210" t="inlineStr">
        <is>
          <t>bcukier@centanagrowth.com</t>
        </is>
      </c>
      <c r="E417" s="80" t="n">
        <v>45860</v>
      </c>
      <c r="F417" s="80" t="n">
        <v>45878</v>
      </c>
      <c r="G417" s="80" t="n">
        <v>46017</v>
      </c>
    </row>
    <row r="418" ht="15.75" customHeight="1" s="216">
      <c r="A418" t="inlineStr">
        <is>
          <t>Jack Babbush</t>
        </is>
      </c>
      <c r="B418" t="inlineStr">
        <is>
          <t>Centana Growth</t>
        </is>
      </c>
      <c r="C418" s="111" t="inlineStr">
        <is>
          <t>https://www.linkedin.com/in/jack-babbush-3893a1105/</t>
        </is>
      </c>
      <c r="D418" s="210" t="inlineStr">
        <is>
          <t>jbabbush@centanagrowth.com</t>
        </is>
      </c>
      <c r="E418" s="80" t="n">
        <v>45860</v>
      </c>
      <c r="F418" s="80" t="n">
        <v>45878</v>
      </c>
      <c r="G418" s="80" t="n">
        <v>46017</v>
      </c>
    </row>
    <row r="419" ht="15.75" customHeight="1" s="216">
      <c r="A419" t="inlineStr">
        <is>
          <t>Devi Malhotra</t>
        </is>
      </c>
      <c r="B419" t="inlineStr">
        <is>
          <t>Centana Growth</t>
        </is>
      </c>
      <c r="C419" s="111" t="inlineStr">
        <is>
          <t>https://www.linkedin.com/in/devi-malhotra-1638767b/</t>
        </is>
      </c>
      <c r="D419" s="210" t="inlineStr">
        <is>
          <t>dmalhotra@centanagrowth.com</t>
        </is>
      </c>
      <c r="E419" s="80" t="n">
        <v>45860</v>
      </c>
      <c r="F419" s="80" t="n">
        <v>45878</v>
      </c>
      <c r="G419" s="80" t="n">
        <v>46017</v>
      </c>
    </row>
    <row r="420" ht="15.75" customHeight="1" s="216">
      <c r="A420" s="288" t="inlineStr">
        <is>
          <t>Valerie Kozak</t>
        </is>
      </c>
      <c r="B420" s="288" t="inlineStr">
        <is>
          <t>Digital DX Ventures</t>
        </is>
      </c>
      <c r="C420" s="127" t="inlineStr">
        <is>
          <t>https://www.linkedin.com/in/valeriekozak/</t>
        </is>
      </c>
      <c r="D420" s="211" t="inlineStr">
        <is>
          <t>valerie@digitaldx.com</t>
        </is>
      </c>
      <c r="E420" s="129" t="n">
        <v>45860</v>
      </c>
      <c r="F420" s="129" t="n">
        <v>45878</v>
      </c>
      <c r="G420" s="288" t="n"/>
    </row>
    <row r="421" ht="15.75" customHeight="1" s="216">
      <c r="A421" s="288" t="inlineStr">
        <is>
          <t>Melody Po</t>
        </is>
      </c>
      <c r="B421" s="288" t="inlineStr">
        <is>
          <t>Digital DX Ventures</t>
        </is>
      </c>
      <c r="C421" s="127" t="inlineStr">
        <is>
          <t>https://www.linkedin.com/in/melodypo/</t>
        </is>
      </c>
      <c r="D421" s="211" t="inlineStr">
        <is>
          <t>melody@digitaldx.com</t>
        </is>
      </c>
      <c r="E421" s="129" t="n">
        <v>45860</v>
      </c>
      <c r="F421" s="129" t="n">
        <v>45878</v>
      </c>
      <c r="G421" s="288" t="n"/>
    </row>
    <row r="422" ht="15.75" customHeight="1" s="216">
      <c r="A422" s="288" t="inlineStr">
        <is>
          <t>Eric Weiss</t>
        </is>
      </c>
      <c r="B422" s="288" t="inlineStr">
        <is>
          <t>Digital DX Ventures</t>
        </is>
      </c>
      <c r="C422" s="127" t="inlineStr">
        <is>
          <t>https://www.linkedin.com/in/ericweissmd/</t>
        </is>
      </c>
      <c r="D422" s="211" t="inlineStr">
        <is>
          <t>eric@digitaldx.com</t>
        </is>
      </c>
      <c r="E422" s="129" t="n">
        <v>45860</v>
      </c>
      <c r="F422" s="129" t="n">
        <v>45878</v>
      </c>
      <c r="G422" s="288" t="n"/>
    </row>
    <row r="423" ht="15.75" customHeight="1" s="216">
      <c r="A423" s="288" t="inlineStr">
        <is>
          <t>Michele Colucci</t>
        </is>
      </c>
      <c r="B423" s="288" t="inlineStr">
        <is>
          <t>Digital DX Ventures</t>
        </is>
      </c>
      <c r="C423" s="127" t="inlineStr">
        <is>
          <t>https://www.linkedin.com/in/michelecolucciesq/</t>
        </is>
      </c>
      <c r="D423" s="211" t="inlineStr">
        <is>
          <t>michele@digitaldx.com</t>
        </is>
      </c>
      <c r="E423" s="129" t="n">
        <v>45860</v>
      </c>
      <c r="F423" s="129" t="n">
        <v>45878</v>
      </c>
      <c r="G423" s="288" t="n"/>
    </row>
    <row r="424" ht="15.75" customHeight="1" s="216">
      <c r="A424" s="288" t="inlineStr">
        <is>
          <t>David Kirk</t>
        </is>
      </c>
      <c r="B424" s="288" t="inlineStr">
        <is>
          <t>Digital DX Ventures</t>
        </is>
      </c>
      <c r="C424" s="288" t="inlineStr">
        <is>
          <t>linkedin.com/in/david-kirk-057a867b</t>
        </is>
      </c>
      <c r="D424" s="211" t="inlineStr">
        <is>
          <t>david@digitaldx.com</t>
        </is>
      </c>
      <c r="E424" s="129" t="n">
        <v>45860</v>
      </c>
      <c r="F424" s="129" t="n">
        <v>45878</v>
      </c>
      <c r="G424" s="288" t="n"/>
    </row>
    <row r="425" ht="15.75" customHeight="1" s="216">
      <c r="A425" s="288" t="inlineStr">
        <is>
          <t>Maureen Downey</t>
        </is>
      </c>
      <c r="B425" s="288" t="inlineStr">
        <is>
          <t>Digital DX Ventures</t>
        </is>
      </c>
      <c r="C425" s="127" t="inlineStr">
        <is>
          <t>https://www.linkedin.com/in/maureensdowney/</t>
        </is>
      </c>
      <c r="D425" s="211" t="inlineStr">
        <is>
          <t>maureen@digitaldx.com</t>
        </is>
      </c>
      <c r="E425" s="129" t="n">
        <v>45860</v>
      </c>
      <c r="F425" s="129" t="n">
        <v>45878</v>
      </c>
      <c r="G425" s="288" t="n"/>
    </row>
    <row r="426" ht="15.75" customHeight="1" s="216">
      <c r="A426" s="160" t="inlineStr">
        <is>
          <t>George Krautzel</t>
        </is>
      </c>
      <c r="B426" t="inlineStr">
        <is>
          <t>Mission OG</t>
        </is>
      </c>
      <c r="C426" s="111" t="inlineStr">
        <is>
          <t>https://www.linkedin.com/in/georgekrautzel/</t>
        </is>
      </c>
      <c r="D426" s="210" t="inlineStr">
        <is>
          <t>george@missionog.com</t>
        </is>
      </c>
      <c r="E426" s="80" t="n">
        <v>45861</v>
      </c>
      <c r="F426" s="80" t="n">
        <v>45890</v>
      </c>
      <c r="G426" s="80" t="n">
        <v>46020</v>
      </c>
      <c r="H426" t="inlineStr">
        <is>
          <t>submit a business plan: submissions@missionog.com</t>
        </is>
      </c>
    </row>
    <row r="427" ht="15.75" customHeight="1" s="216">
      <c r="A427" t="inlineStr">
        <is>
          <t>Kevin Leonard</t>
        </is>
      </c>
      <c r="B427" t="inlineStr">
        <is>
          <t>Mission OG</t>
        </is>
      </c>
      <c r="C427" s="111" t="inlineStr">
        <is>
          <t>https://www.linkedin.com/in/kevinmarcleonard/</t>
        </is>
      </c>
      <c r="D427" s="210" t="inlineStr">
        <is>
          <t>kleonard@missionog.com</t>
        </is>
      </c>
      <c r="E427" s="80" t="n">
        <v>45861</v>
      </c>
      <c r="F427" s="80" t="n">
        <v>45890</v>
      </c>
      <c r="G427" s="80" t="n">
        <v>46020</v>
      </c>
    </row>
    <row r="428" ht="15.75" customHeight="1" s="216">
      <c r="A428" t="inlineStr">
        <is>
          <t>Andy Newcomb</t>
        </is>
      </c>
      <c r="B428" t="inlineStr">
        <is>
          <t>Mission OG</t>
        </is>
      </c>
      <c r="C428" s="111" t="inlineStr">
        <is>
          <t>https://www.linkedin.com/in/andy-newcomb-a37454/</t>
        </is>
      </c>
      <c r="D428" s="210" t="inlineStr">
        <is>
          <t>andy@missionog.com</t>
        </is>
      </c>
      <c r="E428" s="80" t="n">
        <v>45861</v>
      </c>
      <c r="F428" s="80" t="n">
        <v>45890</v>
      </c>
      <c r="G428" s="80" t="n">
        <v>46020</v>
      </c>
    </row>
    <row r="429" ht="15.75" customHeight="1" s="216">
      <c r="A429" t="inlineStr">
        <is>
          <t>Michael Heller</t>
        </is>
      </c>
      <c r="B429" t="inlineStr">
        <is>
          <t>Mission OG</t>
        </is>
      </c>
      <c r="C429" s="111" t="inlineStr">
        <is>
          <t>https://www.linkedin.com/in/michael-heller-62a6249/</t>
        </is>
      </c>
      <c r="D429" s="210" t="inlineStr">
        <is>
          <t>michael@missionog.com</t>
        </is>
      </c>
      <c r="E429" s="80" t="n">
        <v>45861</v>
      </c>
      <c r="F429" s="80" t="n">
        <v>45890</v>
      </c>
      <c r="G429" s="80" t="n">
        <v>46020</v>
      </c>
      <c r="H429" s="111" t="inlineStr">
        <is>
          <t>hello@vesey.vc</t>
        </is>
      </c>
    </row>
    <row r="430" ht="15.75" customHeight="1" s="216">
      <c r="A430" t="inlineStr">
        <is>
          <t>Julia Huang</t>
        </is>
      </c>
      <c r="B430" s="161" t="inlineStr">
        <is>
          <t>Vesey Ventures</t>
        </is>
      </c>
      <c r="C430" t="inlineStr">
        <is>
          <t>https://www.linkedin.com/in/julia-huang-3aa71a2/</t>
        </is>
      </c>
      <c r="D430" s="210" t="inlineStr">
        <is>
          <t>julia@vesey.vc</t>
        </is>
      </c>
      <c r="E430" s="80" t="n">
        <v>45861</v>
      </c>
      <c r="F430" s="80" t="n">
        <v>45890</v>
      </c>
      <c r="G430" s="80" t="n">
        <v>46020</v>
      </c>
    </row>
    <row r="431" ht="15.75" customHeight="1" s="216">
      <c r="A431" t="inlineStr">
        <is>
          <t>Dana Eli‑Lorch</t>
        </is>
      </c>
      <c r="B431" s="161" t="inlineStr">
        <is>
          <t>Vesey Ventures</t>
        </is>
      </c>
      <c r="C431" t="inlineStr">
        <is>
          <t>linkedin.com/in/dana-eli-lorch-63139831</t>
        </is>
      </c>
      <c r="D431" s="210" t="inlineStr">
        <is>
          <t>dana@vesey.vc</t>
        </is>
      </c>
      <c r="E431" s="80" t="n">
        <v>45861</v>
      </c>
      <c r="F431" s="80" t="n">
        <v>45890</v>
      </c>
      <c r="G431" s="80" t="n">
        <v>46020</v>
      </c>
    </row>
    <row r="432" ht="15.75" customHeight="1" s="216">
      <c r="A432" t="inlineStr">
        <is>
          <t>Lindsay Fitzgerald</t>
        </is>
      </c>
      <c r="B432" s="161" t="inlineStr">
        <is>
          <t>Vesey Ventures</t>
        </is>
      </c>
      <c r="C432" s="111" t="inlineStr">
        <is>
          <t>https://www.linkedin.com/in/lindsayfitzgerald/</t>
        </is>
      </c>
      <c r="D432" s="210" t="inlineStr">
        <is>
          <t>lindsay@vesey.vc</t>
        </is>
      </c>
      <c r="E432" s="80" t="n">
        <v>45861</v>
      </c>
      <c r="F432" s="80" t="n">
        <v>45890</v>
      </c>
      <c r="G432" s="80" t="n">
        <v>46020</v>
      </c>
    </row>
    <row r="433" ht="15.75" customHeight="1" s="216">
      <c r="A433" t="inlineStr">
        <is>
          <t>Ronie Lavi</t>
        </is>
      </c>
      <c r="B433" t="inlineStr">
        <is>
          <t>97212 VC</t>
        </is>
      </c>
      <c r="C433" s="111" t="inlineStr">
        <is>
          <t>https://www.linkedin.com/in/ronnielavi/</t>
        </is>
      </c>
      <c r="D433" s="210" t="inlineStr">
        <is>
          <t>ronnie@97212.vc</t>
        </is>
      </c>
      <c r="E433" s="80" t="n">
        <v>45872</v>
      </c>
      <c r="F433" s="80" t="n">
        <v>45890</v>
      </c>
      <c r="G433" s="80" t="n">
        <v>46020</v>
      </c>
    </row>
    <row r="434" ht="15.75" customHeight="1" s="216">
      <c r="A434" t="inlineStr">
        <is>
          <t>Eyal Bino</t>
        </is>
      </c>
      <c r="B434" t="inlineStr">
        <is>
          <t>97212 VC</t>
        </is>
      </c>
      <c r="C434" s="111" t="inlineStr">
        <is>
          <t>https://www.linkedin.com/in/eyal-bino/</t>
        </is>
      </c>
      <c r="D434" s="210" t="inlineStr">
        <is>
          <t>eyalbino@gmail.com</t>
        </is>
      </c>
      <c r="E434" s="80" t="n">
        <v>45872</v>
      </c>
      <c r="F434" s="80" t="n">
        <v>45890</v>
      </c>
      <c r="G434" s="80" t="n">
        <v>46020</v>
      </c>
    </row>
    <row r="435" ht="15.75" customHeight="1" s="216">
      <c r="A435" t="inlineStr">
        <is>
          <t>Ryan Lee</t>
        </is>
      </c>
      <c r="B435" t="inlineStr">
        <is>
          <t>Comcast Ventures</t>
        </is>
      </c>
      <c r="C435" s="111" t="inlineStr">
        <is>
          <t>https://www.linkedin.com/in/leeryanz</t>
        </is>
      </c>
      <c r="D435" s="210" t="inlineStr">
        <is>
          <t>ryan_lee3@comcast.com</t>
        </is>
      </c>
      <c r="E435" s="80" t="n">
        <v>45872</v>
      </c>
      <c r="F435" s="80" t="n">
        <v>45890</v>
      </c>
      <c r="G435" s="80" t="n">
        <v>46020</v>
      </c>
    </row>
    <row r="436" ht="15.75" customHeight="1" s="216">
      <c r="A436" t="inlineStr">
        <is>
          <t>Marc Silberman</t>
        </is>
      </c>
      <c r="B436" t="inlineStr">
        <is>
          <t>Comcast Ventures</t>
        </is>
      </c>
      <c r="C436" s="111" t="inlineStr">
        <is>
          <t>https://www.linkedin.com/in/marcsilberman/</t>
        </is>
      </c>
      <c r="D436" s="210" t="inlineStr">
        <is>
          <t>marc_silberman@comcast.com</t>
        </is>
      </c>
      <c r="E436" s="80" t="n">
        <v>45872</v>
      </c>
      <c r="F436" s="80" t="n">
        <v>45890</v>
      </c>
      <c r="G436" s="80" t="n">
        <v>46020</v>
      </c>
    </row>
    <row r="437" ht="15.75" customHeight="1" s="216">
      <c r="A437" t="inlineStr">
        <is>
          <t>Allison Goldberg</t>
        </is>
      </c>
      <c r="B437" t="inlineStr">
        <is>
          <t>Comcast Ventures</t>
        </is>
      </c>
      <c r="C437" s="111" t="inlineStr">
        <is>
          <t>https://www.linkedin.com/in/goldbergallison/</t>
        </is>
      </c>
      <c r="D437" s="210" t="inlineStr">
        <is>
          <t>allison_goldberg@comcast.com</t>
        </is>
      </c>
      <c r="E437" s="80" t="n">
        <v>45872</v>
      </c>
      <c r="F437" s="80" t="n">
        <v>45890</v>
      </c>
      <c r="G437" s="80" t="n">
        <v>46020</v>
      </c>
    </row>
    <row r="438" ht="15.75" customHeight="1" s="216">
      <c r="A438" t="inlineStr">
        <is>
          <t>Michelle Chang</t>
        </is>
      </c>
      <c r="B438" t="inlineStr">
        <is>
          <t>Comcast Ventures</t>
        </is>
      </c>
      <c r="C438" s="111" t="inlineStr">
        <is>
          <t>https://www.linkedin.com/in/chang-michelle</t>
        </is>
      </c>
      <c r="D438" s="210" t="inlineStr">
        <is>
          <t>michelle_chang@comcast.com</t>
        </is>
      </c>
      <c r="E438" s="80" t="n">
        <v>45872</v>
      </c>
      <c r="F438" s="80" t="n">
        <v>45890</v>
      </c>
      <c r="G438" s="80" t="n">
        <v>46020</v>
      </c>
    </row>
    <row r="439" ht="15.75" customHeight="1" s="216">
      <c r="A439" t="inlineStr">
        <is>
          <t>Eric Levine</t>
        </is>
      </c>
      <c r="B439" t="inlineStr">
        <is>
          <t>BuildGroup</t>
        </is>
      </c>
      <c r="C439" t="inlineStr">
        <is>
          <t>linkedin.com/in/eric-levine-740923a3</t>
        </is>
      </c>
      <c r="D439" s="210" t="inlineStr">
        <is>
          <t>eric@buildgroup.com</t>
        </is>
      </c>
      <c r="E439" s="80" t="n">
        <v>45872</v>
      </c>
      <c r="F439" s="80" t="n">
        <v>45890</v>
      </c>
      <c r="G439" s="80" t="n">
        <v>46020</v>
      </c>
    </row>
    <row r="440" ht="15.75" customHeight="1" s="216">
      <c r="A440" t="inlineStr">
        <is>
          <t>Klee Kleber</t>
        </is>
      </c>
      <c r="B440" t="inlineStr">
        <is>
          <t>BuildGroup</t>
        </is>
      </c>
      <c r="C440" t="inlineStr">
        <is>
          <t>linkedin.com/in/kleekleber</t>
        </is>
      </c>
      <c r="D440" s="210" t="inlineStr">
        <is>
          <t>klee@buildgroup.com</t>
        </is>
      </c>
      <c r="E440" s="80" t="n">
        <v>45872</v>
      </c>
      <c r="F440" s="80" t="n">
        <v>45890</v>
      </c>
      <c r="G440" s="80" t="n">
        <v>46020</v>
      </c>
    </row>
    <row r="441" ht="15.75" customHeight="1" s="216">
      <c r="A441" t="inlineStr">
        <is>
          <t>Jim Curry</t>
        </is>
      </c>
      <c r="B441" t="inlineStr">
        <is>
          <t>BuildGroup</t>
        </is>
      </c>
      <c r="C441" t="inlineStr">
        <is>
          <t>linkedin.com/in/jimncurry</t>
        </is>
      </c>
      <c r="D441" s="210" t="inlineStr">
        <is>
          <t>jim@buildgroup.com</t>
        </is>
      </c>
      <c r="E441" s="80" t="n">
        <v>45872</v>
      </c>
      <c r="F441" s="80" t="n">
        <v>45890</v>
      </c>
      <c r="G441" s="80" t="n">
        <v>46020</v>
      </c>
    </row>
    <row r="442" ht="15.75" customHeight="1" s="216">
      <c r="A442" t="inlineStr">
        <is>
          <t>Miguel Perez</t>
        </is>
      </c>
      <c r="B442" t="inlineStr">
        <is>
          <t>BuildGroup</t>
        </is>
      </c>
      <c r="C442" s="111" t="inlineStr">
        <is>
          <t>https://www.linkedin.com/in/miguel-perez-jr-6b650b67/</t>
        </is>
      </c>
      <c r="D442" s="210" t="inlineStr">
        <is>
          <t>miguel@buildgroup.com</t>
        </is>
      </c>
      <c r="E442" s="80" t="n">
        <v>45872</v>
      </c>
      <c r="F442" s="80" t="n">
        <v>45890</v>
      </c>
      <c r="G442" s="80" t="n">
        <v>46020</v>
      </c>
    </row>
    <row r="443" ht="15.75" customHeight="1" s="216">
      <c r="A443" t="inlineStr">
        <is>
          <t>Lanham Napier</t>
        </is>
      </c>
      <c r="B443" t="inlineStr">
        <is>
          <t>BuildGroup</t>
        </is>
      </c>
      <c r="C443" s="111" t="inlineStr">
        <is>
          <t>https://www.linkedin.com/in/lanhamnapier/</t>
        </is>
      </c>
      <c r="D443" s="210" t="inlineStr">
        <is>
          <t>lanham@buildgroup.com</t>
        </is>
      </c>
      <c r="E443" s="80" t="n">
        <v>45872</v>
      </c>
      <c r="F443" s="80" t="n">
        <v>45890</v>
      </c>
      <c r="G443" s="80" t="n">
        <v>46020</v>
      </c>
    </row>
    <row r="444" ht="15.75" customHeight="1" s="216">
      <c r="A444" t="inlineStr">
        <is>
          <t>James Hueston</t>
        </is>
      </c>
      <c r="B444" t="inlineStr">
        <is>
          <t>Primetime Partners</t>
        </is>
      </c>
      <c r="C444" s="111" t="inlineStr">
        <is>
          <t>https://www.linkedin.com/in/james-f-hueston/</t>
        </is>
      </c>
      <c r="D444" s="210" t="inlineStr">
        <is>
          <t>james@primetimepartners.com</t>
        </is>
      </c>
      <c r="E444" s="80" t="n">
        <v>45872</v>
      </c>
      <c r="F444" s="80" t="n">
        <v>45890</v>
      </c>
      <c r="G444" s="80" t="n">
        <v>46020</v>
      </c>
    </row>
    <row r="445" ht="15.75" customHeight="1" s="216">
      <c r="A445" t="inlineStr">
        <is>
          <t>Zoe Zabor</t>
        </is>
      </c>
      <c r="B445" t="inlineStr">
        <is>
          <t>Primetime Partners</t>
        </is>
      </c>
      <c r="C445" s="111" t="inlineStr">
        <is>
          <t>https://www.linkedin.com/in/zo%C3%AB-zabor/</t>
        </is>
      </c>
      <c r="D445" s="210" t="inlineStr">
        <is>
          <t>zoe@primetimepartners.com</t>
        </is>
      </c>
      <c r="E445" s="80" t="n">
        <v>45872</v>
      </c>
      <c r="F445" s="80" t="n">
        <v>45890</v>
      </c>
      <c r="G445" s="80" t="n">
        <v>46020</v>
      </c>
    </row>
    <row r="446" ht="15.75" customHeight="1" s="216">
      <c r="A446" t="inlineStr">
        <is>
          <t>Ray Jang</t>
        </is>
      </c>
      <c r="B446" t="inlineStr">
        <is>
          <t>Primetime Partners</t>
        </is>
      </c>
      <c r="C446" s="111" t="inlineStr">
        <is>
          <t>https://www.linkedin.com/in/ray-jang/</t>
        </is>
      </c>
      <c r="D446" s="210" t="inlineStr">
        <is>
          <t>ray@primetimepartners.com</t>
        </is>
      </c>
      <c r="E446" s="80" t="n">
        <v>45872</v>
      </c>
      <c r="F446" s="80" t="n">
        <v>45890</v>
      </c>
      <c r="G446" s="80" t="n">
        <v>46020</v>
      </c>
    </row>
    <row r="447" ht="15.75" customHeight="1" s="216">
      <c r="A447" t="inlineStr">
        <is>
          <t>Lewis Kilongo</t>
        </is>
      </c>
      <c r="B447" t="inlineStr">
        <is>
          <t>Unorthodox Ventures</t>
        </is>
      </c>
      <c r="C447" s="111" t="inlineStr">
        <is>
          <t>https://www.linkedin.com/in/lewis-kasindi-kilongo-167363184/</t>
        </is>
      </c>
      <c r="D447" s="210" t="inlineStr">
        <is>
          <t>lewis@unorthodoxventures.com</t>
        </is>
      </c>
      <c r="E447" s="80" t="n">
        <v>45872</v>
      </c>
      <c r="F447" s="80" t="n">
        <v>45890</v>
      </c>
      <c r="G447" s="80" t="n">
        <v>46020</v>
      </c>
    </row>
    <row r="448" ht="15.75" customHeight="1" s="216">
      <c r="A448" t="inlineStr">
        <is>
          <t>Adam Kahn</t>
        </is>
      </c>
      <c r="B448" t="inlineStr">
        <is>
          <t>Unorthodox Ventures</t>
        </is>
      </c>
      <c r="C448" s="111" t="inlineStr">
        <is>
          <t>https://www.linkedin.com/in/adam-kahn-89038143/</t>
        </is>
      </c>
      <c r="D448" s="210" t="inlineStr">
        <is>
          <t>adam@unorthodoxventures.com</t>
        </is>
      </c>
      <c r="E448" s="80" t="n">
        <v>45872</v>
      </c>
      <c r="F448" s="80" t="n">
        <v>45890</v>
      </c>
      <c r="G448" s="80" t="n">
        <v>46020</v>
      </c>
    </row>
    <row r="449" ht="15.75" customHeight="1" s="216">
      <c r="A449" t="inlineStr">
        <is>
          <t>Daniel Allen</t>
        </is>
      </c>
      <c r="B449" t="inlineStr">
        <is>
          <t>Unorthodox Ventures</t>
        </is>
      </c>
      <c r="D449" s="210" t="inlineStr">
        <is>
          <t>daniel.allen@unorthodoxventures.com</t>
        </is>
      </c>
      <c r="E449" s="80" t="n">
        <v>45872</v>
      </c>
      <c r="F449" s="80" t="n">
        <v>45890</v>
      </c>
      <c r="G449" s="80" t="n">
        <v>46020</v>
      </c>
    </row>
    <row r="450" ht="15.75" customHeight="1" s="216">
      <c r="A450" t="inlineStr">
        <is>
          <t>Carey Smith</t>
        </is>
      </c>
      <c r="B450" t="inlineStr">
        <is>
          <t>Unorthodox Ventures</t>
        </is>
      </c>
      <c r="C450" t="inlineStr">
        <is>
          <t>https://www.linkedin.com/in/jcareysmith/</t>
        </is>
      </c>
      <c r="D450" s="210" t="inlineStr">
        <is>
          <t>carey@unorthodoxventures.com</t>
        </is>
      </c>
      <c r="E450" s="80" t="n">
        <v>45872</v>
      </c>
      <c r="F450" s="80" t="n">
        <v>45890</v>
      </c>
      <c r="G450" s="80" t="n">
        <v>46020</v>
      </c>
    </row>
    <row r="451" ht="15.75" customHeight="1" s="216">
      <c r="A451" t="inlineStr">
        <is>
          <t>Steven Levy</t>
        </is>
      </c>
      <c r="B451" t="inlineStr">
        <is>
          <t>Unorthodox Ventures</t>
        </is>
      </c>
      <c r="C451" s="111" t="inlineStr">
        <is>
          <t>https://www.linkedin.com/in/steven-levy/</t>
        </is>
      </c>
      <c r="D451" s="210" t="inlineStr">
        <is>
          <t>steven@unorthodoxventures.com</t>
        </is>
      </c>
      <c r="E451" s="80" t="n">
        <v>45872</v>
      </c>
      <c r="F451" s="80" t="n">
        <v>45890</v>
      </c>
      <c r="G451" s="80" t="n">
        <v>46020</v>
      </c>
    </row>
    <row r="452" ht="15.75" customHeight="1" s="216">
      <c r="A452" t="inlineStr">
        <is>
          <t>Tim Liao</t>
        </is>
      </c>
      <c r="B452" s="162" t="inlineStr">
        <is>
          <t>Acorn Pacific Ventures</t>
        </is>
      </c>
      <c r="C452" s="111" t="inlineStr">
        <is>
          <t>https://www.linkedin.com/in/mrliaotim/</t>
        </is>
      </c>
      <c r="D452" s="198" t="inlineStr">
        <is>
          <t>tim@acornpacific.ventures</t>
        </is>
      </c>
      <c r="E452" s="80" t="n">
        <v>45872</v>
      </c>
      <c r="F452" s="80" t="n">
        <v>45890</v>
      </c>
      <c r="G452" s="80" t="n">
        <v>46020</v>
      </c>
    </row>
    <row r="453" ht="15.75" customHeight="1" s="216">
      <c r="A453" t="inlineStr">
        <is>
          <t>Derek Chau</t>
        </is>
      </c>
      <c r="B453" s="162" t="inlineStr">
        <is>
          <t>Acorn Pacific Ventures</t>
        </is>
      </c>
      <c r="C453" s="111" t="inlineStr">
        <is>
          <t>https://www.linkedin.com/in/derek-chau-b270116/</t>
        </is>
      </c>
      <c r="D453" s="210" t="inlineStr">
        <is>
          <t>derek@acornpacific.ventures</t>
        </is>
      </c>
      <c r="E453" s="80" t="n">
        <v>45872</v>
      </c>
      <c r="F453" s="80" t="n">
        <v>45890</v>
      </c>
      <c r="G453" s="80" t="n">
        <v>46020</v>
      </c>
    </row>
    <row r="454" ht="15.75" customHeight="1" s="216">
      <c r="A454" t="inlineStr">
        <is>
          <t>Howard Chau</t>
        </is>
      </c>
      <c r="B454" s="162" t="inlineStr">
        <is>
          <t>Acorn Pacific Ventures</t>
        </is>
      </c>
      <c r="C454" s="111" t="inlineStr">
        <is>
          <t>https://www.linkedin.com/in/howard-chau-3a80037/</t>
        </is>
      </c>
      <c r="D454" s="210" t="inlineStr">
        <is>
          <t>howard@acornpacific.ventures</t>
        </is>
      </c>
      <c r="E454" s="80" t="n">
        <v>45872</v>
      </c>
      <c r="F454" s="80" t="n">
        <v>45890</v>
      </c>
      <c r="G454" s="80" t="n">
        <v>46020</v>
      </c>
    </row>
    <row r="455" ht="15.75" customHeight="1" s="216">
      <c r="A455" s="288" t="inlineStr">
        <is>
          <t>Peter Hsieh</t>
        </is>
      </c>
      <c r="B455" s="284" t="inlineStr">
        <is>
          <t>Acorn Pacific Ventures</t>
        </is>
      </c>
      <c r="C455" s="288" t="inlineStr">
        <is>
          <t>https://www.linkedin.com/in/peter-hsieh-9165a/</t>
        </is>
      </c>
      <c r="D455" s="211" t="inlineStr">
        <is>
          <t>peter@acornpacific.ventures</t>
        </is>
      </c>
      <c r="E455" s="129" t="n">
        <v>45872</v>
      </c>
      <c r="F455" s="129" t="n">
        <v>45890</v>
      </c>
      <c r="G455" s="288" t="n"/>
    </row>
    <row r="456" ht="15.75" customHeight="1" s="216">
      <c r="A456" s="288" t="inlineStr">
        <is>
          <t>Benny Liao</t>
        </is>
      </c>
      <c r="B456" s="284" t="inlineStr">
        <is>
          <t>Acorn Pacific Ventures</t>
        </is>
      </c>
      <c r="C456" s="127" t="inlineStr">
        <is>
          <t>https://www.linkedin.com/in/bliao999/</t>
        </is>
      </c>
      <c r="D456" s="211" t="inlineStr">
        <is>
          <t>benny@acornpacific.ventures</t>
        </is>
      </c>
      <c r="E456" s="129" t="n">
        <v>45872</v>
      </c>
      <c r="F456" s="129" t="n">
        <v>45890</v>
      </c>
      <c r="G456" s="288" t="n"/>
    </row>
    <row r="457" ht="15.75" customHeight="1" s="216">
      <c r="A457" s="288" t="inlineStr">
        <is>
          <t>David Wu</t>
        </is>
      </c>
      <c r="B457" s="284" t="inlineStr">
        <is>
          <t>Acorn Pacific Ventures</t>
        </is>
      </c>
      <c r="C457" s="127" t="inlineStr">
        <is>
          <t>https://www.linkedin.com/in/davidwutw-0b038855/</t>
        </is>
      </c>
      <c r="D457" s="211" t="inlineStr">
        <is>
          <t>david@acornpacific.ventures</t>
        </is>
      </c>
      <c r="E457" s="129" t="n">
        <v>45872</v>
      </c>
      <c r="F457" s="129" t="n">
        <v>45890</v>
      </c>
      <c r="G457" s="288" t="n"/>
    </row>
    <row r="458" ht="15.75" customHeight="1" s="216">
      <c r="A458" s="160" t="inlineStr">
        <is>
          <t>Brett Liu</t>
        </is>
      </c>
      <c r="B458" s="162" t="inlineStr">
        <is>
          <t>Sixty Degree Capital</t>
        </is>
      </c>
      <c r="D458" s="210" t="inlineStr">
        <is>
          <t>brett.liu@sixtydegreecapital.com</t>
        </is>
      </c>
      <c r="E458" s="80" t="n">
        <v>45878</v>
      </c>
      <c r="F458" s="80" t="n">
        <v>45890</v>
      </c>
      <c r="G458" s="80" t="n">
        <v>46020</v>
      </c>
    </row>
    <row r="459" ht="15.75" customHeight="1" s="216">
      <c r="A459" t="inlineStr">
        <is>
          <t>Robert Guo</t>
        </is>
      </c>
      <c r="B459" s="162" t="inlineStr">
        <is>
          <t>Sixty Degree Capital</t>
        </is>
      </c>
      <c r="C459" t="inlineStr">
        <is>
          <t>https://www.linkedin.com/in/robert-guo-6a7ba0193/</t>
        </is>
      </c>
      <c r="D459" s="210" t="inlineStr">
        <is>
          <t>robert.guo@sixtydegreecapital.com</t>
        </is>
      </c>
      <c r="E459" s="80" t="n">
        <v>45878</v>
      </c>
      <c r="F459" s="80" t="n">
        <v>45890</v>
      </c>
      <c r="G459" s="80" t="n">
        <v>46020</v>
      </c>
    </row>
    <row r="460" ht="15.75" customHeight="1" s="216">
      <c r="A460" t="inlineStr">
        <is>
          <t>Jenny Lo</t>
        </is>
      </c>
      <c r="B460" s="162" t="inlineStr">
        <is>
          <t>Sixty Degree Capital</t>
        </is>
      </c>
      <c r="C460" s="111" t="inlineStr">
        <is>
          <t>https://www.linkedin.com/in/chiao-ni-lo/</t>
        </is>
      </c>
      <c r="D460" s="210" t="inlineStr">
        <is>
          <t>jenny.lo@sixtydegreecapital.com</t>
        </is>
      </c>
      <c r="E460" s="80" t="n">
        <v>45878</v>
      </c>
      <c r="F460" s="80" t="n">
        <v>45890</v>
      </c>
      <c r="G460" s="80" t="n">
        <v>46020</v>
      </c>
    </row>
    <row r="461" ht="15.75" customHeight="1" s="216">
      <c r="A461" t="inlineStr">
        <is>
          <t>Robin Gao</t>
        </is>
      </c>
      <c r="B461" s="162" t="inlineStr">
        <is>
          <t>Sixty Degree Capital</t>
        </is>
      </c>
      <c r="C461" s="111" t="inlineStr">
        <is>
          <t>https://www.linkedin.com/in/robingaowenbo/</t>
        </is>
      </c>
      <c r="D461" s="210" t="inlineStr">
        <is>
          <t>robin.gao@sixtydegreecapital.com</t>
        </is>
      </c>
      <c r="E461" s="80" t="n">
        <v>45878</v>
      </c>
      <c r="F461" s="80" t="n">
        <v>45890</v>
      </c>
      <c r="G461" s="80" t="n">
        <v>46020</v>
      </c>
    </row>
    <row r="462" ht="15.75" customHeight="1" s="216">
      <c r="A462" t="inlineStr">
        <is>
          <t>Cheryl Kuai</t>
        </is>
      </c>
      <c r="B462" s="162" t="inlineStr">
        <is>
          <t>Sixty Degree Capital</t>
        </is>
      </c>
      <c r="C462" s="111" t="inlineStr">
        <is>
          <t>https://www.linkedin.com/in/cheryl-kuai-ph-d-cfa-72aa4297/</t>
        </is>
      </c>
      <c r="D462" s="210" t="inlineStr">
        <is>
          <t>cheryl.kuai@sixtydegreecapital.com</t>
        </is>
      </c>
      <c r="E462" s="80" t="n">
        <v>45878</v>
      </c>
      <c r="F462" s="80" t="n">
        <v>45890</v>
      </c>
      <c r="G462" s="80" t="n">
        <v>46020</v>
      </c>
    </row>
    <row r="463" ht="15.75" customHeight="1" s="216">
      <c r="A463" s="118" t="inlineStr">
        <is>
          <t>Mustafa Neemuchwala</t>
        </is>
      </c>
      <c r="B463" s="118" t="inlineStr">
        <is>
          <t>NEA</t>
        </is>
      </c>
      <c r="C463" s="118" t="inlineStr">
        <is>
          <t>linkedin.com/in/mustafaneemuchwala</t>
        </is>
      </c>
      <c r="D463" s="212" t="inlineStr">
        <is>
          <t>mneemuchwala@nea.com</t>
        </is>
      </c>
      <c r="E463" s="99" t="n">
        <v>45878</v>
      </c>
      <c r="F463" s="99" t="n">
        <v>45890</v>
      </c>
      <c r="G463" s="80" t="n">
        <v>46021</v>
      </c>
      <c r="H463" t="inlineStr">
        <is>
          <t>interested but no new investments until begining of 2026, wants to chat then</t>
        </is>
      </c>
    </row>
    <row r="464" ht="15.75" customHeight="1" s="216">
      <c r="A464" t="inlineStr">
        <is>
          <t>Rick Yang</t>
        </is>
      </c>
      <c r="B464" t="inlineStr">
        <is>
          <t>NEA</t>
        </is>
      </c>
      <c r="C464" s="111" t="inlineStr">
        <is>
          <t>https://www.linkedin.com/in/rickcyang/</t>
        </is>
      </c>
      <c r="D464" s="210" t="inlineStr">
        <is>
          <t>ryang@nea.com</t>
        </is>
      </c>
      <c r="E464" s="80" t="n">
        <v>45878</v>
      </c>
      <c r="F464" s="80" t="n">
        <v>45890</v>
      </c>
      <c r="G464" s="80" t="n">
        <v>46021</v>
      </c>
    </row>
    <row r="465" ht="15.75" customHeight="1" s="216">
      <c r="A465" t="inlineStr">
        <is>
          <t>Andrew Schoen</t>
        </is>
      </c>
      <c r="B465" t="inlineStr">
        <is>
          <t>NEA</t>
        </is>
      </c>
      <c r="C465" t="inlineStr">
        <is>
          <t>linkedin.com/in/andrewaschoen</t>
        </is>
      </c>
      <c r="D465" s="210" t="inlineStr">
        <is>
          <t>aschoen@nea.com</t>
        </is>
      </c>
      <c r="E465" s="80" t="n">
        <v>45878</v>
      </c>
      <c r="F465" s="80" t="n">
        <v>45890</v>
      </c>
      <c r="G465" s="80" t="n">
        <v>46021</v>
      </c>
    </row>
    <row r="466" ht="15.75" customHeight="1" s="216">
      <c r="A466" s="288" t="inlineStr">
        <is>
          <t>Mohamad Makhzoumi</t>
        </is>
      </c>
      <c r="B466" s="288" t="inlineStr">
        <is>
          <t>NEA</t>
        </is>
      </c>
      <c r="C466" s="127" t="inlineStr">
        <is>
          <t>https://www.linkedin.com/in/mohamad-makhzoumi-37368334/</t>
        </is>
      </c>
      <c r="D466" s="211" t="inlineStr">
        <is>
          <t>mmakhzoumi@nea.com</t>
        </is>
      </c>
      <c r="E466" s="129" t="n">
        <v>45878</v>
      </c>
      <c r="F466" s="80" t="n">
        <v>45890</v>
      </c>
    </row>
    <row r="467" ht="15.75" customHeight="1" s="216">
      <c r="A467" t="inlineStr">
        <is>
          <t>Tiffany Luck</t>
        </is>
      </c>
      <c r="B467" t="inlineStr">
        <is>
          <t>NEA</t>
        </is>
      </c>
      <c r="C467" s="111" t="inlineStr">
        <is>
          <t>https://www.linkedin.com/in/tluck/</t>
        </is>
      </c>
      <c r="D467" s="210" t="inlineStr">
        <is>
          <t>tluck@nea.com</t>
        </is>
      </c>
      <c r="E467" s="80" t="n">
        <v>45878</v>
      </c>
      <c r="F467" s="80" t="n">
        <v>45890</v>
      </c>
      <c r="G467" s="80" t="n">
        <v>46021</v>
      </c>
    </row>
    <row r="468" ht="15.75" customHeight="1" s="216">
      <c r="A468" s="160" t="inlineStr">
        <is>
          <t>Louie Luong</t>
        </is>
      </c>
      <c r="B468" t="inlineStr">
        <is>
          <t>Touchdown Ventures/Cerity Partners</t>
        </is>
      </c>
      <c r="C468" s="111" t="inlineStr">
        <is>
          <t>https://www.linkedin.com/in/louisluong/</t>
        </is>
      </c>
      <c r="D468" s="210" t="inlineStr">
        <is>
          <t>louie@touchdownvc.com</t>
        </is>
      </c>
      <c r="E468" s="80" t="n">
        <v>45878</v>
      </c>
      <c r="F468" s="80" t="n">
        <v>45890</v>
      </c>
      <c r="G468" s="80" t="n">
        <v>46021</v>
      </c>
    </row>
    <row r="469" ht="15.75" customHeight="1" s="216">
      <c r="A469" t="inlineStr">
        <is>
          <t>Jack Taylor</t>
        </is>
      </c>
      <c r="B469" t="inlineStr">
        <is>
          <t>Touchdown Ventures/Cerity Partners</t>
        </is>
      </c>
      <c r="D469" s="210" t="inlineStr">
        <is>
          <t>jtaylor@ceritypartners.com</t>
        </is>
      </c>
      <c r="E469" s="80" t="n">
        <v>45878</v>
      </c>
      <c r="F469" s="80" t="n">
        <v>45890</v>
      </c>
      <c r="G469" s="80" t="n">
        <v>46021</v>
      </c>
    </row>
    <row r="470" ht="15.75" customHeight="1" s="216">
      <c r="A470" t="inlineStr">
        <is>
          <t>David Horowitz</t>
        </is>
      </c>
      <c r="B470" t="inlineStr">
        <is>
          <t>Touchdown Ventures/Cerity Partners</t>
        </is>
      </c>
      <c r="C470" s="111" t="inlineStr">
        <is>
          <t>https://www.linkedin.com/in/davidbhorowitz/</t>
        </is>
      </c>
      <c r="D470" s="210" t="inlineStr">
        <is>
          <t>dhorowitz@ceritypartners.com</t>
        </is>
      </c>
      <c r="E470" s="80" t="n">
        <v>45878</v>
      </c>
      <c r="F470" s="80" t="n">
        <v>45890</v>
      </c>
      <c r="G470" s="80" t="n">
        <v>46021</v>
      </c>
    </row>
    <row r="471" ht="15.75" customHeight="1" s="216">
      <c r="A471" t="inlineStr">
        <is>
          <t>Eric Budin</t>
        </is>
      </c>
      <c r="B471" t="inlineStr">
        <is>
          <t>Touchdown Ventures/Cerity Partners</t>
        </is>
      </c>
      <c r="C471" s="111" t="inlineStr">
        <is>
          <t>https://www.linkedin.com/in/ericbudin/</t>
        </is>
      </c>
      <c r="D471" s="210" t="inlineStr">
        <is>
          <t>eric@touchdownvc.com</t>
        </is>
      </c>
      <c r="E471" s="80" t="n">
        <v>45878</v>
      </c>
      <c r="F471" s="80" t="n">
        <v>45890</v>
      </c>
      <c r="G471" s="80" t="n">
        <v>46021</v>
      </c>
    </row>
    <row r="472" ht="15.75" customHeight="1" s="216">
      <c r="A472" t="inlineStr">
        <is>
          <t>Greg Bergamesco</t>
        </is>
      </c>
      <c r="B472" t="inlineStr">
        <is>
          <t>Touchdown Ventures/Cerity Partners</t>
        </is>
      </c>
      <c r="C472" s="111" t="inlineStr">
        <is>
          <t>https://www.linkedin.com/in/greg-bergamesco-2667162/</t>
        </is>
      </c>
      <c r="D472" s="210" t="inlineStr">
        <is>
          <t>greg@touchdownvc.com</t>
        </is>
      </c>
      <c r="E472" s="80" t="n">
        <v>45878</v>
      </c>
      <c r="F472" s="80" t="n">
        <v>45890</v>
      </c>
      <c r="G472" s="80" t="n">
        <v>46021</v>
      </c>
    </row>
    <row r="473" ht="15.75" customHeight="1" s="216">
      <c r="A473" t="inlineStr">
        <is>
          <t>Jon Cullom</t>
        </is>
      </c>
      <c r="B473" t="inlineStr">
        <is>
          <t>Touchdown Ventures/Cerity Partners</t>
        </is>
      </c>
      <c r="C473" t="inlineStr">
        <is>
          <t>linkedin.com/in/jon-cullom</t>
        </is>
      </c>
      <c r="D473" s="210" t="inlineStr">
        <is>
          <t>jon.cullom@touchdownvc.com</t>
        </is>
      </c>
      <c r="E473" s="80" t="n">
        <v>45878</v>
      </c>
      <c r="F473" s="80" t="n">
        <v>45890</v>
      </c>
      <c r="G473" s="80" t="n">
        <v>46021</v>
      </c>
    </row>
    <row r="474" ht="15.75" customHeight="1" s="216">
      <c r="A474" t="inlineStr">
        <is>
          <t>Farah Ali</t>
        </is>
      </c>
      <c r="B474" t="inlineStr">
        <is>
          <t>Embedded Ventures</t>
        </is>
      </c>
      <c r="C474" s="111" t="inlineStr">
        <is>
          <t>https://www.linkedin.com/in/farahmali/</t>
        </is>
      </c>
      <c r="D474" s="210" t="inlineStr">
        <is>
          <t>farah@embedded.ventures</t>
        </is>
      </c>
      <c r="E474" s="80" t="n">
        <v>45889</v>
      </c>
      <c r="F474" s="80" t="n">
        <v>45994</v>
      </c>
      <c r="G474" s="80" t="n">
        <v>46021</v>
      </c>
    </row>
    <row r="475" ht="15.75" customHeight="1" s="216">
      <c r="A475" t="inlineStr">
        <is>
          <t>Jenna Bryant</t>
        </is>
      </c>
      <c r="B475" t="inlineStr">
        <is>
          <t>Embedded Ventures</t>
        </is>
      </c>
      <c r="C475" t="inlineStr">
        <is>
          <t>linkedin.com/in/jennabryant</t>
        </is>
      </c>
      <c r="D475" s="210" t="inlineStr">
        <is>
          <t>jenna@embedded.ventures</t>
        </is>
      </c>
      <c r="E475" s="80" t="n">
        <v>45889</v>
      </c>
      <c r="F475" s="80" t="n">
        <v>45994</v>
      </c>
      <c r="G475" s="80" t="n">
        <v>46021</v>
      </c>
    </row>
    <row r="476" ht="15.75" customHeight="1" s="216">
      <c r="A476" t="inlineStr">
        <is>
          <t>Bill Cramsie</t>
        </is>
      </c>
      <c r="B476" t="inlineStr">
        <is>
          <t>Embedded Ventures</t>
        </is>
      </c>
      <c r="C476" s="111" t="inlineStr">
        <is>
          <t>https://www.linkedin.com/in/williamcramsie/</t>
        </is>
      </c>
      <c r="D476" s="210" t="inlineStr">
        <is>
          <t>william@embedded.ventures</t>
        </is>
      </c>
      <c r="E476" s="80" t="n">
        <v>45889</v>
      </c>
      <c r="F476" s="80" t="n">
        <v>45994</v>
      </c>
      <c r="G476" s="80" t="n">
        <v>46021</v>
      </c>
    </row>
    <row r="477" ht="15.75" customHeight="1" s="216">
      <c r="A477" t="inlineStr">
        <is>
          <t>Jordan Noone</t>
        </is>
      </c>
      <c r="B477" t="inlineStr">
        <is>
          <t>Embedded Ventures</t>
        </is>
      </c>
      <c r="C477" t="inlineStr">
        <is>
          <t>linkedin.com/in/jordan-noone</t>
        </is>
      </c>
      <c r="D477" s="210" t="inlineStr">
        <is>
          <t>jordan@embedded.ventures</t>
        </is>
      </c>
      <c r="E477" s="80" t="n">
        <v>45889</v>
      </c>
      <c r="F477" s="80" t="n">
        <v>45994</v>
      </c>
      <c r="G477" s="80" t="n">
        <v>46021</v>
      </c>
    </row>
    <row r="478" ht="15.75" customHeight="1" s="216">
      <c r="A478" t="inlineStr">
        <is>
          <t>David Rowe</t>
        </is>
      </c>
      <c r="B478" t="inlineStr">
        <is>
          <t>Aero Equity / AE Industrial Parnters</t>
        </is>
      </c>
      <c r="C478" s="111" t="inlineStr">
        <is>
          <t>https://www.linkedin.com/in/david-rowe-50018431/</t>
        </is>
      </c>
      <c r="D478" s="210" t="inlineStr">
        <is>
          <t>drowe@aeroequity.com</t>
        </is>
      </c>
      <c r="E478" s="80" t="n">
        <v>45889</v>
      </c>
      <c r="F478" s="80" t="n">
        <v>45994</v>
      </c>
      <c r="G478" s="80" t="n">
        <v>46021</v>
      </c>
    </row>
    <row r="479" ht="15.75" customHeight="1" s="216">
      <c r="A479" t="inlineStr">
        <is>
          <t>Kirk Konert</t>
        </is>
      </c>
      <c r="B479" t="inlineStr">
        <is>
          <t>Aero Equity / AE Industrial Parnters</t>
        </is>
      </c>
      <c r="C479" s="111" t="inlineStr">
        <is>
          <t>https://www.linkedin.com/in/kirk-konert-31a99228</t>
        </is>
      </c>
      <c r="D479" s="210" t="inlineStr">
        <is>
          <t>kkonert@aeroequity.com</t>
        </is>
      </c>
      <c r="E479" s="80" t="n">
        <v>45889</v>
      </c>
      <c r="F479" s="80" t="n">
        <v>45994</v>
      </c>
      <c r="G479" s="80" t="n">
        <v>46021</v>
      </c>
    </row>
    <row r="480" ht="15.75" customHeight="1" s="216">
      <c r="A480" t="inlineStr">
        <is>
          <t>Brian Schettler</t>
        </is>
      </c>
      <c r="B480" t="inlineStr">
        <is>
          <t>Aero Equity / AE Industrial Parnters</t>
        </is>
      </c>
      <c r="C480" s="111" t="inlineStr">
        <is>
          <t>https://www.linkedin.com/in/brian-schettler-4ab87a5/</t>
        </is>
      </c>
      <c r="D480" s="210" t="inlineStr">
        <is>
          <t>bschettler@aeroequity.com</t>
        </is>
      </c>
      <c r="E480" s="80" t="n">
        <v>45889</v>
      </c>
      <c r="F480" s="80" t="n">
        <v>45994</v>
      </c>
      <c r="G480" s="80" t="n">
        <v>46021</v>
      </c>
    </row>
    <row r="481" ht="15.75" customHeight="1" s="216">
      <c r="A481" t="inlineStr">
        <is>
          <t>Andrew McMahon</t>
        </is>
      </c>
      <c r="B481" t="inlineStr">
        <is>
          <t>Ridgeline VC</t>
        </is>
      </c>
      <c r="C481" s="111" t="inlineStr">
        <is>
          <t>https://www.linkedin.com/in/andrewsmcmahon/</t>
        </is>
      </c>
      <c r="D481" s="210" t="inlineStr">
        <is>
          <t>andrew@ridgeline.vc</t>
        </is>
      </c>
      <c r="E481" s="80" t="n">
        <v>45889</v>
      </c>
      <c r="F481" s="80" t="n">
        <v>45994</v>
      </c>
      <c r="G481" s="80" t="n">
        <v>46021</v>
      </c>
    </row>
    <row r="482" ht="15.75" customHeight="1" s="216">
      <c r="A482" t="inlineStr">
        <is>
          <t>Brandon Harris</t>
        </is>
      </c>
      <c r="B482" t="inlineStr">
        <is>
          <t>Ridgeline VC</t>
        </is>
      </c>
      <c r="C482" s="111" t="inlineStr">
        <is>
          <t>https://www.linkedin.com/in/brandon-harris-13304782/</t>
        </is>
      </c>
      <c r="D482" s="210" t="inlineStr">
        <is>
          <t>brandon@ridgelinepartners.co</t>
        </is>
      </c>
      <c r="E482" s="80" t="n">
        <v>45889</v>
      </c>
      <c r="F482" s="80" t="n">
        <v>45994</v>
      </c>
      <c r="G482" s="80" t="n">
        <v>46021</v>
      </c>
    </row>
    <row r="483" ht="15.75" customHeight="1" s="216">
      <c r="A483" t="inlineStr">
        <is>
          <t>Ben Walker</t>
        </is>
      </c>
      <c r="B483" t="inlineStr">
        <is>
          <t>Ridgeline VC</t>
        </is>
      </c>
      <c r="C483" s="160" t="inlineStr">
        <is>
          <t>https://www.linkedin.com/in/ben-walker-a48a3726/</t>
        </is>
      </c>
      <c r="D483" s="210" t="inlineStr">
        <is>
          <t>ben@ridgelinepartners.co</t>
        </is>
      </c>
      <c r="E483" s="80" t="n">
        <v>45889</v>
      </c>
      <c r="F483" s="80" t="n">
        <v>45994</v>
      </c>
      <c r="G483" s="80" t="n">
        <v>46021</v>
      </c>
    </row>
    <row r="484" ht="15.75" customHeight="1" s="216">
      <c r="A484" t="inlineStr">
        <is>
          <t>Gregory Bernstein</t>
        </is>
      </c>
      <c r="B484" t="inlineStr">
        <is>
          <t>Acequia Capital</t>
        </is>
      </c>
      <c r="C484" s="111" t="inlineStr">
        <is>
          <t>https://www.linkedin.com/in/gregory-m-bernstein-34a2b4127/</t>
        </is>
      </c>
      <c r="D484" s="210" t="inlineStr">
        <is>
          <t>gregory@acecap.com</t>
        </is>
      </c>
      <c r="E484" s="80" t="n">
        <v>45889</v>
      </c>
      <c r="F484" s="80" t="n">
        <v>45994</v>
      </c>
      <c r="G484" s="80" t="n">
        <v>46021</v>
      </c>
    </row>
    <row r="485" ht="15.75" customHeight="1" s="216">
      <c r="A485" t="inlineStr">
        <is>
          <t>Michael Whitticom</t>
        </is>
      </c>
      <c r="B485" t="inlineStr">
        <is>
          <t>Acequia Capital</t>
        </is>
      </c>
      <c r="C485" s="111" t="inlineStr">
        <is>
          <t>https://www.linkedin.com/in/michael-whitticom-26596713/</t>
        </is>
      </c>
      <c r="D485" s="210" t="inlineStr">
        <is>
          <t>mike@acecap.com</t>
        </is>
      </c>
      <c r="E485" s="80" t="n">
        <v>45889</v>
      </c>
      <c r="F485" s="80" t="n">
        <v>45994</v>
      </c>
      <c r="G485" s="80" t="n">
        <v>46021</v>
      </c>
    </row>
    <row r="486" ht="15.75" customHeight="1" s="216">
      <c r="A486" t="inlineStr">
        <is>
          <t>Marc Jalabert</t>
        </is>
      </c>
      <c r="B486" t="inlineStr">
        <is>
          <t>Acequia Capital</t>
        </is>
      </c>
      <c r="C486" s="111" t="inlineStr">
        <is>
          <t>https://www.linkedin.com/in/marcjalabert/</t>
        </is>
      </c>
      <c r="D486" s="210" t="inlineStr">
        <is>
          <t>marc@acecap.com</t>
        </is>
      </c>
      <c r="E486" s="80" t="n">
        <v>45889</v>
      </c>
      <c r="F486" s="80" t="n">
        <v>45994</v>
      </c>
      <c r="G486" s="80" t="n">
        <v>46021</v>
      </c>
    </row>
    <row r="487" ht="15.75" customHeight="1" s="216">
      <c r="A487" t="inlineStr">
        <is>
          <t>Leif Danielsen</t>
        </is>
      </c>
      <c r="B487" t="inlineStr">
        <is>
          <t>Acequia Capital</t>
        </is>
      </c>
      <c r="C487" s="111" t="inlineStr">
        <is>
          <t>https://www.linkedin.com/in/leif-danielsen-35a56550/</t>
        </is>
      </c>
      <c r="D487" s="210" t="inlineStr">
        <is>
          <t>danielsen@acecap.com</t>
        </is>
      </c>
      <c r="E487" s="80" t="n">
        <v>45889</v>
      </c>
      <c r="F487" s="80" t="n">
        <v>45994</v>
      </c>
      <c r="G487" s="80" t="n">
        <v>46021</v>
      </c>
    </row>
    <row r="488" ht="15.75" customHeight="1" s="216">
      <c r="A488" t="inlineStr">
        <is>
          <t>Hank Vigil</t>
        </is>
      </c>
      <c r="B488" t="inlineStr">
        <is>
          <t>Acequia Capital</t>
        </is>
      </c>
      <c r="C488" s="111" t="inlineStr">
        <is>
          <t>https://www.linkedin.com/in/hank-vigil-447280160/</t>
        </is>
      </c>
      <c r="D488" s="210" t="inlineStr">
        <is>
          <t>hank@acecap.com</t>
        </is>
      </c>
      <c r="E488" s="80" t="n">
        <v>45889</v>
      </c>
      <c r="F488" s="80" t="n">
        <v>45994</v>
      </c>
      <c r="G488" s="80" t="n">
        <v>46021</v>
      </c>
    </row>
    <row r="489" ht="15.75" customHeight="1" s="216">
      <c r="A489" t="inlineStr">
        <is>
          <t>Aaron Sisto</t>
        </is>
      </c>
      <c r="B489" t="inlineStr">
        <is>
          <t>First Spark Ventures</t>
        </is>
      </c>
      <c r="C489" s="111" t="inlineStr">
        <is>
          <t>https://www.linkedin.com/in/aaronsisto/</t>
        </is>
      </c>
      <c r="D489" s="210" t="inlineStr">
        <is>
          <t>aaron@firstsparkventures.com</t>
        </is>
      </c>
      <c r="E489" s="80" t="n">
        <v>45889</v>
      </c>
      <c r="F489" s="80" t="n">
        <v>45994</v>
      </c>
      <c r="G489" s="80" t="n">
        <v>46021</v>
      </c>
    </row>
    <row r="490" ht="15.75" customHeight="1" s="216">
      <c r="A490" t="inlineStr">
        <is>
          <t>Peter Richards</t>
        </is>
      </c>
      <c r="B490" t="inlineStr">
        <is>
          <t>First Spark Ventures</t>
        </is>
      </c>
      <c r="C490" s="111" t="inlineStr">
        <is>
          <t>https://www.linkedin.com/in/peter-richards-67a81570/</t>
        </is>
      </c>
      <c r="D490" s="210" t="inlineStr">
        <is>
          <t>peter@firstsparkventures.com</t>
        </is>
      </c>
      <c r="E490" s="80" t="n">
        <v>45889</v>
      </c>
      <c r="F490" s="80" t="n">
        <v>45994</v>
      </c>
      <c r="G490" s="80" t="n">
        <v>46021</v>
      </c>
    </row>
    <row r="491" ht="15.75" customHeight="1" s="216">
      <c r="A491" t="inlineStr">
        <is>
          <t>Peter Olcott</t>
        </is>
      </c>
      <c r="B491" t="inlineStr">
        <is>
          <t>First Spark Ventures</t>
        </is>
      </c>
      <c r="C491" t="inlineStr">
        <is>
          <t>linkedin.com/in/drpeterolcott</t>
        </is>
      </c>
      <c r="D491" s="210" t="inlineStr">
        <is>
          <t>polcott@firstsparkventures.com</t>
        </is>
      </c>
      <c r="E491" s="80" t="n">
        <v>45889</v>
      </c>
      <c r="F491" s="80" t="n">
        <v>45994</v>
      </c>
      <c r="G491" s="80" t="n">
        <v>46021</v>
      </c>
    </row>
    <row r="492" ht="15.75" customHeight="1" s="216">
      <c r="A492" t="inlineStr">
        <is>
          <t>Haitao Zhu</t>
        </is>
      </c>
      <c r="B492" t="inlineStr">
        <is>
          <t>First Spark Ventures</t>
        </is>
      </c>
      <c r="C492" t="inlineStr">
        <is>
          <t>linkedin.com/in/haitao-zhu-08672920</t>
        </is>
      </c>
      <c r="D492" s="210" t="inlineStr">
        <is>
          <t>haitao@firstsparkventures.com</t>
        </is>
      </c>
      <c r="E492" s="80" t="n">
        <v>45889</v>
      </c>
      <c r="F492" s="80" t="n">
        <v>45994</v>
      </c>
      <c r="G492" s="80" t="n">
        <v>46021</v>
      </c>
    </row>
    <row r="493" ht="15.75" customHeight="1" s="216">
      <c r="A493" t="inlineStr">
        <is>
          <t>Gal Treger</t>
        </is>
      </c>
      <c r="B493" t="inlineStr">
        <is>
          <t>First Spark Ventures</t>
        </is>
      </c>
      <c r="C493" s="111" t="inlineStr">
        <is>
          <t>https://www.linkedin.com/in/gal-treger-b12714a5/</t>
        </is>
      </c>
      <c r="D493" s="210" t="inlineStr">
        <is>
          <t>gt@firstsparkventures.com</t>
        </is>
      </c>
      <c r="E493" s="80" t="n">
        <v>45889</v>
      </c>
      <c r="F493" s="80" t="n">
        <v>45994</v>
      </c>
      <c r="G493" s="80" t="n">
        <v>46021</v>
      </c>
    </row>
    <row r="494" ht="15.75" customHeight="1" s="216">
      <c r="A494" t="inlineStr">
        <is>
          <t>Danny Chen</t>
        </is>
      </c>
      <c r="B494" t="inlineStr">
        <is>
          <t>First Spark Ventures</t>
        </is>
      </c>
      <c r="C494" s="111" t="inlineStr">
        <is>
          <t>https://www.linkedin.com/in/danny-chen-177671177/</t>
        </is>
      </c>
      <c r="D494" s="210" t="inlineStr">
        <is>
          <t>danny@firstsparkventures.com</t>
        </is>
      </c>
      <c r="E494" s="80" t="n">
        <v>45889</v>
      </c>
      <c r="F494" s="80" t="n">
        <v>45994</v>
      </c>
      <c r="G494" s="80" t="n">
        <v>46021</v>
      </c>
    </row>
    <row r="495" ht="15.75" customHeight="1" s="216">
      <c r="A495" t="inlineStr">
        <is>
          <t>Todd Meister</t>
        </is>
      </c>
      <c r="B495" t="inlineStr">
        <is>
          <t>First Spark Ventures</t>
        </is>
      </c>
      <c r="D495" s="210" t="inlineStr">
        <is>
          <t>todd@firstsparkventures.com</t>
        </is>
      </c>
      <c r="E495" s="80" t="n">
        <v>45889</v>
      </c>
      <c r="F495" s="80" t="n">
        <v>45994</v>
      </c>
      <c r="G495" s="80" t="n">
        <v>46021</v>
      </c>
    </row>
    <row r="496" ht="15.75" customHeight="1" s="216">
      <c r="A496" s="2" t="inlineStr">
        <is>
          <t>Tom Watts</t>
        </is>
      </c>
      <c r="B496" s="2" t="inlineStr">
        <is>
          <t>Radius</t>
        </is>
      </c>
      <c r="C496" s="3" t="inlineStr">
        <is>
          <t>https://www.linkedin.com/in/tom-watts-8186181/</t>
        </is>
      </c>
      <c r="D496" s="177" t="inlineStr">
        <is>
          <t>tomwatts4@gmail.com</t>
        </is>
      </c>
      <c r="E496" s="80" t="n">
        <v>45890</v>
      </c>
      <c r="F496" s="80" t="n">
        <v>45923</v>
      </c>
      <c r="G496" s="80" t="n">
        <v>45994</v>
      </c>
      <c r="J496" s="80" t="n"/>
    </row>
    <row r="497" ht="15.75" customHeight="1" s="216">
      <c r="A497" s="2" t="inlineStr">
        <is>
          <t>Gopi Sundaram</t>
        </is>
      </c>
      <c r="B497" s="2" t="inlineStr">
        <is>
          <t>Radius</t>
        </is>
      </c>
      <c r="C497" s="3" t="inlineStr">
        <is>
          <t>https://www.linkedin.com/in/gopi-sundaram-2b35b91/</t>
        </is>
      </c>
      <c r="D497" s="182" t="inlineStr">
        <is>
          <t>gsundaram@radiuscapitalpartners.com</t>
        </is>
      </c>
      <c r="E497" s="80" t="n">
        <v>45890</v>
      </c>
      <c r="F497" s="80" t="n">
        <v>45923</v>
      </c>
      <c r="G497" s="80" t="n">
        <v>45994</v>
      </c>
      <c r="J497" s="80" t="n"/>
    </row>
    <row r="498" ht="15.75" customHeight="1" s="216">
      <c r="A498" s="288" t="inlineStr">
        <is>
          <t>Bernard Liautaud</t>
        </is>
      </c>
      <c r="B498" s="288" t="inlineStr">
        <is>
          <t>Balderton</t>
        </is>
      </c>
      <c r="C498" s="127" t="inlineStr">
        <is>
          <t>https://www.linkedin.com/in/bernardliautaud</t>
        </is>
      </c>
      <c r="D498" s="211" t="inlineStr">
        <is>
          <t>bliautaud@balderton.com</t>
        </is>
      </c>
      <c r="E498" s="129" t="n">
        <v>45891</v>
      </c>
    </row>
    <row r="499" ht="15.75" customHeight="1" s="216">
      <c r="A499" s="288" t="inlineStr">
        <is>
          <t>Lars Fjeldsoe-Nielsen</t>
        </is>
      </c>
      <c r="B499" s="288" t="inlineStr">
        <is>
          <t>Balderton</t>
        </is>
      </c>
      <c r="C499" s="127" t="inlineStr">
        <is>
          <t>https://www.linkedin.com/in/larsfjeldsoenielsen</t>
        </is>
      </c>
      <c r="D499" s="211" t="inlineStr">
        <is>
          <t>lars@balderton.com</t>
        </is>
      </c>
      <c r="E499" s="129" t="n">
        <v>45891</v>
      </c>
    </row>
    <row r="500" ht="15.75" customHeight="1" s="216">
      <c r="A500" s="288" t="inlineStr">
        <is>
          <t>Suranga Chandratillake</t>
        </is>
      </c>
      <c r="B500" s="288" t="inlineStr">
        <is>
          <t>Balderton</t>
        </is>
      </c>
      <c r="C500" s="127" t="inlineStr">
        <is>
          <t>https://www.linkedin.com/in/suranga-chandratillake-6a839363/</t>
        </is>
      </c>
      <c r="D500" s="211" t="inlineStr">
        <is>
          <t>suranga@balderton.com</t>
        </is>
      </c>
      <c r="E500" s="129" t="n">
        <v>45891</v>
      </c>
    </row>
    <row r="501" ht="15.75" customHeight="1" s="216">
      <c r="A501" s="288" t="inlineStr">
        <is>
          <t>Rana Yared</t>
        </is>
      </c>
      <c r="B501" s="288" t="inlineStr">
        <is>
          <t>Balderton</t>
        </is>
      </c>
      <c r="C501" s="127" t="inlineStr">
        <is>
          <t>https://www.linkedin.com/in/ranayared/</t>
        </is>
      </c>
      <c r="D501" s="211" t="inlineStr">
        <is>
          <t>rana@balderton.com</t>
        </is>
      </c>
      <c r="E501" s="129" t="n">
        <v>45891</v>
      </c>
    </row>
    <row r="502" ht="15.75" customHeight="1" s="216">
      <c r="A502" t="inlineStr">
        <is>
          <t>Tony Palcheck</t>
        </is>
      </c>
      <c r="B502" t="inlineStr">
        <is>
          <t>Zebra Ventures</t>
        </is>
      </c>
      <c r="C502" s="111" t="inlineStr">
        <is>
          <t>https://www.linkedin.com/in/tony-palcheck-b1356/</t>
        </is>
      </c>
      <c r="D502" s="210" t="inlineStr">
        <is>
          <t>tony.palcheck@zebra.com</t>
        </is>
      </c>
      <c r="E502" s="80" t="n">
        <v>45891</v>
      </c>
      <c r="F502" s="80" t="n">
        <v>45923</v>
      </c>
      <c r="G502" s="80" t="n">
        <v>45994</v>
      </c>
      <c r="J502" s="80" t="n"/>
    </row>
    <row r="503" ht="15.75" customHeight="1" s="216">
      <c r="A503" s="168" t="inlineStr">
        <is>
          <t>EXOS + Plug &amp; Play: Introductions</t>
        </is>
      </c>
      <c r="D503" s="198" t="inlineStr">
        <is>
          <t>jacob.reedy@Trinet.com, matt.darton@trinet.com, a.irizarry@pnptc.com</t>
        </is>
      </c>
      <c r="E503" s="80" t="n">
        <v>45891</v>
      </c>
      <c r="F503" s="80" t="n">
        <v>45994</v>
      </c>
    </row>
    <row r="504" ht="15.75" customHeight="1" s="216">
      <c r="A504" s="112" t="inlineStr">
        <is>
          <t>Starfighters -Exos</t>
        </is>
      </c>
      <c r="D504" s="114" t="inlineStr">
        <is>
          <t xml:space="preserve"> oscargarcia@interflightglobal.com, ron@ronbloom.com</t>
        </is>
      </c>
      <c r="E504" s="80" t="n">
        <v>45891</v>
      </c>
    </row>
    <row r="505" ht="15.75" customHeight="1" s="216">
      <c r="A505" t="inlineStr">
        <is>
          <t>the team</t>
        </is>
      </c>
      <c r="B505" t="inlineStr">
        <is>
          <t>Mikal Ventures</t>
        </is>
      </c>
      <c r="D505" s="198" t="inlineStr">
        <is>
          <t>info@mikalventures.com</t>
        </is>
      </c>
      <c r="E505" s="80" t="n">
        <v>45891</v>
      </c>
      <c r="F505" s="80" t="n">
        <v>45923</v>
      </c>
      <c r="G505" s="80" t="n">
        <v>45994</v>
      </c>
      <c r="J505" s="80" t="n"/>
    </row>
    <row r="506" ht="15.75" customHeight="1" s="216">
      <c r="A506" t="inlineStr">
        <is>
          <t>Mike Cunningham</t>
        </is>
      </c>
      <c r="B506" t="inlineStr">
        <is>
          <t>Mikal Ventures</t>
        </is>
      </c>
      <c r="C506" s="111" t="inlineStr">
        <is>
          <t>https://www.linkedin.com/in/michaeljcunningham10</t>
        </is>
      </c>
      <c r="D506" s="210" t="inlineStr">
        <is>
          <t>mike.cunningham@mikalventures.com</t>
        </is>
      </c>
      <c r="E506" s="80" t="n">
        <v>45891</v>
      </c>
      <c r="F506" s="80" t="n">
        <v>45923</v>
      </c>
      <c r="G506" s="80" t="n">
        <v>45994</v>
      </c>
      <c r="J506" s="80" t="n"/>
    </row>
    <row r="507" ht="15.75" customHeight="1" s="216">
      <c r="A507" t="inlineStr">
        <is>
          <t>Christopher Malter</t>
        </is>
      </c>
      <c r="B507" t="inlineStr">
        <is>
          <t>Mikal Ventures</t>
        </is>
      </c>
      <c r="C507" t="inlineStr">
        <is>
          <t>linkedin.com/in/christopher-malter-035636</t>
        </is>
      </c>
      <c r="D507" s="210" t="inlineStr">
        <is>
          <t>chris.malter@mikalventures.com</t>
        </is>
      </c>
      <c r="E507" s="80" t="n">
        <v>45891</v>
      </c>
      <c r="F507" s="80" t="n">
        <v>45923</v>
      </c>
      <c r="G507" s="80" t="n">
        <v>45994</v>
      </c>
      <c r="J507" s="80" t="n"/>
    </row>
    <row r="508" ht="15.75" customHeight="1" s="216">
      <c r="A508" t="inlineStr">
        <is>
          <t>Marco DeMeireles</t>
        </is>
      </c>
      <c r="B508" t="inlineStr">
        <is>
          <t>Ansa</t>
        </is>
      </c>
      <c r="C508" t="inlineStr">
        <is>
          <t>linkedin.com/in/marcodemeireles</t>
        </is>
      </c>
      <c r="D508" s="210" t="inlineStr">
        <is>
          <t>marco.demeireles@ansa.co</t>
        </is>
      </c>
      <c r="E508" s="80" t="n">
        <v>45891</v>
      </c>
      <c r="F508" s="80" t="n">
        <v>45923</v>
      </c>
      <c r="G508" s="80" t="n">
        <v>45994</v>
      </c>
      <c r="J508" s="80" t="n"/>
    </row>
    <row r="509" ht="15.75" customHeight="1" s="216">
      <c r="A509" t="inlineStr">
        <is>
          <t>Allan Jean-Baptiste</t>
        </is>
      </c>
      <c r="B509" t="inlineStr">
        <is>
          <t>Ansa</t>
        </is>
      </c>
      <c r="C509" t="inlineStr">
        <is>
          <t>linkedin.com/in/allanjeanbaptiste</t>
        </is>
      </c>
      <c r="D509" s="210" t="inlineStr">
        <is>
          <t>allan@ansa.co</t>
        </is>
      </c>
      <c r="E509" s="80" t="n">
        <v>45891</v>
      </c>
      <c r="F509" s="80" t="n">
        <v>45923</v>
      </c>
      <c r="G509" s="80" t="n">
        <v>45994</v>
      </c>
      <c r="J509" s="80" t="n"/>
    </row>
    <row r="510" ht="15.75" customHeight="1" s="216">
      <c r="A510" t="inlineStr">
        <is>
          <t>Josh Chin</t>
        </is>
      </c>
      <c r="B510" t="inlineStr">
        <is>
          <t>Ansa</t>
        </is>
      </c>
      <c r="C510" s="111" t="inlineStr">
        <is>
          <t>https://www.linkedin.com/in/joshgwchin/</t>
        </is>
      </c>
      <c r="D510" s="210" t="inlineStr">
        <is>
          <t>josh@ansa.co</t>
        </is>
      </c>
      <c r="E510" s="80" t="n">
        <v>45891</v>
      </c>
      <c r="F510" s="80" t="n">
        <v>45923</v>
      </c>
      <c r="G510" s="80" t="n">
        <v>45994</v>
      </c>
      <c r="J510" s="80" t="n"/>
    </row>
    <row r="511" ht="15.75" customHeight="1" s="216">
      <c r="A511" s="160" t="inlineStr">
        <is>
          <t>Oliver Mitchell</t>
        </is>
      </c>
      <c r="B511" t="inlineStr">
        <is>
          <t>ff VC</t>
        </is>
      </c>
      <c r="C511" s="111" t="inlineStr">
        <is>
          <t>https://www.linkedin.com/in/oliverbmitchell/</t>
        </is>
      </c>
      <c r="D511" s="210" t="inlineStr">
        <is>
          <t>oliver.mitchell@ffvc.com</t>
        </is>
      </c>
      <c r="E511" s="80" t="n">
        <v>45891</v>
      </c>
      <c r="F511" s="80" t="n">
        <v>45923</v>
      </c>
      <c r="G511" s="80" t="n">
        <v>45994</v>
      </c>
      <c r="J511" s="80" t="n"/>
    </row>
    <row r="512" ht="15.75" customHeight="1" s="216">
      <c r="A512" t="inlineStr">
        <is>
          <t>Alex Katz</t>
        </is>
      </c>
      <c r="B512" t="inlineStr">
        <is>
          <t>ff VC</t>
        </is>
      </c>
      <c r="C512" s="111" t="inlineStr">
        <is>
          <t>https://www.linkedin.com/in/alex-katz-42551412/</t>
        </is>
      </c>
      <c r="D512" s="210" t="inlineStr">
        <is>
          <t>alex@ffvc.com</t>
        </is>
      </c>
      <c r="E512" s="80" t="n">
        <v>45891</v>
      </c>
      <c r="F512" s="80" t="n">
        <v>45923</v>
      </c>
      <c r="G512" s="80" t="n">
        <v>45994</v>
      </c>
      <c r="J512" s="80" t="n"/>
    </row>
    <row r="513" ht="15.75" customHeight="1" s="216">
      <c r="A513" t="inlineStr">
        <is>
          <t>Avery Ersztein</t>
        </is>
      </c>
      <c r="B513" t="inlineStr">
        <is>
          <t>ff VC</t>
        </is>
      </c>
      <c r="D513" s="210" t="inlineStr">
        <is>
          <t>avery@ffvc.com</t>
        </is>
      </c>
      <c r="E513" s="80" t="n">
        <v>45891</v>
      </c>
      <c r="F513" s="80" t="n">
        <v>45923</v>
      </c>
      <c r="G513" s="80" t="n">
        <v>45994</v>
      </c>
      <c r="J513" s="80" t="n"/>
    </row>
    <row r="514" ht="15.75" customHeight="1" s="216">
      <c r="A514" t="inlineStr">
        <is>
          <t>Iris S. Chan</t>
        </is>
      </c>
      <c r="B514" s="162" t="inlineStr">
        <is>
          <t>Mighty Capital</t>
        </is>
      </c>
      <c r="C514" s="111" t="inlineStr">
        <is>
          <t>https://www.linkedin.com/in/iris-s-chan-b0622535/</t>
        </is>
      </c>
      <c r="D514" s="210" t="inlineStr">
        <is>
          <t>iris@mighty.capital</t>
        </is>
      </c>
      <c r="E514" s="80" t="n">
        <v>45891</v>
      </c>
      <c r="F514" s="80" t="n">
        <v>45923</v>
      </c>
      <c r="G514" s="80" t="n">
        <v>45994</v>
      </c>
      <c r="J514" s="80" t="n"/>
    </row>
    <row r="515" ht="15.75" customHeight="1" s="216">
      <c r="A515" t="inlineStr">
        <is>
          <t>Jennifer Vancini</t>
        </is>
      </c>
      <c r="B515" s="162" t="inlineStr">
        <is>
          <t>Mighty Capital</t>
        </is>
      </c>
      <c r="C515" s="111" t="inlineStr">
        <is>
          <t>https://www.linkedin.com/in/jennifer-vancini-2765b4/</t>
        </is>
      </c>
      <c r="D515" s="210" t="inlineStr">
        <is>
          <t>jennifer@mighty.capital</t>
        </is>
      </c>
      <c r="E515" s="80" t="n">
        <v>45891</v>
      </c>
      <c r="F515" s="80" t="n">
        <v>45924</v>
      </c>
      <c r="G515" s="80" t="n">
        <v>45994</v>
      </c>
      <c r="J515" s="80" t="n"/>
    </row>
    <row r="516" ht="15.75" customHeight="1" s="216">
      <c r="A516" t="inlineStr">
        <is>
          <t>SC Moatti</t>
        </is>
      </c>
      <c r="B516" s="162" t="inlineStr">
        <is>
          <t>Mighty Capital</t>
        </is>
      </c>
      <c r="C516" t="inlineStr">
        <is>
          <t>linkedin.com/in/scmoatti</t>
        </is>
      </c>
      <c r="D516" s="210" t="inlineStr">
        <is>
          <t>sc@mighty.capital</t>
        </is>
      </c>
      <c r="E516" s="80" t="n">
        <v>45891</v>
      </c>
      <c r="F516" s="80" t="n">
        <v>45924</v>
      </c>
      <c r="G516" t="inlineStr">
        <is>
          <t>(2 email threads going - also sent email on 12/2)</t>
        </is>
      </c>
      <c r="J516" s="80" t="n"/>
    </row>
    <row r="517" ht="15.75" customHeight="1" s="216">
      <c r="A517" t="inlineStr">
        <is>
          <t>Sharran Deora</t>
        </is>
      </c>
      <c r="B517" s="162" t="inlineStr">
        <is>
          <t>Mighty Capital</t>
        </is>
      </c>
      <c r="C517" s="111" t="inlineStr">
        <is>
          <t>https://www.linkedin.com/in/sharrand/</t>
        </is>
      </c>
      <c r="D517" s="210" t="inlineStr">
        <is>
          <t>sharran@mighty.capital</t>
        </is>
      </c>
      <c r="E517" s="80" t="n">
        <v>45891</v>
      </c>
      <c r="F517" s="80" t="n">
        <v>45924</v>
      </c>
      <c r="G517" s="80" t="n">
        <v>45994</v>
      </c>
      <c r="J517" s="80" t="n"/>
    </row>
    <row r="518" ht="15.75" customHeight="1" s="216">
      <c r="A518" t="inlineStr">
        <is>
          <t>Curt Albright</t>
        </is>
      </c>
      <c r="B518" t="inlineStr">
        <is>
          <t>Clear Current Capital</t>
        </is>
      </c>
      <c r="C518" s="111" t="inlineStr">
        <is>
          <t>https://www.linkedin.com/in/curt-albright-37694986/</t>
        </is>
      </c>
      <c r="D518" s="210" t="inlineStr">
        <is>
          <t>curta@clearcurrentcapital.com</t>
        </is>
      </c>
      <c r="E518" s="80" t="n">
        <v>45892</v>
      </c>
      <c r="F518" s="80" t="n">
        <v>45924</v>
      </c>
      <c r="G518" s="80" t="n">
        <v>45994</v>
      </c>
      <c r="J518" s="80" t="n"/>
    </row>
    <row r="519" ht="15.75" customHeight="1" s="216">
      <c r="A519" t="inlineStr">
        <is>
          <t>Kim Flores</t>
        </is>
      </c>
      <c r="B519" t="inlineStr">
        <is>
          <t>Clear Current Capital</t>
        </is>
      </c>
      <c r="C519" t="inlineStr">
        <is>
          <t>linkedin.com/in/kimfloresstrategy</t>
        </is>
      </c>
      <c r="D519" s="210" t="inlineStr">
        <is>
          <t>kimf@clearcurrentcapital.com</t>
        </is>
      </c>
      <c r="E519" s="80" t="n">
        <v>45892</v>
      </c>
      <c r="F519" s="80" t="n">
        <v>45924</v>
      </c>
      <c r="G519" s="80" t="n">
        <v>45994</v>
      </c>
      <c r="J519" s="80" t="n"/>
    </row>
    <row r="520" ht="15.75" customHeight="1" s="216">
      <c r="A520" t="inlineStr">
        <is>
          <t>Allie Molner</t>
        </is>
      </c>
      <c r="B520" t="inlineStr">
        <is>
          <t>Torch Capital</t>
        </is>
      </c>
      <c r="C520" s="111" t="inlineStr">
        <is>
          <t>https://www.linkedin.com/in/allie-molner-745295156/</t>
        </is>
      </c>
      <c r="D520" s="210" t="inlineStr">
        <is>
          <t>allie@torchcapital.vc</t>
        </is>
      </c>
      <c r="E520" s="80" t="n">
        <v>45892</v>
      </c>
      <c r="F520" s="80" t="n">
        <v>45924</v>
      </c>
      <c r="G520" s="80" t="n">
        <v>45994</v>
      </c>
      <c r="J520" s="80" t="n"/>
    </row>
    <row r="521" ht="15.75" customHeight="1" s="216">
      <c r="A521" t="inlineStr">
        <is>
          <t>Katie Reiner Peykar</t>
        </is>
      </c>
      <c r="B521" t="inlineStr">
        <is>
          <t>Torch Capital</t>
        </is>
      </c>
      <c r="C521" s="111" t="inlineStr">
        <is>
          <t>https://www.linkedin.com/in/katie-reiner-peykar-24542483/</t>
        </is>
      </c>
      <c r="D521" s="210" t="inlineStr">
        <is>
          <t>katie@torchcapital.vc</t>
        </is>
      </c>
      <c r="E521" s="80" t="n">
        <v>45892</v>
      </c>
      <c r="F521" s="80" t="n">
        <v>45924</v>
      </c>
      <c r="G521" s="80" t="n">
        <v>45994</v>
      </c>
      <c r="J521" s="80" t="n"/>
    </row>
    <row r="522" ht="15.75" customHeight="1" s="216">
      <c r="A522" t="inlineStr">
        <is>
          <t>Sam Jones</t>
        </is>
      </c>
      <c r="B522" t="inlineStr">
        <is>
          <t>Torch Capital</t>
        </is>
      </c>
      <c r="C522" s="111" t="inlineStr">
        <is>
          <t>https://www.linkedin.com/in/sam-jones-6a2b633a/</t>
        </is>
      </c>
      <c r="D522" s="210" t="inlineStr">
        <is>
          <t>sam@torchcapital.vc</t>
        </is>
      </c>
      <c r="E522" s="80" t="n">
        <v>45892</v>
      </c>
      <c r="F522" s="80" t="n">
        <v>45924</v>
      </c>
      <c r="G522" s="80" t="n">
        <v>45994</v>
      </c>
      <c r="J522" s="80" t="n"/>
    </row>
    <row r="523" ht="15.75" customHeight="1" s="216">
      <c r="A523" t="inlineStr">
        <is>
          <t>Chris Harper</t>
        </is>
      </c>
      <c r="B523" t="inlineStr">
        <is>
          <t>Torch Capital</t>
        </is>
      </c>
      <c r="C523" s="111" t="inlineStr">
        <is>
          <t>https://www.linkedin.com/in/christophervharper/</t>
        </is>
      </c>
      <c r="D523" s="210" t="inlineStr">
        <is>
          <t>chris@torchcapital.vc</t>
        </is>
      </c>
      <c r="E523" s="80" t="n">
        <v>45892</v>
      </c>
      <c r="F523" s="80" t="n">
        <v>45924</v>
      </c>
      <c r="G523" s="80" t="n">
        <v>45994</v>
      </c>
      <c r="J523" s="80" t="n"/>
    </row>
    <row r="524" ht="15.75" customHeight="1" s="216">
      <c r="A524" t="inlineStr">
        <is>
          <t>Jake Moross</t>
        </is>
      </c>
      <c r="B524" t="inlineStr">
        <is>
          <t>Torch Capital</t>
        </is>
      </c>
      <c r="C524" s="111" t="inlineStr">
        <is>
          <t>https://www.linkedin.com/in/jake-moross/</t>
        </is>
      </c>
      <c r="D524" s="210" t="inlineStr">
        <is>
          <t>jake@torchcapital.vc</t>
        </is>
      </c>
      <c r="E524" s="80" t="n">
        <v>45892</v>
      </c>
      <c r="F524" s="80" t="n">
        <v>45924</v>
      </c>
      <c r="G524" s="80" t="n">
        <v>45994</v>
      </c>
      <c r="J524" s="80" t="n"/>
    </row>
    <row r="525" ht="15.75" customHeight="1" s="216">
      <c r="A525" t="inlineStr">
        <is>
          <t>Creighton Hicks</t>
        </is>
      </c>
      <c r="B525" t="inlineStr">
        <is>
          <t>Live Oak VC</t>
        </is>
      </c>
      <c r="C525" t="inlineStr">
        <is>
          <t>linkedin.com/in/creightonhicks</t>
        </is>
      </c>
      <c r="D525" s="210" t="inlineStr">
        <is>
          <t>creighton@liveoakvp.com</t>
        </is>
      </c>
      <c r="E525" s="80" t="n">
        <v>45894</v>
      </c>
      <c r="F525" s="80" t="n">
        <v>45924</v>
      </c>
      <c r="G525" s="80" t="n">
        <v>45995</v>
      </c>
      <c r="J525" s="80" t="n"/>
    </row>
    <row r="526" ht="15.75" customHeight="1" s="216">
      <c r="A526" t="inlineStr">
        <is>
          <t>Venu Shamapant</t>
        </is>
      </c>
      <c r="B526" t="inlineStr">
        <is>
          <t>Live Oak VC</t>
        </is>
      </c>
      <c r="C526" s="111" t="inlineStr">
        <is>
          <t>https://www.linkedin.com/in/venu-shamapant-7987007/</t>
        </is>
      </c>
      <c r="D526" s="210" t="inlineStr">
        <is>
          <t>venu@liveoakvp.com</t>
        </is>
      </c>
      <c r="E526" s="80" t="n">
        <v>45894</v>
      </c>
      <c r="F526" s="80" t="n">
        <v>45924</v>
      </c>
      <c r="G526" s="80" t="n">
        <v>45995</v>
      </c>
      <c r="J526" s="80" t="n"/>
    </row>
    <row r="527" ht="15.75" customHeight="1" s="216">
      <c r="A527" t="inlineStr">
        <is>
          <t>Mike Marcantonio</t>
        </is>
      </c>
      <c r="B527" t="inlineStr">
        <is>
          <t>Live Oak VC</t>
        </is>
      </c>
      <c r="C527" s="111" t="inlineStr">
        <is>
          <t>https://www.linkedin.com/in/mmarcantonio9/</t>
        </is>
      </c>
      <c r="D527" s="210" t="inlineStr">
        <is>
          <t>mike@liveoakvp.com</t>
        </is>
      </c>
      <c r="E527" s="80" t="n">
        <v>45894</v>
      </c>
      <c r="F527" s="80" t="n">
        <v>45924</v>
      </c>
      <c r="G527" s="80" t="n">
        <v>45995</v>
      </c>
      <c r="J527" s="80" t="n"/>
    </row>
    <row r="528" ht="15.75" customHeight="1" s="216">
      <c r="A528" t="inlineStr">
        <is>
          <t>Krishna Srinivasan</t>
        </is>
      </c>
      <c r="B528" t="inlineStr">
        <is>
          <t>Live Oak VC</t>
        </is>
      </c>
      <c r="C528" t="inlineStr">
        <is>
          <t>linkedin.com/in/krishnasrinivasan1</t>
        </is>
      </c>
      <c r="D528" s="210" t="inlineStr">
        <is>
          <t>krishna@liveoakvp.com</t>
        </is>
      </c>
      <c r="E528" s="80" t="n">
        <v>45894</v>
      </c>
      <c r="F528" s="80" t="n">
        <v>45924</v>
      </c>
      <c r="G528" s="80" t="n">
        <v>45995</v>
      </c>
      <c r="J528" s="80" t="n"/>
    </row>
    <row r="529" ht="15.75" customHeight="1" s="216">
      <c r="A529" t="inlineStr">
        <is>
          <t>David Stewart</t>
        </is>
      </c>
      <c r="B529" t="inlineStr">
        <is>
          <t>Live Oak VC</t>
        </is>
      </c>
      <c r="C529" t="inlineStr">
        <is>
          <t>linkedin.com/in/stewartdavid</t>
        </is>
      </c>
      <c r="D529" s="210" t="inlineStr">
        <is>
          <t>david@liveoakvp.com</t>
        </is>
      </c>
      <c r="E529" s="80" t="n">
        <v>45894</v>
      </c>
      <c r="F529" s="80" t="n">
        <v>45924</v>
      </c>
      <c r="G529" s="80" t="n">
        <v>45995</v>
      </c>
      <c r="J529" s="80" t="n"/>
    </row>
    <row r="530" ht="15.75" customHeight="1" s="216">
      <c r="A530" t="inlineStr">
        <is>
          <t>Dinesh Moorjani</t>
        </is>
      </c>
      <c r="B530" t="inlineStr">
        <is>
          <t>Time Zero Capital</t>
        </is>
      </c>
      <c r="C530" s="111" t="inlineStr">
        <is>
          <t>https://www.linkedin.com/in/dineshmoorjani/</t>
        </is>
      </c>
      <c r="D530" s="210" t="inlineStr">
        <is>
          <t>dinesh@timezerocapital.com</t>
        </is>
      </c>
      <c r="E530" s="80" t="n">
        <v>45894</v>
      </c>
      <c r="F530" s="80" t="n">
        <v>45924</v>
      </c>
      <c r="G530" s="80" t="n">
        <v>45995</v>
      </c>
      <c r="J530" s="80" t="n"/>
    </row>
    <row r="531" ht="15.75" customHeight="1" s="216">
      <c r="A531" t="inlineStr">
        <is>
          <t>Nish Patel</t>
        </is>
      </c>
      <c r="B531" t="inlineStr">
        <is>
          <t>Inertia Ventures</t>
        </is>
      </c>
      <c r="C531" s="111" t="inlineStr">
        <is>
          <t>https://www.linkedin.com/in/nish1/</t>
        </is>
      </c>
      <c r="D531" s="210" t="inlineStr">
        <is>
          <t>nish@inertia.vc</t>
        </is>
      </c>
      <c r="E531" s="80" t="n">
        <v>45894</v>
      </c>
      <c r="F531" s="80" t="n">
        <v>45924</v>
      </c>
      <c r="G531" s="80" t="n">
        <v>45995</v>
      </c>
      <c r="J531" s="80" t="n"/>
    </row>
    <row r="532" ht="15.75" customHeight="1" s="216">
      <c r="A532" t="inlineStr">
        <is>
          <t>Nicolas Jacques-Bouchard</t>
        </is>
      </c>
      <c r="B532" t="inlineStr">
        <is>
          <t>Inertia Ventures</t>
        </is>
      </c>
      <c r="C532" t="inlineStr">
        <is>
          <t>linkedin.com/in/njacquesbouchard</t>
        </is>
      </c>
      <c r="D532" s="210" t="inlineStr">
        <is>
          <t>nick@inertia.vc</t>
        </is>
      </c>
      <c r="E532" s="80" t="n">
        <v>45894</v>
      </c>
      <c r="F532" s="80" t="n">
        <v>45924</v>
      </c>
      <c r="G532" s="80" t="n">
        <v>45995</v>
      </c>
      <c r="J532" s="80" t="n"/>
    </row>
    <row r="533" ht="15.75" customHeight="1" s="216">
      <c r="A533" t="inlineStr">
        <is>
          <t>Brian Rich</t>
        </is>
      </c>
      <c r="B533" t="inlineStr">
        <is>
          <t>Catalyst Investors</t>
        </is>
      </c>
      <c r="C533" t="inlineStr">
        <is>
          <t>linkedin.com/in/brian-rich-b6021b4b</t>
        </is>
      </c>
      <c r="D533" s="210" t="inlineStr">
        <is>
          <t>brian@catalyst.com</t>
        </is>
      </c>
      <c r="E533" s="80" t="n">
        <v>45894</v>
      </c>
      <c r="F533" s="80" t="n">
        <v>45924</v>
      </c>
      <c r="G533" s="80" t="n">
        <v>45995</v>
      </c>
      <c r="J533" s="80" t="n"/>
    </row>
    <row r="534" ht="15.75" customHeight="1" s="216">
      <c r="A534" t="inlineStr">
        <is>
          <t>Tyler Newton</t>
        </is>
      </c>
      <c r="B534" t="inlineStr">
        <is>
          <t>Catalyst Investors</t>
        </is>
      </c>
      <c r="C534" s="111" t="inlineStr">
        <is>
          <t>https://www.linkedin.com/in/tylercnewton/</t>
        </is>
      </c>
      <c r="D534" s="210" t="inlineStr">
        <is>
          <t>tyler@catalyst.com</t>
        </is>
      </c>
      <c r="E534" s="80" t="n">
        <v>45894</v>
      </c>
      <c r="F534" s="80" t="n">
        <v>45924</v>
      </c>
      <c r="G534" s="80" t="n">
        <v>45995</v>
      </c>
      <c r="J534" s="80" t="n"/>
    </row>
    <row r="535" ht="15.75" customHeight="1" s="216">
      <c r="A535" t="inlineStr">
        <is>
          <t>Tyler Schinto</t>
        </is>
      </c>
      <c r="B535" t="inlineStr">
        <is>
          <t>Presidio Ventures</t>
        </is>
      </c>
      <c r="C535" t="inlineStr">
        <is>
          <t>linkedin.com/in/tylerschinto</t>
        </is>
      </c>
      <c r="D535" s="210" t="inlineStr">
        <is>
          <t>schinto@presidio-ventures.com</t>
        </is>
      </c>
      <c r="E535" s="80" t="n">
        <v>45894</v>
      </c>
      <c r="F535" s="80" t="n">
        <v>45924</v>
      </c>
      <c r="G535" s="80" t="n">
        <v>45995</v>
      </c>
      <c r="J535" s="80" t="n"/>
    </row>
    <row r="536" ht="15.75" customHeight="1" s="216">
      <c r="A536" t="inlineStr">
        <is>
          <t>Jeremy Sohn</t>
        </is>
      </c>
      <c r="B536" t="inlineStr">
        <is>
          <t>P74 Ventures</t>
        </is>
      </c>
      <c r="C536" t="inlineStr">
        <is>
          <t>linkedin.com/in/jeremysohn</t>
        </is>
      </c>
      <c r="D536" s="210" t="inlineStr">
        <is>
          <t>jeremy@p74ventures.com</t>
        </is>
      </c>
      <c r="E536" s="80" t="n">
        <v>45895</v>
      </c>
      <c r="F536" s="80" t="n">
        <v>45924</v>
      </c>
      <c r="G536" s="80" t="n">
        <v>45995</v>
      </c>
      <c r="J536" s="80" t="n"/>
    </row>
    <row r="537" ht="15.75" customHeight="1" s="216">
      <c r="A537" t="inlineStr">
        <is>
          <t>David Resnekov</t>
        </is>
      </c>
      <c r="B537" t="inlineStr">
        <is>
          <t>Great Point Ventures</t>
        </is>
      </c>
      <c r="C537" t="inlineStr">
        <is>
          <t>linkedin.com/in/david-resnekov</t>
        </is>
      </c>
      <c r="D537" s="210" t="inlineStr">
        <is>
          <t>david@gpv.com</t>
        </is>
      </c>
      <c r="E537" s="80" t="n">
        <v>45895</v>
      </c>
      <c r="F537" s="80" t="n">
        <v>45924</v>
      </c>
      <c r="G537" s="80" t="n">
        <v>45995</v>
      </c>
      <c r="J537" s="80" t="n"/>
    </row>
    <row r="538" ht="15.75" customHeight="1" s="216">
      <c r="A538" t="inlineStr">
        <is>
          <t>DJ Patil</t>
        </is>
      </c>
      <c r="B538" t="inlineStr">
        <is>
          <t>Great Point Ventures</t>
        </is>
      </c>
      <c r="C538" t="inlineStr">
        <is>
          <t>linkedin.com/in/dpatil</t>
        </is>
      </c>
      <c r="D538" s="210" t="inlineStr">
        <is>
          <t>dj@gpv.com</t>
        </is>
      </c>
      <c r="E538" s="80" t="n">
        <v>45895</v>
      </c>
      <c r="F538" s="80" t="n">
        <v>45924</v>
      </c>
      <c r="G538" s="80" t="n">
        <v>45995</v>
      </c>
      <c r="J538" s="80" t="n"/>
    </row>
    <row r="539" ht="15.75" customHeight="1" s="216">
      <c r="A539" t="inlineStr">
        <is>
          <t>Andrew Perlman</t>
        </is>
      </c>
      <c r="B539" t="inlineStr">
        <is>
          <t>Great Point Ventures</t>
        </is>
      </c>
      <c r="C539" s="111" t="inlineStr">
        <is>
          <t>https://www.linkedin.com/in/andrew-perlman-372316b9/</t>
        </is>
      </c>
      <c r="D539" s="210" t="inlineStr">
        <is>
          <t>andrew@gpv.com</t>
        </is>
      </c>
      <c r="E539" s="80" t="n">
        <v>45895</v>
      </c>
      <c r="F539" s="80" t="n">
        <v>45924</v>
      </c>
      <c r="G539" s="80" t="n">
        <v>45995</v>
      </c>
      <c r="J539" s="80" t="n"/>
    </row>
    <row r="540" ht="15.75" customHeight="1" s="216">
      <c r="A540" t="inlineStr">
        <is>
          <t>Joseph Tuchman</t>
        </is>
      </c>
      <c r="B540" t="inlineStr">
        <is>
          <t>Great Point Ventures</t>
        </is>
      </c>
      <c r="C540" t="inlineStr">
        <is>
          <t>linkedin.com/in/jtuchman</t>
        </is>
      </c>
      <c r="D540" s="210" t="inlineStr">
        <is>
          <t>joseph@gpv.com</t>
        </is>
      </c>
      <c r="E540" s="80" t="n">
        <v>45895</v>
      </c>
      <c r="F540" s="80" t="n">
        <v>45924</v>
      </c>
      <c r="G540" s="80" t="n">
        <v>45995</v>
      </c>
      <c r="J540" s="80" t="n"/>
    </row>
    <row r="541" ht="15.75" customHeight="1" s="216">
      <c r="A541" t="inlineStr">
        <is>
          <t>Sonali Vijayavargiya</t>
        </is>
      </c>
      <c r="B541" t="inlineStr">
        <is>
          <t>Augment Ventures</t>
        </is>
      </c>
      <c r="C541" s="111" t="inlineStr">
        <is>
          <t>https://www.linkedin.com/in/sonaliav/</t>
        </is>
      </c>
      <c r="D541" s="210" t="inlineStr">
        <is>
          <t>sonali@augmentventures.com</t>
        </is>
      </c>
      <c r="E541" s="80" t="n">
        <v>45896</v>
      </c>
      <c r="F541" s="80" t="n">
        <v>45924</v>
      </c>
      <c r="G541" s="80" t="n">
        <v>45995</v>
      </c>
      <c r="J541" s="80" t="n"/>
    </row>
    <row r="542" ht="15.75" customHeight="1" s="216">
      <c r="A542" t="inlineStr">
        <is>
          <t>David Armstrong</t>
        </is>
      </c>
      <c r="B542" t="inlineStr">
        <is>
          <t>Augment Ventures</t>
        </is>
      </c>
      <c r="C542" s="111" t="inlineStr">
        <is>
          <t>https://www.linkedin.com/in/david-armstrong-74b9a8b/</t>
        </is>
      </c>
      <c r="D542" s="210" t="inlineStr">
        <is>
          <t>david@augmentventures.com</t>
        </is>
      </c>
      <c r="E542" s="80" t="n">
        <v>45896</v>
      </c>
      <c r="F542" s="80" t="n">
        <v>45924</v>
      </c>
      <c r="G542" s="80" t="n">
        <v>45995</v>
      </c>
    </row>
    <row r="543" ht="15.75" customHeight="1" s="216">
      <c r="A543" t="inlineStr">
        <is>
          <t>Jeffrey Kontulis</t>
        </is>
      </c>
      <c r="B543" t="inlineStr">
        <is>
          <t>Augment Ventures</t>
        </is>
      </c>
      <c r="C543" s="111" t="inlineStr">
        <is>
          <t>https://www.linkedin.com/in/jeffrey-kontulis-39a6111b2/</t>
        </is>
      </c>
      <c r="D543" s="210" t="inlineStr">
        <is>
          <t>jeffrey@augmentventures.com</t>
        </is>
      </c>
      <c r="E543" s="80" t="n">
        <v>45896</v>
      </c>
      <c r="F543" s="80" t="n">
        <v>45924</v>
      </c>
      <c r="G543" s="80" t="n">
        <v>45995</v>
      </c>
    </row>
    <row r="544" ht="15.75" customHeight="1" s="216">
      <c r="A544" t="inlineStr">
        <is>
          <t>Praachi Jain Mehta</t>
        </is>
      </c>
      <c r="B544" t="inlineStr">
        <is>
          <t>Augment Ventures</t>
        </is>
      </c>
      <c r="C544" s="111" t="inlineStr">
        <is>
          <t>https://www.linkedin.com/in/praachijain/</t>
        </is>
      </c>
      <c r="D544" s="210" t="inlineStr">
        <is>
          <t>praachi@augmentventures.com</t>
        </is>
      </c>
      <c r="E544" s="80" t="n">
        <v>45896</v>
      </c>
      <c r="F544" s="80" t="n">
        <v>45924</v>
      </c>
      <c r="G544" s="80" t="n">
        <v>45995</v>
      </c>
    </row>
    <row r="545" ht="15.75" customHeight="1" s="216">
      <c r="A545" t="inlineStr">
        <is>
          <t>Austin Churley</t>
        </is>
      </c>
      <c r="B545" t="inlineStr">
        <is>
          <t>Augment Ventures</t>
        </is>
      </c>
      <c r="C545" s="111" t="inlineStr">
        <is>
          <t>https://www.linkedin.com/in/austinchurley/</t>
        </is>
      </c>
      <c r="D545" s="198" t="inlineStr">
        <is>
          <t>austin@augmentventures.com</t>
        </is>
      </c>
      <c r="E545" s="80" t="n">
        <v>45896</v>
      </c>
      <c r="F545" s="80" t="n">
        <v>45924</v>
      </c>
      <c r="G545" s="80" t="n">
        <v>45995</v>
      </c>
    </row>
    <row r="546" ht="15.75" customHeight="1" s="216">
      <c r="A546" t="inlineStr">
        <is>
          <t>Deborah Jackson</t>
        </is>
      </c>
      <c r="B546" t="inlineStr">
        <is>
          <t>Plum Valley</t>
        </is>
      </c>
      <c r="C546" t="inlineStr">
        <is>
          <t>linkedin.com/in/deborahbjackson</t>
        </is>
      </c>
      <c r="D546" s="210" t="inlineStr">
        <is>
          <t>deborah@plumalley.co</t>
        </is>
      </c>
      <c r="E546" s="80" t="n">
        <v>45896</v>
      </c>
      <c r="F546" s="80" t="n">
        <v>45924</v>
      </c>
      <c r="G546" s="80" t="n">
        <v>45995</v>
      </c>
      <c r="H546" t="inlineStr">
        <is>
          <t>form submitted online</t>
        </is>
      </c>
    </row>
    <row r="547" ht="15.75" customHeight="1" s="216">
      <c r="A547" t="inlineStr">
        <is>
          <t>Avantika Daing</t>
        </is>
      </c>
      <c r="B547" t="inlineStr">
        <is>
          <t>Plum Valley</t>
        </is>
      </c>
      <c r="C547" t="inlineStr">
        <is>
          <t>linkedin.com/in/avantika-daing-9907145</t>
        </is>
      </c>
      <c r="D547" s="210" t="inlineStr">
        <is>
          <t>avantika@plumalley.co</t>
        </is>
      </c>
      <c r="E547" s="80" t="n">
        <v>45896</v>
      </c>
      <c r="F547" s="80" t="n">
        <v>45924</v>
      </c>
      <c r="G547" s="80" t="n">
        <v>45995</v>
      </c>
    </row>
    <row r="548" ht="15.75" customHeight="1" s="216">
      <c r="A548" t="inlineStr">
        <is>
          <t>Nate Wang</t>
        </is>
      </c>
      <c r="B548" t="inlineStr">
        <is>
          <t>Plum Valley</t>
        </is>
      </c>
      <c r="D548" s="210" t="inlineStr">
        <is>
          <t>nate@plumalley.co</t>
        </is>
      </c>
      <c r="E548" s="80" t="n">
        <v>45896</v>
      </c>
      <c r="F548" s="80" t="n">
        <v>45924</v>
      </c>
      <c r="G548" s="80" t="n">
        <v>45995</v>
      </c>
    </row>
    <row r="549" ht="15.75" customHeight="1" s="216">
      <c r="A549" t="inlineStr">
        <is>
          <t>John Dessouki</t>
        </is>
      </c>
      <c r="B549" t="inlineStr">
        <is>
          <t>Scientia Ventures</t>
        </is>
      </c>
      <c r="C549" s="111" t="inlineStr">
        <is>
          <t>https://www.linkedin.com/in/johndessouki/</t>
        </is>
      </c>
      <c r="D549" s="210" t="inlineStr">
        <is>
          <t>j.dessouki@scientiavc.com</t>
        </is>
      </c>
      <c r="E549" s="80" t="n">
        <v>45896</v>
      </c>
      <c r="F549" s="80" t="n">
        <v>45924</v>
      </c>
      <c r="G549" s="80" t="n">
        <v>45995</v>
      </c>
    </row>
    <row r="550" ht="15.75" customHeight="1" s="216">
      <c r="A550" t="inlineStr">
        <is>
          <t>Harry Glorikian</t>
        </is>
      </c>
      <c r="B550" t="inlineStr">
        <is>
          <t>Scientia Ventures</t>
        </is>
      </c>
      <c r="C550" s="111" t="inlineStr">
        <is>
          <t>https://www.linkedin.com/in/harryglorikian/</t>
        </is>
      </c>
      <c r="D550" s="210" t="inlineStr">
        <is>
          <t>h.glorikian@scientiavc.com</t>
        </is>
      </c>
      <c r="E550" s="80" t="n">
        <v>45896</v>
      </c>
      <c r="F550" s="80" t="n">
        <v>45924</v>
      </c>
      <c r="G550" s="80" t="n">
        <v>45995</v>
      </c>
    </row>
    <row r="551" ht="15.75" customHeight="1" s="216">
      <c r="A551" t="inlineStr">
        <is>
          <t>Jonathan Finn</t>
        </is>
      </c>
      <c r="B551" t="inlineStr">
        <is>
          <t>Scientia Ventures</t>
        </is>
      </c>
      <c r="C551" s="111" t="inlineStr">
        <is>
          <t>https://www.linkedin.com/in/jonathan-finn-cfa-469588210/</t>
        </is>
      </c>
      <c r="D551" s="210" t="inlineStr">
        <is>
          <t>j.finn@scientiavc.com</t>
        </is>
      </c>
      <c r="E551" s="80" t="n">
        <v>45896</v>
      </c>
      <c r="F551" s="80" t="n">
        <v>45924</v>
      </c>
      <c r="G551" s="80" t="n">
        <v>45995</v>
      </c>
    </row>
    <row r="552" ht="15.75" customHeight="1" s="216">
      <c r="A552" t="inlineStr">
        <is>
          <t>Rory Riggs</t>
        </is>
      </c>
      <c r="B552" t="inlineStr">
        <is>
          <t>Scientia Ventures</t>
        </is>
      </c>
      <c r="C552" s="111" t="n"/>
      <c r="D552" s="210" t="inlineStr">
        <is>
          <t>r.riggs@scientiavc.com</t>
        </is>
      </c>
      <c r="E552" s="80" t="n">
        <v>45896</v>
      </c>
      <c r="F552" s="80" t="n">
        <v>45924</v>
      </c>
      <c r="G552" s="80" t="n">
        <v>45995</v>
      </c>
    </row>
    <row r="553" ht="15.75" customHeight="1" s="216">
      <c r="A553" t="inlineStr">
        <is>
          <t>Mark Finn</t>
        </is>
      </c>
      <c r="B553" t="inlineStr">
        <is>
          <t>Scientia Ventures</t>
        </is>
      </c>
      <c r="D553" s="210" t="inlineStr">
        <is>
          <t>m.finn@scientiavc.com</t>
        </is>
      </c>
      <c r="E553" s="80" t="n">
        <v>45896</v>
      </c>
      <c r="F553" s="80" t="n">
        <v>45924</v>
      </c>
      <c r="G553" s="80" t="n">
        <v>45995</v>
      </c>
    </row>
    <row r="554" ht="15.75" customHeight="1" s="216">
      <c r="A554" s="288" t="inlineStr">
        <is>
          <t>Richard Warburg</t>
        </is>
      </c>
      <c r="B554" s="288" t="inlineStr">
        <is>
          <t>Scientia Ventures</t>
        </is>
      </c>
      <c r="C554" s="288" t="n"/>
      <c r="D554" s="211" t="inlineStr">
        <is>
          <t>r.warburg@scientiavc.com</t>
        </is>
      </c>
      <c r="E554" s="129" t="n">
        <v>45896</v>
      </c>
    </row>
    <row r="555" ht="15.75" customHeight="1" s="216">
      <c r="A555" t="inlineStr">
        <is>
          <t>Dave Schippers</t>
        </is>
      </c>
      <c r="B555" t="inlineStr">
        <is>
          <t>Scientia Ventures</t>
        </is>
      </c>
      <c r="C555" s="111" t="inlineStr">
        <is>
          <t>https://www.linkedin.com/in/daschippers/</t>
        </is>
      </c>
      <c r="D555" s="210" t="inlineStr">
        <is>
          <t>d.schippers@scientiavc.com</t>
        </is>
      </c>
      <c r="E555" s="80" t="n">
        <v>45896</v>
      </c>
      <c r="F555" s="80" t="n">
        <v>45929</v>
      </c>
      <c r="G555" s="80" t="n">
        <v>45995</v>
      </c>
    </row>
    <row r="556" ht="15.75" customHeight="1" s="216">
      <c r="A556" t="inlineStr">
        <is>
          <t>Daniel Goldman</t>
        </is>
      </c>
      <c r="B556" t="inlineStr">
        <is>
          <t>Scientia Ventures</t>
        </is>
      </c>
      <c r="D556" s="210" t="inlineStr">
        <is>
          <t>d.goldman@scientiavc.com</t>
        </is>
      </c>
      <c r="E556" s="80" t="n">
        <v>45896</v>
      </c>
      <c r="F556" s="80" t="n">
        <v>45929</v>
      </c>
      <c r="G556" s="80" t="n">
        <v>45995</v>
      </c>
    </row>
    <row r="557" ht="15.75" customHeight="1" s="216">
      <c r="A557" t="inlineStr">
        <is>
          <t>Eric Pakravan</t>
        </is>
      </c>
      <c r="B557" s="162" t="inlineStr">
        <is>
          <t>TenOneTen Ventures</t>
        </is>
      </c>
      <c r="C557" s="111" t="inlineStr">
        <is>
          <t>https://www.linkedin.com/in/epakravan</t>
        </is>
      </c>
      <c r="D557" s="210" t="inlineStr">
        <is>
          <t>eric@tenoneten.net</t>
        </is>
      </c>
      <c r="E557" s="80" t="n">
        <v>45896</v>
      </c>
      <c r="F557" s="80" t="n">
        <v>45929</v>
      </c>
      <c r="G557" s="80" t="n">
        <v>45995</v>
      </c>
    </row>
    <row r="558" ht="15.75" customHeight="1" s="216">
      <c r="A558" t="inlineStr">
        <is>
          <t>David Waxman</t>
        </is>
      </c>
      <c r="B558" s="162" t="inlineStr">
        <is>
          <t>TenOneTen Ventures</t>
        </is>
      </c>
      <c r="C558" t="inlineStr">
        <is>
          <t>linkedin.com/in/dwaxman</t>
        </is>
      </c>
      <c r="D558" s="210" t="inlineStr">
        <is>
          <t>david@tenoneten.net</t>
        </is>
      </c>
      <c r="E558" s="80" t="n">
        <v>45896</v>
      </c>
      <c r="F558" s="80" t="n">
        <v>45929</v>
      </c>
      <c r="G558" s="80" t="n">
        <v>45995</v>
      </c>
    </row>
    <row r="559" ht="15.75" customHeight="1" s="216">
      <c r="A559" t="inlineStr">
        <is>
          <t>Rebecca Lynn</t>
        </is>
      </c>
      <c r="B559" t="inlineStr">
        <is>
          <t>Canvas Prime</t>
        </is>
      </c>
      <c r="C559" t="inlineStr">
        <is>
          <t>linkedin.com/in/lynnra</t>
        </is>
      </c>
      <c r="D559" s="210" t="inlineStr">
        <is>
          <t>rebecca@canvas.vc</t>
        </is>
      </c>
      <c r="E559" s="80" t="n">
        <v>45896</v>
      </c>
      <c r="F559" s="80" t="n">
        <v>45929</v>
      </c>
      <c r="G559" s="80" t="n">
        <v>45995</v>
      </c>
    </row>
    <row r="560" ht="15.75" customHeight="1" s="216">
      <c r="A560" t="inlineStr">
        <is>
          <t>Gary Little</t>
        </is>
      </c>
      <c r="B560" t="inlineStr">
        <is>
          <t>Canvas Prime</t>
        </is>
      </c>
      <c r="C560" t="inlineStr">
        <is>
          <t>linkedin.com/in/garylittle1</t>
        </is>
      </c>
      <c r="D560" s="210" t="inlineStr">
        <is>
          <t>glittle@canvas.vc</t>
        </is>
      </c>
      <c r="E560" s="80" t="n">
        <v>45896</v>
      </c>
      <c r="F560" s="80" t="n">
        <v>45929</v>
      </c>
      <c r="G560" s="80" t="n">
        <v>45995</v>
      </c>
    </row>
    <row r="561" ht="15.75" customHeight="1" s="216">
      <c r="A561" t="inlineStr">
        <is>
          <t>Harrison Lieberfarb</t>
        </is>
      </c>
      <c r="B561" t="inlineStr">
        <is>
          <t>Canvas Prime</t>
        </is>
      </c>
      <c r="C561" t="inlineStr">
        <is>
          <t>linkedin.com/in/lieberfarb</t>
        </is>
      </c>
      <c r="D561" s="210" t="inlineStr">
        <is>
          <t>harrison@canvas.vc</t>
        </is>
      </c>
      <c r="E561" s="80" t="n">
        <v>45896</v>
      </c>
      <c r="F561" s="80" t="n">
        <v>45929</v>
      </c>
      <c r="G561" s="80" t="n">
        <v>45995</v>
      </c>
    </row>
    <row r="562" ht="15.75" customHeight="1" s="216">
      <c r="A562" s="288" t="inlineStr">
        <is>
          <t>Xan Wood</t>
        </is>
      </c>
      <c r="B562" s="288" t="inlineStr">
        <is>
          <t>Canvas Prime</t>
        </is>
      </c>
      <c r="C562" s="127" t="inlineStr">
        <is>
          <t>https://www.linkedin.com/in/xanwood/</t>
        </is>
      </c>
      <c r="D562" s="211" t="inlineStr">
        <is>
          <t>xan@canvas.vc</t>
        </is>
      </c>
      <c r="E562" s="129" t="n">
        <v>45896</v>
      </c>
      <c r="F562" s="80" t="n">
        <v>45929</v>
      </c>
      <c r="G562" t="inlineStr">
        <is>
          <t>not a fit at this time</t>
        </is>
      </c>
    </row>
    <row r="563" ht="15.75" customHeight="1" s="216">
      <c r="A563" t="inlineStr">
        <is>
          <t>Justin Pirzadeh</t>
        </is>
      </c>
      <c r="B563" t="inlineStr">
        <is>
          <t>Canvas Prime</t>
        </is>
      </c>
      <c r="C563" t="inlineStr">
        <is>
          <t>linkedin.com/in/justin-pirzadeh-5195612b</t>
        </is>
      </c>
      <c r="D563" s="210" t="inlineStr">
        <is>
          <t>jpirzadeh@canvas.vc</t>
        </is>
      </c>
      <c r="E563" s="80" t="n">
        <v>45896</v>
      </c>
      <c r="F563" s="80" t="n">
        <v>45929</v>
      </c>
      <c r="G563" s="80" t="n">
        <v>45996</v>
      </c>
    </row>
    <row r="564" ht="15.75" customHeight="1" s="216">
      <c r="A564" t="inlineStr">
        <is>
          <t>David Sylvan</t>
        </is>
      </c>
      <c r="B564" t="inlineStr">
        <is>
          <t>UH Ventures</t>
        </is>
      </c>
      <c r="C564" s="111" t="inlineStr">
        <is>
          <t>https://www.linkedin.com/in/davidsylvan/</t>
        </is>
      </c>
      <c r="D564" s="210" t="inlineStr">
        <is>
          <t>david.sylvan@uhhospitals.org</t>
        </is>
      </c>
      <c r="E564" s="80" t="n">
        <v>45897</v>
      </c>
      <c r="F564" s="80" t="n">
        <v>45929</v>
      </c>
      <c r="G564" s="80" t="n">
        <v>45996</v>
      </c>
    </row>
    <row r="565" ht="15.75" customHeight="1" s="216">
      <c r="A565" t="inlineStr">
        <is>
          <t>Matthew Zenker</t>
        </is>
      </c>
      <c r="B565" t="inlineStr">
        <is>
          <t>UH Ventures</t>
        </is>
      </c>
      <c r="C565" t="inlineStr">
        <is>
          <t>linkedin.com/in/matthew-zenker-b4ba806</t>
        </is>
      </c>
      <c r="D565" s="210" t="inlineStr">
        <is>
          <t>matthew.zenker@uhhospitals.org</t>
        </is>
      </c>
      <c r="E565" s="80" t="n">
        <v>45897</v>
      </c>
      <c r="F565" s="80" t="n">
        <v>45929</v>
      </c>
      <c r="G565" s="80" t="n">
        <v>45996</v>
      </c>
    </row>
    <row r="566" ht="15.75" customHeight="1" s="216">
      <c r="A566" t="inlineStr">
        <is>
          <t>Neil Wyant</t>
        </is>
      </c>
      <c r="B566" t="inlineStr">
        <is>
          <t>UH Ventures</t>
        </is>
      </c>
      <c r="C566" s="111" t="inlineStr">
        <is>
          <t>https://www.linkedin.com/in/neil-wyant/</t>
        </is>
      </c>
      <c r="D566" s="210" t="inlineStr">
        <is>
          <t>neil.wyant@uhhospitals.org</t>
        </is>
      </c>
      <c r="E566" s="80" t="n">
        <v>45897</v>
      </c>
      <c r="F566" s="80" t="n">
        <v>45929</v>
      </c>
      <c r="G566" s="80" t="n">
        <v>45996</v>
      </c>
    </row>
    <row r="567" ht="15.75" customHeight="1" s="216">
      <c r="A567" t="inlineStr">
        <is>
          <t>Stephen Yang</t>
        </is>
      </c>
      <c r="B567" t="inlineStr">
        <is>
          <t>Web 3 Capital</t>
        </is>
      </c>
      <c r="C567" s="111" t="inlineStr">
        <is>
          <t>https://www.linkedin.com/in/web3stephen</t>
        </is>
      </c>
      <c r="D567" s="210" t="inlineStr">
        <is>
          <t>stephen@web3.capital</t>
        </is>
      </c>
      <c r="E567" s="80" t="n">
        <v>45897</v>
      </c>
      <c r="F567" s="80" t="n">
        <v>45929</v>
      </c>
      <c r="G567" s="80" t="n">
        <v>45996</v>
      </c>
    </row>
    <row r="568" ht="15.75" customHeight="1" s="216">
      <c r="A568" s="314" t="inlineStr">
        <is>
          <t>Dan Malven</t>
        </is>
      </c>
      <c r="B568" s="314" t="inlineStr">
        <is>
          <t>4490 Ventures</t>
        </is>
      </c>
      <c r="C568" s="160" t="inlineStr">
        <is>
          <t>https://www.linkedin.com/in/danmalven</t>
        </is>
      </c>
      <c r="D568" s="210" t="inlineStr">
        <is>
          <t>dm@4490ventures.com</t>
        </is>
      </c>
      <c r="E568" s="80" t="n">
        <v>45897</v>
      </c>
      <c r="F568" s="80" t="n">
        <v>45929</v>
      </c>
      <c r="G568" s="80" t="n">
        <v>45996</v>
      </c>
    </row>
    <row r="569" ht="15.75" customHeight="1" s="216">
      <c r="A569" s="170" t="inlineStr">
        <is>
          <t>Alexis Ohanian</t>
        </is>
      </c>
      <c r="B569" s="314" t="inlineStr">
        <is>
          <t>776 Fund</t>
        </is>
      </c>
      <c r="C569" s="111" t="inlineStr">
        <is>
          <t>https://www.linkedin.com/in/alexisohanian/</t>
        </is>
      </c>
      <c r="D569" s="210" t="inlineStr">
        <is>
          <t>alexis.ohanian@sevensevensix.com</t>
        </is>
      </c>
      <c r="E569" s="80" t="n">
        <v>45897</v>
      </c>
      <c r="F569" s="80" t="n">
        <v>45929</v>
      </c>
      <c r="G569" s="80" t="n">
        <v>45996</v>
      </c>
    </row>
    <row r="570" ht="15.75" customHeight="1" s="216">
      <c r="A570" s="314" t="inlineStr">
        <is>
          <t>David Kerr</t>
        </is>
      </c>
      <c r="B570" s="314" t="inlineStr">
        <is>
          <t>Allos Ventures</t>
        </is>
      </c>
      <c r="C570" s="111" t="inlineStr">
        <is>
          <t>https://www.linkedin.com/in/david-kerr-9b0b501/</t>
        </is>
      </c>
      <c r="D570" s="210" t="inlineStr">
        <is>
          <t>david@allosventures.com</t>
        </is>
      </c>
      <c r="E570" s="80" t="n">
        <v>45897</v>
      </c>
      <c r="F570" s="80" t="n">
        <v>45929</v>
      </c>
      <c r="G570" s="80" t="n">
        <v>45996</v>
      </c>
    </row>
    <row r="571" ht="15.75" customHeight="1" s="216">
      <c r="A571" s="314" t="inlineStr">
        <is>
          <t>Erik Hammer</t>
        </is>
      </c>
      <c r="B571" s="314" t="inlineStr">
        <is>
          <t>Alumni Venture Group</t>
        </is>
      </c>
      <c r="D571" s="210" t="inlineStr">
        <is>
          <t>erik@av.vc</t>
        </is>
      </c>
      <c r="E571" s="80" t="n">
        <v>45897</v>
      </c>
      <c r="F571" s="80" t="n">
        <v>45929</v>
      </c>
      <c r="G571" s="80" t="n">
        <v>45996</v>
      </c>
    </row>
    <row r="572" ht="15.75" customHeight="1" s="216">
      <c r="A572" s="314" t="inlineStr">
        <is>
          <t>Roy Stigall</t>
        </is>
      </c>
      <c r="B572" s="314" t="inlineStr">
        <is>
          <t>Anthos Capital</t>
        </is>
      </c>
      <c r="C572" s="111" t="inlineStr">
        <is>
          <t>https://www.linkedin.com/in/roy-stigall-0b87a24a/</t>
        </is>
      </c>
      <c r="D572" s="210" t="inlineStr">
        <is>
          <t>rstigall@anthoscapital.com</t>
        </is>
      </c>
      <c r="E572" s="80" t="n">
        <v>45897</v>
      </c>
      <c r="F572" s="80" t="n">
        <v>45929</v>
      </c>
      <c r="G572" s="80" t="n">
        <v>45996</v>
      </c>
    </row>
    <row r="573" ht="15.75" customHeight="1" s="216">
      <c r="A573" s="314" t="inlineStr">
        <is>
          <t>Eli Blee-Goldman</t>
        </is>
      </c>
      <c r="B573" s="314" t="inlineStr">
        <is>
          <t>Character VC</t>
        </is>
      </c>
      <c r="C573" s="111" t="inlineStr">
        <is>
          <t>https://www.linkedin.com/in/eli-blee-goldman/</t>
        </is>
      </c>
      <c r="D573" s="210" t="inlineStr">
        <is>
          <t>eli@character.vc</t>
        </is>
      </c>
      <c r="E573" s="80" t="n">
        <v>45897</v>
      </c>
      <c r="F573" s="80" t="n">
        <v>45929</v>
      </c>
      <c r="G573" s="80" t="n">
        <v>45996</v>
      </c>
    </row>
    <row r="574" ht="15.75" customHeight="1" s="216">
      <c r="A574" s="170" t="inlineStr">
        <is>
          <t>Stuart Larkins</t>
        </is>
      </c>
      <c r="B574" s="314" t="inlineStr">
        <is>
          <t>Chicago Ventures</t>
        </is>
      </c>
      <c r="C574" s="111" t="inlineStr">
        <is>
          <t>https://www.linkedin.com/in/stuartlarkins/</t>
        </is>
      </c>
      <c r="D574" s="198" t="inlineStr">
        <is>
          <t>stuart@chicagoventures.com</t>
        </is>
      </c>
      <c r="E574" s="80" t="n">
        <v>45897</v>
      </c>
      <c r="F574" s="80" t="n">
        <v>45929</v>
      </c>
      <c r="G574" s="80" t="n">
        <v>45996</v>
      </c>
    </row>
    <row r="575" ht="15.75" customHeight="1" s="216">
      <c r="A575" s="314" t="inlineStr">
        <is>
          <t>Samara Hernandez</t>
        </is>
      </c>
      <c r="B575" s="314" t="inlineStr">
        <is>
          <t>Chingona Ventures</t>
        </is>
      </c>
      <c r="C575" s="111" t="inlineStr">
        <is>
          <t>https://www.linkedin.com/in/samaramejia/</t>
        </is>
      </c>
      <c r="D575" s="210" t="inlineStr">
        <is>
          <t>samara@chingona.ventures</t>
        </is>
      </c>
      <c r="E575" s="80" t="n">
        <v>45897</v>
      </c>
      <c r="F575" s="80" t="n">
        <v>45929</v>
      </c>
      <c r="G575" s="80" t="n">
        <v>45996</v>
      </c>
    </row>
    <row r="576" ht="15.75" customHeight="1" s="216">
      <c r="A576" s="314" t="inlineStr">
        <is>
          <t>Jason Mercer</t>
        </is>
      </c>
      <c r="B576" s="314" t="inlineStr">
        <is>
          <t>Cleveland Avenue</t>
        </is>
      </c>
      <c r="C576" s="111" t="inlineStr">
        <is>
          <t>https://www.linkedin.com/in/jason-mercer-4801b22b/</t>
        </is>
      </c>
      <c r="D576" s="210" t="inlineStr">
        <is>
          <t>jmercer@clevelandave.com</t>
        </is>
      </c>
      <c r="E576" s="80" t="n">
        <v>45897</v>
      </c>
      <c r="F576" s="80" t="n">
        <v>45929</v>
      </c>
      <c r="G576" s="80" t="n">
        <v>45996</v>
      </c>
    </row>
    <row r="577" ht="15.75" customHeight="1" s="216">
      <c r="A577" s="314" t="inlineStr">
        <is>
          <t>Cliff Holekamp</t>
        </is>
      </c>
      <c r="B577" s="314" t="inlineStr">
        <is>
          <t>Cultivation Capital</t>
        </is>
      </c>
      <c r="C577" s="111" t="inlineStr">
        <is>
          <t>https://www.linkedin.com/in/cliffholekamp/</t>
        </is>
      </c>
      <c r="D577" s="210" t="inlineStr">
        <is>
          <t>cholekamp@cultivationcapital.com</t>
        </is>
      </c>
      <c r="E577" s="80" t="n">
        <v>45897</v>
      </c>
      <c r="F577" s="80" t="n">
        <v>45929</v>
      </c>
      <c r="G577" s="80" t="n">
        <v>45996</v>
      </c>
    </row>
    <row r="578" ht="15.75" customHeight="1" s="216">
      <c r="A578" s="314" t="inlineStr">
        <is>
          <t>Jon Sakoda</t>
        </is>
      </c>
      <c r="B578" s="314" t="inlineStr">
        <is>
          <t>Decibel Ventures</t>
        </is>
      </c>
      <c r="C578" s="111" t="inlineStr">
        <is>
          <t>https://www.linkedin.com/in/jonsakoda/</t>
        </is>
      </c>
      <c r="D578" s="210" t="inlineStr">
        <is>
          <t>jon@decibel.vc</t>
        </is>
      </c>
      <c r="E578" s="80" t="n">
        <v>45898</v>
      </c>
      <c r="F578" s="80" t="n">
        <v>45929</v>
      </c>
      <c r="G578" s="80" t="n">
        <v>45996</v>
      </c>
    </row>
    <row r="579" ht="15.75" customHeight="1" s="216">
      <c r="A579" s="314" t="inlineStr">
        <is>
          <t>Jake Cohen</t>
        </is>
      </c>
      <c r="B579" s="314" t="inlineStr">
        <is>
          <t>Detroit Venture Partners</t>
        </is>
      </c>
      <c r="C579" s="111" t="inlineStr">
        <is>
          <t>https://www.linkedin.com/in/jacobdavidcohen/</t>
        </is>
      </c>
      <c r="D579" s="210" t="inlineStr">
        <is>
          <t>jake@detroit.vc</t>
        </is>
      </c>
      <c r="E579" s="80" t="n">
        <v>45898</v>
      </c>
      <c r="F579" s="80" t="n">
        <v>45929</v>
      </c>
      <c r="G579" s="80" t="n">
        <v>45996</v>
      </c>
    </row>
    <row r="580" ht="15.75" customHeight="1" s="216">
      <c r="A580" s="171" t="inlineStr">
        <is>
          <t>Rafiq Ahmed</t>
        </is>
      </c>
      <c r="B580" s="171" t="inlineStr">
        <is>
          <t>Dipalo Ventures</t>
        </is>
      </c>
      <c r="C580" s="127" t="inlineStr">
        <is>
          <t>https://www.linkedin.com/in/ahmedrafiq/</t>
        </is>
      </c>
      <c r="D580" s="211" t="inlineStr">
        <is>
          <t>rafiq@dipaloventures.com</t>
        </is>
      </c>
      <c r="E580" s="129" t="n">
        <v>45898</v>
      </c>
      <c r="F580" s="80" t="n">
        <v>45929</v>
      </c>
      <c r="G580" s="80" t="n">
        <v>45996</v>
      </c>
    </row>
    <row r="581" ht="15.75" customHeight="1" s="216">
      <c r="A581" s="171" t="inlineStr">
        <is>
          <t>Nick Solaro</t>
        </is>
      </c>
      <c r="B581" s="171" t="inlineStr">
        <is>
          <t>Drive Capital</t>
        </is>
      </c>
      <c r="C581" s="127" t="inlineStr">
        <is>
          <t>https://www.linkedin.com/in/solaro/</t>
        </is>
      </c>
      <c r="D581" s="211" t="inlineStr">
        <is>
          <t>nick@drivecapital.com</t>
        </is>
      </c>
      <c r="E581" s="129" t="n">
        <v>45898</v>
      </c>
    </row>
    <row r="582" ht="15.75" customHeight="1" s="216">
      <c r="A582" s="314" t="inlineStr">
        <is>
          <t>Catherine Williams</t>
        </is>
      </c>
      <c r="B582" s="314" t="inlineStr">
        <is>
          <t>Dundee Venture Capital</t>
        </is>
      </c>
      <c r="C582" s="111" t="inlineStr">
        <is>
          <t>https://www.linkedin.com/in/cwilliams0801/</t>
        </is>
      </c>
      <c r="D582" s="210" t="inlineStr">
        <is>
          <t>catherine@dundeevc.com</t>
        </is>
      </c>
      <c r="E582" s="80" t="n">
        <v>45898</v>
      </c>
      <c r="F582" s="80" t="n">
        <v>45929</v>
      </c>
      <c r="G582" s="80" t="n">
        <v>45996</v>
      </c>
    </row>
    <row r="583" ht="15.75" customHeight="1" s="216">
      <c r="A583" s="170" t="inlineStr">
        <is>
          <t>Niko Bonatsos</t>
        </is>
      </c>
      <c r="B583" s="314" t="inlineStr">
        <is>
          <t>General Catalyst</t>
        </is>
      </c>
      <c r="C583" s="111" t="inlineStr">
        <is>
          <t>https://www.linkedin.com/in/bonatsos/</t>
        </is>
      </c>
      <c r="D583" s="210" t="inlineStr">
        <is>
          <t>nbonatsos@generalcatalyst.com</t>
        </is>
      </c>
      <c r="E583" s="80" t="n">
        <v>45898</v>
      </c>
      <c r="F583" s="80" t="n">
        <v>45929</v>
      </c>
      <c r="G583" s="80" t="n">
        <v>45996</v>
      </c>
    </row>
    <row r="584" ht="15.75" customHeight="1" s="216">
      <c r="A584" s="171" t="inlineStr">
        <is>
          <t>Ryan Webber</t>
        </is>
      </c>
      <c r="B584" s="171" t="inlineStr">
        <is>
          <t>Great North Labs</t>
        </is>
      </c>
      <c r="C584" s="127" t="inlineStr">
        <is>
          <t>https://www.linkedin.com/in/ryweber/</t>
        </is>
      </c>
      <c r="D584" s="211" t="inlineStr">
        <is>
          <t>ryan@greatnorthventures.com</t>
        </is>
      </c>
      <c r="E584" s="129" t="n">
        <v>45898</v>
      </c>
      <c r="F584" s="80" t="n">
        <v>45929</v>
      </c>
    </row>
    <row r="585" ht="15.75" customHeight="1" s="216">
      <c r="A585" s="314" t="inlineStr">
        <is>
          <t>Bess Goodfellow</t>
        </is>
      </c>
      <c r="B585" s="314" t="inlineStr">
        <is>
          <t>Hyde Park Angels</t>
        </is>
      </c>
      <c r="C585" s="111" t="inlineStr">
        <is>
          <t>https://www.linkedin.com/in/bess-goodfellow-00329199/</t>
        </is>
      </c>
      <c r="D585" s="210" t="inlineStr">
        <is>
          <t>bess@hydeparkangels.com</t>
        </is>
      </c>
      <c r="E585" s="80" t="n">
        <v>45898</v>
      </c>
      <c r="F585" s="80" t="n">
        <v>45929</v>
      </c>
      <c r="G585" s="80" t="n">
        <v>45996</v>
      </c>
    </row>
    <row r="586" ht="15.75" customHeight="1" s="216">
      <c r="A586" s="314" t="inlineStr">
        <is>
          <t>Saaya Nath</t>
        </is>
      </c>
      <c r="B586" s="314" t="inlineStr">
        <is>
          <t>Jump Capital</t>
        </is>
      </c>
      <c r="C586" s="111" t="inlineStr">
        <is>
          <t>https://www.linkedin.com/in/saaya-pal-12ba82a3/</t>
        </is>
      </c>
      <c r="D586" s="210" t="inlineStr">
        <is>
          <t>saaya@jumpcap.com</t>
        </is>
      </c>
      <c r="E586" s="80" t="n">
        <v>45898</v>
      </c>
      <c r="F586" s="80" t="n">
        <v>45929</v>
      </c>
      <c r="G586" s="80" t="n">
        <v>45996</v>
      </c>
    </row>
    <row r="587" ht="15.75" customHeight="1" s="216">
      <c r="A587" s="314" t="inlineStr">
        <is>
          <t>Janine Kick</t>
        </is>
      </c>
      <c r="B587" s="314" t="inlineStr">
        <is>
          <t>Kerosene Ventures</t>
        </is>
      </c>
      <c r="C587" s="111" t="inlineStr">
        <is>
          <t>https://www.linkedin.com/in/janinekick/</t>
        </is>
      </c>
      <c r="D587" s="210" t="inlineStr">
        <is>
          <t>janine@kerosene.vc</t>
        </is>
      </c>
      <c r="E587" s="80" t="n">
        <v>45898</v>
      </c>
      <c r="F587" s="80" t="n">
        <v>45929</v>
      </c>
      <c r="G587" s="80" t="n">
        <v>45996</v>
      </c>
    </row>
    <row r="588" ht="15.75" customHeight="1" s="216">
      <c r="A588" s="314" t="inlineStr">
        <is>
          <t>Brian Hopcraft</t>
        </is>
      </c>
      <c r="B588" s="314" t="inlineStr">
        <is>
          <t>Lewis &amp; Clark</t>
        </is>
      </c>
      <c r="C588" s="111" t="inlineStr">
        <is>
          <t>https://www.linkedin.com/in/brian-hopcraft/</t>
        </is>
      </c>
      <c r="D588" s="210" t="inlineStr">
        <is>
          <t>brian@lacventures.com</t>
        </is>
      </c>
      <c r="E588" s="80" t="n">
        <v>45898</v>
      </c>
      <c r="F588" s="80" t="n">
        <v>45929</v>
      </c>
      <c r="G588" s="80" t="n">
        <v>45996</v>
      </c>
    </row>
    <row r="589" ht="15.75" customHeight="1" s="216">
      <c r="A589" s="171" t="inlineStr">
        <is>
          <t>Eric Ong</t>
        </is>
      </c>
      <c r="B589" s="171" t="inlineStr">
        <is>
          <t>Lightbank</t>
        </is>
      </c>
      <c r="C589" s="127" t="inlineStr">
        <is>
          <t>https://www.linkedin.com/in/eric0ng/</t>
        </is>
      </c>
      <c r="D589" s="211" t="inlineStr">
        <is>
          <t>ong@lightbank.com</t>
        </is>
      </c>
      <c r="E589" s="129" t="n">
        <v>45902</v>
      </c>
      <c r="F589" s="80" t="n">
        <v>45929</v>
      </c>
      <c r="G589" s="80" t="n">
        <v>45996</v>
      </c>
    </row>
    <row r="590" ht="15.75" customHeight="1" s="216">
      <c r="A590" s="314" t="inlineStr">
        <is>
          <t>Darshan Vyas</t>
        </is>
      </c>
      <c r="B590" s="314" t="inlineStr">
        <is>
          <t>Loud Capital</t>
        </is>
      </c>
      <c r="C590" s="111" t="inlineStr">
        <is>
          <t>https://www.linkedin.com/in/darshan-vyas-02316426/</t>
        </is>
      </c>
      <c r="D590" s="210" t="inlineStr">
        <is>
          <t>darshan@loud.vc</t>
        </is>
      </c>
      <c r="E590" s="80" t="n">
        <v>45902</v>
      </c>
      <c r="F590" s="80" t="n">
        <v>45929</v>
      </c>
      <c r="G590" s="80" t="n">
        <v>45996</v>
      </c>
    </row>
    <row r="591" ht="15.75" customHeight="1" s="216">
      <c r="A591" s="172" t="inlineStr">
        <is>
          <t>Abhinaya Konduru</t>
        </is>
      </c>
      <c r="B591" s="171" t="inlineStr">
        <is>
          <t>M25</t>
        </is>
      </c>
      <c r="C591" s="127" t="inlineStr">
        <is>
          <t>https://www.linkedin.com/in/itsabhinaya/</t>
        </is>
      </c>
      <c r="D591" s="211" t="inlineStr">
        <is>
          <t>abhinaya@m25vc.com</t>
        </is>
      </c>
      <c r="E591" s="129" t="n">
        <v>45902</v>
      </c>
      <c r="F591" s="129" t="n">
        <v>45929</v>
      </c>
    </row>
    <row r="592" ht="15.75" customHeight="1" s="216">
      <c r="A592" s="314" t="inlineStr">
        <is>
          <t>Ryan Broshar</t>
        </is>
      </c>
      <c r="B592" s="314" t="inlineStr">
        <is>
          <t>Matchstick Ventures</t>
        </is>
      </c>
      <c r="C592" s="111" t="inlineStr">
        <is>
          <t>https://www.linkedin.com/in/ryanbroshar/</t>
        </is>
      </c>
      <c r="D592" s="210" t="inlineStr">
        <is>
          <t>ryan@matchstick.vc</t>
        </is>
      </c>
      <c r="E592" s="80" t="n">
        <v>45902</v>
      </c>
      <c r="F592" s="80" t="n">
        <v>45929</v>
      </c>
      <c r="G592" s="80" t="n">
        <v>45996</v>
      </c>
    </row>
    <row r="593" ht="15.75" customHeight="1" s="216">
      <c r="A593" s="314" t="inlineStr">
        <is>
          <t>Adrian Fortino</t>
        </is>
      </c>
      <c r="B593" s="314" t="inlineStr">
        <is>
          <t>Mercury Fund</t>
        </is>
      </c>
      <c r="C593" s="111" t="inlineStr">
        <is>
          <t>https://www.linkedin.com/in/adrianfortino/</t>
        </is>
      </c>
      <c r="D593" s="210" t="inlineStr">
        <is>
          <t>adrian@mercuryfund.com</t>
        </is>
      </c>
      <c r="E593" s="80" t="n">
        <v>45902</v>
      </c>
      <c r="F593" s="80" t="n">
        <v>45929</v>
      </c>
      <c r="G593" s="80" t="n">
        <v>45996</v>
      </c>
    </row>
    <row r="594" ht="15.75" customHeight="1" s="216">
      <c r="A594" s="314" t="inlineStr">
        <is>
          <t>Mark Achler</t>
        </is>
      </c>
      <c r="B594" s="314" t="inlineStr">
        <is>
          <t>MATH Venture Partners</t>
        </is>
      </c>
      <c r="C594" s="111" t="inlineStr">
        <is>
          <t>https://www.linkedin.com/in/markachler/</t>
        </is>
      </c>
      <c r="D594" s="210" t="inlineStr">
        <is>
          <t>mark.achler@mathventurepartners.com</t>
        </is>
      </c>
      <c r="E594" s="80" t="n">
        <v>45902</v>
      </c>
      <c r="F594" s="80" t="n">
        <v>45929</v>
      </c>
      <c r="G594" s="80" t="n">
        <v>45996</v>
      </c>
    </row>
    <row r="595" ht="15.75" customHeight="1" s="216">
      <c r="A595" s="314" t="inlineStr">
        <is>
          <t>Carolyn Kwon</t>
        </is>
      </c>
      <c r="B595" s="314" t="inlineStr">
        <is>
          <t>Moderne Ventures</t>
        </is>
      </c>
      <c r="C595" s="111" t="inlineStr">
        <is>
          <t>https://www.linkedin.com/in/carolynkwon/</t>
        </is>
      </c>
      <c r="D595" s="210" t="inlineStr">
        <is>
          <t>carolyn@moderneventures.com</t>
        </is>
      </c>
      <c r="E595" s="80" t="n">
        <v>45903</v>
      </c>
      <c r="F595" s="80" t="n">
        <v>45972</v>
      </c>
      <c r="G595" s="80" t="n">
        <v>45996</v>
      </c>
    </row>
    <row r="596" ht="15.75" customHeight="1" s="216">
      <c r="A596" s="172" t="inlineStr">
        <is>
          <t>Jackson Bubala</t>
        </is>
      </c>
      <c r="B596" s="171" t="inlineStr">
        <is>
          <t>Motivate Ventures</t>
        </is>
      </c>
      <c r="C596" s="127" t="inlineStr">
        <is>
          <t>https://www.linkedin.com/in/jackson-bubala/</t>
        </is>
      </c>
      <c r="D596" s="211" t="inlineStr">
        <is>
          <t>jackson@motivate.vc</t>
        </is>
      </c>
      <c r="E596" s="129" t="n">
        <v>45903</v>
      </c>
    </row>
    <row r="597" ht="15.75" customHeight="1" s="216">
      <c r="A597" s="314" t="inlineStr">
        <is>
          <t>Liz Todia</t>
        </is>
      </c>
      <c r="B597" s="314" t="inlineStr">
        <is>
          <t>Mutual Capital Partners</t>
        </is>
      </c>
      <c r="C597" s="111" t="inlineStr">
        <is>
          <t>https://www.linkedin.com/in/ltodia/</t>
        </is>
      </c>
      <c r="D597" s="210" t="inlineStr">
        <is>
          <t>ltodia@mutualcapitalpartners.com</t>
        </is>
      </c>
      <c r="E597" s="80" t="n">
        <v>45903</v>
      </c>
      <c r="F597" s="80" t="n">
        <v>45972</v>
      </c>
      <c r="G597" s="80" t="n">
        <v>45996</v>
      </c>
    </row>
    <row r="598" ht="15.75" customHeight="1" s="216">
      <c r="A598" s="314" t="inlineStr">
        <is>
          <t>Falon Donohue</t>
        </is>
      </c>
      <c r="B598" s="314" t="inlineStr">
        <is>
          <t>Narya Capital Management</t>
        </is>
      </c>
      <c r="C598" s="111" t="inlineStr">
        <is>
          <t>https://www.linkedin.com/in/falondonohue/</t>
        </is>
      </c>
      <c r="D598" s="210" t="inlineStr">
        <is>
          <t>falon@naryavc.com</t>
        </is>
      </c>
      <c r="E598" s="80" t="n">
        <v>45903</v>
      </c>
      <c r="F598" s="80" t="n">
        <v>45972</v>
      </c>
      <c r="G598" s="80" t="n">
        <v>45996</v>
      </c>
    </row>
    <row r="599" ht="15.75" customHeight="1" s="216">
      <c r="A599" s="314" t="inlineStr">
        <is>
          <t>Jim Dugan</t>
        </is>
      </c>
      <c r="B599" s="314" t="inlineStr">
        <is>
          <t>OCA Ventures</t>
        </is>
      </c>
      <c r="C599" s="111" t="inlineStr">
        <is>
          <t>https://www.linkedin.com/in/jim-dugan-b4369a3/</t>
        </is>
      </c>
      <c r="D599" s="210" t="inlineStr">
        <is>
          <t>jim@ocaventures.com</t>
        </is>
      </c>
      <c r="E599" s="80" t="n">
        <v>45903</v>
      </c>
      <c r="F599" s="80" t="n">
        <v>45972</v>
      </c>
      <c r="G599" s="80" t="n">
        <v>45996</v>
      </c>
    </row>
    <row r="600" ht="15.75" customHeight="1" s="216">
      <c r="A600" s="314" t="inlineStr">
        <is>
          <t>Scott Stern</t>
        </is>
      </c>
      <c r="B600" s="314" t="inlineStr">
        <is>
          <t>Origin Ventures</t>
        </is>
      </c>
      <c r="C600" s="111" t="inlineStr">
        <is>
          <t>https://www.linkedin.com/in/sbstern/</t>
        </is>
      </c>
      <c r="D600" s="210" t="inlineStr">
        <is>
          <t>scott@originventures.com</t>
        </is>
      </c>
      <c r="E600" s="80" t="n">
        <v>45903</v>
      </c>
      <c r="F600" s="80" t="n">
        <v>45972</v>
      </c>
      <c r="G600" s="80" t="n">
        <v>45996</v>
      </c>
    </row>
    <row r="601" ht="15.75" customHeight="1" s="216">
      <c r="A601" s="314" t="inlineStr">
        <is>
          <t>Dan Drechsel</t>
        </is>
      </c>
      <c r="B601" s="314" t="inlineStr">
        <is>
          <t>Panoramic Ventures // BIP</t>
        </is>
      </c>
      <c r="C601" s="111" t="inlineStr">
        <is>
          <t>https://www.linkedin.com/in/dandrechsel/</t>
        </is>
      </c>
      <c r="D601" s="210" t="inlineStr">
        <is>
          <t>ddrechsel@panoramic.vc</t>
        </is>
      </c>
      <c r="E601" s="80" t="n">
        <v>45903</v>
      </c>
      <c r="F601" s="80" t="n">
        <v>45972</v>
      </c>
      <c r="G601" s="80" t="n">
        <v>45996</v>
      </c>
    </row>
    <row r="602" ht="15.75" customHeight="1" s="216">
      <c r="A602" s="314" t="inlineStr">
        <is>
          <t>John Willmoth</t>
        </is>
      </c>
      <c r="B602" s="314" t="inlineStr">
        <is>
          <t>Poplar Ventures</t>
        </is>
      </c>
      <c r="C602" s="111" t="inlineStr">
        <is>
          <t>https://www.linkedin.com/in/john-willmoth-91a7195/</t>
        </is>
      </c>
      <c r="D602" s="210" t="inlineStr">
        <is>
          <t>john@poplarventures.com</t>
        </is>
      </c>
      <c r="E602" s="80" t="n">
        <v>45903</v>
      </c>
      <c r="F602" s="80" t="n">
        <v>45972</v>
      </c>
      <c r="G602" s="80" t="n">
        <v>45996</v>
      </c>
    </row>
    <row r="603" ht="15.75" customHeight="1" s="216">
      <c r="A603" s="314" t="inlineStr">
        <is>
          <t>Eric Wilson</t>
        </is>
      </c>
      <c r="B603" s="314" t="inlineStr">
        <is>
          <t>Serra Ventures</t>
        </is>
      </c>
      <c r="C603" s="111" t="inlineStr">
        <is>
          <t>https://www.linkedin.com/in/eric-wilson-67936a90/</t>
        </is>
      </c>
      <c r="D603" s="210" t="inlineStr">
        <is>
          <t>eric@serraventures.com</t>
        </is>
      </c>
      <c r="E603" s="80" t="n">
        <v>45903</v>
      </c>
      <c r="F603" s="80" t="n">
        <v>45972</v>
      </c>
      <c r="G603" s="80" t="n">
        <v>45996</v>
      </c>
    </row>
    <row r="604" ht="15.75" customHeight="1" s="216">
      <c r="A604" s="314" t="inlineStr">
        <is>
          <t xml:space="preserve">Brendon Schmidt </t>
        </is>
      </c>
      <c r="B604" s="314" t="inlineStr">
        <is>
          <t xml:space="preserve">Sierra Ventures </t>
        </is>
      </c>
      <c r="C604" s="111" t="inlineStr">
        <is>
          <t>https://www.linkedin.com/in/brendonschmidt/</t>
        </is>
      </c>
      <c r="D604" s="210" t="inlineStr">
        <is>
          <t>brendon@sierraventures.com</t>
        </is>
      </c>
      <c r="E604" s="80" t="n">
        <v>45903</v>
      </c>
      <c r="F604" s="80" t="n">
        <v>45972</v>
      </c>
      <c r="G604" s="80" t="n">
        <v>45996</v>
      </c>
    </row>
    <row r="605" ht="15.75" customHeight="1" s="216">
      <c r="A605" s="314" t="inlineStr">
        <is>
          <t>Jon Lim</t>
        </is>
      </c>
      <c r="B605" s="314" t="inlineStr">
        <is>
          <t>Signal Fire</t>
        </is>
      </c>
      <c r="C605" s="111" t="inlineStr">
        <is>
          <t>https://www.linkedin.com/in/jonathan-lim-5180803a/</t>
        </is>
      </c>
      <c r="D605" s="210" t="inlineStr">
        <is>
          <t>jlim@signalfire.com</t>
        </is>
      </c>
      <c r="E605" s="80" t="n">
        <v>45903</v>
      </c>
      <c r="F605" s="80" t="n">
        <v>45972</v>
      </c>
      <c r="G605" s="80" t="n">
        <v>45996</v>
      </c>
    </row>
    <row r="606" ht="15.75" customHeight="1" s="216">
      <c r="A606" s="315" t="inlineStr">
        <is>
          <t>Fred Hoch</t>
        </is>
      </c>
      <c r="B606" s="315" t="inlineStr">
        <is>
          <t>Technexus Venture Collaborative</t>
        </is>
      </c>
      <c r="C606" s="247" t="inlineStr">
        <is>
          <t>https://www.linkedin.com/in/fredhoch/</t>
        </is>
      </c>
      <c r="D606" s="248" t="inlineStr">
        <is>
          <t>fred@technexus.com</t>
        </is>
      </c>
      <c r="E606" s="80" t="n">
        <v>45903</v>
      </c>
      <c r="F606" t="inlineStr">
        <is>
          <t>12/3 sent booking link to Joey</t>
        </is>
      </c>
      <c r="G606" t="inlineStr">
        <is>
          <t>setting up a call with joey@technexus.com</t>
        </is>
      </c>
    </row>
    <row r="607" ht="15.75" customHeight="1" s="216">
      <c r="A607" s="314" t="inlineStr">
        <is>
          <t>Rick Desai</t>
        </is>
      </c>
      <c r="B607" s="314" t="inlineStr">
        <is>
          <t>Listen Ventures</t>
        </is>
      </c>
      <c r="C607" s="111" t="inlineStr">
        <is>
          <t>https://www.linkedin.com/in/rickpdesai/</t>
        </is>
      </c>
      <c r="D607" s="210" t="inlineStr">
        <is>
          <t>rick@listen.co</t>
        </is>
      </c>
      <c r="E607" s="80" t="n">
        <v>45903</v>
      </c>
      <c r="F607" s="80" t="n">
        <v>45972</v>
      </c>
      <c r="G607" s="80" t="n">
        <v>45996</v>
      </c>
    </row>
    <row r="608" ht="15.75" customHeight="1" s="216">
      <c r="A608" s="314" t="inlineStr">
        <is>
          <t>Jordan Federbush</t>
        </is>
      </c>
      <c r="B608" s="314" t="inlineStr">
        <is>
          <t>The Pritzker Org</t>
        </is>
      </c>
      <c r="C608" s="111" t="inlineStr">
        <is>
          <t>https://www.linkedin.com/in/jordan-federbush-69435357/</t>
        </is>
      </c>
      <c r="D608" s="210" t="inlineStr">
        <is>
          <t>jfederbush@pritzkerorg.com</t>
        </is>
      </c>
      <c r="E608" s="80" t="n">
        <v>45903</v>
      </c>
      <c r="F608" s="80" t="n">
        <v>45972</v>
      </c>
      <c r="G608" s="80" t="n">
        <v>45996</v>
      </c>
    </row>
    <row r="609" ht="15.75" customHeight="1" s="216">
      <c r="A609" s="314" t="inlineStr">
        <is>
          <t>SAFRAN</t>
        </is>
      </c>
      <c r="B609" s="314" t="n"/>
      <c r="D609" s="213" t="inlineStr">
        <is>
          <t xml:space="preserve">explore.newspace@alcimed.com </t>
        </is>
      </c>
      <c r="E609" s="80" t="n">
        <v>45902</v>
      </c>
      <c r="F609" s="80" t="n">
        <v>45972</v>
      </c>
      <c r="G609" s="80" t="n">
        <v>45996</v>
      </c>
    </row>
    <row r="610" ht="15.75" customHeight="1" s="216">
      <c r="A610" s="171" t="inlineStr">
        <is>
          <t>Richard Phillips</t>
        </is>
      </c>
      <c r="B610" s="171" t="inlineStr">
        <is>
          <t>referred by andy@abucholtz.com</t>
        </is>
      </c>
      <c r="C610" s="127" t="inlineStr">
        <is>
          <t>phillips@crossroadscapitaldc.com</t>
        </is>
      </c>
      <c r="D610" s="207" t="n"/>
      <c r="E610" s="129" t="n">
        <v>45903</v>
      </c>
      <c r="G610" t="inlineStr">
        <is>
          <t>meeting set 9/8/ NDA 9/12</t>
        </is>
      </c>
    </row>
    <row r="611" ht="15.75" customHeight="1" s="216">
      <c r="A611" s="191" t="inlineStr">
        <is>
          <t>Alexander Creasey</t>
        </is>
      </c>
      <c r="B611" s="315" t="inlineStr">
        <is>
          <t>Snowpoint VC</t>
        </is>
      </c>
      <c r="C611" s="322" t="inlineStr">
        <is>
          <t>https://www.linkedin.com/in/alexander-creasey-90998436/</t>
        </is>
      </c>
      <c r="D611" s="214" t="inlineStr">
        <is>
          <t>alex@snowpoint.vc</t>
        </is>
      </c>
      <c r="E611" s="121" t="n">
        <v>45903</v>
      </c>
      <c r="F611" t="inlineStr">
        <is>
          <t>so many follow up attemots - interested in setting up call but hasn't happened yet</t>
        </is>
      </c>
      <c r="G611" t="inlineStr">
        <is>
          <t>most recent follow up, 12/5</t>
        </is>
      </c>
    </row>
    <row r="612" ht="15.75" customHeight="1" s="216">
      <c r="A612" t="inlineStr">
        <is>
          <t>Doug Philippone</t>
        </is>
      </c>
      <c r="B612" s="314" t="inlineStr">
        <is>
          <t>Snowpoint VC</t>
        </is>
      </c>
      <c r="C612" s="111" t="inlineStr">
        <is>
          <t>https://www.linkedin.com/in/dougphilippone/</t>
        </is>
      </c>
      <c r="D612" s="198" t="inlineStr">
        <is>
          <t>doug@snowpoint.vc</t>
        </is>
      </c>
      <c r="E612" s="80" t="n">
        <v>45903</v>
      </c>
      <c r="F612" s="80" t="n">
        <v>45972</v>
      </c>
      <c r="G612" s="80" t="n">
        <v>45996</v>
      </c>
    </row>
    <row r="613" ht="15.75" customHeight="1" s="216">
      <c r="A613" t="inlineStr">
        <is>
          <t>Evan Loomis</t>
        </is>
      </c>
      <c r="B613" s="160" t="inlineStr">
        <is>
          <t>Overmatch Ventures</t>
        </is>
      </c>
      <c r="C613" s="111" t="inlineStr">
        <is>
          <t>https://www.linkedin.com/in/evanloomis/</t>
        </is>
      </c>
      <c r="D613" s="210" t="inlineStr">
        <is>
          <t>evan@overmatch.vc</t>
        </is>
      </c>
      <c r="E613" s="80" t="n">
        <v>45903</v>
      </c>
      <c r="F613" s="80" t="n">
        <v>45972</v>
      </c>
      <c r="G613" s="80" t="n">
        <v>45996</v>
      </c>
    </row>
    <row r="614" ht="15.75" customHeight="1" s="216">
      <c r="A614" t="inlineStr">
        <is>
          <t>Matt Monaco</t>
        </is>
      </c>
      <c r="B614" s="160" t="inlineStr">
        <is>
          <t>Noblis Ventures</t>
        </is>
      </c>
      <c r="C614" s="111" t="inlineStr">
        <is>
          <t>https://www.linkedin.com/in/matthewkmonaco/</t>
        </is>
      </c>
      <c r="D614" s="210" t="inlineStr">
        <is>
          <t>matthew.monaco@noblis.org</t>
        </is>
      </c>
      <c r="E614" s="80" t="n">
        <v>45903</v>
      </c>
      <c r="F614" s="80" t="n">
        <v>45972</v>
      </c>
      <c r="G614" s="80" t="n">
        <v>45996</v>
      </c>
    </row>
    <row r="615" ht="15.75" customHeight="1" s="216">
      <c r="A615" s="122" t="inlineStr">
        <is>
          <t>Bill Collier</t>
        </is>
      </c>
      <c r="B615" s="249" t="inlineStr">
        <is>
          <t>Noblis Ventures</t>
        </is>
      </c>
      <c r="C615" s="322" t="inlineStr">
        <is>
          <t>https://www.linkedin.com/in/williammarcuscollier/</t>
        </is>
      </c>
      <c r="D615" s="214" t="inlineStr">
        <is>
          <t>bill.collier@noblis.org</t>
        </is>
      </c>
      <c r="E615" s="121" t="n">
        <v>45903</v>
      </c>
      <c r="F615" s="80" t="n">
        <v>45972</v>
      </c>
      <c r="G615" s="80" t="inlineStr">
        <is>
          <t>meeting held and follow up emails sent. most recent follow up 12/5</t>
        </is>
      </c>
    </row>
    <row r="616" ht="15.75" customHeight="1" s="216">
      <c r="A616" t="inlineStr">
        <is>
          <t>Matt Salter</t>
        </is>
      </c>
      <c r="B616" s="160" t="inlineStr">
        <is>
          <t>Noblis Ventures</t>
        </is>
      </c>
      <c r="C616" s="111" t="inlineStr">
        <is>
          <t>https://www.linkedin.com/in/mattksalter/</t>
        </is>
      </c>
      <c r="D616" s="210" t="inlineStr">
        <is>
          <t>matt.salter@noblis.org</t>
        </is>
      </c>
      <c r="E616" s="80" t="n">
        <v>45903</v>
      </c>
      <c r="F616" s="80" t="n">
        <v>45972</v>
      </c>
      <c r="G616" s="80" t="n">
        <v>45996</v>
      </c>
    </row>
    <row r="617" ht="15.75" customHeight="1" s="216">
      <c r="A617" s="127" t="inlineStr">
        <is>
          <t>Alexander Harstrick</t>
        </is>
      </c>
      <c r="B617" s="252" t="inlineStr">
        <is>
          <t>J2 Ventures</t>
        </is>
      </c>
      <c r="C617" s="127" t="inlineStr">
        <is>
          <t>https://www.linkedin.com/in/alexanderharstrick/</t>
        </is>
      </c>
      <c r="D617" s="211" t="inlineStr">
        <is>
          <t>alex@j2vp.com</t>
        </is>
      </c>
      <c r="E617" s="129" t="n">
        <v>45903</v>
      </c>
      <c r="F617" s="80" t="n">
        <v>45972</v>
      </c>
    </row>
    <row r="618" ht="15.75" customHeight="1" s="216">
      <c r="A618" s="288" t="inlineStr">
        <is>
          <t>Jonathan Bronson</t>
        </is>
      </c>
      <c r="B618" s="252" t="inlineStr">
        <is>
          <t>J2 Ventures</t>
        </is>
      </c>
      <c r="C618" s="127" t="inlineStr">
        <is>
          <t>https://www.linkedin.com/in/jonathanbronson/</t>
        </is>
      </c>
      <c r="D618" s="211" t="inlineStr">
        <is>
          <t>jon@j2vp.com</t>
        </is>
      </c>
      <c r="E618" s="129" t="n">
        <v>45903</v>
      </c>
      <c r="F618" s="80" t="n">
        <v>45972</v>
      </c>
    </row>
    <row r="619" ht="15.75" customHeight="1" s="216">
      <c r="A619" s="288" t="inlineStr">
        <is>
          <t>Matt Goldman</t>
        </is>
      </c>
      <c r="B619" s="252" t="inlineStr">
        <is>
          <t>J2 Ventures</t>
        </is>
      </c>
      <c r="C619" s="288" t="inlineStr">
        <is>
          <t>linkedin.com/in/goldman-matt</t>
        </is>
      </c>
      <c r="D619" s="211" t="inlineStr">
        <is>
          <t>matt@j2vp.com</t>
        </is>
      </c>
      <c r="E619" s="129" t="n">
        <v>45903</v>
      </c>
      <c r="F619" s="80" t="n">
        <v>45972</v>
      </c>
    </row>
    <row r="620" ht="15.75" customHeight="1" s="216">
      <c r="A620" s="171" t="inlineStr">
        <is>
          <t>Adam Briley</t>
        </is>
      </c>
      <c r="B620" s="252" t="inlineStr">
        <is>
          <t>J2 Ventures</t>
        </is>
      </c>
      <c r="C620" s="288" t="inlineStr">
        <is>
          <t>linkedin.com/in/adam-briley</t>
        </is>
      </c>
      <c r="D620" s="211" t="inlineStr">
        <is>
          <t>adam@j2vp.com</t>
        </is>
      </c>
      <c r="E620" s="129" t="n">
        <v>45903</v>
      </c>
      <c r="F620" s="80" t="n">
        <v>45972</v>
      </c>
      <c r="G620" t="inlineStr">
        <is>
          <t>requested deck</t>
        </is>
      </c>
    </row>
    <row r="621" ht="15.75" customHeight="1" s="216">
      <c r="A621" s="314" t="inlineStr">
        <is>
          <t>Mark Spoto</t>
        </is>
      </c>
      <c r="B621" s="160" t="inlineStr">
        <is>
          <t>Razor's Edge Ventures</t>
        </is>
      </c>
      <c r="C621" s="111" t="inlineStr">
        <is>
          <t>https://www.linkedin.com/in/markspoto/</t>
        </is>
      </c>
      <c r="D621" s="210" t="inlineStr">
        <is>
          <t>mspoto@razorsvc.com</t>
        </is>
      </c>
      <c r="E621" s="80" t="n">
        <v>45903</v>
      </c>
      <c r="F621" s="80" t="n">
        <v>45972</v>
      </c>
      <c r="G621" s="80" t="n">
        <v>45996</v>
      </c>
    </row>
    <row r="622" ht="15.75" customHeight="1" s="216">
      <c r="A622" s="314" t="inlineStr">
        <is>
          <t>Matt Robinson</t>
        </is>
      </c>
      <c r="B622" s="160" t="inlineStr">
        <is>
          <t>Razor's Edge Ventures</t>
        </is>
      </c>
      <c r="C622" s="111" t="inlineStr">
        <is>
          <t>https://www.linkedin.com/in/matt-robinson-7691521a/</t>
        </is>
      </c>
      <c r="D622" s="210" t="inlineStr">
        <is>
          <t>mrobinson@razorsvc.com</t>
        </is>
      </c>
      <c r="E622" s="80" t="n">
        <v>45903</v>
      </c>
      <c r="F622" s="80" t="n">
        <v>45972</v>
      </c>
      <c r="G622" s="80" t="n">
        <v>45996</v>
      </c>
    </row>
    <row r="623" ht="15.75" customHeight="1" s="216">
      <c r="A623" s="314" t="inlineStr">
        <is>
          <t>Jack Kerrigan</t>
        </is>
      </c>
      <c r="B623" s="160" t="inlineStr">
        <is>
          <t>Razor's Edge Ventures</t>
        </is>
      </c>
      <c r="C623" s="143" t="inlineStr">
        <is>
          <t>linkedin.com/in/jack-kerrigan-672045155</t>
        </is>
      </c>
      <c r="D623" s="210" t="inlineStr">
        <is>
          <t>jkerrigan@razorsvc.com</t>
        </is>
      </c>
      <c r="E623" s="80" t="n">
        <v>45908</v>
      </c>
      <c r="F623" s="80" t="n">
        <v>45972</v>
      </c>
      <c r="G623" s="80" t="n">
        <v>45996</v>
      </c>
    </row>
    <row r="624" ht="15.75" customHeight="1" s="216">
      <c r="A624" s="314" t="inlineStr">
        <is>
          <t>Brian Garrett</t>
        </is>
      </c>
      <c r="B624" s="314" t="inlineStr">
        <is>
          <t>Crosscut VC</t>
        </is>
      </c>
      <c r="C624" t="inlineStr">
        <is>
          <t>linkedin.com/in/briangarrett1</t>
        </is>
      </c>
      <c r="D624" s="210" t="inlineStr">
        <is>
          <t>brian@crosscut.vc</t>
        </is>
      </c>
      <c r="E624" s="80" t="n">
        <v>45908</v>
      </c>
      <c r="F624" s="80" t="n">
        <v>45972</v>
      </c>
      <c r="G624" s="80" t="n">
        <v>45996</v>
      </c>
    </row>
    <row r="625" ht="15.75" customHeight="1" s="216">
      <c r="A625" s="171" t="inlineStr">
        <is>
          <t>Rick Smith</t>
        </is>
      </c>
      <c r="B625" s="171" t="inlineStr">
        <is>
          <t>Crosscut VC</t>
        </is>
      </c>
      <c r="C625" s="127" t="inlineStr">
        <is>
          <t>https://www.linkedin.com/in/ricksmithvc/</t>
        </is>
      </c>
      <c r="D625" s="211" t="inlineStr">
        <is>
          <t>rick@crosscut.vc</t>
        </is>
      </c>
      <c r="E625" s="129" t="n">
        <v>45908</v>
      </c>
    </row>
    <row r="626" ht="15.75" customHeight="1" s="216">
      <c r="A626" s="314" t="inlineStr">
        <is>
          <t>Brett Brewer</t>
        </is>
      </c>
      <c r="B626" s="314" t="inlineStr">
        <is>
          <t>Crosscut VC</t>
        </is>
      </c>
      <c r="D626" s="210" t="inlineStr">
        <is>
          <t>brett@crosscut.vc</t>
        </is>
      </c>
      <c r="E626" s="80" t="n">
        <v>45908</v>
      </c>
      <c r="F626" s="80" t="n">
        <v>45972</v>
      </c>
      <c r="G626" s="80" t="n">
        <v>45996</v>
      </c>
    </row>
    <row r="627" ht="15.75" customHeight="1" s="216">
      <c r="A627" t="inlineStr">
        <is>
          <t>John Luttig</t>
        </is>
      </c>
      <c r="B627" s="314" t="inlineStr">
        <is>
          <t>Founders Fund</t>
        </is>
      </c>
      <c r="C627" s="111" t="inlineStr">
        <is>
          <t>https://www.linkedin.com/in/luttig</t>
        </is>
      </c>
      <c r="D627" s="210" t="inlineStr">
        <is>
          <t>john@foundersfund.com</t>
        </is>
      </c>
      <c r="E627" s="80" t="n">
        <v>45908</v>
      </c>
      <c r="F627" s="80" t="n">
        <v>45972</v>
      </c>
      <c r="G627" s="80" t="n">
        <v>45996</v>
      </c>
    </row>
    <row r="628" ht="15.75" customHeight="1" s="216">
      <c r="A628" s="314" t="inlineStr">
        <is>
          <t>Josh Wolfe</t>
        </is>
      </c>
      <c r="B628" s="314" t="inlineStr">
        <is>
          <t>Lux Capital</t>
        </is>
      </c>
      <c r="C628" t="inlineStr">
        <is>
          <t>linkedin.com/in/josh-wolfe-7883</t>
        </is>
      </c>
      <c r="D628" s="210" t="inlineStr">
        <is>
          <t>josh.wolfe@luxcapital.com</t>
        </is>
      </c>
      <c r="E628" s="80" t="n">
        <v>45908</v>
      </c>
      <c r="F628" s="80" t="n">
        <v>45972</v>
      </c>
      <c r="G628" s="80" t="n">
        <v>45996</v>
      </c>
    </row>
    <row r="629" ht="15.75" customHeight="1" s="216">
      <c r="A629" s="314" t="inlineStr">
        <is>
          <t>Brandon Reeves</t>
        </is>
      </c>
      <c r="B629" s="314" t="inlineStr">
        <is>
          <t>Lux Capital</t>
        </is>
      </c>
      <c r="C629" t="inlineStr">
        <is>
          <t>linkedin.com/in/brandonreeves1</t>
        </is>
      </c>
      <c r="D629" s="210" t="inlineStr">
        <is>
          <t>brandon.reeves@luxcapital.com</t>
        </is>
      </c>
      <c r="E629" s="80" t="n">
        <v>45908</v>
      </c>
      <c r="F629" s="80" t="n">
        <v>45972</v>
      </c>
      <c r="G629" s="80" t="n">
        <v>45996</v>
      </c>
    </row>
    <row r="630" ht="15.75" customHeight="1" s="216">
      <c r="A630" s="170" t="inlineStr">
        <is>
          <t>Peter Hebert</t>
        </is>
      </c>
      <c r="B630" s="314" t="inlineStr">
        <is>
          <t>Lux Capital</t>
        </is>
      </c>
      <c r="C630" s="111" t="inlineStr">
        <is>
          <t>https://www.linkedin.com/in/peter-hebert-ab4925/</t>
        </is>
      </c>
      <c r="D630" s="210" t="inlineStr">
        <is>
          <t>peter.hebert@luxcapital.com</t>
        </is>
      </c>
      <c r="E630" s="80" t="n">
        <v>45908</v>
      </c>
      <c r="F630" s="80" t="n">
        <v>45972</v>
      </c>
      <c r="G630" s="80" t="n">
        <v>45996</v>
      </c>
    </row>
    <row r="631" ht="15.75" customHeight="1" s="216">
      <c r="A631" s="314" t="inlineStr">
        <is>
          <t>Deena Shakir</t>
        </is>
      </c>
      <c r="B631" s="314" t="inlineStr">
        <is>
          <t>Lux Capital</t>
        </is>
      </c>
      <c r="C631" t="inlineStr">
        <is>
          <t>linkedin.com/in/deenashakir</t>
        </is>
      </c>
      <c r="D631" s="210" t="inlineStr">
        <is>
          <t>deena.shakir@luxcapital.com</t>
        </is>
      </c>
      <c r="E631" s="80" t="n">
        <v>45908</v>
      </c>
      <c r="F631" s="80" t="n">
        <v>45972</v>
      </c>
      <c r="G631" s="80" t="n">
        <v>45996</v>
      </c>
    </row>
    <row r="632" ht="15.75" customHeight="1" s="216">
      <c r="A632" s="314" t="inlineStr">
        <is>
          <t>Lan Jiang</t>
        </is>
      </c>
      <c r="B632" s="314" t="inlineStr">
        <is>
          <t>Lux Capital</t>
        </is>
      </c>
      <c r="C632" s="111" t="inlineStr">
        <is>
          <t>https://www.linkedin.com/in/lanjiang9/</t>
        </is>
      </c>
      <c r="D632" s="210" t="inlineStr">
        <is>
          <t>lan.jiang@luxcapital.com</t>
        </is>
      </c>
      <c r="E632" s="80" t="n">
        <v>45908</v>
      </c>
      <c r="F632" s="80" t="n">
        <v>45972</v>
      </c>
      <c r="G632" s="80" t="n">
        <v>45996</v>
      </c>
    </row>
    <row r="633" ht="15.75" customHeight="1" s="216">
      <c r="A633" s="315" t="inlineStr">
        <is>
          <t>Tyrone Lee</t>
        </is>
      </c>
      <c r="B633" s="315" t="inlineStr">
        <is>
          <t>Draper Associates</t>
        </is>
      </c>
      <c r="C633" s="122" t="n"/>
      <c r="D633" s="214" t="inlineStr">
        <is>
          <t>tyrone@draper.vc</t>
        </is>
      </c>
      <c r="E633" s="121" t="n">
        <v>45908</v>
      </c>
      <c r="F633" s="80" t="n">
        <v>45972</v>
      </c>
      <c r="G633" s="80" t="n">
        <v>45996</v>
      </c>
    </row>
    <row r="634" ht="15.75" customHeight="1" s="216">
      <c r="A634" t="inlineStr">
        <is>
          <t>Aidan Madigan-Curtis</t>
        </is>
      </c>
      <c r="B634" s="314" t="inlineStr">
        <is>
          <t>Eclipse Ventures</t>
        </is>
      </c>
      <c r="C634" s="111" t="inlineStr">
        <is>
          <t>https://www.linkedin.com/in/aidan-madigan-curtis</t>
        </is>
      </c>
      <c r="D634" s="210" t="inlineStr">
        <is>
          <t>aidan@eclipse.vc</t>
        </is>
      </c>
      <c r="E634" s="80" t="n">
        <v>45909</v>
      </c>
      <c r="F634" s="80" t="n">
        <v>45972</v>
      </c>
      <c r="G634" s="80" t="n">
        <v>45996</v>
      </c>
    </row>
    <row r="635" ht="15.75" customHeight="1" s="216">
      <c r="A635" t="inlineStr">
        <is>
          <t>Lior Susan</t>
        </is>
      </c>
      <c r="B635" s="314" t="inlineStr">
        <is>
          <t>Eclipse Ventures</t>
        </is>
      </c>
      <c r="C635" s="111" t="inlineStr">
        <is>
          <t>https://www.linkedin.com/in/liorsusan</t>
        </is>
      </c>
      <c r="D635" s="210" t="inlineStr">
        <is>
          <t>lior@eclipse.vc</t>
        </is>
      </c>
      <c r="E635" s="80" t="n">
        <v>45909</v>
      </c>
      <c r="F635" s="80" t="n">
        <v>45972</v>
      </c>
      <c r="G635" s="80" t="n">
        <v>45996</v>
      </c>
    </row>
    <row r="636" ht="15.75" customHeight="1" s="216">
      <c r="A636" t="inlineStr">
        <is>
          <t>Justin Butler</t>
        </is>
      </c>
      <c r="B636" s="314" t="inlineStr">
        <is>
          <t>Eclipse Ventures</t>
        </is>
      </c>
      <c r="C636" s="111" t="inlineStr">
        <is>
          <t>https://www.linkedin.com/in/justinwbutler/</t>
        </is>
      </c>
      <c r="D636" s="210" t="inlineStr">
        <is>
          <t>justin@eclipse.vc</t>
        </is>
      </c>
      <c r="E636" s="80" t="n">
        <v>45909</v>
      </c>
      <c r="F636" s="80" t="n">
        <v>45972</v>
      </c>
      <c r="G636" s="80" t="n">
        <v>45996</v>
      </c>
    </row>
    <row r="637" ht="15.75" customHeight="1" s="216">
      <c r="A637" t="inlineStr">
        <is>
          <t>Seth Winterroth</t>
        </is>
      </c>
      <c r="B637" s="314" t="inlineStr">
        <is>
          <t>Eclipse Ventures</t>
        </is>
      </c>
      <c r="C637" s="111" t="inlineStr">
        <is>
          <t>https://www.linkedin.com/in/sethwinterroth/</t>
        </is>
      </c>
      <c r="D637" s="210" t="inlineStr">
        <is>
          <t>seth@eclipse.vc</t>
        </is>
      </c>
      <c r="E637" s="80" t="n">
        <v>45909</v>
      </c>
      <c r="F637" s="80" t="n">
        <v>45972</v>
      </c>
      <c r="G637" s="80" t="n">
        <v>45996</v>
      </c>
    </row>
    <row r="638" ht="15.75" customHeight="1" s="216">
      <c r="A638" s="235" t="inlineStr">
        <is>
          <t>Charly Mwangi</t>
        </is>
      </c>
      <c r="B638" s="236" t="inlineStr">
        <is>
          <t>Eclipse Ventures</t>
        </is>
      </c>
      <c r="C638" s="237" t="inlineStr">
        <is>
          <t>https://www.linkedin.com/in/charlymwangi/</t>
        </is>
      </c>
      <c r="D638" s="238" t="inlineStr">
        <is>
          <t>charly@eclipse.vc</t>
        </is>
      </c>
      <c r="E638" s="239" t="n">
        <v>45909</v>
      </c>
      <c r="G638" t="inlineStr">
        <is>
          <t>sent one pager 9/11</t>
        </is>
      </c>
      <c r="H638" t="inlineStr">
        <is>
          <t>not a fit right now</t>
        </is>
      </c>
    </row>
    <row r="639" ht="15.75" customHeight="1" s="216">
      <c r="A639" s="314" t="inlineStr">
        <is>
          <t>Annie Case</t>
        </is>
      </c>
      <c r="B639" s="2" t="inlineStr">
        <is>
          <t>kleiner perkins</t>
        </is>
      </c>
      <c r="C639" s="111" t="inlineStr">
        <is>
          <t>https://www.linkedin.com/in/annie-case-044bb753/</t>
        </is>
      </c>
      <c r="D639" s="210" t="inlineStr">
        <is>
          <t>annie@kleinerperkins.com</t>
        </is>
      </c>
      <c r="E639" s="80" t="n">
        <v>45909</v>
      </c>
      <c r="F639" s="80" t="n">
        <v>45972</v>
      </c>
      <c r="G639" s="80" t="n">
        <v>45996</v>
      </c>
    </row>
    <row r="640" ht="15.75" customHeight="1" s="216">
      <c r="A640" t="inlineStr">
        <is>
          <t>Leigh-Marie Braswell</t>
        </is>
      </c>
      <c r="B640" s="2" t="inlineStr">
        <is>
          <t>kleiner perkins</t>
        </is>
      </c>
      <c r="C640" t="inlineStr">
        <is>
          <t>linkedin.com/in/leigh-marie-braswell</t>
        </is>
      </c>
      <c r="D640" s="210" t="inlineStr">
        <is>
          <t>leighmarie@kleinerperkins.com</t>
        </is>
      </c>
      <c r="E640" s="80" t="n">
        <v>45909</v>
      </c>
      <c r="F640" s="80" t="n">
        <v>45972</v>
      </c>
      <c r="G640" s="80" t="n">
        <v>45996</v>
      </c>
    </row>
    <row r="641" ht="15.75" customHeight="1" s="216">
      <c r="A641" t="inlineStr">
        <is>
          <t>Josh Coyne</t>
        </is>
      </c>
      <c r="B641" s="2" t="inlineStr">
        <is>
          <t>kleiner perkins</t>
        </is>
      </c>
      <c r="C641" s="111" t="inlineStr">
        <is>
          <t>https://www.linkedin.com/in/joshuacoyne/</t>
        </is>
      </c>
      <c r="D641" s="210" t="inlineStr">
        <is>
          <t>jcoyne@kleinerperkins.com</t>
        </is>
      </c>
      <c r="E641" s="80" t="n">
        <v>45909</v>
      </c>
      <c r="F641" s="80" t="n">
        <v>45972</v>
      </c>
      <c r="G641" s="80" t="n">
        <v>45996</v>
      </c>
    </row>
    <row r="642" ht="15.75" customHeight="1" s="216">
      <c r="A642" t="inlineStr">
        <is>
          <t>Nadia Cochinwala</t>
        </is>
      </c>
      <c r="B642" s="2" t="inlineStr">
        <is>
          <t>kleiner perkins</t>
        </is>
      </c>
      <c r="C642" t="inlineStr">
        <is>
          <t>linkedin.com/in/nadiacochinwala</t>
        </is>
      </c>
      <c r="D642" s="210" t="inlineStr">
        <is>
          <t>nadia@kleinerperkins.com</t>
        </is>
      </c>
      <c r="E642" s="80" t="n">
        <v>45909</v>
      </c>
      <c r="F642" s="80" t="n">
        <v>45972</v>
      </c>
      <c r="G642" s="80" t="n">
        <v>45996</v>
      </c>
    </row>
    <row r="643" ht="15.75" customHeight="1" s="216">
      <c r="A643" t="inlineStr">
        <is>
          <t>Michael Ma</t>
        </is>
      </c>
      <c r="B643" s="2" t="inlineStr">
        <is>
          <t>Liquid 2 Ventures</t>
        </is>
      </c>
      <c r="C643" s="111" t="inlineStr">
        <is>
          <t>https://www.linkedin.com/in/michaelma8/</t>
        </is>
      </c>
      <c r="D643" s="210" t="inlineStr">
        <is>
          <t>mm@liquid2.vc</t>
        </is>
      </c>
      <c r="E643" s="80" t="n">
        <v>45909</v>
      </c>
      <c r="F643" s="80" t="n">
        <v>45972</v>
      </c>
      <c r="G643" s="80" t="n">
        <v>45999</v>
      </c>
    </row>
    <row r="644" ht="15.75" customHeight="1" s="216">
      <c r="A644" s="314" t="inlineStr">
        <is>
          <t>Nathaniel Montana</t>
        </is>
      </c>
      <c r="B644" s="2" t="inlineStr">
        <is>
          <t>Liquid 2 Ventures</t>
        </is>
      </c>
      <c r="C644" t="inlineStr">
        <is>
          <t>linkedin.com/in/nathaniel-montana-86742988</t>
        </is>
      </c>
      <c r="D644" s="210" t="inlineStr">
        <is>
          <t>nate@liquid2.vc</t>
        </is>
      </c>
      <c r="E644" s="80" t="n">
        <v>45909</v>
      </c>
      <c r="F644" s="80" t="n">
        <v>45972</v>
      </c>
      <c r="G644" s="80" t="n">
        <v>46006</v>
      </c>
    </row>
    <row r="645" ht="15.75" customHeight="1" s="216">
      <c r="A645" s="314" t="inlineStr">
        <is>
          <t>Mike Miller</t>
        </is>
      </c>
      <c r="B645" s="2" t="inlineStr">
        <is>
          <t>Liquid 2 Ventures</t>
        </is>
      </c>
      <c r="C645" s="111" t="inlineStr">
        <is>
          <t>https://www.linkedin.com/in/mlmilleratmit/</t>
        </is>
      </c>
      <c r="D645" s="210" t="inlineStr">
        <is>
          <t>mlm@liquid2.vc</t>
        </is>
      </c>
      <c r="E645" s="80" t="n">
        <v>45909</v>
      </c>
      <c r="F645" s="80" t="n">
        <v>45972</v>
      </c>
      <c r="G645" s="80" t="n">
        <v>46006</v>
      </c>
    </row>
    <row r="646" ht="15.75" customHeight="1" s="216">
      <c r="A646" s="314" t="inlineStr">
        <is>
          <t>Joe Montana</t>
        </is>
      </c>
      <c r="B646" s="2" t="inlineStr">
        <is>
          <t>Liquid 2 Ventures</t>
        </is>
      </c>
      <c r="C646" s="111" t="inlineStr">
        <is>
          <t>https://www.linkedin.com/in/joe-montana-464701b/</t>
        </is>
      </c>
      <c r="D646" s="210" t="inlineStr">
        <is>
          <t>joe@liquid2.vc</t>
        </is>
      </c>
      <c r="E646" s="80" t="n">
        <v>45909</v>
      </c>
      <c r="F646" s="80" t="n">
        <v>45972</v>
      </c>
      <c r="G646" s="80" t="n">
        <v>46006</v>
      </c>
    </row>
    <row r="647" ht="15.75" customHeight="1" s="216">
      <c r="A647" s="314" t="inlineStr">
        <is>
          <t>Matthew Mulvey</t>
        </is>
      </c>
      <c r="B647" s="2" t="inlineStr">
        <is>
          <t>Liquid 2 Ventures</t>
        </is>
      </c>
      <c r="C647" s="111" t="inlineStr">
        <is>
          <t>https://www.linkedin.com/in/mattmulvey/</t>
        </is>
      </c>
      <c r="D647" s="210" t="inlineStr">
        <is>
          <t>matt@liquid2.vc</t>
        </is>
      </c>
      <c r="E647" s="80" t="n">
        <v>45909</v>
      </c>
      <c r="F647" s="80" t="n">
        <v>45973</v>
      </c>
      <c r="G647" s="80" t="n">
        <v>46006</v>
      </c>
    </row>
    <row r="648" ht="15.75" customHeight="1" s="216">
      <c r="A648" t="inlineStr">
        <is>
          <t>Chris Morales</t>
        </is>
      </c>
      <c r="B648" s="314" t="inlineStr">
        <is>
          <t>Point 72</t>
        </is>
      </c>
      <c r="C648" t="inlineStr">
        <is>
          <t>linkedin.com/in/chrisjmorales</t>
        </is>
      </c>
      <c r="D648" s="210" t="inlineStr">
        <is>
          <t>chris@p72.vc</t>
        </is>
      </c>
      <c r="E648" s="80" t="n">
        <v>45909</v>
      </c>
      <c r="F648" s="80" t="n">
        <v>45973</v>
      </c>
      <c r="G648" s="80" t="n">
        <v>46006</v>
      </c>
    </row>
    <row r="649" ht="15.75" customHeight="1" s="216">
      <c r="A649" t="inlineStr">
        <is>
          <t>Tripp Shriner</t>
        </is>
      </c>
      <c r="B649" s="314" t="inlineStr">
        <is>
          <t>Point 72</t>
        </is>
      </c>
      <c r="C649" s="111" t="inlineStr">
        <is>
          <t>https://www.linkedin.com/in/trippshriner/</t>
        </is>
      </c>
      <c r="D649" s="210" t="inlineStr">
        <is>
          <t>tripp@p72.vc</t>
        </is>
      </c>
      <c r="E649" s="80" t="n">
        <v>45909</v>
      </c>
      <c r="F649" s="80" t="n">
        <v>45973</v>
      </c>
      <c r="G649" s="80" t="n">
        <v>46006</v>
      </c>
    </row>
    <row r="650" ht="15.75" customHeight="1" s="216">
      <c r="A650" t="inlineStr">
        <is>
          <t>Sri Chandrasekar</t>
        </is>
      </c>
      <c r="B650" s="314" t="inlineStr">
        <is>
          <t>Point 72</t>
        </is>
      </c>
      <c r="C650" s="111" t="inlineStr">
        <is>
          <t>https://www.linkedin.com/in/srichandrasekar/</t>
        </is>
      </c>
      <c r="D650" s="210" t="inlineStr">
        <is>
          <t>sri@p72.vc</t>
        </is>
      </c>
      <c r="E650" s="80" t="n">
        <v>45909</v>
      </c>
      <c r="F650" s="80" t="n">
        <v>45973</v>
      </c>
      <c r="G650" s="80" t="n">
        <v>46006</v>
      </c>
    </row>
    <row r="651" ht="15.75" customHeight="1" s="216">
      <c r="A651" t="inlineStr">
        <is>
          <t>Daniel Gwak</t>
        </is>
      </c>
      <c r="B651" s="314" t="inlineStr">
        <is>
          <t>Point 72</t>
        </is>
      </c>
      <c r="C651" s="111" t="inlineStr">
        <is>
          <t>https://www.linkedin.com/in/danielgwak/</t>
        </is>
      </c>
      <c r="D651" s="198" t="inlineStr">
        <is>
          <t>daniel.gwak@p72.vc</t>
        </is>
      </c>
      <c r="E651" s="80" t="n">
        <v>45909</v>
      </c>
      <c r="F651" s="80" t="n">
        <v>45973</v>
      </c>
      <c r="G651" s="80" t="n">
        <v>46006</v>
      </c>
    </row>
    <row r="652" ht="15.75" customHeight="1" s="216">
      <c r="A652" t="inlineStr">
        <is>
          <t>Roberto Alvarez</t>
        </is>
      </c>
      <c r="B652" s="314" t="inlineStr">
        <is>
          <t>Seldor Capital</t>
        </is>
      </c>
      <c r="C652" s="111" t="inlineStr">
        <is>
          <t>https://www.linkedin.com/in/robertodosreisalvarez</t>
        </is>
      </c>
      <c r="D652" s="210" t="inlineStr">
        <is>
          <t>roberto@seldorcapital.com</t>
        </is>
      </c>
      <c r="E652" s="80" t="n">
        <v>45910</v>
      </c>
      <c r="F652" s="80" t="n">
        <v>45973</v>
      </c>
      <c r="G652" s="80" t="n">
        <v>46006</v>
      </c>
    </row>
    <row r="653" ht="15.75" customHeight="1" s="216">
      <c r="A653" t="inlineStr">
        <is>
          <t>Steven Gonzalez</t>
        </is>
      </c>
      <c r="B653" s="314" t="inlineStr">
        <is>
          <t>Seldor Capital</t>
        </is>
      </c>
      <c r="C653" s="111" t="inlineStr">
        <is>
          <t>https://www.linkedin.com/in/steven-gonzalez-248312/</t>
        </is>
      </c>
      <c r="D653" s="210" t="inlineStr">
        <is>
          <t>steven@seldorcapital.com</t>
        </is>
      </c>
      <c r="E653" s="80" t="n">
        <v>45910</v>
      </c>
      <c r="F653" s="80" t="n">
        <v>45973</v>
      </c>
      <c r="G653" s="80" t="n">
        <v>46006</v>
      </c>
    </row>
    <row r="654" ht="15.75" customHeight="1" s="216">
      <c r="A654" s="314" t="inlineStr">
        <is>
          <t>Dayakar Puskoor</t>
        </is>
      </c>
      <c r="B654" s="314" t="inlineStr">
        <is>
          <t>Dallas VC</t>
        </is>
      </c>
      <c r="C654" s="111" t="inlineStr">
        <is>
          <t>https://www.linkedin.com/in/dayakarp/</t>
        </is>
      </c>
      <c r="D654" s="210" t="inlineStr">
        <is>
          <t>dayakar@dallasvc.com</t>
        </is>
      </c>
      <c r="E654" s="80" t="n">
        <v>45910</v>
      </c>
      <c r="F654" s="80" t="n">
        <v>45973</v>
      </c>
      <c r="G654" s="80" t="n">
        <v>46006</v>
      </c>
    </row>
    <row r="655" ht="15.75" customHeight="1" s="216">
      <c r="A655" s="314" t="inlineStr">
        <is>
          <t>Romen Kuloor</t>
        </is>
      </c>
      <c r="B655" s="314" t="inlineStr">
        <is>
          <t>Dallas VC</t>
        </is>
      </c>
      <c r="C655" s="111" t="inlineStr">
        <is>
          <t>https://www.linkedin.com/in/romen-kuloor/</t>
        </is>
      </c>
      <c r="D655" s="210" t="inlineStr">
        <is>
          <t>romen@dallasvc.com</t>
        </is>
      </c>
      <c r="E655" s="80" t="n">
        <v>45910</v>
      </c>
      <c r="F655" s="80" t="n">
        <v>45973</v>
      </c>
      <c r="G655" s="80" t="n">
        <v>46006</v>
      </c>
    </row>
    <row r="656" ht="15.75" customHeight="1" s="216">
      <c r="A656" s="314" t="inlineStr">
        <is>
          <t>Tariq Akbar</t>
        </is>
      </c>
      <c r="B656" s="314" t="inlineStr">
        <is>
          <t>Dallas VC</t>
        </is>
      </c>
      <c r="C656" s="111" t="inlineStr">
        <is>
          <t>https://www.linkedin.com/in/tariq/</t>
        </is>
      </c>
      <c r="D656" s="210" t="inlineStr">
        <is>
          <t>tariq@dallasvc.com</t>
        </is>
      </c>
      <c r="E656" s="80" t="n">
        <v>45910</v>
      </c>
      <c r="F656" s="80" t="n">
        <v>45973</v>
      </c>
      <c r="G656" s="80" t="n">
        <v>46006</v>
      </c>
    </row>
    <row r="657" ht="15.75" customHeight="1" s="216">
      <c r="A657" t="inlineStr">
        <is>
          <t>Ari Newman</t>
        </is>
      </c>
      <c r="B657" s="314" t="inlineStr">
        <is>
          <t>Massive VC</t>
        </is>
      </c>
      <c r="C657" s="111" t="inlineStr">
        <is>
          <t>https://www.linkedin.com/in/arinewman/</t>
        </is>
      </c>
      <c r="D657" s="210" t="inlineStr">
        <is>
          <t>ari@massive.vc</t>
        </is>
      </c>
      <c r="E657" s="80" t="n">
        <v>45910</v>
      </c>
      <c r="F657" s="80" t="n">
        <v>45973</v>
      </c>
      <c r="G657" s="80" t="n">
        <v>46006</v>
      </c>
    </row>
    <row r="658" ht="15.75" customHeight="1" s="216">
      <c r="A658" s="314" t="inlineStr">
        <is>
          <t>David Mandell</t>
        </is>
      </c>
      <c r="B658" s="314" t="inlineStr">
        <is>
          <t>Massive VC</t>
        </is>
      </c>
      <c r="C658" s="160" t="inlineStr">
        <is>
          <t>https://www.linkedin.com/in/davidgmandell/</t>
        </is>
      </c>
      <c r="D658" s="210" t="inlineStr">
        <is>
          <t>david@massive.vc</t>
        </is>
      </c>
      <c r="E658" s="80" t="n">
        <v>45910</v>
      </c>
      <c r="F658" s="80" t="n">
        <v>45973</v>
      </c>
      <c r="G658" s="80" t="n">
        <v>46006</v>
      </c>
    </row>
    <row r="659" ht="15.75" customHeight="1" s="216">
      <c r="A659" t="inlineStr">
        <is>
          <t>Maggie Rodney</t>
        </is>
      </c>
      <c r="B659" s="314" t="inlineStr">
        <is>
          <t>Massive VC</t>
        </is>
      </c>
      <c r="C659" t="inlineStr">
        <is>
          <t>linkedin.com/in/maggie-rodney</t>
        </is>
      </c>
      <c r="D659" s="210" t="inlineStr">
        <is>
          <t>maggie@massive.vc</t>
        </is>
      </c>
      <c r="E659" s="80" t="n">
        <v>45910</v>
      </c>
      <c r="F659" s="80" t="n">
        <v>45973</v>
      </c>
      <c r="G659" s="80" t="n">
        <v>46006</v>
      </c>
    </row>
    <row r="660" ht="15.75" customHeight="1" s="216">
      <c r="A660" t="inlineStr">
        <is>
          <t>Mike Collett</t>
        </is>
      </c>
      <c r="B660" s="314" t="inlineStr">
        <is>
          <t>Promus Ventures</t>
        </is>
      </c>
      <c r="C660" s="111" t="inlineStr">
        <is>
          <t>https://www.linkedin.com/in/mikecollett</t>
        </is>
      </c>
      <c r="D660" s="210" t="inlineStr">
        <is>
          <t>mike@promusventures.com</t>
        </is>
      </c>
      <c r="E660" s="80" t="n">
        <v>45910</v>
      </c>
      <c r="F660" s="80" t="n">
        <v>45973</v>
      </c>
      <c r="G660" s="80" t="n">
        <v>46007</v>
      </c>
    </row>
    <row r="661" ht="15.75" customHeight="1" s="216">
      <c r="A661" t="inlineStr">
        <is>
          <t>Pierre Festal</t>
        </is>
      </c>
      <c r="B661" s="314" t="inlineStr">
        <is>
          <t>Promus Ventures</t>
        </is>
      </c>
      <c r="C661" s="111" t="inlineStr">
        <is>
          <t>https://www.linkedin.com/in/pierre-festal-192600/</t>
        </is>
      </c>
      <c r="D661" s="210" t="inlineStr">
        <is>
          <t>pierre@promusventures.com</t>
        </is>
      </c>
      <c r="E661" s="80" t="n">
        <v>45910</v>
      </c>
      <c r="F661" s="80" t="n">
        <v>45973</v>
      </c>
      <c r="G661" s="80" t="n">
        <v>46007</v>
      </c>
    </row>
    <row r="662" ht="15.75" customHeight="1" s="216">
      <c r="A662" t="inlineStr">
        <is>
          <t>Jenny Shepherd</t>
        </is>
      </c>
      <c r="B662" s="314" t="inlineStr">
        <is>
          <t>Promus Ventures</t>
        </is>
      </c>
      <c r="C662" s="160" t="inlineStr">
        <is>
          <t>https://www.linkedin.com/in/jenniferanneshepherd/</t>
        </is>
      </c>
      <c r="D662" s="210" t="inlineStr">
        <is>
          <t>jenny@promusventures.com</t>
        </is>
      </c>
      <c r="E662" s="80" t="n">
        <v>45910</v>
      </c>
      <c r="F662" s="80" t="n">
        <v>45973</v>
      </c>
      <c r="G662" s="80" t="n">
        <v>46007</v>
      </c>
    </row>
    <row r="663" ht="15.75" customHeight="1" s="216">
      <c r="A663" t="inlineStr">
        <is>
          <t>Kate Wilschutz</t>
        </is>
      </c>
      <c r="B663" t="inlineStr">
        <is>
          <t>Rise of the Rest</t>
        </is>
      </c>
      <c r="C663" t="inlineStr">
        <is>
          <t>linkedin.com/in/kate-wilschutz-54bb828</t>
        </is>
      </c>
      <c r="D663" s="210" t="inlineStr">
        <is>
          <t>kate.wilschutz@revolution.com</t>
        </is>
      </c>
      <c r="E663" s="80" t="n">
        <v>45910</v>
      </c>
      <c r="F663" s="80" t="n">
        <v>45973</v>
      </c>
      <c r="G663" s="80" t="n">
        <v>46007</v>
      </c>
    </row>
    <row r="664" ht="15.75" customHeight="1" s="216">
      <c r="A664" t="inlineStr">
        <is>
          <t>Tracy Van Grack</t>
        </is>
      </c>
      <c r="B664" t="inlineStr">
        <is>
          <t>Rise of the Rest</t>
        </is>
      </c>
      <c r="C664" t="inlineStr">
        <is>
          <t>linkedin.com/in/tracy-zuckerman-van-grack-b7019414</t>
        </is>
      </c>
      <c r="D664" s="210" t="inlineStr">
        <is>
          <t>tracy.vangrack@revolution.com</t>
        </is>
      </c>
      <c r="E664" s="80" t="n">
        <v>45910</v>
      </c>
      <c r="F664" s="80" t="n">
        <v>45973</v>
      </c>
      <c r="G664" s="80" t="n">
        <v>46007</v>
      </c>
    </row>
    <row r="665" ht="15.75" customHeight="1" s="216">
      <c r="A665" t="inlineStr">
        <is>
          <t>Steve Case</t>
        </is>
      </c>
      <c r="B665" t="inlineStr">
        <is>
          <t>Rise of the Rest</t>
        </is>
      </c>
      <c r="C665" t="inlineStr">
        <is>
          <t>linkedin.com/in/steve-case-0973524</t>
        </is>
      </c>
      <c r="D665" s="210" t="inlineStr">
        <is>
          <t>steve@revolution.com</t>
        </is>
      </c>
      <c r="E665" s="80" t="n">
        <v>45910</v>
      </c>
      <c r="F665" s="80" t="n">
        <v>45973</v>
      </c>
      <c r="G665" s="80" t="n">
        <v>46008</v>
      </c>
    </row>
    <row r="666" ht="15.75" customHeight="1" s="216">
      <c r="A666" t="inlineStr">
        <is>
          <t>David Hall</t>
        </is>
      </c>
      <c r="B666" t="inlineStr">
        <is>
          <t>Rise of the Rest</t>
        </is>
      </c>
      <c r="C666" t="inlineStr">
        <is>
          <t>linkedin.com/in/david-hall-102195</t>
        </is>
      </c>
      <c r="D666" s="210" t="inlineStr">
        <is>
          <t>david.hall@revolution.com</t>
        </is>
      </c>
      <c r="E666" s="80" t="n">
        <v>45910</v>
      </c>
      <c r="F666" s="80" t="n">
        <v>45973</v>
      </c>
      <c r="G666" s="80" t="n">
        <v>46008</v>
      </c>
    </row>
    <row r="667" ht="15.75" customHeight="1" s="216">
      <c r="A667" t="inlineStr">
        <is>
          <t>Sapna Mehta</t>
        </is>
      </c>
      <c r="B667" t="inlineStr">
        <is>
          <t>Rise of the Rest</t>
        </is>
      </c>
      <c r="C667" t="inlineStr">
        <is>
          <t>linkedin.com/in/sapna-mehta-00073b1b</t>
        </is>
      </c>
      <c r="D667" s="210" t="inlineStr">
        <is>
          <t>sapna.mehta@revolution.com</t>
        </is>
      </c>
      <c r="E667" s="80" t="n">
        <v>45910</v>
      </c>
      <c r="F667" s="80" t="n">
        <v>45973</v>
      </c>
      <c r="G667" s="80" t="n">
        <v>46008</v>
      </c>
    </row>
    <row r="668" ht="15.75" customHeight="1" s="216">
      <c r="A668" t="inlineStr">
        <is>
          <t>Forrest Underwood</t>
        </is>
      </c>
      <c r="B668" t="inlineStr">
        <is>
          <t>AIN Ventures</t>
        </is>
      </c>
      <c r="C668" t="inlineStr">
        <is>
          <t>https://www.linkedin.com/in/forrestunderwood</t>
        </is>
      </c>
      <c r="D668" s="210" t="inlineStr">
        <is>
          <t>forrest@academyinvestor.com</t>
        </is>
      </c>
      <c r="E668" s="80" t="n">
        <v>45912</v>
      </c>
      <c r="F668" s="80" t="n">
        <v>45973</v>
      </c>
      <c r="G668" s="80" t="n">
        <v>46010</v>
      </c>
    </row>
    <row r="669" ht="15.75" customHeight="1" s="216">
      <c r="A669" t="inlineStr">
        <is>
          <t>Emily McMahan</t>
        </is>
      </c>
      <c r="B669" t="inlineStr">
        <is>
          <t>AIN Ventures</t>
        </is>
      </c>
      <c r="C669" t="inlineStr">
        <is>
          <t>linkedin.com/in/emilymcmahan</t>
        </is>
      </c>
      <c r="D669" s="210" t="inlineStr">
        <is>
          <t>emily@academyinvestor.com</t>
        </is>
      </c>
      <c r="E669" s="80" t="n">
        <v>45912</v>
      </c>
      <c r="F669" s="80" t="n">
        <v>45973</v>
      </c>
      <c r="G669" s="80" t="n">
        <v>46010</v>
      </c>
    </row>
    <row r="670" ht="15.75" customHeight="1" s="216">
      <c r="A670" t="inlineStr">
        <is>
          <t>Sherman Williams</t>
        </is>
      </c>
      <c r="B670" t="inlineStr">
        <is>
          <t>AIN Ventures</t>
        </is>
      </c>
      <c r="C670" s="111" t="inlineStr">
        <is>
          <t>https://www.linkedin.com/in/sherman-williams/</t>
        </is>
      </c>
      <c r="D670" s="210" t="inlineStr">
        <is>
          <t>sherman@academyinvestor.com</t>
        </is>
      </c>
      <c r="E670" s="80" t="n">
        <v>45912</v>
      </c>
      <c r="F670" s="80" t="n">
        <v>45973</v>
      </c>
      <c r="G670" s="80" t="n">
        <v>46010</v>
      </c>
    </row>
    <row r="671" ht="15.75" customHeight="1" s="216">
      <c r="A671" t="inlineStr">
        <is>
          <t>Arpan Ajmera</t>
        </is>
      </c>
      <c r="B671" t="inlineStr">
        <is>
          <t>VU Venture Partners</t>
        </is>
      </c>
      <c r="C671" s="111" t="inlineStr">
        <is>
          <t>https://www.linkedin.com/in/arpan-ajmera/</t>
        </is>
      </c>
      <c r="D671" s="210" t="inlineStr">
        <is>
          <t>arpan@vufund.vc</t>
        </is>
      </c>
      <c r="E671" s="80" t="n">
        <v>45912</v>
      </c>
      <c r="F671" s="80" t="n">
        <v>45973</v>
      </c>
      <c r="G671" s="80" t="n">
        <v>46010</v>
      </c>
    </row>
    <row r="672" ht="15.75" customHeight="1" s="216">
      <c r="A672" t="inlineStr">
        <is>
          <t>Haider Alleg</t>
        </is>
      </c>
      <c r="B672" t="inlineStr">
        <is>
          <t>Allegory Capital</t>
        </is>
      </c>
      <c r="C672" s="111" t="inlineStr">
        <is>
          <t>https://www.linkedin.com/in/haideralleg/</t>
        </is>
      </c>
      <c r="D672" s="210" t="inlineStr">
        <is>
          <t>haider.alleg@allegory.capital</t>
        </is>
      </c>
      <c r="E672" s="80" t="n">
        <v>45912</v>
      </c>
      <c r="F672" s="80" t="n">
        <v>45973</v>
      </c>
      <c r="G672" s="80" t="n">
        <v>46010</v>
      </c>
    </row>
    <row r="673" ht="15.75" customHeight="1" s="216">
      <c r="A673" s="288" t="inlineStr">
        <is>
          <t>Brian Bell</t>
        </is>
      </c>
      <c r="B673" s="288" t="inlineStr">
        <is>
          <t>Team Ignite Ventures</t>
        </is>
      </c>
      <c r="C673" s="127" t="inlineStr">
        <is>
          <t>https://www.linkedin.com/in/bblinkedin/</t>
        </is>
      </c>
      <c r="D673" s="211" t="inlineStr">
        <is>
          <t>brian@teamignite.ventures</t>
        </is>
      </c>
      <c r="E673" s="129" t="n">
        <v>45912</v>
      </c>
      <c r="G673" t="inlineStr">
        <is>
          <t>9/12 - requested to see a deck</t>
        </is>
      </c>
    </row>
    <row r="674" ht="15.75" customHeight="1" s="216">
      <c r="A674" s="288" t="inlineStr">
        <is>
          <t>Fred Campbell</t>
        </is>
      </c>
      <c r="B674" s="288" t="inlineStr">
        <is>
          <t>TRAC</t>
        </is>
      </c>
      <c r="C674" s="127" t="inlineStr">
        <is>
          <t>https://www.linkedin.com/in/fred-campbell-3bb0731b/</t>
        </is>
      </c>
      <c r="D674" s="211" t="inlineStr">
        <is>
          <t>fred@tracvc.com</t>
        </is>
      </c>
      <c r="E674" s="129" t="n">
        <v>45912</v>
      </c>
      <c r="F674" s="80" t="n">
        <v>45973</v>
      </c>
    </row>
    <row r="675" ht="15.75" customHeight="1" s="216">
      <c r="A675" s="288" t="inlineStr">
        <is>
          <t>Tom Carroux</t>
        </is>
      </c>
      <c r="B675" s="288" t="inlineStr">
        <is>
          <t>Band of Angels</t>
        </is>
      </c>
      <c r="C675" s="127" t="inlineStr">
        <is>
          <t>https://www.linkedin.com/in/tomcarroux/</t>
        </is>
      </c>
      <c r="D675" s="211" t="inlineStr">
        <is>
          <t>tom.carroux@bandangels.com</t>
        </is>
      </c>
      <c r="E675" s="129" t="n">
        <v>45912</v>
      </c>
    </row>
    <row r="676" ht="15.75" customHeight="1" s="216">
      <c r="A676" t="inlineStr">
        <is>
          <t>Matt Caspari</t>
        </is>
      </c>
      <c r="B676" t="inlineStr">
        <is>
          <t>Alumni Ventures</t>
        </is>
      </c>
      <c r="C676" s="111" t="inlineStr">
        <is>
          <t>https://www.linkedin.com/in/deeptechvc/</t>
        </is>
      </c>
      <c r="D676" s="210" t="inlineStr">
        <is>
          <t>matt.caspari@av.vc</t>
        </is>
      </c>
      <c r="E676" s="80" t="n">
        <v>45912</v>
      </c>
      <c r="F676" s="80" t="n">
        <v>45973</v>
      </c>
      <c r="G676" s="80" t="n">
        <v>46010</v>
      </c>
    </row>
    <row r="677" ht="15.75" customHeight="1" s="216">
      <c r="A677" t="inlineStr">
        <is>
          <t>Danielle D'Agostaro</t>
        </is>
      </c>
      <c r="B677" t="inlineStr">
        <is>
          <t>WVV Capital</t>
        </is>
      </c>
      <c r="C677" t="inlineStr">
        <is>
          <t>linkedin.com/in/ddagostaro1</t>
        </is>
      </c>
      <c r="D677" s="210" t="inlineStr">
        <is>
          <t>danielle@wvvcapital.com</t>
        </is>
      </c>
      <c r="E677" s="80" t="n">
        <v>45912</v>
      </c>
      <c r="F677" s="80" t="n">
        <v>45973</v>
      </c>
      <c r="G677" s="80" t="n">
        <v>46010</v>
      </c>
    </row>
    <row r="678" ht="15.75" customHeight="1" s="216">
      <c r="A678" t="inlineStr">
        <is>
          <t>Edi Danalache</t>
        </is>
      </c>
      <c r="B678" t="inlineStr">
        <is>
          <t>Scale Venture Partners</t>
        </is>
      </c>
      <c r="C678" s="111" t="inlineStr">
        <is>
          <t>https://www.linkedin.com/in/edanalache/</t>
        </is>
      </c>
      <c r="D678" s="210" t="inlineStr">
        <is>
          <t>edi@scalevp.com</t>
        </is>
      </c>
      <c r="E678" s="80" t="n">
        <v>45912</v>
      </c>
      <c r="F678" s="80" t="n">
        <v>45973</v>
      </c>
      <c r="G678" s="80" t="n">
        <v>46010</v>
      </c>
    </row>
    <row r="679" ht="15.75" customHeight="1" s="216">
      <c r="A679" t="inlineStr">
        <is>
          <t>Dan Easton</t>
        </is>
      </c>
      <c r="B679" t="inlineStr">
        <is>
          <t>Unorthodox Ventures</t>
        </is>
      </c>
      <c r="C679" t="inlineStr">
        <is>
          <t>linkedin.com/in/danieleaston</t>
        </is>
      </c>
      <c r="D679" s="210" t="inlineStr">
        <is>
          <t>dan@unorthodoxventures.com</t>
        </is>
      </c>
      <c r="E679" s="80" t="n">
        <v>45912</v>
      </c>
      <c r="F679" s="80" t="n">
        <v>45973</v>
      </c>
      <c r="G679" s="80" t="n">
        <v>46010</v>
      </c>
    </row>
    <row r="680" ht="15.75" customHeight="1" s="216">
      <c r="A680" t="inlineStr">
        <is>
          <t>Chenoa Farnsworth</t>
        </is>
      </c>
      <c r="B680" t="inlineStr">
        <is>
          <t>Blue Startups</t>
        </is>
      </c>
      <c r="C680" s="111" t="inlineStr">
        <is>
          <t>https://www.linkedin.com/in/chenoafarnsworth/</t>
        </is>
      </c>
      <c r="D680" s="210" t="inlineStr">
        <is>
          <t>chenoa@bluestartups.com</t>
        </is>
      </c>
      <c r="E680" s="80" t="n">
        <v>45912</v>
      </c>
      <c r="F680" s="80" t="n">
        <v>45973</v>
      </c>
      <c r="G680" s="80" t="n">
        <v>46010</v>
      </c>
    </row>
    <row r="681" ht="15.75" customHeight="1" s="216">
      <c r="A681" s="122" t="inlineStr">
        <is>
          <t>Sergey Fedotov</t>
        </is>
      </c>
      <c r="B681" s="122" t="inlineStr">
        <is>
          <t>TEL Venture Capital</t>
        </is>
      </c>
      <c r="C681" s="322" t="inlineStr">
        <is>
          <t>https://www.linkedin.com/in/sergey-a-fedotov/</t>
        </is>
      </c>
      <c r="D681" s="214" t="inlineStr">
        <is>
          <t>sergey.fedotov@tel.com</t>
        </is>
      </c>
      <c r="E681" s="121" t="n">
        <v>45912</v>
      </c>
      <c r="G681" t="inlineStr">
        <is>
          <t>9/24 - meeting set for 10/2</t>
        </is>
      </c>
    </row>
    <row r="682" ht="15.75" customHeight="1" s="216">
      <c r="A682" t="inlineStr">
        <is>
          <t>Ed Fries</t>
        </is>
      </c>
      <c r="B682" t="inlineStr">
        <is>
          <t>1Up Ventures</t>
        </is>
      </c>
      <c r="C682" s="111" t="inlineStr">
        <is>
          <t>https://www.linkedin.com/in/edfries/</t>
        </is>
      </c>
      <c r="D682" s="210" t="inlineStr">
        <is>
          <t>ed@1upfund.com</t>
        </is>
      </c>
      <c r="E682" s="80" t="n">
        <v>45912</v>
      </c>
      <c r="F682" s="80" t="n">
        <v>45973</v>
      </c>
      <c r="G682" s="80" t="n">
        <v>46010</v>
      </c>
    </row>
    <row r="683" ht="15.75" customHeight="1" s="216">
      <c r="A683" t="inlineStr">
        <is>
          <t>Gary Gershony</t>
        </is>
      </c>
      <c r="B683" t="inlineStr">
        <is>
          <t>BayMed Venture Partners</t>
        </is>
      </c>
      <c r="C683" t="inlineStr">
        <is>
          <t>linkedin.com/in/garygershony</t>
        </is>
      </c>
      <c r="D683" s="210" t="inlineStr">
        <is>
          <t>gary@baymedvp.com</t>
        </is>
      </c>
      <c r="E683" s="80" t="n">
        <v>45912</v>
      </c>
      <c r="F683" s="80" t="n">
        <v>45973</v>
      </c>
      <c r="G683" s="80" t="n">
        <v>46010</v>
      </c>
    </row>
    <row r="684" ht="15.75" customHeight="1" s="216">
      <c r="A684" s="288" t="inlineStr">
        <is>
          <t>Gerd Goette</t>
        </is>
      </c>
      <c r="B684" s="288" t="inlineStr">
        <is>
          <t>Cycle Capital</t>
        </is>
      </c>
      <c r="C684" s="127" t="inlineStr">
        <is>
          <t>https://www.linkedin.com/in/gerd-goette-5167b64/</t>
        </is>
      </c>
      <c r="D684" s="211" t="inlineStr">
        <is>
          <t>ggoette@cyclecapital.com</t>
        </is>
      </c>
      <c r="E684" s="129" t="n">
        <v>45912</v>
      </c>
      <c r="F684" s="80" t="n">
        <v>45973</v>
      </c>
    </row>
    <row r="685" ht="15.75" customHeight="1" s="216">
      <c r="A685" t="inlineStr">
        <is>
          <t>Spencer Greene</t>
        </is>
      </c>
      <c r="B685" t="inlineStr">
        <is>
          <t>TSVC</t>
        </is>
      </c>
      <c r="C685" s="111" t="inlineStr">
        <is>
          <t>https://www.linkedin.com/in/spencergreene/</t>
        </is>
      </c>
      <c r="D685" s="210" t="inlineStr">
        <is>
          <t>spencer@tsvcap.com</t>
        </is>
      </c>
      <c r="E685" s="80" t="n">
        <v>45912</v>
      </c>
      <c r="F685" s="80" t="n">
        <v>45973</v>
      </c>
      <c r="G685" s="80" t="n">
        <v>46010</v>
      </c>
    </row>
    <row r="686" ht="15.75" customHeight="1" s="216">
      <c r="A686" t="inlineStr">
        <is>
          <t>Séamus Hatch</t>
        </is>
      </c>
      <c r="B686" t="inlineStr">
        <is>
          <t>Level 8 Ventures</t>
        </is>
      </c>
      <c r="C686" s="111" t="inlineStr">
        <is>
          <t>https://www.linkedin.com/in/seamushatch/</t>
        </is>
      </c>
      <c r="D686" s="210" t="inlineStr">
        <is>
          <t>seamus@level8.vc</t>
        </is>
      </c>
      <c r="E686" s="80" t="n">
        <v>45912</v>
      </c>
      <c r="F686" s="80" t="n">
        <v>45973</v>
      </c>
      <c r="G686" s="80" t="n">
        <v>46010</v>
      </c>
    </row>
    <row r="687" ht="15.75" customHeight="1" s="216">
      <c r="A687" t="inlineStr">
        <is>
          <t>Jonathan Healy</t>
        </is>
      </c>
      <c r="B687" t="inlineStr">
        <is>
          <t>Cathay Innovation</t>
        </is>
      </c>
      <c r="C687" s="111" t="inlineStr">
        <is>
          <t>https://www.linkedin.com/in/jon-healy/</t>
        </is>
      </c>
      <c r="D687" s="210" t="inlineStr">
        <is>
          <t>jonathan.healy@cathayinnovation.com</t>
        </is>
      </c>
      <c r="E687" s="80" t="n">
        <v>45912</v>
      </c>
      <c r="F687" s="80" t="n">
        <v>45973</v>
      </c>
      <c r="G687" s="80" t="n">
        <v>46010</v>
      </c>
    </row>
    <row r="688" ht="15.75" customHeight="1" s="216">
      <c r="A688" t="inlineStr">
        <is>
          <t>Alex Kaufman</t>
        </is>
      </c>
      <c r="B688" t="inlineStr">
        <is>
          <t>APA Venture Partners</t>
        </is>
      </c>
      <c r="C688" s="111" t="inlineStr">
        <is>
          <t>https://www.linkedin.com/in/calexkaufman/</t>
        </is>
      </c>
      <c r="D688" s="143" t="inlineStr">
        <is>
          <t>alex@apavp.com</t>
        </is>
      </c>
      <c r="E688" s="80" t="n">
        <v>45929</v>
      </c>
      <c r="F688" s="80" t="n">
        <v>45973</v>
      </c>
      <c r="G688" s="80" t="n">
        <v>46010</v>
      </c>
    </row>
    <row r="689" ht="15.75" customHeight="1" s="216">
      <c r="A689" t="inlineStr">
        <is>
          <t>Marc Ladin</t>
        </is>
      </c>
      <c r="B689" t="inlineStr">
        <is>
          <t>PVCP</t>
        </is>
      </c>
      <c r="C689" s="111" t="inlineStr">
        <is>
          <t>https://www.linkedin.com/in/marcladin/</t>
        </is>
      </c>
      <c r="D689" s="111" t="inlineStr">
        <is>
          <t>marc@pvcp.vc</t>
        </is>
      </c>
      <c r="E689" s="80" t="n">
        <v>45930</v>
      </c>
      <c r="F689" s="80" t="n">
        <v>45973</v>
      </c>
      <c r="G689" s="80" t="n">
        <v>46010</v>
      </c>
    </row>
    <row r="690" ht="15.75" customHeight="1" s="216">
      <c r="A690" t="inlineStr">
        <is>
          <t>Lizzie Lee</t>
        </is>
      </c>
      <c r="B690" t="inlineStr">
        <is>
          <t>McKesson Ventures</t>
        </is>
      </c>
      <c r="C690" s="111" t="inlineStr">
        <is>
          <t>https://www.linkedin.com/in/elizabeth-evans-lee/</t>
        </is>
      </c>
      <c r="D690" s="143" t="inlineStr">
        <is>
          <t>elizabeth.lee@mckesson.com</t>
        </is>
      </c>
      <c r="E690" s="80" t="n">
        <v>45930</v>
      </c>
      <c r="F690" s="80" t="n">
        <v>45973</v>
      </c>
      <c r="G690" s="80" t="n">
        <v>46010</v>
      </c>
    </row>
    <row r="691" ht="15.75" customHeight="1" s="216">
      <c r="A691" t="inlineStr">
        <is>
          <t>Genevieve LeMarchal</t>
        </is>
      </c>
      <c r="B691" t="inlineStr">
        <is>
          <t>Suncoast Ventures</t>
        </is>
      </c>
      <c r="C691" s="111" t="inlineStr">
        <is>
          <t>https://www.linkedin.com/in/genevievelemarchal/</t>
        </is>
      </c>
      <c r="D691" s="143" t="inlineStr">
        <is>
          <t>g.lemarchal@suncoastvc.com</t>
        </is>
      </c>
      <c r="E691" s="80" t="n">
        <v>45930</v>
      </c>
      <c r="F691" s="80" t="n">
        <v>45973</v>
      </c>
      <c r="G691" s="80" t="n">
        <v>46010</v>
      </c>
    </row>
    <row r="692" ht="15.75" customHeight="1" s="216">
      <c r="A692" t="inlineStr">
        <is>
          <t>Ella Li</t>
        </is>
      </c>
      <c r="B692" t="inlineStr">
        <is>
          <t>H7 BioCapital</t>
        </is>
      </c>
      <c r="C692" s="111" t="inlineStr">
        <is>
          <t>https://www.linkedin.com/in/ellal/</t>
        </is>
      </c>
      <c r="D692" s="143" t="inlineStr">
        <is>
          <t>ella@h7biocapital.com</t>
        </is>
      </c>
      <c r="E692" s="80" t="n">
        <v>45930</v>
      </c>
      <c r="F692" s="80" t="n">
        <v>45973</v>
      </c>
      <c r="G692" s="80" t="n">
        <v>46010</v>
      </c>
    </row>
    <row r="693" ht="15.75" customHeight="1" s="216">
      <c r="A693" t="inlineStr">
        <is>
          <t>Ephraim Lindenbaum</t>
        </is>
      </c>
      <c r="B693" t="inlineStr">
        <is>
          <t>Advance Ventures</t>
        </is>
      </c>
      <c r="C693" s="111" t="inlineStr">
        <is>
          <t>https://www.linkedin.com/in/ephraimlindenbaum/</t>
        </is>
      </c>
      <c r="D693" s="143" t="inlineStr">
        <is>
          <t>eph@advanceventures.com</t>
        </is>
      </c>
      <c r="E693" s="80" t="n">
        <v>45930</v>
      </c>
      <c r="F693" s="80" t="n">
        <v>45973</v>
      </c>
      <c r="G693" s="80" t="n">
        <v>46010</v>
      </c>
    </row>
    <row r="694" ht="15.75" customHeight="1" s="216">
      <c r="A694" t="inlineStr">
        <is>
          <t>Darwin Ling</t>
        </is>
      </c>
      <c r="B694" t="inlineStr">
        <is>
          <t>Good AI Capital</t>
        </is>
      </c>
      <c r="C694" s="111" t="inlineStr">
        <is>
          <t>https://www.linkedin.com/in/darwinling/</t>
        </is>
      </c>
      <c r="D694" s="143" t="inlineStr">
        <is>
          <t>darwin@goodai.capital</t>
        </is>
      </c>
      <c r="E694" s="80" t="n">
        <v>45930</v>
      </c>
      <c r="F694" s="80" t="n">
        <v>45973</v>
      </c>
      <c r="G694" s="80" t="n">
        <v>46010</v>
      </c>
    </row>
    <row r="695" ht="15.75" customHeight="1" s="216">
      <c r="A695" t="inlineStr">
        <is>
          <t>Jason Mackey</t>
        </is>
      </c>
      <c r="B695" t="inlineStr">
        <is>
          <t>Athenian VC</t>
        </is>
      </c>
      <c r="C695" s="111" t="inlineStr">
        <is>
          <t>https://www.linkedin.com/in/mackeyjasond/</t>
        </is>
      </c>
      <c r="D695" s="143" t="inlineStr">
        <is>
          <t>jason@athenian.vc</t>
        </is>
      </c>
      <c r="E695" s="80" t="n">
        <v>45930</v>
      </c>
      <c r="F695" s="80" t="n">
        <v>45973</v>
      </c>
      <c r="G695" s="80" t="n">
        <v>46010</v>
      </c>
    </row>
    <row r="696" ht="15.75" customHeight="1" s="216">
      <c r="A696" t="inlineStr">
        <is>
          <t>Arnav Mariwala</t>
        </is>
      </c>
      <c r="B696" t="inlineStr">
        <is>
          <t>Aureolis Ventures</t>
        </is>
      </c>
      <c r="C696" t="inlineStr">
        <is>
          <t>linkedin.com/in/arnavmariwala</t>
        </is>
      </c>
      <c r="D696" s="143" t="inlineStr">
        <is>
          <t>arnav@aureolis.co.in</t>
        </is>
      </c>
      <c r="E696" s="80" t="n">
        <v>45993</v>
      </c>
      <c r="F696" s="80" t="n">
        <v>46010</v>
      </c>
    </row>
    <row r="697" ht="15.75" customHeight="1" s="216">
      <c r="A697" t="inlineStr">
        <is>
          <t>Laleh Masnavi</t>
        </is>
      </c>
      <c r="B697" t="inlineStr">
        <is>
          <t>Candou Ventures</t>
        </is>
      </c>
      <c r="C697" s="111" t="inlineStr">
        <is>
          <t>https://www.linkedin.com/in/laleh-masnavi-06b4347/</t>
        </is>
      </c>
      <c r="D697" s="143" t="inlineStr">
        <is>
          <t>laleh@candouventures.com</t>
        </is>
      </c>
      <c r="E697" s="80" t="n">
        <v>45993</v>
      </c>
      <c r="F697" s="80" t="n">
        <v>46036</v>
      </c>
    </row>
    <row r="698" ht="15.75" customHeight="1" s="216">
      <c r="A698" t="inlineStr">
        <is>
          <t>Apurva Mehta</t>
        </is>
      </c>
      <c r="B698" t="inlineStr">
        <is>
          <t>Summit Peak Investments</t>
        </is>
      </c>
      <c r="C698" t="inlineStr">
        <is>
          <t>linkedin.com/in/apurvaamehta</t>
        </is>
      </c>
      <c r="D698" s="143" t="inlineStr">
        <is>
          <t>apurva@summitpeak.com</t>
        </is>
      </c>
      <c r="E698" s="80" t="n">
        <v>45993</v>
      </c>
      <c r="F698" s="80" t="n">
        <v>46036</v>
      </c>
    </row>
    <row r="699" ht="15.75" customHeight="1" s="216">
      <c r="A699" t="inlineStr">
        <is>
          <t>Daniel Miller</t>
        </is>
      </c>
      <c r="B699" t="inlineStr">
        <is>
          <t>The Roda Group/Starshot Capital</t>
        </is>
      </c>
      <c r="C699" s="111" t="inlineStr">
        <is>
          <t>https://www.linkedin.com/in/danielmiller/</t>
        </is>
      </c>
      <c r="D699" s="143" t="inlineStr">
        <is>
          <t>dan@rodagroup.com</t>
        </is>
      </c>
      <c r="E699" s="80" t="n">
        <v>45993</v>
      </c>
      <c r="F699" s="80" t="n">
        <v>46036</v>
      </c>
    </row>
    <row r="700" ht="15.75" customHeight="1" s="216">
      <c r="A700" t="inlineStr">
        <is>
          <t>SC Moatti</t>
        </is>
      </c>
      <c r="B700" t="inlineStr">
        <is>
          <t>Mighty Capital</t>
        </is>
      </c>
      <c r="C700" s="111" t="inlineStr">
        <is>
          <t>https://www.linkedin.com/in/scmoatti/</t>
        </is>
      </c>
      <c r="D700" s="143" t="inlineStr">
        <is>
          <t>sc@mighty.capital</t>
        </is>
      </c>
      <c r="E700" s="80" t="n">
        <v>45993</v>
      </c>
      <c r="F700" s="80" t="n">
        <v>46036</v>
      </c>
    </row>
    <row r="701" ht="15.75" customHeight="1" s="216">
      <c r="A701" s="288" t="inlineStr">
        <is>
          <t>Paul Pickering</t>
        </is>
      </c>
      <c r="B701" s="288" t="inlineStr">
        <is>
          <t>Silicon Catalyst</t>
        </is>
      </c>
      <c r="C701" s="288" t="inlineStr">
        <is>
          <t>linkedin.com/in/paul-pickering-48a46b</t>
        </is>
      </c>
      <c r="D701" s="153" t="inlineStr">
        <is>
          <t>paul@sicatalyst.com</t>
        </is>
      </c>
      <c r="E701" s="129" t="n">
        <v>45993</v>
      </c>
      <c r="F701" s="129" t="n">
        <v>46036</v>
      </c>
      <c r="G701" t="inlineStr">
        <is>
          <t>not a fit</t>
        </is>
      </c>
    </row>
    <row r="702" ht="15.75" customHeight="1" s="216">
      <c r="A702" t="inlineStr">
        <is>
          <t>Al Sambar</t>
        </is>
      </c>
      <c r="B702" t="inlineStr">
        <is>
          <t>XRC Ventures</t>
        </is>
      </c>
      <c r="C702" t="inlineStr">
        <is>
          <t>linkedin.com/in/alsambar</t>
        </is>
      </c>
      <c r="D702" s="143" t="inlineStr">
        <is>
          <t>al@xrclabs.com</t>
        </is>
      </c>
      <c r="E702" s="80" t="n">
        <v>45994</v>
      </c>
      <c r="F702" s="80" t="n">
        <v>46036</v>
      </c>
    </row>
    <row r="703" ht="15.75" customHeight="1" s="216">
      <c r="A703" s="288" t="inlineStr">
        <is>
          <t>Ray Schuder</t>
        </is>
      </c>
      <c r="B703" s="288" t="inlineStr">
        <is>
          <t>Samsung Catalyst Fund</t>
        </is>
      </c>
      <c r="C703" s="288" t="inlineStr">
        <is>
          <t>linkedin.com/in/ray-schuder</t>
        </is>
      </c>
      <c r="D703" s="153" t="inlineStr">
        <is>
          <t>ray.schuder@harman.com</t>
        </is>
      </c>
      <c r="E703" s="129" t="n">
        <v>45994</v>
      </c>
      <c r="F703" s="288" t="inlineStr">
        <is>
          <t>ndeliverable</t>
        </is>
      </c>
    </row>
    <row r="704" ht="15.75" customHeight="1" s="216">
      <c r="A704" t="inlineStr">
        <is>
          <t>Kristina Serafim</t>
        </is>
      </c>
      <c r="B704" t="inlineStr">
        <is>
          <t>Untethered Ventures</t>
        </is>
      </c>
      <c r="C704" s="111" t="inlineStr">
        <is>
          <t>https://www.linkedin.com/in/kristinaserafim/</t>
        </is>
      </c>
      <c r="D704" s="143" t="inlineStr">
        <is>
          <t>kristina@untethered.ventures</t>
        </is>
      </c>
      <c r="E704" s="80" t="n">
        <v>45994</v>
      </c>
      <c r="F704" s="80" t="n">
        <v>46036</v>
      </c>
    </row>
    <row r="705" ht="15.75" customHeight="1" s="216">
      <c r="A705" t="inlineStr">
        <is>
          <t>Matias Serebrinsky</t>
        </is>
      </c>
      <c r="B705" t="inlineStr">
        <is>
          <t>PsyMed Ventures</t>
        </is>
      </c>
      <c r="C705" s="111" t="inlineStr">
        <is>
          <t>https://www.linkedin.com/in/matias-serebrinsky-8b02b5b/</t>
        </is>
      </c>
      <c r="D705" s="143" t="inlineStr">
        <is>
          <t>matias@psymed.ventures</t>
        </is>
      </c>
      <c r="E705" s="80" t="n">
        <v>45994</v>
      </c>
      <c r="F705" s="80" t="n">
        <v>46036</v>
      </c>
    </row>
    <row r="706" ht="15.75" customHeight="1" s="216">
      <c r="A706" t="inlineStr">
        <is>
          <t>Ramsay Siegal</t>
        </is>
      </c>
      <c r="B706" t="inlineStr">
        <is>
          <t>Earthshot Ventures</t>
        </is>
      </c>
      <c r="C706" s="111" t="inlineStr">
        <is>
          <t>https://www.linkedin.com/in/ramsaysiegal/</t>
        </is>
      </c>
      <c r="D706" s="143" t="inlineStr">
        <is>
          <t>ramsay@earthshot.vc</t>
        </is>
      </c>
      <c r="E706" s="80" t="n">
        <v>45994</v>
      </c>
      <c r="F706" s="80" t="n">
        <v>46036</v>
      </c>
    </row>
    <row r="707" ht="15.75" customHeight="1" s="216">
      <c r="A707" t="inlineStr">
        <is>
          <t>Aya Somai</t>
        </is>
      </c>
      <c r="B707" t="inlineStr">
        <is>
          <t>NEA</t>
        </is>
      </c>
      <c r="C707" s="111" t="inlineStr">
        <is>
          <t>https://www.linkedin.com/in/aya-somai-25612080/</t>
        </is>
      </c>
      <c r="D707" s="143" t="inlineStr">
        <is>
          <t>asomai@nea.com</t>
        </is>
      </c>
      <c r="E707" s="80" t="n">
        <v>45994</v>
      </c>
      <c r="F707" s="80" t="n">
        <v>46036</v>
      </c>
    </row>
    <row r="708" ht="15.75" customHeight="1" s="216">
      <c r="A708" t="inlineStr">
        <is>
          <t>Anish Srivastava</t>
        </is>
      </c>
      <c r="B708" t="inlineStr">
        <is>
          <t>Swisscom Ventures</t>
        </is>
      </c>
      <c r="C708" s="111" t="inlineStr">
        <is>
          <t>https://www.linkedin.com/in/anishksrivastava/</t>
        </is>
      </c>
      <c r="D708" s="143" t="inlineStr">
        <is>
          <t>anish.srivastava1@swisscom.com</t>
        </is>
      </c>
      <c r="E708" s="80" t="n">
        <v>45994</v>
      </c>
      <c r="F708" s="80" t="n">
        <v>46036</v>
      </c>
    </row>
    <row r="709" ht="15.75" customHeight="1" s="216">
      <c r="A709" t="inlineStr">
        <is>
          <t>Ning Sung</t>
        </is>
      </c>
      <c r="B709" t="inlineStr">
        <is>
          <t>Sand Hill Angels</t>
        </is>
      </c>
      <c r="C709" s="111" t="inlineStr">
        <is>
          <t>https://www.linkedin.com/in/ning-sung/</t>
        </is>
      </c>
      <c r="D709" s="143" t="inlineStr">
        <is>
          <t>nsung@sandhillangels.com</t>
        </is>
      </c>
      <c r="E709" s="80" t="n">
        <v>45994</v>
      </c>
      <c r="F709" s="80" t="n">
        <v>46036</v>
      </c>
    </row>
    <row r="710" ht="15.75" customHeight="1" s="216">
      <c r="A710" t="inlineStr">
        <is>
          <t>Trudy Vanhove</t>
        </is>
      </c>
      <c r="B710" t="inlineStr">
        <is>
          <t>Longitude Capital</t>
        </is>
      </c>
      <c r="C710" s="111" t="inlineStr">
        <is>
          <t>https://www.linkedin.com/in/trudy-vanhove/</t>
        </is>
      </c>
      <c r="D710" s="143" t="inlineStr">
        <is>
          <t>tvanhove@longitudecapital.com</t>
        </is>
      </c>
      <c r="E710" s="80" t="n">
        <v>45994</v>
      </c>
      <c r="F710" s="80" t="n">
        <v>46036</v>
      </c>
    </row>
    <row r="711" ht="15.75" customHeight="1" s="216">
      <c r="A711" t="inlineStr">
        <is>
          <t>Nancy Wang</t>
        </is>
      </c>
      <c r="B711" t="inlineStr">
        <is>
          <t>Felicis</t>
        </is>
      </c>
      <c r="C711" t="inlineStr">
        <is>
          <t>linkedin.com/in/wangnancy</t>
        </is>
      </c>
      <c r="D711" s="143" t="inlineStr">
        <is>
          <t>nancy@felicis.com</t>
        </is>
      </c>
      <c r="E711" s="80" t="n">
        <v>45994</v>
      </c>
      <c r="F711" s="80" t="n">
        <v>46036</v>
      </c>
    </row>
    <row r="712" ht="15.75" customHeight="1" s="216">
      <c r="A712" t="inlineStr">
        <is>
          <t>Veronica Wu</t>
        </is>
      </c>
      <c r="B712" t="inlineStr">
        <is>
          <t>First Bight Ventures</t>
        </is>
      </c>
      <c r="C712" s="111" t="inlineStr">
        <is>
          <t>https://www.linkedin.com/in/wuveronica/</t>
        </is>
      </c>
      <c r="D712" s="143" t="inlineStr">
        <is>
          <t>veronica@firstbight.com</t>
        </is>
      </c>
      <c r="E712" s="80" t="n">
        <v>45994</v>
      </c>
      <c r="F712" s="80" t="n">
        <v>46036</v>
      </c>
    </row>
    <row r="713" ht="15.75" customHeight="1" s="216">
      <c r="A713" t="inlineStr">
        <is>
          <t>Chris Yoo</t>
        </is>
      </c>
      <c r="B713" t="inlineStr">
        <is>
          <t>Xcellerant Ventures</t>
        </is>
      </c>
      <c r="C713" t="inlineStr">
        <is>
          <t>linkedin.com/in/chrisyoophd</t>
        </is>
      </c>
      <c r="D713" s="143" t="inlineStr">
        <is>
          <t>cyoo@xcellerantventures.com</t>
        </is>
      </c>
      <c r="E713" s="80" t="n">
        <v>45994</v>
      </c>
      <c r="F713" s="80" t="n">
        <v>46036</v>
      </c>
    </row>
    <row r="714" ht="15.75" customHeight="1" s="216">
      <c r="A714" t="inlineStr">
        <is>
          <t>Suzie Yoon</t>
        </is>
      </c>
      <c r="B714" t="inlineStr">
        <is>
          <t>Takeda Digital Ventures</t>
        </is>
      </c>
      <c r="C714" s="111" t="inlineStr">
        <is>
          <t>https://www.linkedin.com/in/suzz/</t>
        </is>
      </c>
      <c r="D714" s="143" t="inlineStr">
        <is>
          <t>suzie.yoon@takeda.com</t>
        </is>
      </c>
      <c r="E714" s="80" t="n">
        <v>45994</v>
      </c>
      <c r="F714" s="80" t="n">
        <v>46036</v>
      </c>
    </row>
    <row r="715" ht="15.75" customHeight="1" s="216">
      <c r="A715" t="inlineStr">
        <is>
          <t>Jakub Zimola</t>
        </is>
      </c>
      <c r="B715" t="inlineStr">
        <is>
          <t>J&amp;T Ventures</t>
        </is>
      </c>
      <c r="C715" s="111" t="inlineStr">
        <is>
          <t>https://www.linkedin.com/in/jakub-zimola/</t>
        </is>
      </c>
      <c r="D715" s="143" t="inlineStr">
        <is>
          <t>zimola@jtventures.cz</t>
        </is>
      </c>
      <c r="E715" s="80" t="n">
        <v>45994</v>
      </c>
      <c r="F715" s="80" t="n">
        <v>46036</v>
      </c>
    </row>
    <row r="716" ht="15.75" customHeight="1" s="216">
      <c r="A716" s="175" t="inlineStr">
        <is>
          <t>Amir Sharifi</t>
        </is>
      </c>
      <c r="B716" s="175" t="inlineStr">
        <is>
          <t>Chief Investment Officer of Hy24 / Senior Managing Director at Ardian</t>
        </is>
      </c>
      <c r="C716" s="175" t="inlineStr">
        <is>
          <t>https://www.linkedin.com/in/amirsharifi/</t>
        </is>
      </c>
      <c r="D716" s="215" t="inlineStr">
        <is>
          <t>a.sharifi@hy24partners.com</t>
        </is>
      </c>
      <c r="E716" s="80" t="n">
        <v>45974</v>
      </c>
      <c r="F716" s="80" t="n">
        <v>46010</v>
      </c>
    </row>
    <row r="717" ht="15.75" customHeight="1" s="216">
      <c r="A717" s="175" t="inlineStr">
        <is>
          <t>Pierre-Etienne Franc</t>
        </is>
      </c>
      <c r="B717" s="175" t="inlineStr">
        <is>
          <t>Co founder and CEO of Hy24, Chairman of FiveT Hydrogen</t>
        </is>
      </c>
      <c r="C717" s="175" t="inlineStr">
        <is>
          <t>https://www.linkedin.com/in/pierre-etienne-franc-63a8941b/</t>
        </is>
      </c>
      <c r="D717" s="215" t="inlineStr">
        <is>
          <t>pe.franc@hy24partners.com</t>
        </is>
      </c>
      <c r="E717" s="80" t="n">
        <v>45974</v>
      </c>
      <c r="F717" s="80" t="n">
        <v>46010</v>
      </c>
    </row>
    <row r="718" ht="15.75" customHeight="1" s="216">
      <c r="A718" s="175" t="inlineStr">
        <is>
          <t>Carsten Schindler</t>
        </is>
      </c>
      <c r="B718" s="175" t="inlineStr">
        <is>
          <t>Investment manager</t>
        </is>
      </c>
      <c r="C718" s="175" t="inlineStr">
        <is>
          <t>linkedin.com/in/carsten-schindler</t>
        </is>
      </c>
      <c r="D718" s="215" t="inlineStr">
        <is>
          <t>schindler@senco-capital.com</t>
        </is>
      </c>
      <c r="E718" s="80" t="n">
        <v>45974</v>
      </c>
      <c r="F718" s="80" t="n">
        <v>46010</v>
      </c>
    </row>
    <row r="719" ht="15.75" customHeight="1" s="216">
      <c r="A719" s="253" t="inlineStr">
        <is>
          <t>Oliver Kolbe</t>
        </is>
      </c>
      <c r="B719" s="253" t="inlineStr">
        <is>
          <t>Managing Partner at SENCO Hydrogen Capital</t>
        </is>
      </c>
      <c r="C719" s="253" t="inlineStr">
        <is>
          <t>linkedin.com/in/oliver-kolbe-23932b1</t>
        </is>
      </c>
      <c r="D719" s="254" t="inlineStr">
        <is>
          <t>kolbe@senco-capital.com</t>
        </is>
      </c>
      <c r="E719" s="129" t="n">
        <v>45974</v>
      </c>
    </row>
    <row r="720" ht="15.75" customHeight="1" s="216">
      <c r="A720" s="175" t="inlineStr">
        <is>
          <t>Carsten Schmeding</t>
        </is>
      </c>
      <c r="B720" s="175" t="inlineStr">
        <is>
          <t>CEO/ Managing Partner - SENCO Hydrogen Capital</t>
        </is>
      </c>
      <c r="C720" s="175" t="inlineStr">
        <is>
          <t>linkedin.com/in/carsten-schmeding-a351a5</t>
        </is>
      </c>
      <c r="D720" s="215" t="inlineStr">
        <is>
          <t>schmeding@senco-capital.com</t>
        </is>
      </c>
      <c r="E720" s="80" t="n">
        <v>45974</v>
      </c>
      <c r="F720" s="80" t="n">
        <v>46010</v>
      </c>
    </row>
    <row r="721" ht="15.75" customHeight="1" s="216">
      <c r="A721" s="175" t="inlineStr">
        <is>
          <t>Jean-Philippe Richaud</t>
        </is>
      </c>
      <c r="B721" s="175" t="inlineStr">
        <is>
          <t>Managing Director PE Multi-Managers</t>
        </is>
      </c>
      <c r="C721" s="175" t="inlineStr">
        <is>
          <t>linkedin.com/in/jean-philippe-richaud</t>
        </is>
      </c>
      <c r="D721" s="215" t="inlineStr">
        <is>
          <t>jrichaud@swen-cp.fr</t>
        </is>
      </c>
      <c r="E721" s="80" t="n">
        <v>45974</v>
      </c>
      <c r="F721" s="80" t="n">
        <v>46036</v>
      </c>
    </row>
    <row r="722" ht="15.75" customHeight="1" s="216">
      <c r="A722" s="175" t="inlineStr">
        <is>
          <t>Laurent Ghilardi</t>
        </is>
      </c>
      <c r="B722" s="175" t="inlineStr">
        <is>
          <t>Managing Director chez Swen Capital Partners</t>
        </is>
      </c>
      <c r="C722" s="175" t="inlineStr">
        <is>
          <t>linkedin.com/in/laurentghilardi</t>
        </is>
      </c>
      <c r="D722" s="215" t="inlineStr">
        <is>
          <t>lghilardi@swen-cp.fr</t>
        </is>
      </c>
      <c r="E722" s="80" t="n">
        <v>45974</v>
      </c>
      <c r="F722" s="80" t="n">
        <v>46037</v>
      </c>
    </row>
    <row r="723" ht="15.75" customHeight="1" s="216">
      <c r="A723" s="175" t="inlineStr">
        <is>
          <t>Diego Felipe Aponte Vargas</t>
        </is>
      </c>
      <c r="B723" s="175" t="inlineStr">
        <is>
          <t>Managing Director at SWEN Capital Partners</t>
        </is>
      </c>
      <c r="C723" s="175" t="inlineStr">
        <is>
          <t>linkedin.com/in/diegoaponte</t>
        </is>
      </c>
      <c r="D723" s="215" t="inlineStr">
        <is>
          <t>dapontevargas@swen-cp.fr</t>
        </is>
      </c>
      <c r="E723" s="80" t="n">
        <v>45974</v>
      </c>
      <c r="F723" s="80" t="n">
        <v>46037</v>
      </c>
    </row>
    <row r="724" ht="15.75" customHeight="1" s="216">
      <c r="A724" s="175" t="inlineStr">
        <is>
          <t>Maximo Bredfeldt</t>
        </is>
      </c>
      <c r="B724" s="175" t="inlineStr">
        <is>
          <t>Chief Information Officer</t>
        </is>
      </c>
      <c r="C724" s="175" t="inlineStr">
        <is>
          <t>linkedin.com/in/mbredfeldt</t>
        </is>
      </c>
      <c r="D724" s="215" t="inlineStr">
        <is>
          <t>mbredfeldt@longship.us</t>
        </is>
      </c>
      <c r="E724" s="80" t="n">
        <v>45974</v>
      </c>
      <c r="F724" s="80" t="n">
        <v>46037</v>
      </c>
    </row>
    <row r="725" ht="15.75" customHeight="1" s="216">
      <c r="A725" s="175" t="inlineStr">
        <is>
          <t>Jeff Bauder</t>
        </is>
      </c>
      <c r="B725" s="175" t="inlineStr">
        <is>
          <t>Chief Financial Officer</t>
        </is>
      </c>
      <c r="C725" s="175" t="inlineStr">
        <is>
          <t>linkedin.com/in/jeff-bauder-7a969758</t>
        </is>
      </c>
      <c r="D725" s="215" t="inlineStr">
        <is>
          <t>jbauder@longship.us</t>
        </is>
      </c>
      <c r="E725" s="80" t="n">
        <v>45974</v>
      </c>
      <c r="F725" s="80" t="n">
        <v>46037</v>
      </c>
    </row>
    <row r="726" ht="15.75" customHeight="1" s="216">
      <c r="A726" s="175" t="inlineStr">
        <is>
          <t>Peter Gombert</t>
        </is>
      </c>
      <c r="B726" s="175" t="inlineStr">
        <is>
          <t>Chief Financial Officer</t>
        </is>
      </c>
      <c r="C726" s="175" t="inlineStr">
        <is>
          <t>linkedin.com/in/peter-gombert-b312a74</t>
        </is>
      </c>
      <c r="D726" s="215" t="inlineStr">
        <is>
          <t>gombert@seafort.de</t>
        </is>
      </c>
      <c r="E726" s="80" t="n">
        <v>45974</v>
      </c>
      <c r="F726" s="80" t="n">
        <v>46037</v>
      </c>
    </row>
    <row r="727" ht="15.75" customHeight="1" s="216">
      <c r="A727" s="175" t="inlineStr">
        <is>
          <t>Patrick Hennings-Huep</t>
        </is>
      </c>
      <c r="B727" s="175" t="inlineStr">
        <is>
          <t>Managing General Partner</t>
        </is>
      </c>
      <c r="C727" s="175" t="inlineStr">
        <is>
          <t>linkedin.com/in/patrick-hennings-huep-a8a758a0</t>
        </is>
      </c>
      <c r="D727" s="215" t="inlineStr">
        <is>
          <t>henningshuep@bo4.de</t>
        </is>
      </c>
      <c r="E727" s="80" t="n">
        <v>45974</v>
      </c>
      <c r="F727" s="80" t="n">
        <v>46037</v>
      </c>
    </row>
    <row r="728" ht="15.75" customHeight="1" s="216">
      <c r="A728" s="175" t="inlineStr">
        <is>
          <t>Simon Hogan</t>
        </is>
      </c>
      <c r="B728" s="175" t="inlineStr">
        <is>
          <t>Chairman</t>
        </is>
      </c>
      <c r="C728" s="175" t="inlineStr">
        <is>
          <t>https://www.linkedin.com/in/simon-hogan-94296964/</t>
        </is>
      </c>
      <c r="D728" s="215" t="inlineStr">
        <is>
          <t>simon.hogan@hydrogenonecapital.com</t>
        </is>
      </c>
      <c r="E728" s="80" t="n">
        <v>45974</v>
      </c>
      <c r="F728" s="80" t="n">
        <v>46037</v>
      </c>
    </row>
    <row r="729" ht="15.75" customHeight="1" s="216">
      <c r="A729" s="175" t="inlineStr">
        <is>
          <t xml:space="preserve">Ben Tidd </t>
        </is>
      </c>
      <c r="B729" s="175" t="inlineStr">
        <is>
          <t>CFO</t>
        </is>
      </c>
      <c r="C729" s="175" t="inlineStr">
        <is>
          <t>https://www.linkedin.com/in/ben-tidd/</t>
        </is>
      </c>
      <c r="D729" s="215" t="inlineStr">
        <is>
          <t>ben.tidd@hydrogenonecapital.com</t>
        </is>
      </c>
      <c r="E729" s="80" t="n">
        <v>45974</v>
      </c>
      <c r="F729" s="80" t="n">
        <v>46037</v>
      </c>
    </row>
    <row r="730" ht="15.75" customHeight="1" s="216">
      <c r="A730" s="175" t="inlineStr">
        <is>
          <t>Eillot Attie</t>
        </is>
      </c>
      <c r="B730" s="175" t="inlineStr">
        <is>
          <t>CFO</t>
        </is>
      </c>
      <c r="C730" s="175" t="inlineStr">
        <is>
          <t>https://www.linkedin.com/in/elliot-attie-a5483b247/</t>
        </is>
      </c>
      <c r="D730" s="215" t="inlineStr">
        <is>
          <t>elliot.attie@trilantic.com</t>
        </is>
      </c>
      <c r="E730" s="80" t="n">
        <v>45974</v>
      </c>
      <c r="F730" s="80" t="n">
        <v>46037</v>
      </c>
    </row>
    <row r="731" ht="15.75" customHeight="1" s="216">
      <c r="A731" s="175" t="inlineStr">
        <is>
          <t>Max Almodovar</t>
        </is>
      </c>
      <c r="B731" s="175" t="inlineStr">
        <is>
          <t>Managing Partner</t>
        </is>
      </c>
      <c r="C731" s="175" t="inlineStr">
        <is>
          <t>https://www.linkedin.com/in/max-almodovar-04676a63/</t>
        </is>
      </c>
      <c r="D731" s="215" t="inlineStr">
        <is>
          <t>max.almodovar@trilantic.com</t>
        </is>
      </c>
      <c r="E731" s="80" t="n">
        <v>45974</v>
      </c>
      <c r="F731" s="80" t="n">
        <v>46037</v>
      </c>
    </row>
    <row r="732" ht="15.75" customHeight="1" s="216">
      <c r="A732" s="175" t="inlineStr">
        <is>
          <t>Graeme Black</t>
        </is>
      </c>
      <c r="B732" s="175" t="inlineStr">
        <is>
          <t>CEO</t>
        </is>
      </c>
      <c r="C732" s="175" t="inlineStr">
        <is>
          <t>https://www.linkedin.com/in/graeme-a-black/</t>
        </is>
      </c>
      <c r="D732" s="215" t="inlineStr">
        <is>
          <t>graeme.a.black.tu24@tuck.dartmouth.edu</t>
        </is>
      </c>
      <c r="E732" s="80" t="n">
        <v>45974</v>
      </c>
      <c r="F732" s="80" t="n">
        <v>46037</v>
      </c>
    </row>
    <row r="733" ht="15.75" customHeight="1" s="216">
      <c r="A733" s="175" t="inlineStr">
        <is>
          <t xml:space="preserve">Neil Bansal </t>
        </is>
      </c>
      <c r="B733" s="175" t="inlineStr">
        <is>
          <t>Managing Director</t>
        </is>
      </c>
      <c r="C733" s="175" t="inlineStr">
        <is>
          <t>https://www.linkedin.com/in/neilbansal/</t>
        </is>
      </c>
      <c r="D733" s="215" t="inlineStr">
        <is>
          <t>nbansal@omers.com</t>
        </is>
      </c>
      <c r="E733" s="80" t="n">
        <v>45974</v>
      </c>
      <c r="F733" s="80" t="n">
        <v>46037</v>
      </c>
    </row>
    <row r="734" ht="15.75" customHeight="1" s="216">
      <c r="A734" s="175" t="inlineStr">
        <is>
          <t>Rick Lau</t>
        </is>
      </c>
      <c r="B734" s="175" t="inlineStr">
        <is>
          <t>Vice President</t>
        </is>
      </c>
      <c r="C734" s="175" t="n"/>
      <c r="D734" s="215" t="inlineStr">
        <is>
          <t>rlau@omers.com</t>
        </is>
      </c>
      <c r="E734" s="80" t="n">
        <v>45974</v>
      </c>
      <c r="F734" s="80" t="n">
        <v>46037</v>
      </c>
    </row>
    <row r="735" ht="15.75" customHeight="1" s="216">
      <c r="A735" s="253" t="inlineStr">
        <is>
          <t>Pippa Gawley</t>
        </is>
      </c>
      <c r="B735" s="253" t="inlineStr">
        <is>
          <t>Founding Partner</t>
        </is>
      </c>
      <c r="C735" s="253" t="inlineStr">
        <is>
          <t>https://www.linkedin.com/in/pippagawley/</t>
        </is>
      </c>
      <c r="D735" s="254" t="inlineStr">
        <is>
          <t>pippa@zerocarbon.capital</t>
        </is>
      </c>
      <c r="E735" s="129" t="n">
        <v>45974</v>
      </c>
      <c r="F735" s="129" t="n"/>
      <c r="G735" s="288" t="n"/>
      <c r="H735" s="288" t="n"/>
      <c r="I735" s="207" t="n"/>
      <c r="J735" s="288" t="n"/>
      <c r="K735" s="288" t="n"/>
    </row>
    <row r="736" ht="15.75" customHeight="1" s="216">
      <c r="A736" s="253" t="inlineStr">
        <is>
          <t>Max Werney</t>
        </is>
      </c>
      <c r="B736" s="253" t="inlineStr">
        <is>
          <t>Venture Associate</t>
        </is>
      </c>
      <c r="C736" s="253" t="inlineStr">
        <is>
          <t>https://www.linkedin.com/in/max-werny-phd-293118128/</t>
        </is>
      </c>
      <c r="D736" s="254" t="inlineStr">
        <is>
          <t>max@zerocarbon.capital</t>
        </is>
      </c>
      <c r="E736" s="129" t="n">
        <v>45974</v>
      </c>
      <c r="F736" s="129" t="n"/>
      <c r="G736" s="288" t="n"/>
      <c r="H736" s="288" t="n"/>
      <c r="I736" s="207" t="n"/>
      <c r="J736" s="288" t="n"/>
      <c r="K736" s="288" t="n"/>
    </row>
    <row r="737" ht="15.75" customHeight="1" s="216">
      <c r="A737" s="175" t="inlineStr">
        <is>
          <t>Mikael Lundman</t>
        </is>
      </c>
      <c r="B737" s="175" t="inlineStr">
        <is>
          <t>CEO</t>
        </is>
      </c>
      <c r="C737" s="175" t="inlineStr">
        <is>
          <t>https://www.linkedin.com/in/mikaellundman/</t>
        </is>
      </c>
      <c r="D737" s="198" t="inlineStr">
        <is>
          <t>mikael@exminvest.com</t>
        </is>
      </c>
      <c r="E737" s="80" t="n">
        <v>45974</v>
      </c>
      <c r="F737" s="80" t="n">
        <v>46037</v>
      </c>
    </row>
    <row r="738" ht="15.75" customHeight="1" s="216">
      <c r="A738" s="175" t="inlineStr">
        <is>
          <t>Mirasbek Kuterbekov</t>
        </is>
      </c>
      <c r="B738" s="175" t="inlineStr">
        <is>
          <t xml:space="preserve">Principle </t>
        </is>
      </c>
      <c r="C738" s="175" t="inlineStr">
        <is>
          <t>https://www.linkedin.com/in/mirasbek/</t>
        </is>
      </c>
      <c r="D738" s="215" t="inlineStr">
        <is>
          <t>mirasbek@thia.ventures</t>
        </is>
      </c>
      <c r="E738" s="80" t="n">
        <v>45974</v>
      </c>
      <c r="F738" s="80" t="n">
        <v>46037</v>
      </c>
    </row>
    <row r="739" ht="15.75" customHeight="1" s="216">
      <c r="A739" t="inlineStr">
        <is>
          <t>the team</t>
        </is>
      </c>
      <c r="B739" t="inlineStr">
        <is>
          <t>Plum Alley Ventures</t>
        </is>
      </c>
      <c r="E739" s="80" t="n">
        <v>45929</v>
      </c>
      <c r="F739" t="inlineStr">
        <is>
          <t>submitted form online</t>
        </is>
      </c>
    </row>
    <row r="740" ht="15.75" customHeight="1" s="216">
      <c r="A740" t="inlineStr">
        <is>
          <t>Brian Keil</t>
        </is>
      </c>
      <c r="B740" t="inlineStr">
        <is>
          <t>Alumni Ventures</t>
        </is>
      </c>
      <c r="C740" s="111" t="inlineStr">
        <is>
          <t>https://www.linkedin.com/in/brianpkeil</t>
        </is>
      </c>
      <c r="D740" s="143" t="inlineStr">
        <is>
          <t>brian.keil@av.vc</t>
        </is>
      </c>
      <c r="E740" s="80" t="n">
        <v>45931</v>
      </c>
      <c r="F740" s="80" t="n">
        <v>45973</v>
      </c>
      <c r="G740" s="80" t="n">
        <v>46021</v>
      </c>
    </row>
    <row r="741" ht="15.75" customHeight="1" s="216">
      <c r="A741" t="inlineStr">
        <is>
          <t>Greg Baker</t>
        </is>
      </c>
      <c r="B741" t="inlineStr">
        <is>
          <t>Alumni Ventures</t>
        </is>
      </c>
      <c r="C741" s="111" t="inlineStr">
        <is>
          <t>https://www.linkedin.com/in/gregebaker</t>
        </is>
      </c>
      <c r="D741" s="143" t="inlineStr">
        <is>
          <t>greg@av.vc</t>
        </is>
      </c>
      <c r="E741" s="80" t="n">
        <v>45931</v>
      </c>
      <c r="F741" s="80" t="n">
        <v>45973</v>
      </c>
      <c r="G741" s="80" t="n">
        <v>46021</v>
      </c>
    </row>
    <row r="742" ht="15.75" customHeight="1" s="216">
      <c r="A742" t="inlineStr">
        <is>
          <t>David Shapiro</t>
        </is>
      </c>
      <c r="B742" t="inlineStr">
        <is>
          <t>Alumni Ventures</t>
        </is>
      </c>
      <c r="C742" s="111" t="inlineStr">
        <is>
          <t>https://www.linkedin.com/in/david-shapiro-2b328/</t>
        </is>
      </c>
      <c r="D742" s="111" t="inlineStr">
        <is>
          <t>david@av.vc</t>
        </is>
      </c>
      <c r="E742" s="80" t="n">
        <v>45931</v>
      </c>
      <c r="F742" s="80" t="n">
        <v>45973</v>
      </c>
      <c r="G742" s="80" t="n">
        <v>46021</v>
      </c>
    </row>
    <row r="743" ht="15.75" customHeight="1" s="216">
      <c r="A743" t="inlineStr">
        <is>
          <t>Eduardo Piedade</t>
        </is>
      </c>
      <c r="B743" t="inlineStr">
        <is>
          <t>Bright Pixel Capital</t>
        </is>
      </c>
      <c r="C743" s="111" t="inlineStr">
        <is>
          <t>https://www.linkedin.com/in/eduardopiedade/</t>
        </is>
      </c>
      <c r="D743" s="143" t="inlineStr">
        <is>
          <t>eduardo.piedade@brpx.com</t>
        </is>
      </c>
      <c r="E743" s="80" t="n">
        <v>45936</v>
      </c>
      <c r="F743" s="80" t="n">
        <v>45973</v>
      </c>
      <c r="G743" s="80" t="n">
        <v>46021</v>
      </c>
    </row>
    <row r="744" ht="15.75" customHeight="1" s="216">
      <c r="A744" t="inlineStr">
        <is>
          <t>Fernando Martins</t>
        </is>
      </c>
      <c r="B744" t="inlineStr">
        <is>
          <t>Bright Pixel Capital</t>
        </is>
      </c>
      <c r="C744" s="111" t="inlineStr">
        <is>
          <t>https://www.linkedin.com/in/fernandomartinscybersecurity</t>
        </is>
      </c>
      <c r="D744" s="143" t="inlineStr">
        <is>
          <t>fernando.martins@brpx.com</t>
        </is>
      </c>
      <c r="E744" s="80" t="n">
        <v>45936</v>
      </c>
      <c r="F744" s="80" t="n">
        <v>45973</v>
      </c>
      <c r="G744" s="80" t="n">
        <v>46021</v>
      </c>
    </row>
    <row r="745" ht="15.75" customHeight="1" s="216">
      <c r="A745" t="inlineStr">
        <is>
          <t>Filipa Costa</t>
        </is>
      </c>
      <c r="B745" t="inlineStr">
        <is>
          <t>Bright Pixel Capital</t>
        </is>
      </c>
      <c r="C745" s="111" t="inlineStr">
        <is>
          <t>https://www.linkedin.com/in/filipa-costa-64a20968/</t>
        </is>
      </c>
      <c r="D745" s="143" t="inlineStr">
        <is>
          <t>filipa.costa@brpx.com</t>
        </is>
      </c>
      <c r="E745" s="80" t="n">
        <v>45936</v>
      </c>
      <c r="F745" s="80" t="n">
        <v>45973</v>
      </c>
      <c r="G745" s="80" t="n">
        <v>46021</v>
      </c>
    </row>
    <row r="746" ht="15.75" customHeight="1" s="216">
      <c r="A746" t="inlineStr">
        <is>
          <t>Sam Baker</t>
        </is>
      </c>
      <c r="B746" t="inlineStr">
        <is>
          <t>Scale Venture Partners</t>
        </is>
      </c>
      <c r="C746" s="111" t="inlineStr">
        <is>
          <t>https://www.linkedin.com/in/sam-baker-94a04a19</t>
        </is>
      </c>
      <c r="D746" s="143" t="inlineStr">
        <is>
          <t>sam@scalevp.com</t>
        </is>
      </c>
      <c r="E746" s="80" t="n">
        <v>45938</v>
      </c>
      <c r="F746" s="80" t="n">
        <v>45973</v>
      </c>
      <c r="G746" s="80" t="n">
        <v>46021</v>
      </c>
    </row>
    <row r="747" ht="15.75" customHeight="1" s="216">
      <c r="A747" t="inlineStr">
        <is>
          <t>Stacey Bishop</t>
        </is>
      </c>
      <c r="B747" t="inlineStr">
        <is>
          <t>Scale Venture Partners</t>
        </is>
      </c>
      <c r="C747" t="inlineStr">
        <is>
          <t>linkedin.com/in/staceycurrybishop</t>
        </is>
      </c>
      <c r="D747" s="143" t="inlineStr">
        <is>
          <t>stacey@scalevp.com</t>
        </is>
      </c>
      <c r="E747" s="80" t="n">
        <v>45938</v>
      </c>
      <c r="F747" s="80" t="n">
        <v>45973</v>
      </c>
      <c r="G747" s="80" t="n">
        <v>46021</v>
      </c>
    </row>
    <row r="748" ht="15.75" customHeight="1" s="216">
      <c r="A748" t="inlineStr">
        <is>
          <t>Max Abram</t>
        </is>
      </c>
      <c r="B748" t="inlineStr">
        <is>
          <t>Scale Venture Partners</t>
        </is>
      </c>
      <c r="C748" t="inlineStr">
        <is>
          <t>linkedin.com/in/maxwellabram</t>
        </is>
      </c>
      <c r="D748" s="143" t="inlineStr">
        <is>
          <t>max@scalevp.com</t>
        </is>
      </c>
      <c r="E748" s="80" t="n">
        <v>45938</v>
      </c>
      <c r="F748" s="80" t="n">
        <v>45973</v>
      </c>
      <c r="G748" s="80" t="n">
        <v>46021</v>
      </c>
    </row>
    <row r="749" ht="15.75" customHeight="1" s="216">
      <c r="A749" t="inlineStr">
        <is>
          <t>Eric Anderson</t>
        </is>
      </c>
      <c r="B749" t="inlineStr">
        <is>
          <t>Scale Venture Partners</t>
        </is>
      </c>
      <c r="C749" s="111" t="inlineStr">
        <is>
          <t>https://www.linkedin.com/in/ericmand/</t>
        </is>
      </c>
      <c r="D749" s="143" t="inlineStr">
        <is>
          <t>ericmand@gmail.com</t>
        </is>
      </c>
      <c r="E749" s="80" t="n">
        <v>45938</v>
      </c>
      <c r="F749" s="80" t="n">
        <v>45973</v>
      </c>
      <c r="G749" s="80" t="n">
        <v>46021</v>
      </c>
    </row>
    <row r="750" ht="15.75" customHeight="1" s="216">
      <c r="A750" s="122" t="inlineStr">
        <is>
          <t>David Ford</t>
        </is>
      </c>
      <c r="B750" s="122" t="inlineStr">
        <is>
          <t>Silver Peak</t>
        </is>
      </c>
      <c r="C750" s="122" t="n"/>
      <c r="D750" s="241" t="inlineStr">
        <is>
          <t xml:space="preserve">df@silverpeakib.com </t>
        </is>
      </c>
      <c r="E750" s="121" t="n">
        <v>45946</v>
      </c>
      <c r="F750" s="121" t="n">
        <v>45945</v>
      </c>
      <c r="G750" s="80" t="n">
        <v>46009</v>
      </c>
    </row>
    <row r="751" ht="15.75" customHeight="1" s="216">
      <c r="A751" s="122" t="inlineStr">
        <is>
          <t>William Edwards</t>
        </is>
      </c>
      <c r="B751" s="122" t="inlineStr">
        <is>
          <t>Silver Peak</t>
        </is>
      </c>
      <c r="C751" s="122" t="n"/>
      <c r="D751" s="241" t="inlineStr">
        <is>
          <t xml:space="preserve">we@silverpeakib.com </t>
        </is>
      </c>
      <c r="E751" s="121" t="n">
        <v>45946</v>
      </c>
      <c r="F751" s="121" t="n">
        <v>45945</v>
      </c>
      <c r="G751" s="80" t="n">
        <v>46021</v>
      </c>
    </row>
    <row r="752" ht="15.75" customHeight="1" s="216">
      <c r="A752" s="122" t="inlineStr">
        <is>
          <t>Nicholas Sealy</t>
        </is>
      </c>
      <c r="B752" s="122" t="inlineStr">
        <is>
          <t>Silver Peak</t>
        </is>
      </c>
      <c r="C752" s="122" t="n"/>
      <c r="D752" s="241" t="inlineStr">
        <is>
          <t>ns@silverpeakib.com</t>
        </is>
      </c>
      <c r="E752" s="121" t="n">
        <v>45946</v>
      </c>
      <c r="F752" s="121" t="n">
        <v>45945</v>
      </c>
      <c r="G752" s="80" t="n">
        <v>46009</v>
      </c>
    </row>
    <row r="753" ht="15.75" customHeight="1" s="216">
      <c r="A753" t="inlineStr">
        <is>
          <t>Abigail Johnson</t>
        </is>
      </c>
      <c r="B753" t="inlineStr">
        <is>
          <t>Sapphire Ventures</t>
        </is>
      </c>
      <c r="C753" s="111" t="inlineStr">
        <is>
          <t>https://www.linkedin.com/in/abigail2</t>
        </is>
      </c>
      <c r="D753" s="143" t="inlineStr">
        <is>
          <t>abigail@sapphireventures.com</t>
        </is>
      </c>
      <c r="E753" s="80" t="n">
        <v>45946</v>
      </c>
      <c r="F753" s="80" t="n">
        <v>45973</v>
      </c>
      <c r="G753" s="80" t="n">
        <v>46021</v>
      </c>
    </row>
    <row r="754" ht="15.75" customHeight="1" s="216">
      <c r="A754" t="inlineStr">
        <is>
          <t>Nate Leung</t>
        </is>
      </c>
      <c r="B754" t="inlineStr">
        <is>
          <t>Sapphire Ventures</t>
        </is>
      </c>
      <c r="C754" s="111" t="inlineStr">
        <is>
          <t>https://www.linkedin.com/in/nleung/</t>
        </is>
      </c>
      <c r="D754" s="143" t="inlineStr">
        <is>
          <t>nate@sapphireventures.com</t>
        </is>
      </c>
      <c r="E754" s="80" t="n">
        <v>45946</v>
      </c>
      <c r="F754" s="80" t="n">
        <v>45973</v>
      </c>
      <c r="G754" s="80" t="n">
        <v>46021</v>
      </c>
    </row>
    <row r="755" ht="15.75" customHeight="1" s="216">
      <c r="A755" t="inlineStr">
        <is>
          <t>Laura Thompson</t>
        </is>
      </c>
      <c r="B755" t="inlineStr">
        <is>
          <t>Sapphire Ventures</t>
        </is>
      </c>
      <c r="C755" s="111" t="inlineStr">
        <is>
          <t>https://www.linkedin.com/in/lauragthompson22</t>
        </is>
      </c>
      <c r="D755" s="143" t="inlineStr">
        <is>
          <t>laura@sapphireventures.com</t>
        </is>
      </c>
      <c r="E755" s="80" t="n">
        <v>45946</v>
      </c>
      <c r="F755" s="80" t="n">
        <v>45973</v>
      </c>
      <c r="G755" s="80" t="n">
        <v>46021</v>
      </c>
    </row>
    <row r="756" ht="15.75" customHeight="1" s="216">
      <c r="A756" t="inlineStr">
        <is>
          <t>Jai Das</t>
        </is>
      </c>
      <c r="B756" t="inlineStr">
        <is>
          <t>Sapphire Ventures</t>
        </is>
      </c>
      <c r="C756" s="111" t="inlineStr">
        <is>
          <t>https://www.linkedin.com/in/jaidas/</t>
        </is>
      </c>
      <c r="D756" s="143" t="inlineStr">
        <is>
          <t>jai@sapphireventures.com</t>
        </is>
      </c>
      <c r="E756" s="80" t="n">
        <v>45946</v>
      </c>
      <c r="F756" s="80" t="n">
        <v>45973</v>
      </c>
      <c r="G756" s="80" t="n">
        <v>46021</v>
      </c>
    </row>
    <row r="757" ht="15.75" customHeight="1" s="216">
      <c r="A757" t="inlineStr">
        <is>
          <t>Alberto Yépez</t>
        </is>
      </c>
      <c r="B757" t="inlineStr">
        <is>
          <t>Forgepoint Capital</t>
        </is>
      </c>
      <c r="C757" s="111" t="inlineStr">
        <is>
          <t>https://www.linkedin.com/in/albertoyepez/</t>
        </is>
      </c>
      <c r="D757" s="143" t="inlineStr">
        <is>
          <t>ayepez@forgepointcap.com</t>
        </is>
      </c>
      <c r="E757" s="80" t="n">
        <v>45946</v>
      </c>
      <c r="F757" s="80" t="n">
        <v>45973</v>
      </c>
      <c r="G757" s="80" t="n">
        <v>46021</v>
      </c>
    </row>
    <row r="758" ht="15.75" customHeight="1" s="216">
      <c r="A758" t="inlineStr">
        <is>
          <t>Don Dixon</t>
        </is>
      </c>
      <c r="B758" t="inlineStr">
        <is>
          <t>Forgepoint Capital</t>
        </is>
      </c>
      <c r="C758" s="111" t="inlineStr">
        <is>
          <t>https://www.linkedin.com/in/dodixon/</t>
        </is>
      </c>
      <c r="D758" s="143" t="inlineStr">
        <is>
          <t>ddixon@forgepointcap.com</t>
        </is>
      </c>
      <c r="E758" s="80" t="n">
        <v>45946</v>
      </c>
      <c r="F758" s="80" t="n">
        <v>45973</v>
      </c>
      <c r="G758" s="80" t="n">
        <v>46021</v>
      </c>
    </row>
    <row r="759" ht="15.75" customHeight="1" s="216">
      <c r="A759" t="inlineStr">
        <is>
          <t>Andrew McClure</t>
        </is>
      </c>
      <c r="B759" t="inlineStr">
        <is>
          <t>Forgepoint Capital</t>
        </is>
      </c>
      <c r="C759" s="111" t="inlineStr">
        <is>
          <t>https://www.linkedin.com/in/andrewjmcclure/</t>
        </is>
      </c>
      <c r="D759" s="143" t="inlineStr">
        <is>
          <t>amcclure@forgepointcap.com</t>
        </is>
      </c>
      <c r="E759" s="80" t="n">
        <v>45946</v>
      </c>
      <c r="F759" s="80" t="n">
        <v>45973</v>
      </c>
      <c r="G759" s="80" t="n">
        <v>46021</v>
      </c>
    </row>
    <row r="760" ht="15.75" customHeight="1" s="216">
      <c r="A760" t="inlineStr">
        <is>
          <t>Ernie Bio</t>
        </is>
      </c>
      <c r="B760" t="inlineStr">
        <is>
          <t>Forgepoint Capital</t>
        </is>
      </c>
      <c r="C760" s="111" t="inlineStr">
        <is>
          <t>https://www.linkedin.com/in/erniebio/</t>
        </is>
      </c>
      <c r="D760" s="143" t="inlineStr">
        <is>
          <t>ebio@forgepointcap.com</t>
        </is>
      </c>
      <c r="E760" s="80" t="n">
        <v>45946</v>
      </c>
      <c r="F760" s="80" t="n">
        <v>45973</v>
      </c>
      <c r="G760" s="80" t="n">
        <v>46021</v>
      </c>
    </row>
    <row r="761" ht="15.75" customHeight="1" s="216">
      <c r="A761" t="inlineStr">
        <is>
          <t>Jon Shulkin</t>
        </is>
      </c>
      <c r="B761" t="inlineStr">
        <is>
          <t>Valor Equity Partners</t>
        </is>
      </c>
      <c r="C761" s="111" t="inlineStr">
        <is>
          <t>https://www.linkedin.com/in/jon-shulkin-4617b01/</t>
        </is>
      </c>
      <c r="D761" s="143" t="inlineStr">
        <is>
          <t>jshulkin@valorep.com</t>
        </is>
      </c>
      <c r="E761" s="80" t="n">
        <v>45946</v>
      </c>
      <c r="F761" s="80" t="n">
        <v>45973</v>
      </c>
      <c r="G761" s="80" t="n">
        <v>46021</v>
      </c>
    </row>
    <row r="762" ht="15.75" customHeight="1" s="216">
      <c r="A762" t="inlineStr">
        <is>
          <t>David Heskett</t>
        </is>
      </c>
      <c r="B762" t="inlineStr">
        <is>
          <t>Valor Equity Partners</t>
        </is>
      </c>
      <c r="C762" s="111" t="inlineStr">
        <is>
          <t>https://www.linkedin.com/in/david-heskett-b1b57a99/</t>
        </is>
      </c>
      <c r="D762" s="143" t="inlineStr">
        <is>
          <t>dheskett@valorep.com</t>
        </is>
      </c>
      <c r="E762" s="80" t="n">
        <v>45946</v>
      </c>
      <c r="F762" s="80" t="n">
        <v>45973</v>
      </c>
      <c r="G762" s="80" t="n">
        <v>46021</v>
      </c>
    </row>
    <row r="763" ht="15.75" customHeight="1" s="216">
      <c r="A763" t="inlineStr">
        <is>
          <t>Philippe El Khazen</t>
        </is>
      </c>
      <c r="B763" t="inlineStr">
        <is>
          <t>Valor Equity Partners</t>
        </is>
      </c>
      <c r="C763" t="inlineStr">
        <is>
          <t>https://www.linkedin.com/in/philippe-el-khazen-cfa-31ba9042/</t>
        </is>
      </c>
      <c r="D763" s="143" t="inlineStr">
        <is>
          <t>pelkhazen@valorep.com</t>
        </is>
      </c>
      <c r="E763" s="80" t="n">
        <v>45946</v>
      </c>
      <c r="F763" s="80" t="n">
        <v>45973</v>
      </c>
      <c r="G763" s="80" t="n">
        <v>46021</v>
      </c>
    </row>
    <row r="764" ht="15.75" customHeight="1" s="216">
      <c r="A764" t="inlineStr">
        <is>
          <t>Alexander Jacobson</t>
        </is>
      </c>
      <c r="B764" t="inlineStr">
        <is>
          <t>137 Ventures</t>
        </is>
      </c>
      <c r="C764" s="111" t="inlineStr">
        <is>
          <t>https://www.linkedin.com/in/jacobsonalex/</t>
        </is>
      </c>
      <c r="D764" s="143" t="inlineStr">
        <is>
          <t>alex@137ventures.com</t>
        </is>
      </c>
      <c r="E764" s="80" t="n">
        <v>45946</v>
      </c>
      <c r="F764" s="80" t="n">
        <v>45973</v>
      </c>
      <c r="G764" s="80" t="n">
        <v>46021</v>
      </c>
    </row>
    <row r="765" ht="15.75" customHeight="1" s="216">
      <c r="A765" t="inlineStr">
        <is>
          <t>Christian Garrett</t>
        </is>
      </c>
      <c r="B765" t="inlineStr">
        <is>
          <t>137 Ventures</t>
        </is>
      </c>
      <c r="C765" s="160" t="inlineStr">
        <is>
          <t>https://www.linkedin.com/in/christiangarrett15/</t>
        </is>
      </c>
      <c r="D765" s="143" t="inlineStr">
        <is>
          <t>christian@137ventures.com</t>
        </is>
      </c>
      <c r="E765" s="80" t="n">
        <v>45946</v>
      </c>
      <c r="F765" s="80" t="n">
        <v>45973</v>
      </c>
      <c r="G765" s="80" t="n">
        <v>46021</v>
      </c>
    </row>
    <row r="766" ht="15.75" customHeight="1" s="216">
      <c r="A766" t="inlineStr">
        <is>
          <t>Andrew Hansen</t>
        </is>
      </c>
      <c r="B766" t="inlineStr">
        <is>
          <t>137 Ventures</t>
        </is>
      </c>
      <c r="C766" s="111" t="inlineStr">
        <is>
          <t>https://www.linkedin.com/in/andrewhansen1/</t>
        </is>
      </c>
      <c r="D766" s="143" t="inlineStr">
        <is>
          <t>andrew@137ventures.com</t>
        </is>
      </c>
      <c r="E766" s="80" t="n">
        <v>45946</v>
      </c>
      <c r="F766" s="80" t="n">
        <v>45973</v>
      </c>
      <c r="G766" s="80" t="n">
        <v>46021</v>
      </c>
    </row>
    <row r="767" ht="15.75" customHeight="1" s="216">
      <c r="A767" t="inlineStr">
        <is>
          <t>James Pardee</t>
        </is>
      </c>
      <c r="B767" t="inlineStr">
        <is>
          <t>137 Ventures</t>
        </is>
      </c>
      <c r="C767" s="111" t="inlineStr">
        <is>
          <t>https://www.linkedin.com/in/jameslpardee/</t>
        </is>
      </c>
      <c r="D767" s="143" t="inlineStr">
        <is>
          <t>james@137ventures.com</t>
        </is>
      </c>
      <c r="E767" s="80" t="n">
        <v>45946</v>
      </c>
      <c r="F767" s="80" t="n">
        <v>45973</v>
      </c>
      <c r="G767" s="80" t="n">
        <v>46021</v>
      </c>
    </row>
    <row r="768" ht="15.75" customHeight="1" s="216">
      <c r="A768" t="inlineStr">
        <is>
          <t>Justin Fishner-Wolfson</t>
        </is>
      </c>
      <c r="B768" t="inlineStr">
        <is>
          <t>137 Ventures</t>
        </is>
      </c>
      <c r="C768" t="inlineStr">
        <is>
          <t>linkedin.com/in/justinfw</t>
        </is>
      </c>
      <c r="D768" s="143" t="inlineStr">
        <is>
          <t>justin@137ventures.com</t>
        </is>
      </c>
      <c r="E768" s="80" t="n">
        <v>45946</v>
      </c>
      <c r="F768" s="80" t="n">
        <v>45973</v>
      </c>
      <c r="G768" s="80" t="n">
        <v>46021</v>
      </c>
    </row>
    <row r="769" ht="15.75" customHeight="1" s="216">
      <c r="A769" s="122" t="inlineStr">
        <is>
          <t>Barbara Massa</t>
        </is>
      </c>
      <c r="B769" s="122" t="inlineStr">
        <is>
          <t>NightDragon</t>
        </is>
      </c>
      <c r="C769" s="322" t="inlineStr">
        <is>
          <t>https://www.linkedin.com/in/barbaramassa/</t>
        </is>
      </c>
      <c r="D769" s="223" t="inlineStr">
        <is>
          <t>barbara@nightdragon.com</t>
        </is>
      </c>
      <c r="E769" s="121" t="n">
        <v>45946</v>
      </c>
      <c r="F769" s="80" t="n">
        <v>45973</v>
      </c>
      <c r="G769" s="80" t="n">
        <v>46009</v>
      </c>
    </row>
    <row r="770" ht="15.75" customHeight="1" s="216">
      <c r="A770" t="inlineStr">
        <is>
          <t>Amy De Salvatore</t>
        </is>
      </c>
      <c r="B770" t="inlineStr">
        <is>
          <t>NightDragon</t>
        </is>
      </c>
      <c r="C770" s="111" t="inlineStr">
        <is>
          <t>https://www.linkedin.com/in/amy-de-salvatore-995607/</t>
        </is>
      </c>
      <c r="D770" s="143" t="inlineStr">
        <is>
          <t>amy@nightdragon.com</t>
        </is>
      </c>
      <c r="E770" s="80" t="n">
        <v>45946</v>
      </c>
      <c r="F770" s="80" t="n">
        <v>45973</v>
      </c>
      <c r="G770" s="80" t="n">
        <v>46021</v>
      </c>
    </row>
    <row r="771" ht="15.75" customHeight="1" s="216">
      <c r="A771" t="inlineStr">
        <is>
          <t>Hannah Huffman</t>
        </is>
      </c>
      <c r="B771" t="inlineStr">
        <is>
          <t>NightDragon</t>
        </is>
      </c>
      <c r="C771" t="inlineStr">
        <is>
          <t>https://www.linkedin.com/in/hannahhuffman2422/</t>
        </is>
      </c>
      <c r="D771" s="111" t="inlineStr">
        <is>
          <t>hannah@nightdragon.com</t>
        </is>
      </c>
      <c r="E771" s="80" t="n">
        <v>45946</v>
      </c>
      <c r="F771" s="80" t="n">
        <v>45973</v>
      </c>
      <c r="G771" s="80" t="n">
        <v>46021</v>
      </c>
    </row>
    <row r="772" ht="15.75" customHeight="1" s="216">
      <c r="A772" t="inlineStr">
        <is>
          <t>Morgan Kyauk</t>
        </is>
      </c>
      <c r="B772" t="inlineStr">
        <is>
          <t>NightDragon</t>
        </is>
      </c>
      <c r="C772" s="111" t="inlineStr">
        <is>
          <t>https://www.linkedin.com/in/mkyauk/</t>
        </is>
      </c>
      <c r="D772" s="143" t="inlineStr">
        <is>
          <t>morgan@nightdragon.com</t>
        </is>
      </c>
      <c r="E772" s="80" t="n">
        <v>45946</v>
      </c>
      <c r="F772" s="80" t="n">
        <v>45973</v>
      </c>
      <c r="G772" s="80" t="n">
        <v>46021</v>
      </c>
    </row>
    <row r="773" ht="15.75" customHeight="1" s="216">
      <c r="A773" t="inlineStr">
        <is>
          <t>Thomas Pompidou</t>
        </is>
      </c>
      <c r="B773" t="inlineStr">
        <is>
          <t>NightDragon</t>
        </is>
      </c>
      <c r="C773" s="111" t="inlineStr">
        <is>
          <t>https://www.linkedin.com/in/thomas-pompidou-1101b6285/</t>
        </is>
      </c>
      <c r="D773" s="143" t="inlineStr">
        <is>
          <t>thomas@nightdragon.com</t>
        </is>
      </c>
      <c r="E773" s="80" t="n">
        <v>45946</v>
      </c>
      <c r="F773" s="80" t="n">
        <v>45973</v>
      </c>
      <c r="G773" s="80" t="n">
        <v>46021</v>
      </c>
    </row>
    <row r="774" ht="15.75" customHeight="1" s="216">
      <c r="A774" t="inlineStr">
        <is>
          <t>Sridhar Jayanthi</t>
        </is>
      </c>
      <c r="B774" t="inlineStr">
        <is>
          <t>NightDragon</t>
        </is>
      </c>
      <c r="C774" s="111" t="inlineStr">
        <is>
          <t>https://www.linkedin.com/in/sridharjayanthi/</t>
        </is>
      </c>
      <c r="D774" s="143" t="inlineStr">
        <is>
          <t>jayanthi.sridhar@gmail.com</t>
        </is>
      </c>
      <c r="E774" s="80" t="n">
        <v>45946</v>
      </c>
      <c r="F774" s="80" t="n">
        <v>45973</v>
      </c>
      <c r="G774" s="80" t="n">
        <v>46021</v>
      </c>
    </row>
    <row r="775" ht="15.75" customHeight="1" s="216">
      <c r="A775" t="inlineStr">
        <is>
          <t>Christopher Steed</t>
        </is>
      </c>
      <c r="B775" t="inlineStr">
        <is>
          <t>Paladin Capital Group</t>
        </is>
      </c>
      <c r="C775" s="111" t="inlineStr">
        <is>
          <t>https://www.linkedin.com/in/christophersteed</t>
        </is>
      </c>
      <c r="D775" s="143" t="inlineStr">
        <is>
          <t>csteed@paladincapgroup.com</t>
        </is>
      </c>
      <c r="E775" s="80" t="n">
        <v>45947</v>
      </c>
      <c r="F775" s="80" t="n">
        <v>45973</v>
      </c>
      <c r="G775" s="80" t="n">
        <v>46021</v>
      </c>
    </row>
    <row r="776" ht="15.75" customHeight="1" s="216">
      <c r="A776" t="inlineStr">
        <is>
          <t>Michael Steed</t>
        </is>
      </c>
      <c r="B776" t="inlineStr">
        <is>
          <t>Paladin Capital Group</t>
        </is>
      </c>
      <c r="C776" s="111" t="inlineStr">
        <is>
          <t>https://www.linkedin.com/in/mike-steed-68810b15/</t>
        </is>
      </c>
      <c r="D776" s="143" t="inlineStr">
        <is>
          <t>msteed@paladincapgroup.com</t>
        </is>
      </c>
      <c r="E776" s="80" t="n">
        <v>45947</v>
      </c>
      <c r="F776" s="80" t="n">
        <v>45973</v>
      </c>
      <c r="G776" s="80" t="n">
        <v>46021</v>
      </c>
    </row>
    <row r="777" ht="15.75" customHeight="1" s="216">
      <c r="A777" t="inlineStr">
        <is>
          <t>Paul Conley</t>
        </is>
      </c>
      <c r="B777" t="inlineStr">
        <is>
          <t>Paladin Capital Group</t>
        </is>
      </c>
      <c r="C777" s="111" t="inlineStr">
        <is>
          <t>https://www.linkedin.com/in/paul-conley-06a46/</t>
        </is>
      </c>
      <c r="D777" s="143" t="inlineStr">
        <is>
          <t>pconley@paladincapgroup.com</t>
        </is>
      </c>
      <c r="E777" s="80" t="n">
        <v>45947</v>
      </c>
      <c r="F777" s="80" t="n">
        <v>45973</v>
      </c>
      <c r="G777" s="80" t="n">
        <v>46021</v>
      </c>
    </row>
    <row r="778" ht="15.75" customHeight="1" s="216">
      <c r="A778" t="inlineStr">
        <is>
          <t>Mourad Yesayan</t>
        </is>
      </c>
      <c r="B778" t="inlineStr">
        <is>
          <t>Paladin Capital Group</t>
        </is>
      </c>
      <c r="C778" s="111" t="inlineStr">
        <is>
          <t>https://www.linkedin.com/in/myesayan/</t>
        </is>
      </c>
      <c r="D778" s="143" t="inlineStr">
        <is>
          <t>myesayan@paladincapgroup.com</t>
        </is>
      </c>
      <c r="E778" s="80" t="n">
        <v>45947</v>
      </c>
      <c r="F778" s="80" t="n">
        <v>45973</v>
      </c>
      <c r="G778" s="80" t="n">
        <v>46021</v>
      </c>
    </row>
    <row r="779" ht="15.75" customHeight="1" s="216">
      <c r="A779" s="288" t="inlineStr">
        <is>
          <t>Raz Mangel</t>
        </is>
      </c>
      <c r="B779" s="288" t="inlineStr">
        <is>
          <t>Greenfield Partners</t>
        </is>
      </c>
      <c r="C779" s="288" t="inlineStr">
        <is>
          <t>linkedin.com/in/raz-mangel</t>
        </is>
      </c>
      <c r="D779" s="153" t="inlineStr">
        <is>
          <t>raz@greenfield-growth.com</t>
        </is>
      </c>
      <c r="E779" s="129" t="n">
        <v>45951</v>
      </c>
      <c r="F779" s="129" t="n">
        <v>45973</v>
      </c>
      <c r="G779" s="129" t="n">
        <v>46021</v>
      </c>
      <c r="H779" s="288" t="n"/>
      <c r="I779" s="207" t="n"/>
      <c r="J779" s="288" t="n"/>
      <c r="K779" s="288" t="n"/>
      <c r="L779" s="288" t="n"/>
      <c r="M779" s="288" t="n"/>
      <c r="N779" s="288" t="n"/>
      <c r="O779" s="288" t="n"/>
      <c r="P779" s="288" t="n"/>
    </row>
    <row r="780" ht="15.75" customHeight="1" s="216">
      <c r="A780" s="288" t="inlineStr">
        <is>
          <t>Avery Schwartz</t>
        </is>
      </c>
      <c r="B780" s="288" t="inlineStr">
        <is>
          <t>Greenfield Partners</t>
        </is>
      </c>
      <c r="C780" s="288" t="inlineStr">
        <is>
          <t>linkedin.com/in/avery-e-schwartz</t>
        </is>
      </c>
      <c r="D780" s="153" t="inlineStr">
        <is>
          <t>avery@greenfield-growth.com</t>
        </is>
      </c>
      <c r="E780" s="129" t="n">
        <v>45951</v>
      </c>
      <c r="F780" s="129" t="n">
        <v>45973</v>
      </c>
      <c r="G780" s="129" t="n">
        <v>46021</v>
      </c>
      <c r="H780" s="288" t="n"/>
      <c r="I780" s="207" t="n"/>
      <c r="J780" s="288" t="n"/>
      <c r="K780" s="288" t="n"/>
      <c r="L780" s="288" t="n"/>
      <c r="M780" s="288" t="n"/>
      <c r="N780" s="288" t="n"/>
      <c r="O780" s="288" t="n"/>
      <c r="P780" s="288" t="n"/>
    </row>
    <row r="781" ht="15.75" customHeight="1" s="216">
      <c r="A781" s="288" t="inlineStr">
        <is>
          <t>Nir Goldstein</t>
        </is>
      </c>
      <c r="B781" s="288" t="inlineStr">
        <is>
          <t>Greenfield Partners</t>
        </is>
      </c>
      <c r="C781" s="127" t="inlineStr">
        <is>
          <t>https://www.linkedin.com/in/goldsteinnir/</t>
        </is>
      </c>
      <c r="D781" s="153" t="inlineStr">
        <is>
          <t>nir@greenfield-growth.com</t>
        </is>
      </c>
      <c r="E781" s="129" t="n">
        <v>45951</v>
      </c>
      <c r="F781" s="129" t="n">
        <v>45973</v>
      </c>
      <c r="G781" s="129" t="n">
        <v>46021</v>
      </c>
      <c r="H781" s="288" t="n"/>
      <c r="I781" s="207" t="n"/>
      <c r="J781" s="288" t="n"/>
      <c r="K781" s="288" t="n"/>
      <c r="L781" s="288" t="n"/>
      <c r="M781" s="288" t="n"/>
      <c r="N781" s="288" t="n"/>
      <c r="O781" s="288" t="n"/>
      <c r="P781" s="288" t="n"/>
    </row>
    <row r="782" ht="15.75" customHeight="1" s="216">
      <c r="A782" s="288" t="inlineStr">
        <is>
          <t>Yuda Doron</t>
        </is>
      </c>
      <c r="B782" s="288" t="inlineStr">
        <is>
          <t>Greenfield Partners</t>
        </is>
      </c>
      <c r="C782" s="288" t="inlineStr">
        <is>
          <t>linkedin.com/in/yuda-doron-05491656</t>
        </is>
      </c>
      <c r="D782" s="153" t="inlineStr">
        <is>
          <t>yuda@greenfield-growth.com</t>
        </is>
      </c>
      <c r="E782" s="129" t="n">
        <v>45951</v>
      </c>
      <c r="F782" s="129" t="n">
        <v>45973</v>
      </c>
      <c r="G782" s="129" t="n">
        <v>46021</v>
      </c>
      <c r="H782" s="288" t="n"/>
      <c r="I782" s="207" t="n"/>
      <c r="J782" s="288" t="n"/>
      <c r="K782" s="288" t="n"/>
      <c r="L782" s="288" t="n"/>
      <c r="M782" s="288" t="n"/>
      <c r="N782" s="288" t="n"/>
      <c r="O782" s="288" t="n"/>
      <c r="P782" s="288" t="n"/>
    </row>
    <row r="783" ht="15.75" customHeight="1" s="216">
      <c r="A783" s="288" t="inlineStr">
        <is>
          <t>Shay Grinfeld</t>
        </is>
      </c>
      <c r="B783" s="288" t="inlineStr">
        <is>
          <t>Greenfield Partners</t>
        </is>
      </c>
      <c r="C783" s="288" t="inlineStr">
        <is>
          <t>linkedin.com/in/shaygrinfeld</t>
        </is>
      </c>
      <c r="D783" s="153" t="inlineStr">
        <is>
          <t>shay@greenfield-growth.com</t>
        </is>
      </c>
      <c r="E783" s="129" t="n">
        <v>45951</v>
      </c>
      <c r="F783" s="129" t="n">
        <v>45973</v>
      </c>
      <c r="G783" s="129" t="n">
        <v>46021</v>
      </c>
      <c r="H783" s="288" t="n"/>
      <c r="I783" s="207" t="n"/>
      <c r="J783" s="288" t="n"/>
      <c r="K783" s="288" t="n"/>
      <c r="L783" s="288" t="n"/>
      <c r="M783" s="288" t="n"/>
      <c r="N783" s="288" t="n"/>
      <c r="O783" s="288" t="n"/>
      <c r="P783" s="288" t="n"/>
    </row>
    <row r="784" ht="15.75" customHeight="1" s="216">
      <c r="A784" s="122" t="inlineStr">
        <is>
          <t>Richard Godwin</t>
        </is>
      </c>
      <c r="B784" s="122" t="inlineStr">
        <is>
          <t>Space Technology Holdings</t>
        </is>
      </c>
      <c r="C784" s="122" t="n"/>
      <c r="D784" s="322" t="inlineStr">
        <is>
          <t>Richard@starbridgevc.com</t>
        </is>
      </c>
      <c r="E784" s="121" t="n">
        <v>45951</v>
      </c>
      <c r="F784" s="244" t="inlineStr">
        <is>
          <t>469-579-0401 : sent deck on 11/12</t>
        </is>
      </c>
      <c r="G784" s="80" t="n">
        <v>46021</v>
      </c>
    </row>
    <row r="785" ht="15.75" customHeight="1" s="216">
      <c r="A785" t="inlineStr">
        <is>
          <t>Jackson Moses</t>
        </is>
      </c>
      <c r="B785" t="inlineStr">
        <is>
          <t>Silent Ventures</t>
        </is>
      </c>
      <c r="C785" s="111" t="inlineStr">
        <is>
          <t>https://www.linkedin.com/in/jacksonmoses/</t>
        </is>
      </c>
      <c r="D785" s="143" t="inlineStr">
        <is>
          <t>jackson@silentvc.com</t>
        </is>
      </c>
      <c r="E785" s="80" t="n">
        <v>45951</v>
      </c>
      <c r="F785" s="80" t="n">
        <v>45973</v>
      </c>
      <c r="G785" s="80" t="n">
        <v>46021</v>
      </c>
    </row>
    <row r="786" ht="15.75" customHeight="1" s="216">
      <c r="A786" t="inlineStr">
        <is>
          <t>Sunil Dhaliwal</t>
        </is>
      </c>
      <c r="B786" t="inlineStr">
        <is>
          <t>Amplify Partners</t>
        </is>
      </c>
      <c r="C786" s="111" t="inlineStr">
        <is>
          <t>https://www.linkedin.com/in/sunildhaliwal/</t>
        </is>
      </c>
      <c r="D786" s="143" t="inlineStr">
        <is>
          <t>sunil@amplifypartners.com</t>
        </is>
      </c>
      <c r="E786" s="80" t="n">
        <v>45951</v>
      </c>
      <c r="F786" s="80" t="n">
        <v>45973</v>
      </c>
      <c r="G786" s="80" t="n">
        <v>46021</v>
      </c>
    </row>
    <row r="787" ht="15.75" customHeight="1" s="216">
      <c r="A787" t="inlineStr">
        <is>
          <t>Sarah Catanzaro</t>
        </is>
      </c>
      <c r="B787" t="inlineStr">
        <is>
          <t>Amplify Partners</t>
        </is>
      </c>
      <c r="C787" s="111" t="inlineStr">
        <is>
          <t>https://www.linkedin.com/in/sarah-catanzaro-9770b98/</t>
        </is>
      </c>
      <c r="D787" s="143" t="inlineStr">
        <is>
          <t>sarah@amplifypartners.com</t>
        </is>
      </c>
      <c r="E787" s="80" t="n">
        <v>45951</v>
      </c>
      <c r="F787" s="80" t="n">
        <v>45973</v>
      </c>
      <c r="G787" s="80" t="n">
        <v>46021</v>
      </c>
    </row>
    <row r="788" ht="15.75" customHeight="1" s="216">
      <c r="A788" t="inlineStr">
        <is>
          <t>Lenny Pruss</t>
        </is>
      </c>
      <c r="B788" t="inlineStr">
        <is>
          <t>Amplify Partners</t>
        </is>
      </c>
      <c r="C788" s="111" t="inlineStr">
        <is>
          <t>https://www.linkedin.com/in/lennypruss/</t>
        </is>
      </c>
      <c r="D788" s="143" t="inlineStr">
        <is>
          <t>lenny@amplifypartners.com</t>
        </is>
      </c>
      <c r="E788" s="80" t="n">
        <v>45951</v>
      </c>
      <c r="F788" s="80" t="n">
        <v>45973</v>
      </c>
      <c r="G788" s="80" t="n">
        <v>46021</v>
      </c>
    </row>
    <row r="789" ht="15.75" customHeight="1" s="216">
      <c r="A789" t="inlineStr">
        <is>
          <t>Mike Dauber</t>
        </is>
      </c>
      <c r="B789" t="inlineStr">
        <is>
          <t>Amplify Partners</t>
        </is>
      </c>
      <c r="C789" s="111" t="inlineStr">
        <is>
          <t>https://www.linkedin.com/in/dauber/</t>
        </is>
      </c>
      <c r="D789" s="143" t="inlineStr">
        <is>
          <t>mike@amplifypartners.com</t>
        </is>
      </c>
      <c r="E789" s="80" t="n">
        <v>45951</v>
      </c>
      <c r="F789" s="80" t="n">
        <v>45973</v>
      </c>
      <c r="G789" s="80" t="n">
        <v>46021</v>
      </c>
    </row>
    <row r="790" ht="15.75" customHeight="1" s="216">
      <c r="A790" t="inlineStr">
        <is>
          <t>Grace Ge</t>
        </is>
      </c>
      <c r="B790" t="inlineStr">
        <is>
          <t>Amplify Partners</t>
        </is>
      </c>
      <c r="C790" s="111" t="inlineStr">
        <is>
          <t>https://www.linkedin.com/in/gracewenge/</t>
        </is>
      </c>
      <c r="D790" s="143" t="inlineStr">
        <is>
          <t>grace@amplifypartners.com</t>
        </is>
      </c>
      <c r="E790" s="80" t="n">
        <v>45951</v>
      </c>
      <c r="F790" s="80" t="n">
        <v>45973</v>
      </c>
      <c r="G790" s="80" t="n">
        <v>46021</v>
      </c>
    </row>
    <row r="791" ht="15.75" customHeight="1" s="216">
      <c r="A791" s="288" t="inlineStr">
        <is>
          <t>Alex Freed</t>
        </is>
      </c>
      <c r="B791" s="288" t="inlineStr">
        <is>
          <t>Schematic Ventures</t>
        </is>
      </c>
      <c r="C791" s="127" t="inlineStr">
        <is>
          <t>https://www.linkedin.com/in/alexeyfreed/</t>
        </is>
      </c>
      <c r="D791" s="153" t="inlineStr">
        <is>
          <t>alex@schematicventures.com</t>
        </is>
      </c>
      <c r="E791" s="129" t="n">
        <v>45951</v>
      </c>
      <c r="F791" s="80" t="n">
        <v>45973</v>
      </c>
      <c r="G791" s="80" t="n">
        <v>46021</v>
      </c>
    </row>
    <row r="792" ht="15.75" customHeight="1" s="216">
      <c r="A792" s="288" t="inlineStr">
        <is>
          <t>Ananya Vasagiri</t>
        </is>
      </c>
      <c r="B792" s="288" t="inlineStr">
        <is>
          <t>Schematic Ventures</t>
        </is>
      </c>
      <c r="C792" s="127" t="inlineStr">
        <is>
          <t>https://www.linkedin.com/in/ananya-vasagiri/</t>
        </is>
      </c>
      <c r="D792" s="153" t="inlineStr">
        <is>
          <t>ananya@schematicventures.com</t>
        </is>
      </c>
      <c r="E792" s="129" t="n">
        <v>45951</v>
      </c>
      <c r="F792" s="80" t="n">
        <v>45973</v>
      </c>
      <c r="G792" s="80" t="n">
        <v>46021</v>
      </c>
    </row>
    <row r="793" ht="15.75" customHeight="1" s="216">
      <c r="A793" s="288" t="inlineStr">
        <is>
          <t>Julian Counihan</t>
        </is>
      </c>
      <c r="B793" s="288" t="inlineStr">
        <is>
          <t>Schematic Ventures</t>
        </is>
      </c>
      <c r="C793" s="127" t="inlineStr">
        <is>
          <t>https://www.linkedin.com/in/juliancounihan/</t>
        </is>
      </c>
      <c r="D793" s="153" t="inlineStr">
        <is>
          <t>julian@schematicventures.com</t>
        </is>
      </c>
      <c r="E793" s="129" t="n">
        <v>45951</v>
      </c>
      <c r="F793" s="80" t="n">
        <v>45973</v>
      </c>
      <c r="G793" s="80" t="n">
        <v>46021</v>
      </c>
    </row>
    <row r="794" ht="15.75" customHeight="1" s="216">
      <c r="A794" t="inlineStr">
        <is>
          <t>Craig Lifschutz</t>
        </is>
      </c>
      <c r="B794" t="inlineStr">
        <is>
          <t>Lythical Ventures</t>
        </is>
      </c>
      <c r="C794" s="111" t="inlineStr">
        <is>
          <t>https://www.linkedin.com/in/craiglifschutz/</t>
        </is>
      </c>
      <c r="D794" s="143" t="inlineStr">
        <is>
          <t>craig@lyticalventures.com</t>
        </is>
      </c>
      <c r="E794" s="80" t="n">
        <v>45951</v>
      </c>
      <c r="F794" s="80" t="n">
        <v>45973</v>
      </c>
      <c r="G794" s="80" t="n">
        <v>46021</v>
      </c>
    </row>
    <row r="795" ht="15.75" customHeight="1" s="216">
      <c r="A795" t="inlineStr">
        <is>
          <t>Lucas Nelson</t>
        </is>
      </c>
      <c r="B795" t="inlineStr">
        <is>
          <t>Lythical Ventures</t>
        </is>
      </c>
      <c r="C795" s="111" t="inlineStr">
        <is>
          <t>https://www.linkedin.com/in/lucasnelsonvc/</t>
        </is>
      </c>
      <c r="D795" s="143" t="inlineStr">
        <is>
          <t>lucas@lyticalventures.com</t>
        </is>
      </c>
      <c r="E795" s="80" t="n">
        <v>45951</v>
      </c>
      <c r="F795" s="80" t="n">
        <v>45973</v>
      </c>
      <c r="G795" s="80" t="n">
        <v>46021</v>
      </c>
    </row>
    <row r="796" ht="15.75" customHeight="1" s="216">
      <c r="A796" t="inlineStr">
        <is>
          <t>Graham Carroll</t>
        </is>
      </c>
      <c r="B796" t="inlineStr">
        <is>
          <t>Lythical Ventures</t>
        </is>
      </c>
      <c r="C796" s="111" t="inlineStr">
        <is>
          <t>https://www.linkedin.com/in/carroll1/</t>
        </is>
      </c>
      <c r="D796" s="143" t="inlineStr">
        <is>
          <t>graham@lyticalventures.com</t>
        </is>
      </c>
      <c r="E796" s="80" t="n">
        <v>45951</v>
      </c>
      <c r="F796" s="80" t="n">
        <v>45973</v>
      </c>
      <c r="G796" s="80" t="n">
        <v>46021</v>
      </c>
    </row>
    <row r="797" ht="15.75" customHeight="1" s="216">
      <c r="A797" t="inlineStr">
        <is>
          <t>Steve Berg</t>
        </is>
      </c>
      <c r="B797" t="inlineStr">
        <is>
          <t>Lythical Ventures</t>
        </is>
      </c>
      <c r="C797" s="111" t="inlineStr">
        <is>
          <t>https://www.linkedin.com/in/sbberg1/</t>
        </is>
      </c>
      <c r="D797" s="143" t="inlineStr">
        <is>
          <t>steve@lyticalventures.com</t>
        </is>
      </c>
      <c r="E797" s="80" t="n">
        <v>45951</v>
      </c>
      <c r="F797" s="80" t="n">
        <v>45973</v>
      </c>
      <c r="G797" s="80" t="n">
        <v>46021</v>
      </c>
    </row>
    <row r="798" ht="15.75" customHeight="1" s="216">
      <c r="A798" t="inlineStr">
        <is>
          <t>Stewart Alsop</t>
        </is>
      </c>
      <c r="B798" t="inlineStr">
        <is>
          <t>Alsop Louie Partners</t>
        </is>
      </c>
      <c r="C798" s="111" t="inlineStr">
        <is>
          <t>https://www.linkedin.com/in/salsop/</t>
        </is>
      </c>
      <c r="D798" s="143" t="inlineStr">
        <is>
          <t>salsop@alsop-louie.com</t>
        </is>
      </c>
      <c r="E798" s="80" t="n">
        <v>45951</v>
      </c>
      <c r="F798" s="80" t="n">
        <v>45973</v>
      </c>
      <c r="G798" s="80" t="n">
        <v>46021</v>
      </c>
    </row>
    <row r="799" ht="15.75" customHeight="1" s="216">
      <c r="A799" t="inlineStr">
        <is>
          <t>Bill Crowell</t>
        </is>
      </c>
      <c r="B799" t="inlineStr">
        <is>
          <t>Alsop Louie Partners</t>
        </is>
      </c>
      <c r="C799" t="inlineStr">
        <is>
          <t>linkedin.com/in/william-crowell-65bb433a</t>
        </is>
      </c>
      <c r="D799" s="143" t="inlineStr">
        <is>
          <t>wcrowell@alsop-louie.com</t>
        </is>
      </c>
      <c r="E799" s="80" t="n">
        <v>45951</v>
      </c>
      <c r="F799" s="80" t="n">
        <v>45973</v>
      </c>
      <c r="G799" s="80" t="n">
        <v>46021</v>
      </c>
    </row>
    <row r="800" ht="15.75" customHeight="1" s="216">
      <c r="A800" t="inlineStr">
        <is>
          <t>Aymerik Renard</t>
        </is>
      </c>
      <c r="B800" t="inlineStr">
        <is>
          <t>HCVC</t>
        </is>
      </c>
      <c r="C800" s="111" t="inlineStr">
        <is>
          <t>https://www.linkedin.com/in/aymerik/</t>
        </is>
      </c>
      <c r="D800" s="143" t="inlineStr">
        <is>
          <t>aymerik@hardwareclub.co</t>
        </is>
      </c>
      <c r="E800" s="80" t="n">
        <v>45953</v>
      </c>
      <c r="F800" s="80" t="n">
        <v>45985</v>
      </c>
      <c r="G800" s="80" t="n">
        <v>46021</v>
      </c>
    </row>
    <row r="801" ht="15.75" customHeight="1" s="216">
      <c r="A801" t="inlineStr">
        <is>
          <t>Alexis Houssou</t>
        </is>
      </c>
      <c r="B801" t="inlineStr">
        <is>
          <t>HCVC</t>
        </is>
      </c>
      <c r="C801" s="111" t="inlineStr">
        <is>
          <t>https://www.linkedin.com/in/alexis-houssou-4b157a38/</t>
        </is>
      </c>
      <c r="D801" s="143" t="inlineStr">
        <is>
          <t>alexis@hardwareclub.co</t>
        </is>
      </c>
      <c r="E801" s="80" t="n">
        <v>45953</v>
      </c>
      <c r="F801" s="80" t="n">
        <v>45985</v>
      </c>
      <c r="G801" s="80" t="n">
        <v>46021</v>
      </c>
    </row>
    <row r="802" ht="15.75" customHeight="1" s="216">
      <c r="A802" t="inlineStr">
        <is>
          <t>Rahul Singh</t>
        </is>
      </c>
      <c r="B802" t="inlineStr">
        <is>
          <t>Dual Use Ventures</t>
        </is>
      </c>
      <c r="C802" s="111" t="inlineStr">
        <is>
          <t>https://www.linkedin.com/in/rahulasingh/</t>
        </is>
      </c>
      <c r="D802" s="143" t="inlineStr">
        <is>
          <t>rsingh@dualuseventures.com</t>
        </is>
      </c>
      <c r="E802" s="80" t="n">
        <v>45953</v>
      </c>
      <c r="F802" s="80" t="n">
        <v>45985</v>
      </c>
      <c r="G802" t="inlineStr">
        <is>
          <t>sent on pager 7/23</t>
        </is>
      </c>
    </row>
    <row r="803" ht="15.75" customHeight="1" s="216">
      <c r="A803" t="inlineStr">
        <is>
          <t>Tim Denning</t>
        </is>
      </c>
      <c r="B803" t="inlineStr">
        <is>
          <t>Ultratech Capital</t>
        </is>
      </c>
      <c r="C803" s="111" t="inlineStr">
        <is>
          <t>https://www.linkedin.com/in/tim-denning-9bab4316/</t>
        </is>
      </c>
      <c r="D803" s="143" t="inlineStr">
        <is>
          <t>tim.denning@ultratech.capital</t>
        </is>
      </c>
      <c r="E803" s="80" t="n">
        <v>45953</v>
      </c>
      <c r="F803" s="80" t="n">
        <v>45985</v>
      </c>
      <c r="G803" s="80" t="n">
        <v>46021</v>
      </c>
    </row>
    <row r="804" ht="15.75" customHeight="1" s="216">
      <c r="A804" t="inlineStr">
        <is>
          <t>Dale Davis</t>
        </is>
      </c>
      <c r="B804" t="inlineStr">
        <is>
          <t>Ultratech Capital</t>
        </is>
      </c>
      <c r="C804" s="111" t="inlineStr">
        <is>
          <t>https://www.linkedin.com/in/daledavis1982/</t>
        </is>
      </c>
      <c r="D804" s="143" t="inlineStr">
        <is>
          <t>dale.davis@ultratech.capital</t>
        </is>
      </c>
      <c r="E804" s="80" t="n">
        <v>45953</v>
      </c>
      <c r="F804" s="80" t="n">
        <v>45985</v>
      </c>
      <c r="G804" s="80" t="n">
        <v>46021</v>
      </c>
    </row>
    <row r="805" ht="15.75" customHeight="1" s="216">
      <c r="A805" s="288" t="inlineStr">
        <is>
          <t>Carter Callaway</t>
        </is>
      </c>
      <c r="B805" s="288" t="inlineStr">
        <is>
          <t>Ultratech Capital</t>
        </is>
      </c>
      <c r="C805" s="127" t="inlineStr">
        <is>
          <t>https://www.linkedin.com/in/carter-callaway/</t>
        </is>
      </c>
      <c r="D805" s="153" t="inlineStr">
        <is>
          <t>carter.callaway@ultratech.capital</t>
        </is>
      </c>
      <c r="E805" s="129" t="n">
        <v>45953</v>
      </c>
    </row>
    <row r="806" ht="15.75" customHeight="1" s="216">
      <c r="A806" t="inlineStr">
        <is>
          <t>Jilian Manus</t>
        </is>
      </c>
      <c r="B806" t="inlineStr">
        <is>
          <t>Structure Capital</t>
        </is>
      </c>
      <c r="C806" s="111" t="inlineStr">
        <is>
          <t>https://www.linkedin.com/in/jillian-manus-19112a13/</t>
        </is>
      </c>
      <c r="D806" s="143" t="inlineStr">
        <is>
          <t>jillian@structure.vc</t>
        </is>
      </c>
      <c r="E806" s="80" t="n">
        <v>45953</v>
      </c>
      <c r="F806" s="80" t="n">
        <v>45985</v>
      </c>
      <c r="G806" s="80" t="n">
        <v>46021</v>
      </c>
    </row>
    <row r="807" ht="15.75" customHeight="1" s="216">
      <c r="A807" t="inlineStr">
        <is>
          <t>Jacob Shea</t>
        </is>
      </c>
      <c r="B807" t="inlineStr">
        <is>
          <t>Structure Capital</t>
        </is>
      </c>
      <c r="C807" t="inlineStr">
        <is>
          <t>linkedin.com/in/jacobshea</t>
        </is>
      </c>
      <c r="D807" s="143" t="inlineStr">
        <is>
          <t>jacob@structure.vc</t>
        </is>
      </c>
      <c r="E807" s="80" t="n">
        <v>45953</v>
      </c>
      <c r="F807" s="80" t="n">
        <v>45985</v>
      </c>
      <c r="G807" s="80" t="n">
        <v>46021</v>
      </c>
    </row>
    <row r="808" ht="15.75" customHeight="1" s="216">
      <c r="A808" t="inlineStr">
        <is>
          <t>Mike Walsh</t>
        </is>
      </c>
      <c r="B808" t="inlineStr">
        <is>
          <t>Structure Capital</t>
        </is>
      </c>
      <c r="C808" t="inlineStr">
        <is>
          <t>linkedin.com/in/themikewalsh</t>
        </is>
      </c>
      <c r="D808" s="143" t="inlineStr">
        <is>
          <t>mike@structure.vc</t>
        </is>
      </c>
      <c r="E808" s="80" t="n">
        <v>45953</v>
      </c>
      <c r="F808" s="80" t="n">
        <v>45985</v>
      </c>
      <c r="G808" s="80" t="n">
        <v>46021</v>
      </c>
    </row>
    <row r="809" ht="15.75" customHeight="1" s="216">
      <c r="A809" t="inlineStr">
        <is>
          <t>Austin Arensberg</t>
        </is>
      </c>
      <c r="B809" t="inlineStr">
        <is>
          <t>Okta Ventures</t>
        </is>
      </c>
      <c r="C809" t="inlineStr">
        <is>
          <t>linkedin.com/in/austinarensberg</t>
        </is>
      </c>
      <c r="D809" s="143" t="inlineStr">
        <is>
          <t>austin.arensberg@okta.com</t>
        </is>
      </c>
      <c r="E809" s="80" t="n">
        <v>45953</v>
      </c>
      <c r="F809" s="80" t="n">
        <v>45985</v>
      </c>
      <c r="G809" s="80" t="n">
        <v>46021</v>
      </c>
    </row>
    <row r="810" ht="15.75" customHeight="1" s="216">
      <c r="A810" s="261" t="inlineStr">
        <is>
          <t>Drew Tulchin</t>
        </is>
      </c>
      <c r="B810" s="261" t="n"/>
      <c r="C810" s="261" t="n"/>
      <c r="D810" s="285" t="inlineStr">
        <is>
          <t xml:space="preserve">Drew@nmangels.com </t>
        </is>
      </c>
      <c r="E810" s="286" t="n">
        <v>45957</v>
      </c>
      <c r="F810" s="286" t="n">
        <v>45985</v>
      </c>
      <c r="G810" s="287" t="inlineStr">
        <is>
          <t>not sure what to do with this one??</t>
        </is>
      </c>
    </row>
    <row r="811" ht="15.75" customHeight="1" s="216">
      <c r="A811" s="143" t="inlineStr">
        <is>
          <t>Zachary Bogue</t>
        </is>
      </c>
      <c r="B811" t="inlineStr">
        <is>
          <t>DCVC Ventures</t>
        </is>
      </c>
      <c r="C811" s="111" t="inlineStr">
        <is>
          <t>https://www.linkedin.com/in/zackbogue/</t>
        </is>
      </c>
      <c r="D811" s="143" t="inlineStr">
        <is>
          <t>zack@dcvc.com</t>
        </is>
      </c>
      <c r="E811" s="80" t="n">
        <v>45965</v>
      </c>
      <c r="F811" s="80" t="n">
        <v>45985</v>
      </c>
      <c r="G811" s="80" t="n">
        <v>46021</v>
      </c>
    </row>
    <row r="812" ht="15.75" customHeight="1" s="216">
      <c r="A812" s="143" t="inlineStr">
        <is>
          <t>John Hamer</t>
        </is>
      </c>
      <c r="B812" t="inlineStr">
        <is>
          <t>DCVC Ventures</t>
        </is>
      </c>
      <c r="C812" s="111" t="inlineStr">
        <is>
          <t>https://www.linkedin.com/in/johnhamer/</t>
        </is>
      </c>
      <c r="D812" s="143" t="inlineStr">
        <is>
          <t>john@dcvc.com</t>
        </is>
      </c>
      <c r="E812" s="80" t="n">
        <v>45965</v>
      </c>
      <c r="F812" s="80" t="n">
        <v>45985</v>
      </c>
      <c r="G812" s="80" t="n">
        <v>46021</v>
      </c>
    </row>
    <row r="813" ht="15.75" customHeight="1" s="216">
      <c r="A813" s="143" t="inlineStr">
        <is>
          <t>Ali Tamaseb</t>
        </is>
      </c>
      <c r="B813" t="inlineStr">
        <is>
          <t>DCVC Ventures</t>
        </is>
      </c>
      <c r="C813" s="111" t="inlineStr">
        <is>
          <t>https://www.linkedin.com/in/alitamaseb/</t>
        </is>
      </c>
      <c r="D813" s="143" t="inlineStr">
        <is>
          <t>ali@dcvc.com</t>
        </is>
      </c>
      <c r="E813" s="80" t="n">
        <v>45965</v>
      </c>
      <c r="F813" s="80" t="n">
        <v>45985</v>
      </c>
      <c r="G813" s="80" t="n">
        <v>46021</v>
      </c>
    </row>
    <row r="814" ht="15.75" customHeight="1" s="216">
      <c r="A814" s="143" t="inlineStr">
        <is>
          <t>Matt Ocko</t>
        </is>
      </c>
      <c r="B814" t="inlineStr">
        <is>
          <t>DCVC Ventures</t>
        </is>
      </c>
      <c r="C814" s="111" t="inlineStr">
        <is>
          <t>https://www.linkedin.com/in/mattocko/</t>
        </is>
      </c>
      <c r="D814" s="143" t="inlineStr">
        <is>
          <t>matt@dcvc.com</t>
        </is>
      </c>
      <c r="E814" s="80" t="n">
        <v>45965</v>
      </c>
      <c r="F814" s="80" t="n">
        <v>45985</v>
      </c>
      <c r="G814" s="80" t="n">
        <v>46021</v>
      </c>
    </row>
    <row r="815" ht="15.75" customHeight="1" s="216">
      <c r="A815" s="153" t="inlineStr">
        <is>
          <t>Mark Boggett</t>
        </is>
      </c>
      <c r="B815" s="288" t="inlineStr">
        <is>
          <t>Seraphim VC</t>
        </is>
      </c>
      <c r="C815" s="127" t="inlineStr">
        <is>
          <t>https://www.linkedin.com/in/mark-boggett-5044631/</t>
        </is>
      </c>
      <c r="D815" s="153" t="inlineStr">
        <is>
          <t>mark@seraphim.vc</t>
        </is>
      </c>
      <c r="E815" s="129" t="n">
        <v>45965</v>
      </c>
      <c r="F815" s="80" t="n">
        <v>45985</v>
      </c>
      <c r="G815" t="inlineStr">
        <is>
          <t>sent one pager on 11/6</t>
        </is>
      </c>
      <c r="H815" t="inlineStr">
        <is>
          <t>passed info to deals team, asked for some time with the holidays to review everything</t>
        </is>
      </c>
    </row>
    <row r="816" ht="15.75" customHeight="1" s="216">
      <c r="A816" s="153" t="inlineStr">
        <is>
          <t>James Bruegger</t>
        </is>
      </c>
      <c r="B816" s="288" t="inlineStr">
        <is>
          <t>Seraphim VC</t>
        </is>
      </c>
      <c r="C816" s="127" t="inlineStr">
        <is>
          <t>https://www.linkedin.com/in/james-bruegger-9961633/</t>
        </is>
      </c>
      <c r="D816" s="153" t="inlineStr">
        <is>
          <t>james@seraphim.vc</t>
        </is>
      </c>
      <c r="E816" s="129" t="n">
        <v>45965</v>
      </c>
    </row>
    <row r="817" ht="15.75" customHeight="1" s="216">
      <c r="A817" s="153" t="inlineStr">
        <is>
          <t>Rob Desborough</t>
        </is>
      </c>
      <c r="B817" s="288" t="inlineStr">
        <is>
          <t>Seraphim VC</t>
        </is>
      </c>
      <c r="C817" s="127" t="inlineStr">
        <is>
          <t>https://www.linkedin.com/in/robdesborough/</t>
        </is>
      </c>
      <c r="D817" s="153" t="inlineStr">
        <is>
          <t>rob@seraphim.vc</t>
        </is>
      </c>
      <c r="E817" s="129" t="n">
        <v>45965</v>
      </c>
    </row>
    <row r="818" ht="15.75" customHeight="1" s="216">
      <c r="A818" s="153" t="inlineStr">
        <is>
          <t>Andre Ronsoehr</t>
        </is>
      </c>
      <c r="B818" s="288" t="inlineStr">
        <is>
          <t>Seraphim VC</t>
        </is>
      </c>
      <c r="C818" s="127" t="inlineStr">
        <is>
          <t>https://www.linkedin.com/in/andreronsoehr/</t>
        </is>
      </c>
      <c r="D818" s="153" t="inlineStr">
        <is>
          <t>andre@seraphim.vc</t>
        </is>
      </c>
      <c r="E818" s="129" t="n">
        <v>45965</v>
      </c>
    </row>
    <row r="819" ht="15.75" customHeight="1" s="216">
      <c r="A819" s="143" t="inlineStr">
        <is>
          <t>Ilya Kirnos</t>
        </is>
      </c>
      <c r="B819" t="inlineStr">
        <is>
          <t>Signal Fire</t>
        </is>
      </c>
      <c r="C819" s="111" t="inlineStr">
        <is>
          <t>https://www.linkedin.com/in/imkirnos/</t>
        </is>
      </c>
      <c r="D819" s="143" t="inlineStr">
        <is>
          <t>ilya@signalfire.com</t>
        </is>
      </c>
      <c r="E819" s="80" t="n">
        <v>45965</v>
      </c>
      <c r="F819" s="80" t="n">
        <v>45985</v>
      </c>
      <c r="G819" s="80" t="n">
        <v>46021</v>
      </c>
    </row>
    <row r="820" ht="15.75" customHeight="1" s="216">
      <c r="A820" s="143" t="inlineStr">
        <is>
          <t>Wayne Hu</t>
        </is>
      </c>
      <c r="B820" t="inlineStr">
        <is>
          <t>Signal Fire</t>
        </is>
      </c>
      <c r="C820" s="111" t="inlineStr">
        <is>
          <t>https://www.linkedin.com/in/wayne-hu-05570132/</t>
        </is>
      </c>
      <c r="D820" s="143" t="inlineStr">
        <is>
          <t>wayne@signalfire.com</t>
        </is>
      </c>
      <c r="E820" s="80" t="n">
        <v>45965</v>
      </c>
      <c r="F820" s="80" t="n">
        <v>45985</v>
      </c>
      <c r="G820" s="80" t="n">
        <v>46021</v>
      </c>
    </row>
    <row r="821" ht="15.75" customHeight="1" s="216">
      <c r="A821" s="143" t="inlineStr">
        <is>
          <t>Chris Farmer</t>
        </is>
      </c>
      <c r="B821" t="inlineStr">
        <is>
          <t>Signal Fire</t>
        </is>
      </c>
      <c r="C821" s="111" t="inlineStr">
        <is>
          <t>https://www.linkedin.com/in/chriswfarmer/</t>
        </is>
      </c>
      <c r="D821" s="143" t="inlineStr">
        <is>
          <t>chris@signalfire.com</t>
        </is>
      </c>
      <c r="E821" s="80" t="n">
        <v>45965</v>
      </c>
      <c r="F821" s="80" t="n">
        <v>45985</v>
      </c>
      <c r="G821" s="80" t="n">
        <v>46021</v>
      </c>
    </row>
    <row r="822" ht="15.75" customHeight="1" s="216">
      <c r="A822" s="143" t="inlineStr">
        <is>
          <t>Dan Schatzman</t>
        </is>
      </c>
      <c r="B822" t="inlineStr">
        <is>
          <t>Space Fund</t>
        </is>
      </c>
      <c r="C822" s="111" t="inlineStr">
        <is>
          <t>https://www.linkedin.com/in/dan-schatzman-23345570/</t>
        </is>
      </c>
      <c r="D822" s="143" t="inlineStr">
        <is>
          <t>dan@spacefund.com</t>
        </is>
      </c>
      <c r="E822" s="80" t="n">
        <v>45965</v>
      </c>
      <c r="F822" s="80" t="n">
        <v>45985</v>
      </c>
      <c r="G822" s="80" t="n">
        <v>46386</v>
      </c>
    </row>
    <row r="823" ht="15.75" customHeight="1" s="216">
      <c r="A823" s="143" t="inlineStr">
        <is>
          <t>Meagan Murphy Crawford</t>
        </is>
      </c>
      <c r="B823" t="inlineStr">
        <is>
          <t>Space Fund</t>
        </is>
      </c>
      <c r="C823" s="111" t="inlineStr">
        <is>
          <t>https://www.linkedin.com/in/meagan/</t>
        </is>
      </c>
      <c r="D823" s="143" t="inlineStr">
        <is>
          <t>meagan@spacefund.com</t>
        </is>
      </c>
      <c r="E823" s="80" t="n">
        <v>45965</v>
      </c>
      <c r="F823" s="80" t="n">
        <v>45985</v>
      </c>
      <c r="G823" s="80" t="n">
        <v>46021</v>
      </c>
    </row>
    <row r="824" ht="15.75" customHeight="1" s="216">
      <c r="A824" s="143" t="inlineStr">
        <is>
          <t>Drew Oetting</t>
        </is>
      </c>
      <c r="B824" t="inlineStr">
        <is>
          <t>8VC</t>
        </is>
      </c>
      <c r="C824" t="inlineStr">
        <is>
          <t>linkedin.com/in/drew-oetting-52463337</t>
        </is>
      </c>
      <c r="D824" s="143" t="inlineStr">
        <is>
          <t>drew@8vc.com</t>
        </is>
      </c>
      <c r="E824" s="80" t="n">
        <v>45966</v>
      </c>
      <c r="F824" s="80" t="n">
        <v>45985</v>
      </c>
      <c r="G824" s="80" t="n">
        <v>46036</v>
      </c>
    </row>
    <row r="825" ht="15.75" customHeight="1" s="216">
      <c r="A825" s="143" t="inlineStr">
        <is>
          <t>Joe Lonsdale</t>
        </is>
      </c>
      <c r="B825" t="inlineStr">
        <is>
          <t>8VC</t>
        </is>
      </c>
      <c r="C825" s="111" t="inlineStr">
        <is>
          <t>https://www.linkedin.com/in/jtlonsdale</t>
        </is>
      </c>
      <c r="D825" s="143" t="inlineStr">
        <is>
          <t>joe@8vc.com</t>
        </is>
      </c>
      <c r="E825" s="80" t="n">
        <v>45966</v>
      </c>
      <c r="F825" s="80" t="n">
        <v>45985</v>
      </c>
      <c r="G825" s="80" t="n">
        <v>46036</v>
      </c>
    </row>
    <row r="826" ht="15.75" customHeight="1" s="216">
      <c r="A826" s="143" t="inlineStr">
        <is>
          <t>Kimmy Scotti</t>
        </is>
      </c>
      <c r="B826" t="inlineStr">
        <is>
          <t>8VC</t>
        </is>
      </c>
      <c r="C826" t="inlineStr">
        <is>
          <t>linkedin.com/in/kimmyscotti</t>
        </is>
      </c>
      <c r="D826" s="143" t="inlineStr">
        <is>
          <t>kimmy@8vc.com</t>
        </is>
      </c>
      <c r="E826" s="80" t="n">
        <v>45966</v>
      </c>
      <c r="F826" s="80" t="n">
        <v>45985</v>
      </c>
      <c r="G826" s="80" t="n">
        <v>46036</v>
      </c>
    </row>
    <row r="827" ht="15.75" customHeight="1" s="216">
      <c r="A827" s="143" t="inlineStr">
        <is>
          <t>Alex Kolicich</t>
        </is>
      </c>
      <c r="B827" t="inlineStr">
        <is>
          <t>8VC</t>
        </is>
      </c>
      <c r="C827" t="inlineStr">
        <is>
          <t>linkedin.com/in/alex-kolicich-b71732a</t>
        </is>
      </c>
      <c r="D827" s="143" t="inlineStr">
        <is>
          <t>alex@8vc.com</t>
        </is>
      </c>
      <c r="E827" s="80" t="n">
        <v>45966</v>
      </c>
      <c r="F827" s="80" t="n">
        <v>45985</v>
      </c>
      <c r="G827" s="80" t="n">
        <v>46036</v>
      </c>
    </row>
    <row r="828" ht="15.75" customHeight="1" s="216">
      <c r="A828" t="inlineStr">
        <is>
          <t>David Sacks</t>
        </is>
      </c>
      <c r="B828" t="inlineStr">
        <is>
          <t>Craft Ventures</t>
        </is>
      </c>
      <c r="C828" s="111" t="inlineStr">
        <is>
          <t>https://www.linkedin.com/in/davidoliversacks/</t>
        </is>
      </c>
      <c r="D828" s="143" t="inlineStr">
        <is>
          <t>david@craftventures.com</t>
        </is>
      </c>
      <c r="E828" s="80" t="n">
        <v>45966</v>
      </c>
      <c r="F828" s="80" t="n">
        <v>45985</v>
      </c>
      <c r="G828" s="80" t="n">
        <v>46036</v>
      </c>
    </row>
    <row r="829" ht="15.75" customHeight="1" s="216">
      <c r="A829" t="inlineStr">
        <is>
          <t>Michael Robinson</t>
        </is>
      </c>
      <c r="B829" t="inlineStr">
        <is>
          <t>Craft Ventures</t>
        </is>
      </c>
      <c r="C829" s="111" t="inlineStr">
        <is>
          <t>https://www.linkedin.com/in/michael-robinson-93221659/</t>
        </is>
      </c>
      <c r="D829" s="143" t="inlineStr">
        <is>
          <t>mrobinson@craftventures.com</t>
        </is>
      </c>
      <c r="E829" s="80" t="n">
        <v>45966</v>
      </c>
      <c r="F829" s="80" t="n">
        <v>45985</v>
      </c>
      <c r="G829" s="80" t="n">
        <v>46036</v>
      </c>
    </row>
    <row r="830" ht="15.75" customHeight="1" s="216">
      <c r="A830" t="inlineStr">
        <is>
          <t>Mike Marg</t>
        </is>
      </c>
      <c r="B830" t="inlineStr">
        <is>
          <t>Craft Ventures</t>
        </is>
      </c>
      <c r="C830" s="111" t="inlineStr">
        <is>
          <t>https://www.linkedin.com/in/michaelmarg/</t>
        </is>
      </c>
      <c r="D830" s="143" t="inlineStr">
        <is>
          <t>mike@craftventures.com</t>
        </is>
      </c>
      <c r="E830" s="80" t="n">
        <v>45966</v>
      </c>
      <c r="F830" s="80" t="n">
        <v>45985</v>
      </c>
      <c r="G830" s="80" t="n">
        <v>46036</v>
      </c>
    </row>
    <row r="831" ht="15.75" customHeight="1" s="216">
      <c r="A831" s="143" t="inlineStr">
        <is>
          <t>Ajay Agarwal</t>
        </is>
      </c>
      <c r="B831" t="inlineStr">
        <is>
          <t>Bain Capital</t>
        </is>
      </c>
      <c r="C831" s="111" t="inlineStr">
        <is>
          <t>https://www.linkedin.com/in/ajay1agarwal</t>
        </is>
      </c>
      <c r="D831" s="143" t="inlineStr">
        <is>
          <t>ajay@baincapital.com</t>
        </is>
      </c>
      <c r="E831" s="80" t="n">
        <v>45966</v>
      </c>
      <c r="F831" s="80" t="n">
        <v>45985</v>
      </c>
      <c r="G831" s="80" t="n">
        <v>46036</v>
      </c>
    </row>
    <row r="832" ht="15.75" customHeight="1" s="216">
      <c r="A832" s="143" t="inlineStr">
        <is>
          <t>Aaref Hilaly</t>
        </is>
      </c>
      <c r="B832" t="inlineStr">
        <is>
          <t>Bain Capital</t>
        </is>
      </c>
      <c r="C832" s="111" t="inlineStr">
        <is>
          <t>https://www.linkedin.com/in/aarefhilaly/</t>
        </is>
      </c>
      <c r="D832" s="143" t="inlineStr">
        <is>
          <t>ahilaly@baincapital.com</t>
        </is>
      </c>
      <c r="E832" s="80" t="n">
        <v>45966</v>
      </c>
      <c r="F832" s="80" t="n">
        <v>45985</v>
      </c>
      <c r="G832" s="80" t="n">
        <v>46036</v>
      </c>
    </row>
    <row r="833" ht="15.75" customHeight="1" s="216">
      <c r="A833" s="143" t="inlineStr">
        <is>
          <t>Kevin Zhang</t>
        </is>
      </c>
      <c r="B833" t="inlineStr">
        <is>
          <t>Bain Capital</t>
        </is>
      </c>
      <c r="C833" s="111" t="inlineStr">
        <is>
          <t>https://www.linkedin.com/in/kevinzhang711/</t>
        </is>
      </c>
      <c r="D833" s="143" t="inlineStr">
        <is>
          <t>kzhang@baincapital.com</t>
        </is>
      </c>
      <c r="E833" s="80" t="n">
        <v>45966</v>
      </c>
      <c r="F833" s="80" t="n">
        <v>45985</v>
      </c>
      <c r="G833" s="80" t="n">
        <v>46036</v>
      </c>
    </row>
    <row r="834" ht="15.75" customHeight="1" s="216">
      <c r="A834" s="143" t="inlineStr">
        <is>
          <t>Merritt Hummer</t>
        </is>
      </c>
      <c r="B834" t="inlineStr">
        <is>
          <t>Bain Capital</t>
        </is>
      </c>
      <c r="C834" s="111" t="inlineStr">
        <is>
          <t>https://www.linkedin.com/in/merritt-hummer-aa187712/</t>
        </is>
      </c>
      <c r="D834" s="143" t="inlineStr">
        <is>
          <t>mhummer@baincapital.com</t>
        </is>
      </c>
      <c r="E834" s="80" t="n">
        <v>45966</v>
      </c>
      <c r="F834" s="80" t="n">
        <v>45985</v>
      </c>
      <c r="G834" s="80" t="n">
        <v>46036</v>
      </c>
    </row>
    <row r="835" ht="15.75" customHeight="1" s="216">
      <c r="A835" s="143" t="inlineStr">
        <is>
          <t>Steve Vassallo</t>
        </is>
      </c>
      <c r="B835" t="inlineStr">
        <is>
          <t>Foundation Capital</t>
        </is>
      </c>
      <c r="C835" s="111" t="inlineStr">
        <is>
          <t>https://www.linkedin.com/in/stevevassallo/</t>
        </is>
      </c>
      <c r="D835" s="143" t="inlineStr">
        <is>
          <t>svassallo@foundationcap.com</t>
        </is>
      </c>
      <c r="E835" s="80" t="n">
        <v>45966</v>
      </c>
      <c r="F835" s="80" t="n">
        <v>45985</v>
      </c>
      <c r="G835" s="80" t="n">
        <v>46036</v>
      </c>
    </row>
    <row r="836" ht="15.75" customHeight="1" s="216">
      <c r="A836" s="143" t="inlineStr">
        <is>
          <t>Joanne Chen</t>
        </is>
      </c>
      <c r="B836" t="inlineStr">
        <is>
          <t>Foundation Capital</t>
        </is>
      </c>
      <c r="C836" s="111" t="inlineStr">
        <is>
          <t>https://www.linkedin.com/in/joanne-chen-8486677/</t>
        </is>
      </c>
      <c r="D836" s="143" t="inlineStr">
        <is>
          <t>jchen@foundationcap.com</t>
        </is>
      </c>
      <c r="E836" s="80" t="n">
        <v>45966</v>
      </c>
      <c r="F836" s="80" t="n">
        <v>45985</v>
      </c>
      <c r="G836" s="80" t="n">
        <v>46036</v>
      </c>
    </row>
    <row r="837" ht="15.75" customHeight="1" s="216">
      <c r="A837" s="143" t="inlineStr">
        <is>
          <t>Ashu Garg</t>
        </is>
      </c>
      <c r="B837" t="inlineStr">
        <is>
          <t>Foundation Capital</t>
        </is>
      </c>
      <c r="C837" s="111" t="inlineStr">
        <is>
          <t>https://www.linkedin.com/in/ashugargvc/</t>
        </is>
      </c>
      <c r="D837" s="143" t="inlineStr">
        <is>
          <t>agarg@foundationcap.com</t>
        </is>
      </c>
      <c r="E837" s="80" t="n">
        <v>45966</v>
      </c>
      <c r="F837" s="80" t="n">
        <v>45985</v>
      </c>
      <c r="G837" s="80" t="n">
        <v>46036</v>
      </c>
    </row>
    <row r="838" ht="15.75" customHeight="1" s="216">
      <c r="A838" s="143" t="inlineStr">
        <is>
          <t>Charles Moldow</t>
        </is>
      </c>
      <c r="B838" t="inlineStr">
        <is>
          <t>Foundation Capital</t>
        </is>
      </c>
      <c r="C838" s="111" t="inlineStr">
        <is>
          <t>https://www.linkedin.com/in/charlesmoldow/</t>
        </is>
      </c>
      <c r="D838" s="143" t="inlineStr">
        <is>
          <t>cmoldow@foundationcap.com</t>
        </is>
      </c>
      <c r="E838" s="80" t="n">
        <v>45966</v>
      </c>
      <c r="F838" s="80" t="n">
        <v>45985</v>
      </c>
      <c r="G838" s="80" t="n">
        <v>46036</v>
      </c>
    </row>
    <row r="839" ht="15.75" customHeight="1" s="216">
      <c r="A839" s="143" t="inlineStr">
        <is>
          <t>Samer Hamadeh</t>
        </is>
      </c>
      <c r="B839" t="inlineStr">
        <is>
          <t>Lightspeed Venture Partners</t>
        </is>
      </c>
      <c r="C839" s="111" t="inlineStr">
        <is>
          <t>https://www.linkedin.com/in/samershamadeh/</t>
        </is>
      </c>
      <c r="D839" s="143" t="inlineStr">
        <is>
          <t>samer@lsvp.com</t>
        </is>
      </c>
      <c r="E839" s="80" t="n">
        <v>45966</v>
      </c>
      <c r="F839" s="80" t="n">
        <v>45985</v>
      </c>
      <c r="G839" s="80" t="n">
        <v>46036</v>
      </c>
    </row>
    <row r="840" ht="15.75" customHeight="1" s="216">
      <c r="A840" s="143" t="inlineStr">
        <is>
          <t>Nicole Neumarker</t>
        </is>
      </c>
      <c r="B840" t="inlineStr">
        <is>
          <t>Lightspeed Venture Partners</t>
        </is>
      </c>
      <c r="C840" s="111" t="inlineStr">
        <is>
          <t>https://www.linkedin.com/in/neumarker/</t>
        </is>
      </c>
      <c r="D840" s="143" t="inlineStr">
        <is>
          <t>nicole.neumarker@lsvp.com</t>
        </is>
      </c>
      <c r="E840" s="80" t="n">
        <v>45966</v>
      </c>
      <c r="F840" s="80" t="n">
        <v>45985</v>
      </c>
      <c r="G840" s="80" t="n">
        <v>46036</v>
      </c>
    </row>
    <row r="841" ht="15.75" customHeight="1" s="216">
      <c r="A841" s="143" t="inlineStr">
        <is>
          <t>Anoushka Vaswani</t>
        </is>
      </c>
      <c r="B841" t="inlineStr">
        <is>
          <t>Lightspeed Venture Partners</t>
        </is>
      </c>
      <c r="C841" s="111" t="inlineStr">
        <is>
          <t>https://www.linkedin.com/in/anoushka-vaswani-aa330017/</t>
        </is>
      </c>
      <c r="D841" s="143" t="inlineStr">
        <is>
          <t>anoushka@lsvp.com</t>
        </is>
      </c>
      <c r="E841" s="80" t="n">
        <v>45966</v>
      </c>
      <c r="F841" s="80" t="n">
        <v>45985</v>
      </c>
      <c r="G841" s="80" t="n">
        <v>46036</v>
      </c>
    </row>
    <row r="842" ht="15.75" customHeight="1" s="216">
      <c r="A842" s="143" t="inlineStr">
        <is>
          <t>François Chopard</t>
        </is>
      </c>
      <c r="B842" t="inlineStr">
        <is>
          <t>Starburst Aero</t>
        </is>
      </c>
      <c r="C842" s="111" t="inlineStr">
        <is>
          <t>https://www.linkedin.com/in/francoischopard/</t>
        </is>
      </c>
      <c r="D842" s="143" t="inlineStr">
        <is>
          <t>chopard@starburst.aero</t>
        </is>
      </c>
      <c r="E842" s="80" t="n">
        <v>45967</v>
      </c>
      <c r="F842" s="80" t="n">
        <v>45985</v>
      </c>
      <c r="G842" s="80" t="n">
        <v>46036</v>
      </c>
    </row>
    <row r="843" ht="15.75" customHeight="1" s="216">
      <c r="A843" s="143" t="inlineStr">
        <is>
          <t>Ilan Rozenkopf</t>
        </is>
      </c>
      <c r="B843" t="inlineStr">
        <is>
          <t>Starburst Aero</t>
        </is>
      </c>
      <c r="C843" s="111" t="inlineStr">
        <is>
          <t>https://www.linkedin.com/in/ilan-rozenkopf-77a15810/</t>
        </is>
      </c>
      <c r="D843" s="143" t="inlineStr">
        <is>
          <t>ilan@starburst.aero</t>
        </is>
      </c>
      <c r="E843" s="80" t="n">
        <v>45967</v>
      </c>
      <c r="F843" s="80" t="n">
        <v>45985</v>
      </c>
      <c r="G843" s="80" t="n">
        <v>46036</v>
      </c>
    </row>
    <row r="844" ht="15.75" customHeight="1" s="216">
      <c r="A844" s="143" t="inlineStr">
        <is>
          <t>Peter C Kuper</t>
        </is>
      </c>
      <c r="B844" t="inlineStr">
        <is>
          <t>JFLCO</t>
        </is>
      </c>
      <c r="C844" s="111" t="inlineStr">
        <is>
          <t>https://www.linkedin.com/in/peterkuper/</t>
        </is>
      </c>
      <c r="D844" s="143" t="inlineStr">
        <is>
          <t>pck@jflpartners.com</t>
        </is>
      </c>
      <c r="E844" s="80" t="n">
        <v>45967</v>
      </c>
      <c r="F844" s="80" t="n">
        <v>45985</v>
      </c>
      <c r="G844" s="80" t="n">
        <v>46036</v>
      </c>
    </row>
    <row r="845" ht="15.75" customHeight="1" s="216">
      <c r="A845" s="143" t="inlineStr">
        <is>
          <t>Louis N Mintz</t>
        </is>
      </c>
      <c r="B845" t="inlineStr">
        <is>
          <t>JFLCO</t>
        </is>
      </c>
      <c r="D845" s="143" t="inlineStr">
        <is>
          <t>lnm@jflpartners.com</t>
        </is>
      </c>
      <c r="E845" s="80" t="n">
        <v>45967</v>
      </c>
      <c r="F845" s="80" t="n">
        <v>45985</v>
      </c>
      <c r="G845" s="80" t="n">
        <v>46036</v>
      </c>
    </row>
    <row r="846" ht="15.75" customHeight="1" s="216">
      <c r="A846" t="inlineStr">
        <is>
          <t>Natalie Ramos</t>
        </is>
      </c>
      <c r="B846" t="inlineStr">
        <is>
          <t>JFLCO</t>
        </is>
      </c>
      <c r="D846" s="111" t="inlineStr">
        <is>
          <t>nr@jflpartners.com</t>
        </is>
      </c>
      <c r="E846" s="80" t="n">
        <v>45967</v>
      </c>
      <c r="F846" s="80" t="n">
        <v>45985</v>
      </c>
      <c r="G846" s="80" t="n">
        <v>46036</v>
      </c>
    </row>
    <row r="847" ht="15.75" customHeight="1" s="216">
      <c r="A847" s="143" t="inlineStr">
        <is>
          <t>Matthew L Altman</t>
        </is>
      </c>
      <c r="B847" t="inlineStr">
        <is>
          <t>Arlington Capital</t>
        </is>
      </c>
      <c r="C847" s="111" t="inlineStr">
        <is>
          <t>https://www.linkedin.com/in/matt-altman-34ab134/</t>
        </is>
      </c>
      <c r="D847" s="143" t="inlineStr">
        <is>
          <t>maltman@arlingtoncap.com</t>
        </is>
      </c>
      <c r="E847" s="80" t="n">
        <v>45967</v>
      </c>
      <c r="F847" s="80" t="n">
        <v>45985</v>
      </c>
      <c r="G847" s="80" t="n">
        <v>46036</v>
      </c>
    </row>
    <row r="848" ht="15.75" customHeight="1" s="216">
      <c r="A848" s="143" t="inlineStr">
        <is>
          <t>Michael H Lustbader</t>
        </is>
      </c>
      <c r="B848" t="inlineStr">
        <is>
          <t>Arlington Capital</t>
        </is>
      </c>
      <c r="C848" t="inlineStr">
        <is>
          <t>linkedin.com/in/michael-lustbader-128b1a6</t>
        </is>
      </c>
      <c r="D848" s="143" t="inlineStr">
        <is>
          <t>mlustbader@arlingtoncap.com</t>
        </is>
      </c>
      <c r="E848" s="373" t="n">
        <v>45967</v>
      </c>
      <c r="F848" s="80" t="n">
        <v>45986</v>
      </c>
      <c r="G848" s="80" t="n">
        <v>46036</v>
      </c>
    </row>
    <row r="849" ht="15.75" customHeight="1" s="216">
      <c r="A849" s="143" t="inlineStr">
        <is>
          <t>Peter M Manos</t>
        </is>
      </c>
      <c r="B849" t="inlineStr">
        <is>
          <t>Arlington Capital</t>
        </is>
      </c>
      <c r="C849" s="111" t="inlineStr">
        <is>
          <t>https://www.linkedin.com/in/peter-manos-7b1a57254/</t>
        </is>
      </c>
      <c r="D849" s="143" t="inlineStr">
        <is>
          <t>pmanos@arlingtoncap.com</t>
        </is>
      </c>
      <c r="E849" s="80" t="n">
        <v>45967</v>
      </c>
      <c r="F849" s="80" t="n">
        <v>45986</v>
      </c>
      <c r="G849" s="80" t="n">
        <v>46036</v>
      </c>
    </row>
    <row r="850" ht="15.75" customHeight="1" s="216">
      <c r="A850" s="143" t="inlineStr">
        <is>
          <t>David C Wodlinger</t>
        </is>
      </c>
      <c r="B850" t="inlineStr">
        <is>
          <t>Arlington Capital</t>
        </is>
      </c>
      <c r="C850" s="111" t="inlineStr">
        <is>
          <t>https://www.linkedin.com/in/david-wodlinger-886b154/</t>
        </is>
      </c>
      <c r="D850" s="143" t="inlineStr">
        <is>
          <t>dwodlinger@arlingtoncap.com</t>
        </is>
      </c>
      <c r="E850" s="80" t="n">
        <v>45967</v>
      </c>
      <c r="F850" s="80" t="n">
        <v>45986</v>
      </c>
      <c r="G850" s="80" t="n">
        <v>46036</v>
      </c>
    </row>
    <row r="851" ht="15.75" customHeight="1" s="216">
      <c r="A851" s="143" t="inlineStr">
        <is>
          <t>Dave Welsh</t>
        </is>
      </c>
      <c r="B851" t="inlineStr">
        <is>
          <t>KKR</t>
        </is>
      </c>
      <c r="C851" s="92" t="inlineStr">
        <is>
          <t>https://www.linkedin.com/in/dave-welsh-903b0a8/</t>
        </is>
      </c>
      <c r="D851" s="143" t="inlineStr">
        <is>
          <t>dave.welsh@kkr.com</t>
        </is>
      </c>
      <c r="E851" s="80" t="n">
        <v>45968</v>
      </c>
      <c r="F851" s="80" t="n">
        <v>45986</v>
      </c>
      <c r="G851" s="80" t="n">
        <v>46036</v>
      </c>
    </row>
    <row r="852" ht="15.75" customHeight="1" s="216">
      <c r="A852" s="143" t="inlineStr">
        <is>
          <t>John Park</t>
        </is>
      </c>
      <c r="B852" t="inlineStr">
        <is>
          <t>KKR</t>
        </is>
      </c>
      <c r="C852" s="111" t="inlineStr">
        <is>
          <t>https://www.linkedin.com/in/ian-sj-park/</t>
        </is>
      </c>
      <c r="D852" s="143" t="inlineStr">
        <is>
          <t>john.park@kkr.com</t>
        </is>
      </c>
      <c r="E852" s="80" t="n">
        <v>45968</v>
      </c>
      <c r="F852" s="80" t="n">
        <v>45986</v>
      </c>
      <c r="G852" s="80" t="n">
        <v>46036</v>
      </c>
    </row>
    <row r="853" ht="15.75" customHeight="1" s="216">
      <c r="A853" s="153" t="inlineStr">
        <is>
          <t>Ajay Agarwal</t>
        </is>
      </c>
      <c r="B853" s="288" t="inlineStr">
        <is>
          <t>Carlyle</t>
        </is>
      </c>
      <c r="C853" s="288" t="n"/>
      <c r="D853" s="153" t="inlineStr">
        <is>
          <t>ajay.agarwal@carlyle.com</t>
        </is>
      </c>
      <c r="E853" s="129" t="n">
        <v>45968</v>
      </c>
      <c r="F853" s="129" t="n">
        <v>45986</v>
      </c>
      <c r="G853" s="288" t="inlineStr">
        <is>
          <t>msg undeliverable</t>
        </is>
      </c>
    </row>
    <row r="854" ht="15.75" customHeight="1" s="216">
      <c r="A854" s="143" t="inlineStr">
        <is>
          <t>Enrique Salem</t>
        </is>
      </c>
      <c r="B854" t="inlineStr">
        <is>
          <t>Carlyle</t>
        </is>
      </c>
      <c r="D854" s="143" t="inlineStr">
        <is>
          <t>enrique.salem@carlyle.com</t>
        </is>
      </c>
      <c r="E854" s="373" t="n">
        <v>45968</v>
      </c>
      <c r="F854" s="80" t="n">
        <v>45986</v>
      </c>
      <c r="G854" s="80" t="n">
        <v>46036</v>
      </c>
    </row>
    <row r="855" ht="15.75" customHeight="1" s="216">
      <c r="A855" s="153" t="inlineStr">
        <is>
          <t>Aaref Hilaly</t>
        </is>
      </c>
      <c r="B855" s="288" t="inlineStr">
        <is>
          <t>Carlyle</t>
        </is>
      </c>
      <c r="C855" s="288" t="n"/>
      <c r="D855" s="153" t="inlineStr">
        <is>
          <t>aaref.hilaly@carlyle.com</t>
        </is>
      </c>
      <c r="E855" s="129" t="n">
        <v>45968</v>
      </c>
      <c r="F855" s="129" t="n">
        <v>45986</v>
      </c>
      <c r="G855" s="305" t="inlineStr">
        <is>
          <t>msg undeliverable</t>
        </is>
      </c>
    </row>
    <row r="856" ht="15.75" customHeight="1" s="216">
      <c r="A856" s="143" t="inlineStr">
        <is>
          <t>Luke Sorenson</t>
        </is>
      </c>
      <c r="B856" t="inlineStr">
        <is>
          <t>Sorenson</t>
        </is>
      </c>
      <c r="C856" s="234" t="inlineStr">
        <is>
          <t>linkedin.com/in/lukesorenson</t>
        </is>
      </c>
      <c r="D856" s="143" t="inlineStr">
        <is>
          <t>lsorenson@sorensoncap.com</t>
        </is>
      </c>
      <c r="E856" s="80" t="n">
        <v>45968</v>
      </c>
      <c r="F856" s="80" t="n">
        <v>45986</v>
      </c>
      <c r="G856" s="80" t="n">
        <v>46036</v>
      </c>
    </row>
    <row r="857" ht="15.75" customHeight="1" s="216">
      <c r="A857" s="143" t="inlineStr">
        <is>
          <t>Fraser Bullock</t>
        </is>
      </c>
      <c r="B857" t="inlineStr">
        <is>
          <t>Sorenson</t>
        </is>
      </c>
      <c r="C857" s="111" t="inlineStr">
        <is>
          <t>https://www.linkedin.com/in/fraser-bullock-7bb8194/</t>
        </is>
      </c>
      <c r="D857" s="143" t="inlineStr">
        <is>
          <t>fbullock@sorensoncap.com</t>
        </is>
      </c>
      <c r="E857" s="80" t="n">
        <v>45968</v>
      </c>
      <c r="F857" s="80" t="n">
        <v>45986</v>
      </c>
      <c r="G857" s="80" t="n">
        <v>46036</v>
      </c>
    </row>
    <row r="858" ht="15.75" customHeight="1" s="216">
      <c r="A858" s="143" t="inlineStr">
        <is>
          <t>Devin Talbott</t>
        </is>
      </c>
      <c r="B858" t="inlineStr">
        <is>
          <t>Enlightenment Capital</t>
        </is>
      </c>
      <c r="C858" s="111" t="inlineStr">
        <is>
          <t>https://www.linkedin.com/in/devin-talbott-444711/</t>
        </is>
      </c>
      <c r="D858" s="143" t="inlineStr">
        <is>
          <t>dltalbott@enlightenment-cap.com</t>
        </is>
      </c>
      <c r="E858" s="80" t="n">
        <v>45968</v>
      </c>
      <c r="F858" s="80" t="n">
        <v>45986</v>
      </c>
      <c r="G858" s="80" t="n">
        <v>46036</v>
      </c>
    </row>
    <row r="859" ht="15.75" customHeight="1" s="216">
      <c r="A859" s="223" t="inlineStr">
        <is>
          <t>Thomas Young</t>
        </is>
      </c>
      <c r="B859" s="122" t="inlineStr">
        <is>
          <t>Enlightenment Capital</t>
        </is>
      </c>
      <c r="C859" s="122" t="inlineStr">
        <is>
          <t>linkedin.com/in/thomas-b-young</t>
        </is>
      </c>
      <c r="D859" s="223" t="inlineStr">
        <is>
          <t>tbyoung@enlightenment-cap.com</t>
        </is>
      </c>
      <c r="E859" s="121" t="n">
        <v>45968</v>
      </c>
      <c r="F859" s="80" t="n">
        <v>45986</v>
      </c>
      <c r="G859" t="inlineStr">
        <is>
          <t>asked for one pager / 1/14 follow up</t>
        </is>
      </c>
    </row>
    <row r="860" ht="15.75" customHeight="1" s="216">
      <c r="A860" s="143" t="inlineStr">
        <is>
          <t>Jeff Guffey</t>
        </is>
      </c>
      <c r="B860" t="inlineStr">
        <is>
          <t>Enlightenment Capital</t>
        </is>
      </c>
      <c r="C860" s="111" t="inlineStr">
        <is>
          <t>https://www.linkedin.com/in/jeff-guffey-43aa6a52/</t>
        </is>
      </c>
      <c r="D860" s="143" t="inlineStr">
        <is>
          <t>jsguffey@enlightenment-cap.com</t>
        </is>
      </c>
      <c r="E860" s="80" t="n">
        <v>45968</v>
      </c>
      <c r="F860" s="80" t="n">
        <v>45986</v>
      </c>
      <c r="G860" s="80" t="n">
        <v>46036</v>
      </c>
    </row>
    <row r="861" ht="15.75" customHeight="1" s="216">
      <c r="A861" s="143" t="inlineStr">
        <is>
          <t>Frank Bruno</t>
        </is>
      </c>
      <c r="B861" t="inlineStr">
        <is>
          <t>Cerberus Capital Management</t>
        </is>
      </c>
      <c r="D861" s="143" t="inlineStr">
        <is>
          <t>fbruno@cerberus.com</t>
        </is>
      </c>
      <c r="E861" s="80" t="n">
        <v>45968</v>
      </c>
      <c r="F861" s="80" t="n">
        <v>45986</v>
      </c>
      <c r="G861" s="80" t="n">
        <v>46036</v>
      </c>
    </row>
    <row r="862" ht="15.75" customHeight="1" s="216">
      <c r="A862" s="143" t="inlineStr">
        <is>
          <t>Dan Quayle</t>
        </is>
      </c>
      <c r="B862" t="inlineStr">
        <is>
          <t>Cerberus Capital Management</t>
        </is>
      </c>
      <c r="D862" s="143" t="inlineStr">
        <is>
          <t>dquayle@cerberus.com</t>
        </is>
      </c>
      <c r="E862" s="80" t="n">
        <v>45968</v>
      </c>
      <c r="F862" s="80" t="n">
        <v>45986</v>
      </c>
      <c r="G862" s="80" t="n">
        <v>46036</v>
      </c>
    </row>
    <row r="863" ht="15.75" customHeight="1" s="216">
      <c r="A863" s="143" t="inlineStr">
        <is>
          <t>Nick Snoad</t>
        </is>
      </c>
      <c r="B863" t="inlineStr">
        <is>
          <t>MarlinSpike</t>
        </is>
      </c>
      <c r="C863" s="111" t="inlineStr">
        <is>
          <t>https://www.linkedin.com/in/nick-snoad-340389157/</t>
        </is>
      </c>
      <c r="D863" s="143" t="inlineStr">
        <is>
          <t>nick@marlinspike.us</t>
        </is>
      </c>
      <c r="E863" s="80" t="n">
        <v>45986</v>
      </c>
      <c r="F863" s="80" t="n">
        <v>46031</v>
      </c>
      <c r="G863" s="80" t="n">
        <v>46079</v>
      </c>
    </row>
    <row r="864" ht="15.75" customHeight="1" s="216">
      <c r="A864" s="143" t="inlineStr">
        <is>
          <t>Tim Buzby</t>
        </is>
      </c>
      <c r="B864" t="inlineStr">
        <is>
          <t>MarlinSpike</t>
        </is>
      </c>
      <c r="C864" s="111" t="inlineStr">
        <is>
          <t>https://www.linkedin.com/in/tim-buzby-a637675</t>
        </is>
      </c>
      <c r="D864" s="143" t="inlineStr">
        <is>
          <t>tim@marlinspike.us</t>
        </is>
      </c>
      <c r="E864" s="80" t="n">
        <v>45986</v>
      </c>
      <c r="F864" s="80" t="n">
        <v>46031</v>
      </c>
      <c r="G864" s="80" t="n">
        <v>46079</v>
      </c>
    </row>
    <row r="865" ht="15.75" customHeight="1" s="216">
      <c r="A865" s="143" t="inlineStr">
        <is>
          <t>Neil Keegan</t>
        </is>
      </c>
      <c r="B865" t="inlineStr">
        <is>
          <t>MarlinSpike</t>
        </is>
      </c>
      <c r="C865" s="111" t="inlineStr">
        <is>
          <t>https://www.linkedin.com/in/neil-keegan-7a845866/</t>
        </is>
      </c>
      <c r="D865" s="143" t="inlineStr">
        <is>
          <t>neil@marlinspike.us</t>
        </is>
      </c>
      <c r="E865" s="80" t="n">
        <v>45986</v>
      </c>
      <c r="F865" s="80" t="n">
        <v>46031</v>
      </c>
      <c r="G865" s="80" t="n">
        <v>46079</v>
      </c>
    </row>
    <row r="866" ht="15.75" customHeight="1" s="216">
      <c r="A866" s="143" t="inlineStr">
        <is>
          <t>Mislav Tolusic</t>
        </is>
      </c>
      <c r="B866" t="inlineStr">
        <is>
          <t>MarlinSpike</t>
        </is>
      </c>
      <c r="C866" s="111" t="inlineStr">
        <is>
          <t>https://www.linkedin.com/in/mislav-tolusic-525a58/</t>
        </is>
      </c>
      <c r="D866" s="143" t="inlineStr">
        <is>
          <t>mt@marlinspike.us</t>
        </is>
      </c>
      <c r="E866" s="80" t="n">
        <v>45986</v>
      </c>
      <c r="F866" s="80" t="n">
        <v>46031</v>
      </c>
      <c r="G866" s="80" t="n">
        <v>46079</v>
      </c>
    </row>
    <row r="867" ht="15.75" customHeight="1" s="216">
      <c r="A867" s="143" t="inlineStr">
        <is>
          <t>Paul Haddock</t>
        </is>
      </c>
      <c r="B867" t="inlineStr">
        <is>
          <t>MarlinSpike</t>
        </is>
      </c>
      <c r="C867" s="111" t="inlineStr">
        <is>
          <t>https://www.linkedin.com/in/paul-haddock-100a875/</t>
        </is>
      </c>
      <c r="D867" s="143" t="inlineStr">
        <is>
          <t>paul.haddock888@gmail.com</t>
        </is>
      </c>
      <c r="E867" s="80" t="n">
        <v>45986</v>
      </c>
      <c r="F867" s="80" t="n">
        <v>46031</v>
      </c>
      <c r="G867" s="80" t="n">
        <v>46079</v>
      </c>
    </row>
    <row r="868" ht="15.75" customHeight="1" s="216">
      <c r="A868" s="143" t="inlineStr">
        <is>
          <t>Mina Faltas</t>
        </is>
      </c>
      <c r="B868" t="inlineStr">
        <is>
          <t>Washington Harbour</t>
        </is>
      </c>
      <c r="C868" s="111" t="inlineStr">
        <is>
          <t>https://www.linkedin.com/in/mina-faltas-washington-harbour-partners/</t>
        </is>
      </c>
      <c r="D868" s="143" t="inlineStr">
        <is>
          <t>mfaltas@washingtonharbour.com</t>
        </is>
      </c>
      <c r="E868" s="80" t="n">
        <v>45986</v>
      </c>
      <c r="F868" s="80" t="n">
        <v>46030</v>
      </c>
      <c r="G868" s="80" t="n">
        <v>46079</v>
      </c>
    </row>
    <row r="869" ht="15.75" customHeight="1" s="216">
      <c r="A869" s="143" t="inlineStr">
        <is>
          <t>Daim Malik</t>
        </is>
      </c>
      <c r="B869" t="inlineStr">
        <is>
          <t>Washington Harbour</t>
        </is>
      </c>
      <c r="C869" t="inlineStr">
        <is>
          <t>linkedin.com/in/daimmalik</t>
        </is>
      </c>
      <c r="D869" s="143" t="inlineStr">
        <is>
          <t>dmalik@washingtonharbour.com</t>
        </is>
      </c>
      <c r="E869" s="80" t="n">
        <v>45986</v>
      </c>
      <c r="F869" s="80" t="n">
        <v>46030</v>
      </c>
      <c r="G869" s="80" t="n">
        <v>46079</v>
      </c>
    </row>
    <row r="870" ht="15.75" customHeight="1" s="216">
      <c r="A870" s="143" t="inlineStr">
        <is>
          <t>Patrick Foley</t>
        </is>
      </c>
      <c r="B870" t="inlineStr">
        <is>
          <t>Washington Harbour</t>
        </is>
      </c>
      <c r="C870" t="inlineStr">
        <is>
          <t>linkedin.com/in/pffoley</t>
        </is>
      </c>
      <c r="D870" s="143" t="inlineStr">
        <is>
          <t>pfoley@washingtonharbour.com</t>
        </is>
      </c>
      <c r="E870" s="80" t="n">
        <v>45986</v>
      </c>
      <c r="F870" s="80" t="n">
        <v>46030</v>
      </c>
      <c r="G870" s="80" t="n">
        <v>46079</v>
      </c>
    </row>
    <row r="871" ht="15.75" customHeight="1" s="216">
      <c r="A871" s="143" t="inlineStr">
        <is>
          <t>Min An</t>
        </is>
      </c>
      <c r="B871" t="inlineStr">
        <is>
          <t>Washington Harbour</t>
        </is>
      </c>
      <c r="C871" s="111" t="inlineStr">
        <is>
          <t>https://www.linkedin.com/in/min-an/</t>
        </is>
      </c>
      <c r="D871" s="143" t="inlineStr">
        <is>
          <t>anm@washingtonharbour.com</t>
        </is>
      </c>
      <c r="E871" s="80" t="n">
        <v>45986</v>
      </c>
      <c r="F871" s="80" t="n">
        <v>46030</v>
      </c>
      <c r="G871" s="80" t="n">
        <v>46079</v>
      </c>
    </row>
    <row r="872" ht="15.75" customHeight="1" s="216">
      <c r="A872" s="143" t="inlineStr">
        <is>
          <t>Ashequl Hoque</t>
        </is>
      </c>
      <c r="B872" t="inlineStr">
        <is>
          <t>Washington Harbour</t>
        </is>
      </c>
      <c r="C872" s="111" t="inlineStr">
        <is>
          <t>https://www.linkedin.com/in/ashequlhoque/</t>
        </is>
      </c>
      <c r="D872" s="143" t="inlineStr">
        <is>
          <t>ahoque@washingtonharbour.com</t>
        </is>
      </c>
      <c r="E872" s="80" t="n">
        <v>45986</v>
      </c>
      <c r="F872" s="80" t="n">
        <v>46030</v>
      </c>
      <c r="G872" s="80" t="n">
        <v>46079</v>
      </c>
    </row>
    <row r="873" ht="15.75" customHeight="1" s="216">
      <c r="A873" s="143" t="inlineStr">
        <is>
          <t>Brian Schulze</t>
        </is>
      </c>
      <c r="B873" t="inlineStr">
        <is>
          <t>Washington Harbour</t>
        </is>
      </c>
      <c r="C873" s="111" t="inlineStr">
        <is>
          <t>https://www.linkedin.com/in/brianschulze/</t>
        </is>
      </c>
      <c r="D873" s="143" t="inlineStr">
        <is>
          <t>bschulze@washingtonharbour.com</t>
        </is>
      </c>
      <c r="E873" s="80" t="n">
        <v>45986</v>
      </c>
      <c r="F873" s="80" t="n">
        <v>46030</v>
      </c>
      <c r="G873" s="80" t="n">
        <v>46079</v>
      </c>
    </row>
    <row r="874" ht="15.75" customHeight="1" s="216">
      <c r="A874" s="153" t="inlineStr">
        <is>
          <t>Van Espahbodi</t>
        </is>
      </c>
      <c r="B874" s="288" t="inlineStr">
        <is>
          <t>Generational Partners</t>
        </is>
      </c>
      <c r="C874" s="288" t="inlineStr">
        <is>
          <t>linkedin.com/in/vandade</t>
        </is>
      </c>
      <c r="D874" s="153" t="inlineStr">
        <is>
          <t>van@generational.partners</t>
        </is>
      </c>
      <c r="E874" s="129" t="n">
        <v>45986</v>
      </c>
    </row>
    <row r="875" ht="15.75" customHeight="1" s="216">
      <c r="A875" s="153" t="inlineStr">
        <is>
          <t>Asher Kraut</t>
        </is>
      </c>
      <c r="B875" s="288" t="inlineStr">
        <is>
          <t>Generational Partners</t>
        </is>
      </c>
      <c r="C875" s="127" t="inlineStr">
        <is>
          <t>https://www.linkedin.com/in/nathaniel-asher-kraut/</t>
        </is>
      </c>
      <c r="D875" s="153" t="inlineStr">
        <is>
          <t>asher@generational.partners</t>
        </is>
      </c>
      <c r="E875" s="129" t="n">
        <v>45986</v>
      </c>
    </row>
    <row r="876" ht="15.75" customHeight="1" s="216">
      <c r="A876" s="223" t="inlineStr">
        <is>
          <t>Martin Hale</t>
        </is>
      </c>
      <c r="B876" s="122" t="inlineStr">
        <is>
          <t>Hale Capital</t>
        </is>
      </c>
      <c r="C876" s="122" t="inlineStr">
        <is>
          <t>linkedin.com/in/halemartin</t>
        </is>
      </c>
      <c r="D876" s="223" t="inlineStr">
        <is>
          <t>martin@halefunds.com</t>
        </is>
      </c>
      <c r="E876" s="121" t="n">
        <v>45986</v>
      </c>
      <c r="F876" s="80" t="n">
        <v>46031</v>
      </c>
      <c r="G876" s="80" t="n">
        <v>46079</v>
      </c>
    </row>
    <row r="877" ht="15.75" customHeight="1" s="216">
      <c r="A877" s="143" t="inlineStr">
        <is>
          <t>Nathan Foos</t>
        </is>
      </c>
      <c r="B877" t="inlineStr">
        <is>
          <t>Hale Capital</t>
        </is>
      </c>
      <c r="C877" s="111" t="inlineStr">
        <is>
          <t>https://www.linkedin.com/in/nathan-foos/</t>
        </is>
      </c>
      <c r="D877" s="143" t="inlineStr">
        <is>
          <t>nate@halefunds.com</t>
        </is>
      </c>
      <c r="E877" s="80" t="n">
        <v>45986</v>
      </c>
      <c r="F877" s="80" t="n">
        <v>46031</v>
      </c>
      <c r="G877" s="80" t="n">
        <v>46079</v>
      </c>
    </row>
    <row r="878" ht="15.75" customHeight="1" s="216">
      <c r="A878" s="143" t="inlineStr">
        <is>
          <t>Karl Kroeker</t>
        </is>
      </c>
      <c r="B878" t="inlineStr">
        <is>
          <t>Woodline Partners</t>
        </is>
      </c>
      <c r="C878" s="111" t="inlineStr">
        <is>
          <t>https://www.linkedin.com/in/karl-kroeker-b197b8181/</t>
        </is>
      </c>
      <c r="D878" s="143" t="inlineStr">
        <is>
          <t>karl@woodlinepartners.com</t>
        </is>
      </c>
      <c r="E878" s="80" t="n">
        <v>45989</v>
      </c>
      <c r="F878" s="80" t="n">
        <v>46031</v>
      </c>
      <c r="G878" s="80" t="n">
        <v>46079</v>
      </c>
    </row>
    <row r="879" ht="15.75" customHeight="1" s="216">
      <c r="A879" s="143" t="inlineStr">
        <is>
          <t>Mike Rockefeller</t>
        </is>
      </c>
      <c r="B879" t="inlineStr">
        <is>
          <t>Woodline Partners</t>
        </is>
      </c>
      <c r="C879" s="111" t="inlineStr">
        <is>
          <t>https://www.linkedin.com/in/mike-rockefeller-9167b3181/</t>
        </is>
      </c>
      <c r="D879" s="143" t="inlineStr">
        <is>
          <t>mike@woodlinepartners.com</t>
        </is>
      </c>
      <c r="E879" s="80" t="n">
        <v>45989</v>
      </c>
      <c r="F879" s="80" t="n">
        <v>46031</v>
      </c>
      <c r="G879" s="80" t="n">
        <v>46079</v>
      </c>
    </row>
    <row r="880" ht="15.75" customHeight="1" s="216">
      <c r="A880" s="153" t="inlineStr">
        <is>
          <t>Josh Tanzer</t>
        </is>
      </c>
      <c r="B880" s="288" t="inlineStr">
        <is>
          <t>Principia Growth</t>
        </is>
      </c>
      <c r="C880" s="127" t="inlineStr">
        <is>
          <t>https://www.linkedin.com/in/josh-tanzer-4a271157/</t>
        </is>
      </c>
      <c r="D880" s="153" t="inlineStr">
        <is>
          <t>josh@principiagrowth.com</t>
        </is>
      </c>
      <c r="E880" s="129" t="n">
        <v>45989</v>
      </c>
      <c r="F880" s="129" t="n">
        <v>46031</v>
      </c>
      <c r="G880" s="80" t="n">
        <v>46079</v>
      </c>
    </row>
    <row r="881" ht="15.75" customHeight="1" s="216">
      <c r="A881" s="153" t="inlineStr">
        <is>
          <t>Sunny Midha</t>
        </is>
      </c>
      <c r="B881" s="288" t="inlineStr">
        <is>
          <t>Principia Growth</t>
        </is>
      </c>
      <c r="C881" s="288" t="inlineStr">
        <is>
          <t>linkedin.com/in/sunnymidha</t>
        </is>
      </c>
      <c r="D881" s="153" t="inlineStr">
        <is>
          <t>sunny@principiagrowth.com</t>
        </is>
      </c>
      <c r="E881" s="129" t="n">
        <v>45989</v>
      </c>
      <c r="F881" s="129" t="n">
        <v>46031</v>
      </c>
      <c r="G881" s="80" t="n">
        <v>46079</v>
      </c>
    </row>
    <row r="882" ht="15.75" customHeight="1" s="216">
      <c r="A882" s="153" t="inlineStr">
        <is>
          <t>Gaurav Kapadia</t>
        </is>
      </c>
      <c r="B882" s="288" t="inlineStr">
        <is>
          <t>XN</t>
        </is>
      </c>
      <c r="C882" s="288" t="inlineStr">
        <is>
          <t>linkedin.com/in/gaurav-kapadia-25a9163</t>
        </is>
      </c>
      <c r="D882" s="153" t="inlineStr">
        <is>
          <t>gaurav.kapadia@gmail.com</t>
        </is>
      </c>
      <c r="E882" s="129" t="n">
        <v>45989</v>
      </c>
      <c r="F882" s="129" t="n">
        <v>46031</v>
      </c>
      <c r="G882" t="inlineStr">
        <is>
          <t>not a fit</t>
        </is>
      </c>
    </row>
    <row r="883" ht="15.75" customHeight="1" s="216">
      <c r="A883" s="153" t="inlineStr">
        <is>
          <t>David Bronstein</t>
        </is>
      </c>
      <c r="B883" s="288" t="inlineStr">
        <is>
          <t>XN</t>
        </is>
      </c>
      <c r="C883" s="288" t="inlineStr">
        <is>
          <t>linkedin.com/in/david-bronstein-024849</t>
        </is>
      </c>
      <c r="D883" s="153" t="inlineStr">
        <is>
          <t>db@xnlp.com</t>
        </is>
      </c>
      <c r="E883" s="129" t="n">
        <v>45989</v>
      </c>
      <c r="F883" s="129" t="n">
        <v>46031</v>
      </c>
    </row>
    <row r="884" ht="15.75" customHeight="1" s="216">
      <c r="A884" s="153" t="inlineStr">
        <is>
          <t>Tim Brown</t>
        </is>
      </c>
      <c r="B884" s="288" t="inlineStr">
        <is>
          <t>XN</t>
        </is>
      </c>
      <c r="C884" s="127" t="inlineStr">
        <is>
          <t>https://www.linkedin.com/in/tim-brown-2aab1441/</t>
        </is>
      </c>
      <c r="D884" s="153" t="inlineStr">
        <is>
          <t>tb@xnlp.com</t>
        </is>
      </c>
      <c r="E884" s="129" t="n">
        <v>45989</v>
      </c>
      <c r="F884" s="129" t="n">
        <v>46031</v>
      </c>
    </row>
    <row r="885" ht="15.75" customHeight="1" s="216">
      <c r="A885" s="153" t="inlineStr">
        <is>
          <t>Kevin Chon</t>
        </is>
      </c>
      <c r="B885" s="288" t="inlineStr">
        <is>
          <t>XN</t>
        </is>
      </c>
      <c r="C885" s="288" t="inlineStr">
        <is>
          <t>linkedin.com/in/kevin-chon-b418a346</t>
        </is>
      </c>
      <c r="D885" s="153" t="inlineStr">
        <is>
          <t>kc@xnlp.com</t>
        </is>
      </c>
      <c r="E885" s="129" t="n">
        <v>45989</v>
      </c>
      <c r="F885" s="129" t="n">
        <v>46031</v>
      </c>
    </row>
    <row r="886" ht="15.75" customHeight="1" s="216">
      <c r="A886" s="143" t="inlineStr">
        <is>
          <t>Erick Kuebler</t>
        </is>
      </c>
      <c r="B886" t="inlineStr">
        <is>
          <t>Sanders Morris</t>
        </is>
      </c>
      <c r="C886" s="111" t="inlineStr">
        <is>
          <t>https://www.linkedin.com/in/erick-kuebler-a718bb47/</t>
        </is>
      </c>
      <c r="D886" s="143" t="inlineStr">
        <is>
          <t>erick.kuebler@smhgroup.com</t>
        </is>
      </c>
      <c r="E886" s="80" t="n">
        <v>45989</v>
      </c>
      <c r="F886" s="80" t="n">
        <v>46031</v>
      </c>
      <c r="G886" s="80" t="n">
        <v>46079</v>
      </c>
    </row>
    <row r="887" ht="15.75" customHeight="1" s="216">
      <c r="A887" s="143" t="inlineStr">
        <is>
          <t>Don Sanders</t>
        </is>
      </c>
      <c r="B887" t="inlineStr">
        <is>
          <t>Sanders Morris</t>
        </is>
      </c>
      <c r="C887" s="111" t="inlineStr">
        <is>
          <t>https://www.linkedin.com/in/don-sanders-41358494/</t>
        </is>
      </c>
      <c r="D887" s="143" t="inlineStr">
        <is>
          <t>don.sanders@smhgroup.com</t>
        </is>
      </c>
      <c r="E887" s="80" t="n">
        <v>45989</v>
      </c>
      <c r="F887" s="80" t="n">
        <v>46036</v>
      </c>
      <c r="G887" s="80" t="n">
        <v>46079</v>
      </c>
    </row>
    <row r="888" ht="15.75" customHeight="1" s="216">
      <c r="A888" s="304" t="inlineStr">
        <is>
          <t>Steve Mangold</t>
        </is>
      </c>
      <c r="B888" s="288" t="inlineStr">
        <is>
          <t>Sanders Morris</t>
        </is>
      </c>
      <c r="C888" s="288" t="inlineStr">
        <is>
          <t>CEO</t>
        </is>
      </c>
      <c r="D888" s="304" t="inlineStr">
        <is>
          <t>steve.mangold@smhgroup.com</t>
        </is>
      </c>
      <c r="E888" s="80" t="n">
        <v>45989</v>
      </c>
      <c r="F888" t="inlineStr">
        <is>
          <t>msg undeliverable</t>
        </is>
      </c>
    </row>
    <row r="889" ht="15.75" customHeight="1" s="216">
      <c r="A889" s="143" t="inlineStr">
        <is>
          <t>Ted Hoffman</t>
        </is>
      </c>
      <c r="B889" t="inlineStr">
        <is>
          <t>Sanders Morris</t>
        </is>
      </c>
      <c r="C889" s="111" t="inlineStr">
        <is>
          <t>https://www.linkedin.com/in/ted-hoffman-051a144/</t>
        </is>
      </c>
      <c r="D889" s="143" t="inlineStr">
        <is>
          <t>ted.hoffman@smhgroup.com</t>
        </is>
      </c>
      <c r="E889" s="80" t="n">
        <v>45989</v>
      </c>
      <c r="F889" s="80" t="n">
        <v>46036</v>
      </c>
      <c r="G889" s="80" t="n">
        <v>46079</v>
      </c>
    </row>
    <row r="890" ht="15.75" customHeight="1" s="216">
      <c r="A890" s="143" t="inlineStr">
        <is>
          <t>John Montgomery</t>
        </is>
      </c>
      <c r="B890" t="inlineStr">
        <is>
          <t>Westfield Capital</t>
        </is>
      </c>
      <c r="C890" s="111" t="inlineStr">
        <is>
          <t>https://www.linkedin.com/in/john-montgomery-46b3867/</t>
        </is>
      </c>
      <c r="D890" s="143" t="inlineStr">
        <is>
          <t>jmontgomery@wcmgmt.com</t>
        </is>
      </c>
      <c r="E890" s="80" t="n">
        <v>45989</v>
      </c>
      <c r="F890" s="80" t="n">
        <v>46036</v>
      </c>
      <c r="G890" s="80" t="n">
        <v>46079</v>
      </c>
    </row>
    <row r="891" ht="15.75" customHeight="1" s="216">
      <c r="A891" s="143" t="inlineStr">
        <is>
          <t>Richard Lee</t>
        </is>
      </c>
      <c r="B891" t="inlineStr">
        <is>
          <t>Westfield Capital</t>
        </is>
      </c>
      <c r="C891" s="111" t="inlineStr">
        <is>
          <t>https://www.linkedin.com/in/richard-lee-20526/</t>
        </is>
      </c>
      <c r="D891" s="143" t="inlineStr">
        <is>
          <t>rlee@wcmgmt.com</t>
        </is>
      </c>
      <c r="E891" s="80" t="n">
        <v>45989</v>
      </c>
      <c r="F891" s="80" t="n">
        <v>46036</v>
      </c>
      <c r="G891" s="80" t="n">
        <v>46079</v>
      </c>
    </row>
    <row r="892" ht="15.75" customHeight="1" s="216">
      <c r="A892" s="153" t="inlineStr">
        <is>
          <t>Scott Emerman</t>
        </is>
      </c>
      <c r="B892" s="288" t="inlineStr">
        <is>
          <t>Westfield Capital</t>
        </is>
      </c>
      <c r="C892" s="127" t="inlineStr">
        <is>
          <t>https://www.linkedin.com/in/scott-emerman-795909167/</t>
        </is>
      </c>
      <c r="D892" s="153" t="inlineStr">
        <is>
          <t>semerman@wcmgmt.com</t>
        </is>
      </c>
      <c r="E892" s="129" t="n">
        <v>45989</v>
      </c>
      <c r="F892" s="129" t="n">
        <v>46036</v>
      </c>
      <c r="G892" s="129" t="n">
        <v>46079</v>
      </c>
    </row>
    <row r="893" ht="15.75" customHeight="1" s="216">
      <c r="A893" s="143" t="inlineStr">
        <is>
          <t>Justin Moscardelli</t>
        </is>
      </c>
      <c r="B893" t="inlineStr">
        <is>
          <t>Westfield Capital</t>
        </is>
      </c>
      <c r="C893" s="111" t="inlineStr">
        <is>
          <t>https://www.linkedin.com/in/justin-moscardelli-221b338/</t>
        </is>
      </c>
      <c r="D893" s="143" t="inlineStr">
        <is>
          <t>jmoscardelli@wcmgmt.com</t>
        </is>
      </c>
      <c r="E893" s="80" t="n">
        <v>45989</v>
      </c>
      <c r="F893" s="80" t="n">
        <v>46036</v>
      </c>
      <c r="G893" s="80" t="n">
        <v>46079</v>
      </c>
    </row>
    <row r="894" ht="15.75" customHeight="1" s="216">
      <c r="A894" s="143" t="inlineStr">
        <is>
          <t>Edward "Ted" Richardson</t>
        </is>
      </c>
      <c r="B894" t="inlineStr">
        <is>
          <t>Westfield Capital</t>
        </is>
      </c>
      <c r="C894" s="111" t="inlineStr">
        <is>
          <t>https://www.linkedin.com/in/edward-ted-richardson-3b315522/</t>
        </is>
      </c>
      <c r="D894" s="143" t="inlineStr">
        <is>
          <t>trichardson@wcmgmt.com</t>
        </is>
      </c>
      <c r="E894" s="80" t="n">
        <v>45989</v>
      </c>
      <c r="F894" s="80" t="n">
        <v>46036</v>
      </c>
      <c r="G894" s="80" t="n">
        <v>46079</v>
      </c>
    </row>
    <row r="895" ht="15.75" customHeight="1" s="216">
      <c r="A895" s="143" t="inlineStr">
        <is>
          <t>Nouf A</t>
        </is>
      </c>
      <c r="B895" t="inlineStr">
        <is>
          <t>SeedFord Partners</t>
        </is>
      </c>
      <c r="C895" s="143" t="inlineStr">
        <is>
          <t>linkedin.com/in/nouf-alhaqbani</t>
        </is>
      </c>
      <c r="D895" s="143" t="inlineStr">
        <is>
          <t>nouf@seedford-partners.com</t>
        </is>
      </c>
      <c r="E895" s="80" t="n">
        <v>45989</v>
      </c>
      <c r="F895" s="80" t="n">
        <v>46036</v>
      </c>
      <c r="G895" s="80" t="n">
        <v>46079</v>
      </c>
    </row>
    <row r="896" ht="15.75" customHeight="1" s="216">
      <c r="A896" s="143" t="inlineStr">
        <is>
          <t>Fahad Alhussain</t>
        </is>
      </c>
      <c r="B896" t="inlineStr">
        <is>
          <t>SeedFord Partners</t>
        </is>
      </c>
      <c r="C896" t="inlineStr">
        <is>
          <t>linkedin.com/in/fahad-alhussain-56a325198</t>
        </is>
      </c>
      <c r="D896" s="143" t="inlineStr">
        <is>
          <t>fahad@seedford-partners.com</t>
        </is>
      </c>
      <c r="E896" s="80" t="n">
        <v>45989</v>
      </c>
      <c r="F896" s="80" t="n">
        <v>46036</v>
      </c>
      <c r="G896" s="80" t="n">
        <v>46079</v>
      </c>
    </row>
    <row r="897" ht="15.75" customHeight="1" s="216">
      <c r="A897" s="143" t="inlineStr">
        <is>
          <t>Alberto Emprin</t>
        </is>
      </c>
      <c r="B897" t="inlineStr">
        <is>
          <t>3LB Seed Capital</t>
        </is>
      </c>
      <c r="C897" s="111" t="inlineStr">
        <is>
          <t>https://www.linkedin.com/in/albertoemprin/</t>
        </is>
      </c>
      <c r="D897" s="143" t="inlineStr">
        <is>
          <t>a.emprin@3lbseed.com</t>
        </is>
      </c>
      <c r="E897" s="80" t="n">
        <v>45989</v>
      </c>
      <c r="F897" s="80" t="n">
        <v>46036</v>
      </c>
      <c r="G897" s="80" t="n">
        <v>46079</v>
      </c>
    </row>
    <row r="898" ht="15.75" customHeight="1" s="216">
      <c r="A898" s="267" t="inlineStr">
        <is>
          <t>Richard Phillips</t>
        </is>
      </c>
      <c r="B898" s="230" t="inlineStr">
        <is>
          <t>referred by andy@abucholtz.com</t>
        </is>
      </c>
      <c r="C898" s="228" t="n"/>
      <c r="D898" s="228" t="inlineStr">
        <is>
          <t>phillips@crossroadscapitaldc.com</t>
        </is>
      </c>
      <c r="E898" s="264" t="n">
        <v>45903</v>
      </c>
      <c r="F898" s="144" t="inlineStr">
        <is>
          <t>meeting set 9/8/ NDA 9/12</t>
        </is>
      </c>
      <c r="G898" s="265" t="inlineStr">
        <is>
          <t>9/17 – Richard sent draft ELA; John replied same day with detailed summary of requested revisions (removal of exclusivity, no retainer, Appendix D addition, clarified success fees). No reply since.</t>
        </is>
      </c>
      <c r="H898" s="227" t="inlineStr">
        <is>
          <t>10/1 follow up sent</t>
        </is>
      </c>
      <c r="I898" s="144" t="inlineStr">
        <is>
          <t>Suggested www.ctd.materials.com as a better fit and said he would schedule follow up meeting using your link</t>
        </is>
      </c>
      <c r="J898" s="227" t="n"/>
      <c r="K898" s="227" t="n"/>
      <c r="L898" s="234" t="n"/>
      <c r="M898" s="266" t="n"/>
      <c r="N898" s="234" t="n"/>
      <c r="O898" s="234" t="n"/>
      <c r="P898" s="234" t="n"/>
      <c r="Q898" s="234" t="n"/>
      <c r="R898" s="234" t="n"/>
    </row>
    <row r="899" ht="15.75" customHeight="1" s="216">
      <c r="A899" s="261" t="inlineStr">
        <is>
          <t>Salim and Safia</t>
        </is>
      </c>
      <c r="B899" s="234" t="inlineStr">
        <is>
          <t>Concord Ventures</t>
        </is>
      </c>
      <c r="D899" s="92" t="inlineStr">
        <is>
          <t>Salim.D@concordventuresinc.com &amp; Safia.D@concordventuresinc.com</t>
        </is>
      </c>
      <c r="E899" s="234" t="n"/>
      <c r="F899" s="373" t="n">
        <v>45945</v>
      </c>
      <c r="G899" s="144" t="inlineStr">
        <is>
          <t>Offer for $2500/month to run program</t>
        </is>
      </c>
      <c r="H899" s="234" t="n"/>
      <c r="I899" s="234" t="n"/>
      <c r="J899" s="258" t="n"/>
      <c r="K899" s="234" t="n"/>
      <c r="L899" s="234" t="n"/>
      <c r="M899" s="234" t="n"/>
      <c r="N899" s="234" t="n"/>
      <c r="O899" s="234" t="n"/>
      <c r="P899" s="234" t="n"/>
      <c r="Q899" s="234" t="n"/>
      <c r="R899" s="234" t="n"/>
    </row>
    <row r="900" ht="15.75" customHeight="1" s="216">
      <c r="A900" s="261" t="inlineStr">
        <is>
          <t>Tetiana</t>
        </is>
      </c>
      <c r="B900" s="234" t="inlineStr">
        <is>
          <t>M-Fly</t>
        </is>
      </c>
      <c r="C900" s="234" t="inlineStr">
        <is>
          <t>referred by Dereck</t>
        </is>
      </c>
      <c r="D900" s="168" t="inlineStr">
        <is>
          <t>t.karaicheva@m-fly.org</t>
        </is>
      </c>
      <c r="E900" s="234" t="inlineStr">
        <is>
          <t>11/20 meeting held and email follow up sent</t>
        </is>
      </c>
      <c r="F900" s="144" t="inlineStr">
        <is>
          <t>She has connections she thinks would be interested. Requested connectiopns to be made and sent decks.</t>
        </is>
      </c>
      <c r="G900" s="234" t="n"/>
      <c r="H900" s="259" t="n"/>
      <c r="I900" s="234" t="n"/>
    </row>
    <row r="901" ht="15.75" customHeight="1" s="216">
      <c r="A901" s="261" t="inlineStr">
        <is>
          <t>Luther Head</t>
        </is>
      </c>
      <c r="B901" s="234" t="inlineStr">
        <is>
          <t>Retired NBA Player - Private Investment</t>
        </is>
      </c>
      <c r="C901" s="234" t="inlineStr">
        <is>
          <t>referred by Dereck</t>
        </is>
      </c>
      <c r="D901" s="92" t="inlineStr">
        <is>
          <t>ldhead2@aim.com</t>
        </is>
      </c>
      <c r="E901" s="234" t="inlineStr">
        <is>
          <t>11/26 meeting held and email follow up sent</t>
        </is>
      </c>
      <c r="F901" s="234" t="n"/>
    </row>
    <row r="902" ht="15.75" customHeight="1" s="216">
      <c r="A902" s="153" t="inlineStr">
        <is>
          <t>Ben Buchheim-Jurisson</t>
        </is>
      </c>
      <c r="B902" s="288" t="inlineStr">
        <is>
          <t>Snowpoint VC</t>
        </is>
      </c>
      <c r="C902" s="127" t="inlineStr">
        <is>
          <t>https://www.linkedin.com/in/benbj/</t>
        </is>
      </c>
      <c r="D902" s="153" t="inlineStr">
        <is>
          <t>ben@snowpoint.vc</t>
        </is>
      </c>
      <c r="E902" s="129" t="inlineStr">
        <is>
          <t>12/8 asked for one pager</t>
        </is>
      </c>
      <c r="F902" s="288" t="inlineStr">
        <is>
          <t>12/18 follow up sent</t>
        </is>
      </c>
      <c r="G902" s="288" t="n"/>
    </row>
    <row r="903" ht="15.75" customHeight="1" s="216">
      <c r="A903" t="inlineStr">
        <is>
          <t>Will Sherman</t>
        </is>
      </c>
      <c r="B903" t="inlineStr">
        <is>
          <t>Reditus Space</t>
        </is>
      </c>
      <c r="C903" t="inlineStr">
        <is>
          <t>linkedin.com/in/willamasherman</t>
        </is>
      </c>
      <c r="D903" s="143" t="inlineStr">
        <is>
          <t>will.sherman@reditus.space</t>
        </is>
      </c>
      <c r="E903" s="80" t="n">
        <v>46030</v>
      </c>
      <c r="F903" t="inlineStr">
        <is>
          <t>from lizi email</t>
        </is>
      </c>
      <c r="G903" s="80" t="n">
        <v>46079</v>
      </c>
    </row>
    <row r="904" ht="15.75" customHeight="1" s="216">
      <c r="A904" t="inlineStr">
        <is>
          <t>Stef Crum</t>
        </is>
      </c>
      <c r="B904" t="inlineStr">
        <is>
          <t>Reditus Space</t>
        </is>
      </c>
      <c r="C904" s="111" t="inlineStr">
        <is>
          <t>https://www.linkedin.com/in/spcrum</t>
        </is>
      </c>
      <c r="D904" s="143" t="inlineStr">
        <is>
          <t>stef.crum@reditus.space</t>
        </is>
      </c>
      <c r="E904" s="80" t="n">
        <v>46030</v>
      </c>
      <c r="F904" t="inlineStr">
        <is>
          <t>from lizi email</t>
        </is>
      </c>
      <c r="G904" s="80" t="n">
        <v>46079</v>
      </c>
    </row>
    <row r="905" ht="15.75" customHeight="1" s="216">
      <c r="A905" t="inlineStr">
        <is>
          <t>Mark Ortega</t>
        </is>
      </c>
      <c r="B905" t="inlineStr">
        <is>
          <t>Reditus Space</t>
        </is>
      </c>
      <c r="C905" s="111" t="inlineStr">
        <is>
          <t>https://www.linkedin.com/in/markortega1/</t>
        </is>
      </c>
      <c r="D905" s="143" t="inlineStr">
        <is>
          <t>mark.ortega@reditus.space</t>
        </is>
      </c>
      <c r="E905" s="80" t="n">
        <v>46030</v>
      </c>
      <c r="F905" t="inlineStr">
        <is>
          <t>from lizi email</t>
        </is>
      </c>
      <c r="G905" s="80" t="n">
        <v>46079</v>
      </c>
    </row>
    <row r="906" ht="15.75" customHeight="1" s="216">
      <c r="A906" t="inlineStr">
        <is>
          <t>Craig Hrinkevich</t>
        </is>
      </c>
      <c r="B906" t="inlineStr">
        <is>
          <t>DA Davidson</t>
        </is>
      </c>
      <c r="C906" s="111" t="inlineStr">
        <is>
          <t>https://www.linkedin.com/in/craig-hrinkevich/</t>
        </is>
      </c>
      <c r="D906" s="143" t="inlineStr">
        <is>
          <t>chrinkevich@dadco.com</t>
        </is>
      </c>
      <c r="E906" s="80" t="n">
        <v>46030</v>
      </c>
    </row>
    <row r="907" ht="15.75" customHeight="1" s="216">
      <c r="A907" t="inlineStr">
        <is>
          <t>Phillip Mann</t>
        </is>
      </c>
      <c r="B907" t="inlineStr">
        <is>
          <t>Booz Allen</t>
        </is>
      </c>
      <c r="C907" t="inlineStr">
        <is>
          <t>linkedin.com/in/phillipmann</t>
        </is>
      </c>
      <c r="D907" s="198" t="inlineStr">
        <is>
          <t>mann_phillip@bah.com</t>
        </is>
      </c>
      <c r="E907" s="80" t="n">
        <v>46030</v>
      </c>
      <c r="F907" t="inlineStr">
        <is>
          <t>from lizi email</t>
        </is>
      </c>
      <c r="G907" s="80" t="n">
        <v>46079</v>
      </c>
    </row>
    <row r="908" ht="15.75" customHeight="1" s="216">
      <c r="A908" s="223" t="inlineStr">
        <is>
          <t>Edoardo Zarghetta</t>
        </is>
      </c>
      <c r="B908" s="122" t="inlineStr">
        <is>
          <t>IPO Club</t>
        </is>
      </c>
      <c r="C908" s="122" t="inlineStr">
        <is>
          <t>linkedin.com/in/edozar</t>
        </is>
      </c>
      <c r="D908" s="223" t="inlineStr">
        <is>
          <t>edozar@gmail.com</t>
        </is>
      </c>
      <c r="E908" s="121" t="n">
        <v>46030</v>
      </c>
      <c r="F908" t="inlineStr">
        <is>
          <t>from lizi email// replied and asked if we do suborbital</t>
        </is>
      </c>
      <c r="G908" t="inlineStr">
        <is>
          <t>meeting held on 1/13 - pitch deck sent for brother</t>
        </is>
      </c>
    </row>
    <row r="909" ht="15.75" customHeight="1" s="216">
      <c r="A909" s="153" t="inlineStr">
        <is>
          <t>Jordan Yip</t>
        </is>
      </c>
      <c r="B909" s="288" t="inlineStr">
        <is>
          <t>IPO Club</t>
        </is>
      </c>
      <c r="C909" s="288" t="inlineStr">
        <is>
          <t>linkedin.com/in/jordan-yip-zhu-ern</t>
        </is>
      </c>
      <c r="D909" s="153" t="inlineStr">
        <is>
          <t>jordan@preipo.club</t>
        </is>
      </c>
      <c r="E909" s="129" t="n">
        <v>46030</v>
      </c>
      <c r="F909" s="288" t="inlineStr">
        <is>
          <t>from lizi email</t>
        </is>
      </c>
    </row>
    <row r="910" ht="15.75" customHeight="1" s="216">
      <c r="A910" t="inlineStr">
        <is>
          <t>Victor Peng</t>
        </is>
      </c>
      <c r="B910" t="inlineStr">
        <is>
          <t>Ardent Investors</t>
        </is>
      </c>
      <c r="D910" s="198" t="inlineStr">
        <is>
          <t>vpeng@ardentinvestors.com</t>
        </is>
      </c>
      <c r="E910" t="inlineStr">
        <is>
          <t>1/9 - followed up, contacted 2025</t>
        </is>
      </c>
    </row>
    <row r="911" ht="15.75" customHeight="1" s="216">
      <c r="A911" t="inlineStr">
        <is>
          <t>the team</t>
        </is>
      </c>
      <c r="B911" t="inlineStr">
        <is>
          <t xml:space="preserve">Galava </t>
        </is>
      </c>
      <c r="D911" s="114" t="inlineStr">
        <is>
          <t>sent through contact page</t>
        </is>
      </c>
      <c r="E911" s="80" t="n">
        <v>46031</v>
      </c>
    </row>
    <row r="912" ht="15.75" customHeight="1" s="216">
      <c r="A912" s="143" t="inlineStr">
        <is>
          <t>Raaid Hossain</t>
        </is>
      </c>
      <c r="B912" t="inlineStr">
        <is>
          <t>Tribe Capital</t>
        </is>
      </c>
      <c r="C912" s="111" t="inlineStr">
        <is>
          <t>https://www.linkedin.com/in/raaid/</t>
        </is>
      </c>
      <c r="D912" s="143" t="inlineStr">
        <is>
          <t>raaid@tribecap.co</t>
        </is>
      </c>
      <c r="E912" s="80" t="n">
        <v>46035</v>
      </c>
    </row>
    <row r="913" ht="15.75" customHeight="1" s="216">
      <c r="A913" s="143" t="inlineStr">
        <is>
          <t>Kavin Stewart</t>
        </is>
      </c>
      <c r="B913" t="inlineStr">
        <is>
          <t>Tribe Capital</t>
        </is>
      </c>
      <c r="C913" t="inlineStr">
        <is>
          <t>linkedin.com/in/kavin</t>
        </is>
      </c>
      <c r="D913" s="143" t="inlineStr">
        <is>
          <t>kavin@tribecap.co</t>
        </is>
      </c>
      <c r="E913" s="80" t="n">
        <v>46035</v>
      </c>
    </row>
    <row r="914" ht="15.75" customHeight="1" s="216">
      <c r="A914" t="inlineStr">
        <is>
          <t>Jonathan Hsu</t>
        </is>
      </c>
      <c r="B914" t="inlineStr">
        <is>
          <t>Tribe Capital</t>
        </is>
      </c>
      <c r="C914" t="inlineStr">
        <is>
          <t>linkedin.com/in/jonathanphsu</t>
        </is>
      </c>
      <c r="D914" s="143" t="inlineStr">
        <is>
          <t>jonathan@tribecap.co</t>
        </is>
      </c>
      <c r="E914" s="80" t="n">
        <v>46035</v>
      </c>
    </row>
    <row r="915" ht="15.75" customHeight="1" s="216">
      <c r="A915" t="inlineStr">
        <is>
          <t>Alex Chee</t>
        </is>
      </c>
      <c r="B915" t="inlineStr">
        <is>
          <t>Tribe Capital</t>
        </is>
      </c>
      <c r="C915" t="inlineStr">
        <is>
          <t>linkedin.com/in/alexchee</t>
        </is>
      </c>
      <c r="D915" s="143" t="inlineStr">
        <is>
          <t>alex@tribecap.co</t>
        </is>
      </c>
      <c r="E915" s="80" t="n">
        <v>46035</v>
      </c>
    </row>
    <row r="916" ht="15.75" customHeight="1" s="216">
      <c r="A916" s="143" t="inlineStr">
        <is>
          <t>Rayyan Islam</t>
        </is>
      </c>
      <c r="B916" t="inlineStr">
        <is>
          <t>8090 Industries</t>
        </is>
      </c>
      <c r="C916" s="111" t="inlineStr">
        <is>
          <t>https://www.linkedin.com/in/rayyanislam/</t>
        </is>
      </c>
      <c r="D916" s="143" t="inlineStr">
        <is>
          <t>rayyan@8090industries.com</t>
        </is>
      </c>
      <c r="E916" s="80" t="n">
        <v>46035</v>
      </c>
    </row>
    <row r="917" ht="15.75" customHeight="1" s="216">
      <c r="A917" s="153" t="inlineStr">
        <is>
          <t>Filip Vurdelja</t>
        </is>
      </c>
      <c r="B917" s="288" t="inlineStr">
        <is>
          <t>8090 Industries</t>
        </is>
      </c>
      <c r="C917" s="288" t="inlineStr">
        <is>
          <t>linkedin.com/in/filipvurdelja</t>
        </is>
      </c>
      <c r="D917" s="153" t="inlineStr">
        <is>
          <t>filip@8090industries.com</t>
        </is>
      </c>
      <c r="E917" s="80" t="n">
        <v>46035</v>
      </c>
      <c r="F917" t="inlineStr">
        <is>
          <t>left 8090</t>
        </is>
      </c>
    </row>
    <row r="918" ht="15.75" customHeight="1" s="216">
      <c r="A918" s="143" t="inlineStr">
        <is>
          <t>Kerem Ozmen</t>
        </is>
      </c>
      <c r="B918" t="inlineStr">
        <is>
          <t>8090 Industries</t>
        </is>
      </c>
      <c r="C918" t="inlineStr">
        <is>
          <t>linkedin.com/in/kerem-ozmen-6231aa11b</t>
        </is>
      </c>
      <c r="D918" s="143" t="inlineStr">
        <is>
          <t>kerem@8090industries.com</t>
        </is>
      </c>
      <c r="E918" s="80" t="n">
        <v>46035</v>
      </c>
    </row>
    <row r="919" ht="15.75" customHeight="1" s="216">
      <c r="A919" s="143" t="inlineStr">
        <is>
          <t>Wes Mendenhall</t>
        </is>
      </c>
      <c r="B919" t="inlineStr">
        <is>
          <t>8090 Industries</t>
        </is>
      </c>
      <c r="C919" t="inlineStr">
        <is>
          <t>linkedin.com/in/wesmendenhall</t>
        </is>
      </c>
      <c r="D919" s="143" t="inlineStr">
        <is>
          <t>wes@8090industries.com</t>
        </is>
      </c>
      <c r="E919" s="80" t="n">
        <v>46035</v>
      </c>
    </row>
    <row r="920" ht="15.75" customHeight="1" s="216">
      <c r="A920" s="143" t="inlineStr">
        <is>
          <t>Garuth Acharya</t>
        </is>
      </c>
      <c r="B920" t="inlineStr">
        <is>
          <t>8090 Industries</t>
        </is>
      </c>
      <c r="C920" t="inlineStr">
        <is>
          <t>linkedin.com/in/garuthacharya</t>
        </is>
      </c>
      <c r="D920" s="143" t="inlineStr">
        <is>
          <t>garuth@8090industries.com</t>
        </is>
      </c>
      <c r="E920" s="80" t="n">
        <v>46035</v>
      </c>
    </row>
    <row r="921" ht="15.75" customHeight="1" s="216">
      <c r="A921" s="143" t="inlineStr">
        <is>
          <t>Price Mulford</t>
        </is>
      </c>
      <c r="B921" t="inlineStr">
        <is>
          <t>8090 Industries</t>
        </is>
      </c>
      <c r="C921" t="inlineStr">
        <is>
          <t>linkedin.com/in/price-mulford</t>
        </is>
      </c>
      <c r="D921" s="143" t="inlineStr">
        <is>
          <t>price@8090industries.com</t>
        </is>
      </c>
      <c r="E921" s="80" t="n">
        <v>46035</v>
      </c>
    </row>
    <row r="922" ht="15.75" customHeight="1" s="216">
      <c r="A922" s="143" t="inlineStr">
        <is>
          <t>Don Rogers</t>
        </is>
      </c>
      <c r="B922" t="inlineStr">
        <is>
          <t>Stride Capital</t>
        </is>
      </c>
      <c r="C922" t="inlineStr">
        <is>
          <t>linkedin.com/in/don-rogers-2364193a</t>
        </is>
      </c>
      <c r="D922" s="143" t="inlineStr">
        <is>
          <t>drogers@stridecapital.com</t>
        </is>
      </c>
      <c r="E922" s="80" t="n">
        <v>46035</v>
      </c>
    </row>
    <row r="923" ht="15.75" customHeight="1" s="216">
      <c r="A923" s="143" t="inlineStr">
        <is>
          <t>Jessica Tavarez</t>
        </is>
      </c>
      <c r="B923" t="inlineStr">
        <is>
          <t>Stride Capital</t>
        </is>
      </c>
      <c r="C923" t="inlineStr">
        <is>
          <t>linkedin.com/in/tavarezj</t>
        </is>
      </c>
      <c r="D923" s="143" t="inlineStr">
        <is>
          <t>jtavarez@stridecapital.com</t>
        </is>
      </c>
      <c r="E923" s="80" t="n">
        <v>46035</v>
      </c>
    </row>
    <row r="924" ht="15.75" customHeight="1" s="216">
      <c r="A924" s="143" t="inlineStr">
        <is>
          <t>Andrew Byrd</t>
        </is>
      </c>
      <c r="B924" t="inlineStr">
        <is>
          <t>TVV Capital</t>
        </is>
      </c>
      <c r="C924" t="inlineStr">
        <is>
          <t>linkedin.com/in/andrew-byrd-3a021993</t>
        </is>
      </c>
      <c r="D924" s="143" t="inlineStr">
        <is>
          <t>andrew@tvvcapital.com</t>
        </is>
      </c>
      <c r="E924" s="80" t="n">
        <v>46036</v>
      </c>
      <c r="F924" t="inlineStr">
        <is>
          <t>from lizi email</t>
        </is>
      </c>
    </row>
    <row r="925" ht="15.75" customHeight="1" s="216">
      <c r="A925" t="inlineStr">
        <is>
          <t>Jim Cooper</t>
        </is>
      </c>
      <c r="B925" t="inlineStr">
        <is>
          <t>TVV Capital</t>
        </is>
      </c>
      <c r="C925" s="111" t="inlineStr">
        <is>
          <t>https://www.linkedin.com/in/jim-cooper-b73b39276/</t>
        </is>
      </c>
      <c r="D925" s="143" t="inlineStr">
        <is>
          <t>jim@tvvcapital.com</t>
        </is>
      </c>
      <c r="E925" s="80" t="n">
        <v>46036</v>
      </c>
      <c r="F925" t="inlineStr">
        <is>
          <t>from lizi email</t>
        </is>
      </c>
    </row>
    <row r="926" ht="15.75" customHeight="1" s="216">
      <c r="A926" t="inlineStr">
        <is>
          <t>Troy Geuther</t>
        </is>
      </c>
      <c r="B926" t="inlineStr">
        <is>
          <t>TVV Capital</t>
        </is>
      </c>
      <c r="C926" t="inlineStr">
        <is>
          <t>linkedin.com/in/troygeuther</t>
        </is>
      </c>
      <c r="D926" s="143" t="inlineStr">
        <is>
          <t>troy@tvvcapital.com</t>
        </is>
      </c>
      <c r="E926" s="80" t="n">
        <v>46036</v>
      </c>
      <c r="F926" t="inlineStr">
        <is>
          <t>from lizi email</t>
        </is>
      </c>
    </row>
    <row r="927" ht="15.75" customHeight="1" s="216">
      <c r="A927" t="inlineStr">
        <is>
          <t>Stone Norton</t>
        </is>
      </c>
      <c r="B927" t="inlineStr">
        <is>
          <t>TVV Capital</t>
        </is>
      </c>
      <c r="C927" s="111" t="inlineStr">
        <is>
          <t>https://www.linkedin.com/in/stone-norton</t>
        </is>
      </c>
      <c r="D927" s="143" t="inlineStr">
        <is>
          <t>stone@tvvcapital.com</t>
        </is>
      </c>
      <c r="E927" s="80" t="n">
        <v>46036</v>
      </c>
      <c r="F927" t="inlineStr">
        <is>
          <t>from lizi email</t>
        </is>
      </c>
    </row>
    <row r="928" ht="15.75" customHeight="1" s="216">
      <c r="A928" s="143" t="inlineStr">
        <is>
          <t>Bobby Yazdani</t>
        </is>
      </c>
      <c r="B928" t="inlineStr">
        <is>
          <t>Cota Capital</t>
        </is>
      </c>
      <c r="C928" s="111" t="inlineStr">
        <is>
          <t>https://www.linkedin.com/in/bobby-yazdani-015a13a/</t>
        </is>
      </c>
      <c r="D928" s="143" t="inlineStr">
        <is>
          <t>bobby@cotacapital.com</t>
        </is>
      </c>
      <c r="E928" s="80" t="n">
        <v>46036</v>
      </c>
      <c r="F928" t="inlineStr">
        <is>
          <t>from lizi email</t>
        </is>
      </c>
    </row>
    <row r="929" ht="15.75" customHeight="1" s="216">
      <c r="A929" s="143" t="inlineStr">
        <is>
          <t>Babak Poushanchi</t>
        </is>
      </c>
      <c r="B929" t="inlineStr">
        <is>
          <t>Cota Capital</t>
        </is>
      </c>
      <c r="C929" t="inlineStr">
        <is>
          <t>linkedin.com/in/babak-poushanchi-a5a3a238</t>
        </is>
      </c>
      <c r="D929" s="143" t="inlineStr">
        <is>
          <t>bp@cotacapital.com</t>
        </is>
      </c>
      <c r="E929" s="80" t="n">
        <v>46036</v>
      </c>
      <c r="F929" t="inlineStr">
        <is>
          <t>from lizi email</t>
        </is>
      </c>
    </row>
    <row r="930" ht="15.75" customHeight="1" s="216">
      <c r="A930" s="143" t="inlineStr">
        <is>
          <t>Hannan Parvizian</t>
        </is>
      </c>
      <c r="B930" t="inlineStr">
        <is>
          <t>Cota Capital</t>
        </is>
      </c>
      <c r="D930" s="143" t="inlineStr">
        <is>
          <t>hannan@cotacapital.com</t>
        </is>
      </c>
      <c r="E930" s="80" t="n">
        <v>46036</v>
      </c>
      <c r="F930" t="inlineStr">
        <is>
          <t>from lizi email</t>
        </is>
      </c>
    </row>
    <row r="931" ht="15.75" customHeight="1" s="216">
      <c r="A931" s="143" t="inlineStr">
        <is>
          <t>Kevin Jacques</t>
        </is>
      </c>
      <c r="B931" t="inlineStr">
        <is>
          <t>Cota Capital</t>
        </is>
      </c>
      <c r="C931" t="inlineStr">
        <is>
          <t>linkedin.com/in/kevinjacques</t>
        </is>
      </c>
      <c r="D931" s="143" t="inlineStr">
        <is>
          <t>kevin@cotacapital.com</t>
        </is>
      </c>
      <c r="E931" s="80" t="n">
        <v>46036</v>
      </c>
      <c r="F931" t="inlineStr">
        <is>
          <t>from lizi email</t>
        </is>
      </c>
    </row>
    <row r="932" ht="15.75" customHeight="1" s="216">
      <c r="A932" s="143" t="inlineStr">
        <is>
          <t>Ronen Assia</t>
        </is>
      </c>
      <c r="B932" t="inlineStr">
        <is>
          <t>Team 8</t>
        </is>
      </c>
      <c r="C932" s="111" t="inlineStr">
        <is>
          <t>https://www.linkedin.com/in/ronenassia</t>
        </is>
      </c>
      <c r="D932" s="143" t="inlineStr">
        <is>
          <t>ronen@team8.vc</t>
        </is>
      </c>
      <c r="E932" s="80" t="n">
        <v>46045</v>
      </c>
      <c r="F932" t="inlineStr">
        <is>
          <t>from lizi email</t>
        </is>
      </c>
    </row>
    <row r="933" ht="15.75" customHeight="1" s="216">
      <c r="A933" s="143" t="inlineStr">
        <is>
          <t>Liran Grinberg</t>
        </is>
      </c>
      <c r="B933" t="inlineStr">
        <is>
          <t>Team 8</t>
        </is>
      </c>
      <c r="C933" s="111" t="inlineStr">
        <is>
          <t>https://www.linkedin.com/in/lirangr</t>
        </is>
      </c>
      <c r="D933" s="143" t="inlineStr">
        <is>
          <t>liran@team8.vc</t>
        </is>
      </c>
      <c r="E933" s="80" t="n">
        <v>46045</v>
      </c>
      <c r="F933" t="inlineStr">
        <is>
          <t>from lizi email</t>
        </is>
      </c>
    </row>
    <row r="934" ht="15.75" customHeight="1" s="216">
      <c r="A934" s="143" t="inlineStr">
        <is>
          <t>Yuval Shachar</t>
        </is>
      </c>
      <c r="B934" t="inlineStr">
        <is>
          <t>Team 8</t>
        </is>
      </c>
      <c r="C934" s="111" t="inlineStr">
        <is>
          <t>https://www.linkedin.com/in/yuval-shachar-14a6476</t>
        </is>
      </c>
      <c r="D934" s="143" t="inlineStr">
        <is>
          <t>yuval@team8.vc</t>
        </is>
      </c>
      <c r="E934" s="80" t="n">
        <v>46045</v>
      </c>
      <c r="F934" t="inlineStr">
        <is>
          <t>from lizi email</t>
        </is>
      </c>
    </row>
    <row r="935" ht="15.75" customHeight="1" s="216">
      <c r="A935" s="143" t="inlineStr">
        <is>
          <t>Rakefet Russak-Aminoach</t>
        </is>
      </c>
      <c r="B935" t="inlineStr">
        <is>
          <t>Team 8</t>
        </is>
      </c>
      <c r="C935" s="111" t="inlineStr">
        <is>
          <t>https://www.linkedin.com/in/rakefet-russak-aminoach</t>
        </is>
      </c>
      <c r="D935" s="143" t="inlineStr">
        <is>
          <t>rakefet@team8.vc</t>
        </is>
      </c>
      <c r="E935" s="80" t="n">
        <v>46045</v>
      </c>
      <c r="F935" t="inlineStr">
        <is>
          <t>from lizi email</t>
        </is>
      </c>
    </row>
    <row r="936" ht="15.75" customHeight="1" s="216">
      <c r="A936" t="inlineStr">
        <is>
          <t>The team</t>
        </is>
      </c>
      <c r="B936" t="inlineStr">
        <is>
          <t>Silverstein Capital</t>
        </is>
      </c>
      <c r="D936" t="inlineStr">
        <is>
          <t>Reception@Silvprop.com</t>
        </is>
      </c>
      <c r="E936" s="80" t="n">
        <v>46045</v>
      </c>
      <c r="F936" t="inlineStr">
        <is>
          <t>from lizi email</t>
        </is>
      </c>
    </row>
    <row r="937" ht="15.75" customHeight="1" s="216">
      <c r="A937" t="inlineStr">
        <is>
          <t>Anousheh Ansari</t>
        </is>
      </c>
      <c r="D937" s="198" t="inlineStr">
        <is>
          <t>anousheh.ansari@xprize.org</t>
        </is>
      </c>
      <c r="E937" s="80" t="n">
        <v>46045</v>
      </c>
      <c r="F937" t="inlineStr">
        <is>
          <t>from lizi email</t>
        </is>
      </c>
    </row>
    <row r="938" ht="15.75" customHeight="1" s="216">
      <c r="A938" s="143" t="inlineStr">
        <is>
          <t>Daniel Barile</t>
        </is>
      </c>
      <c r="B938" t="inlineStr">
        <is>
          <t>Sky Bridge</t>
        </is>
      </c>
      <c r="C938" s="111" t="inlineStr">
        <is>
          <t>https://www.linkedin.com/in/daniel-barile/</t>
        </is>
      </c>
      <c r="D938" s="143" t="inlineStr">
        <is>
          <t>dbarile@skybridge.com</t>
        </is>
      </c>
      <c r="E938" s="80" t="n">
        <v>46046</v>
      </c>
      <c r="F938" t="inlineStr">
        <is>
          <t>from lizi email</t>
        </is>
      </c>
    </row>
    <row r="939" ht="15.75" customHeight="1" s="216">
      <c r="A939" s="143" t="inlineStr">
        <is>
          <t>Ray Nolte</t>
        </is>
      </c>
      <c r="B939" t="inlineStr">
        <is>
          <t>Sky Bridge</t>
        </is>
      </c>
      <c r="C939" s="111" t="inlineStr">
        <is>
          <t>https://www.linkedin.com/in/ray-nolte-945b4a23</t>
        </is>
      </c>
      <c r="D939" s="143" t="inlineStr">
        <is>
          <t>rnolte@skybridge.com</t>
        </is>
      </c>
      <c r="E939" s="80" t="n">
        <v>46046</v>
      </c>
      <c r="F939" t="inlineStr">
        <is>
          <t>from lizi email</t>
        </is>
      </c>
    </row>
    <row r="940" ht="15.75" customHeight="1" s="216">
      <c r="A940" s="143" t="inlineStr">
        <is>
          <t>John Darsie</t>
        </is>
      </c>
      <c r="B940" t="inlineStr">
        <is>
          <t>Sky Bridge</t>
        </is>
      </c>
      <c r="C940" s="111" t="inlineStr">
        <is>
          <t>https://www.linkedin.com/in/john-darsie/</t>
        </is>
      </c>
      <c r="D940" s="143" t="inlineStr">
        <is>
          <t>jdarsie@skybridge.com</t>
        </is>
      </c>
      <c r="E940" s="80" t="n">
        <v>46046</v>
      </c>
      <c r="F940" t="inlineStr">
        <is>
          <t>from lizi email</t>
        </is>
      </c>
    </row>
    <row r="941" ht="15.75" customHeight="1" s="216">
      <c r="A941" s="143" t="inlineStr">
        <is>
          <t>Anthony Scaramucci</t>
        </is>
      </c>
      <c r="B941" t="inlineStr">
        <is>
          <t>Sky Bridge</t>
        </is>
      </c>
      <c r="C941" s="111" t="inlineStr">
        <is>
          <t>https://www.linkedin.com/in/anscaramucci</t>
        </is>
      </c>
      <c r="D941" s="143" t="inlineStr">
        <is>
          <t>ascaramucci@skybridge.com</t>
        </is>
      </c>
      <c r="E941" s="80" t="n">
        <v>46046</v>
      </c>
      <c r="F941" t="inlineStr">
        <is>
          <t>from lizi email</t>
        </is>
      </c>
    </row>
    <row r="942" ht="15.75" customHeight="1" s="216">
      <c r="A942" t="inlineStr">
        <is>
          <t>Bryce Dabbs</t>
        </is>
      </c>
      <c r="B942" t="inlineStr">
        <is>
          <t>Approach Ventures</t>
        </is>
      </c>
      <c r="D942" s="198" t="inlineStr">
        <is>
          <t>bryce@approachventure.com</t>
        </is>
      </c>
      <c r="E942" s="80" t="n">
        <v>46062</v>
      </c>
    </row>
    <row r="943" ht="15.75" customHeight="1" s="216">
      <c r="A943" s="143" t="inlineStr">
        <is>
          <t>Colin Johnson</t>
        </is>
      </c>
      <c r="B943" t="inlineStr">
        <is>
          <t>Approach Ventures</t>
        </is>
      </c>
      <c r="C943" s="111" t="inlineStr">
        <is>
          <t>https://www.linkedin.com/in/colin-johnson-57387ab9/</t>
        </is>
      </c>
      <c r="D943" s="143" t="inlineStr">
        <is>
          <t>colin@approachventure.com</t>
        </is>
      </c>
      <c r="E943" s="80" t="n">
        <v>46062</v>
      </c>
      <c r="F943" t="inlineStr">
        <is>
          <t>from lizi email</t>
        </is>
      </c>
    </row>
    <row r="944" ht="15.75" customHeight="1" s="216">
      <c r="A944" s="143" t="inlineStr">
        <is>
          <t>Kevin Mandia</t>
        </is>
      </c>
      <c r="B944" t="inlineStr">
        <is>
          <t>Ballistic Ventures</t>
        </is>
      </c>
      <c r="C944" s="111" t="inlineStr">
        <is>
          <t>https://www.linkedin.com/in/kevin-mandia-0a07173/</t>
        </is>
      </c>
      <c r="D944" s="143" t="inlineStr">
        <is>
          <t>kevin@ballisticventures.com</t>
        </is>
      </c>
      <c r="E944" s="80" t="n">
        <v>46062</v>
      </c>
      <c r="F944" t="inlineStr">
        <is>
          <t>from lizi email</t>
        </is>
      </c>
    </row>
    <row r="945" ht="15.75" customHeight="1" s="216">
      <c r="A945" s="368" t="inlineStr">
        <is>
          <t>Kaitlyn DeBernardo</t>
        </is>
      </c>
      <c r="B945" t="inlineStr">
        <is>
          <t>Next Coast Ventures</t>
        </is>
      </c>
      <c r="C945" s="111" t="inlineStr">
        <is>
          <t>https://www.linkedin.com/in/kaitlyndebernardo/</t>
        </is>
      </c>
      <c r="D945" s="368" t="inlineStr">
        <is>
          <t>kdebernardo@nextcoastventures.com</t>
        </is>
      </c>
      <c r="E945" s="80" t="n">
        <v>46073</v>
      </c>
      <c r="F945" t="inlineStr">
        <is>
          <t>from lizi email</t>
        </is>
      </c>
    </row>
    <row r="946" ht="15.75" customHeight="1" s="216">
      <c r="A946" s="368" t="inlineStr">
        <is>
          <t>Adam Rogers</t>
        </is>
      </c>
      <c r="B946" t="inlineStr">
        <is>
          <t>Next Coast Ventures</t>
        </is>
      </c>
      <c r="C946" s="111" t="inlineStr">
        <is>
          <t>https://www.linkedin.com/in/adammrogers</t>
        </is>
      </c>
      <c r="D946" s="368" t="inlineStr">
        <is>
          <t>arogers@nextcoastventures.com</t>
        </is>
      </c>
      <c r="E946" s="80" t="n">
        <v>46073</v>
      </c>
      <c r="F946" t="inlineStr">
        <is>
          <t>from lizi email</t>
        </is>
      </c>
    </row>
    <row r="947" ht="15.75" customHeight="1" s="216">
      <c r="A947" s="368" t="inlineStr">
        <is>
          <t>Michael Tian</t>
        </is>
      </c>
      <c r="B947" t="inlineStr">
        <is>
          <t>Next Coast Ventures</t>
        </is>
      </c>
      <c r="C947" t="inlineStr">
        <is>
          <t>linkedin.com/in/michaelztian</t>
        </is>
      </c>
      <c r="D947" s="369" t="inlineStr">
        <is>
          <t>mtian@nextcoastventures.com</t>
        </is>
      </c>
      <c r="E947" s="80" t="n">
        <v>46073</v>
      </c>
      <c r="F947" t="inlineStr">
        <is>
          <t>from lizi email</t>
        </is>
      </c>
    </row>
    <row r="948" ht="15.75" customHeight="1" s="216">
      <c r="A948" s="368" t="inlineStr">
        <is>
          <t>Dustin Sellers</t>
        </is>
      </c>
      <c r="B948" t="inlineStr">
        <is>
          <t>Next Coast Ventures</t>
        </is>
      </c>
      <c r="C948" s="111" t="inlineStr">
        <is>
          <t>https://www.linkedin.com/in/dustin-sellers-6b9229/</t>
        </is>
      </c>
      <c r="D948" s="368" t="inlineStr">
        <is>
          <t>dsellers@nextcoastventures.com</t>
        </is>
      </c>
      <c r="E948" s="80" t="n">
        <v>46073</v>
      </c>
      <c r="F948" t="inlineStr">
        <is>
          <t>from lizi email</t>
        </is>
      </c>
    </row>
    <row r="949" ht="15.75" customHeight="1" s="216">
      <c r="A949" s="368" t="inlineStr">
        <is>
          <t>Thomas Ball</t>
        </is>
      </c>
      <c r="B949" t="inlineStr">
        <is>
          <t>Next Coast Ventures</t>
        </is>
      </c>
      <c r="C949" s="111" t="inlineStr">
        <is>
          <t>https://www.linkedin.com/in/cthomasball/</t>
        </is>
      </c>
      <c r="D949" s="368" t="inlineStr">
        <is>
          <t>tball@nextcoastventures.com</t>
        </is>
      </c>
      <c r="E949" s="80" t="n">
        <v>46073</v>
      </c>
      <c r="F949" t="inlineStr">
        <is>
          <t>from lizi email</t>
        </is>
      </c>
    </row>
    <row r="950" ht="15.75" customHeight="1" s="216">
      <c r="A950" s="368" t="inlineStr">
        <is>
          <t>Michael Smerklo</t>
        </is>
      </c>
      <c r="B950" t="inlineStr">
        <is>
          <t>Next Coast Ventures</t>
        </is>
      </c>
      <c r="C950" t="inlineStr">
        <is>
          <t>linkedin.com/in/mikesmerklo</t>
        </is>
      </c>
      <c r="D950" s="368" t="inlineStr">
        <is>
          <t>msmerklo@nextcoastventures.com</t>
        </is>
      </c>
      <c r="E950" s="80" t="n">
        <v>46073</v>
      </c>
      <c r="F950" t="inlineStr">
        <is>
          <t>from lizi email</t>
        </is>
      </c>
    </row>
    <row r="951" ht="15.75" customHeight="1" s="216">
      <c r="A951" s="368" t="inlineStr">
        <is>
          <t>Livingston Miller</t>
        </is>
      </c>
      <c r="B951" t="inlineStr">
        <is>
          <t>Initialized Capital</t>
        </is>
      </c>
      <c r="C951" s="111" t="inlineStr">
        <is>
          <t>https://www.linkedin.com/in/livingston-miller-5a6a73a/</t>
        </is>
      </c>
      <c r="D951" s="368" t="inlineStr">
        <is>
          <t>livingston@initialized.com</t>
        </is>
      </c>
      <c r="E951" s="80" t="n">
        <v>46074</v>
      </c>
      <c r="F951" t="inlineStr">
        <is>
          <t>from lizi email</t>
        </is>
      </c>
    </row>
    <row r="952" ht="15.75" customHeight="1" s="216">
      <c r="A952" t="inlineStr">
        <is>
          <t>Brett Gibson</t>
        </is>
      </c>
      <c r="B952" t="inlineStr">
        <is>
          <t>Initialized Capital</t>
        </is>
      </c>
      <c r="C952" s="111" t="inlineStr">
        <is>
          <t>https://www.linkedin.com/in/brettdgibson</t>
        </is>
      </c>
      <c r="D952" s="368" t="inlineStr">
        <is>
          <t>brett@initialized.com</t>
        </is>
      </c>
      <c r="E952" s="80" t="n">
        <v>46074</v>
      </c>
      <c r="F952" t="inlineStr">
        <is>
          <t>from lizi email</t>
        </is>
      </c>
    </row>
    <row r="953" ht="15.75" customHeight="1" s="216">
      <c r="A953" s="368" t="inlineStr">
        <is>
          <t>Abdul Ly</t>
        </is>
      </c>
      <c r="B953" t="inlineStr">
        <is>
          <t>Initialized Capital</t>
        </is>
      </c>
      <c r="C953" s="111" t="inlineStr">
        <is>
          <t>https://www.linkedin.com/in/abdully</t>
        </is>
      </c>
      <c r="D953" s="368" t="inlineStr">
        <is>
          <t>abdul@initialized.com</t>
        </is>
      </c>
      <c r="E953" s="80" t="n">
        <v>46074</v>
      </c>
      <c r="F953" t="inlineStr">
        <is>
          <t>from lizi email</t>
        </is>
      </c>
    </row>
    <row r="954" ht="15.75" customHeight="1" s="216">
      <c r="A954" s="379" t="inlineStr">
        <is>
          <t>Andrew Sather</t>
        </is>
      </c>
      <c r="B954" s="288" t="inlineStr">
        <is>
          <t>Initialized Capital</t>
        </is>
      </c>
      <c r="C954" s="127" t="inlineStr">
        <is>
          <t>https://www.linkedin.com/in/andrewsather</t>
        </is>
      </c>
      <c r="D954" s="379" t="inlineStr">
        <is>
          <t>andrew@initialized.com</t>
        </is>
      </c>
      <c r="E954" s="129" t="n">
        <v>46074</v>
      </c>
      <c r="F954" s="288" t="inlineStr">
        <is>
          <t>from lizi email</t>
        </is>
      </c>
    </row>
    <row r="955" ht="15.75" customHeight="1" s="216">
      <c r="A955" s="368" t="inlineStr">
        <is>
          <t>Nathan Parker</t>
        </is>
      </c>
      <c r="B955" t="inlineStr">
        <is>
          <t>Harpoon VC</t>
        </is>
      </c>
      <c r="C955" s="111" t="inlineStr">
        <is>
          <t>https://www.linkedin.com/in/nathan-parker-5801552</t>
        </is>
      </c>
      <c r="D955" s="368" t="inlineStr">
        <is>
          <t>nathan@harpoon.vc</t>
        </is>
      </c>
      <c r="E955" s="80" t="n">
        <v>46074</v>
      </c>
      <c r="F955" t="inlineStr">
        <is>
          <t>from lizi email</t>
        </is>
      </c>
    </row>
    <row r="956" ht="15.75" customHeight="1" s="216">
      <c r="A956" s="368" t="inlineStr">
        <is>
          <t>Steven Potter</t>
        </is>
      </c>
      <c r="B956" t="inlineStr">
        <is>
          <t>Harpoon VC</t>
        </is>
      </c>
      <c r="C956" t="inlineStr">
        <is>
          <t>linkedin.com/in/spotter5326</t>
        </is>
      </c>
      <c r="D956" s="368" t="inlineStr">
        <is>
          <t>stevenjpotter@mac.com</t>
        </is>
      </c>
      <c r="E956" s="80" t="n">
        <v>46074</v>
      </c>
      <c r="F956" t="inlineStr">
        <is>
          <t>from lizi email</t>
        </is>
      </c>
    </row>
    <row r="957" ht="15.75" customHeight="1" s="216">
      <c r="A957" s="368" t="inlineStr">
        <is>
          <t>Larsen Jensen</t>
        </is>
      </c>
      <c r="B957" t="inlineStr">
        <is>
          <t>Harpoon VC</t>
        </is>
      </c>
      <c r="D957" s="368" t="inlineStr">
        <is>
          <t>larsen@harpoon.vc</t>
        </is>
      </c>
      <c r="E957" s="80" t="n">
        <v>46074</v>
      </c>
      <c r="F957" t="inlineStr">
        <is>
          <t>from lizi email</t>
        </is>
      </c>
    </row>
    <row r="958" ht="15.75" customHeight="1" s="216">
      <c r="A958" s="368" t="inlineStr">
        <is>
          <t>Andrew Couillard</t>
        </is>
      </c>
      <c r="B958" t="inlineStr">
        <is>
          <t>Harpoon VC</t>
        </is>
      </c>
      <c r="C958" s="111" t="inlineStr">
        <is>
          <t>https://www.linkedin.com/in/andrew-couillard/</t>
        </is>
      </c>
      <c r="D958" s="368" t="inlineStr">
        <is>
          <t>andrew@harpoon.vc</t>
        </is>
      </c>
      <c r="E958" s="80" t="n">
        <v>46074</v>
      </c>
      <c r="F958" t="inlineStr">
        <is>
          <t>from lizi email</t>
        </is>
      </c>
    </row>
    <row r="959" ht="15.75" customHeight="1" s="216">
      <c r="A959" t="inlineStr">
        <is>
          <t>Jacob Windle</t>
        </is>
      </c>
      <c r="B959" t="inlineStr">
        <is>
          <t>Harpoon VC</t>
        </is>
      </c>
      <c r="C959" s="111" t="inlineStr">
        <is>
          <t>https://www.linkedin.com/in/jacob-windle-2196b3109</t>
        </is>
      </c>
      <c r="D959" s="368" t="inlineStr">
        <is>
          <t>jake@harpoon.vc</t>
        </is>
      </c>
      <c r="E959" s="80" t="n">
        <v>46074</v>
      </c>
      <c r="F959" t="inlineStr">
        <is>
          <t>from lizi email</t>
        </is>
      </c>
    </row>
    <row r="960" ht="15.75" customHeight="1" s="216">
      <c r="A960" s="368" t="inlineStr">
        <is>
          <t>Jared Heyman</t>
        </is>
      </c>
      <c r="B960" t="inlineStr">
        <is>
          <t>Rebel Fund</t>
        </is>
      </c>
      <c r="C960" s="111" t="inlineStr">
        <is>
          <t>https://www.linkedin.com/in/jaredheyman/</t>
        </is>
      </c>
      <c r="E960" s="80" t="n">
        <v>46074</v>
      </c>
      <c r="F960" t="inlineStr">
        <is>
          <t>from lizi email</t>
        </is>
      </c>
    </row>
    <row r="961" ht="15.75" customHeight="1" s="216">
      <c r="A961" s="368" t="inlineStr">
        <is>
          <t>Jonathan Hirsch</t>
        </is>
      </c>
      <c r="B961" t="inlineStr">
        <is>
          <t>Rebel Fund</t>
        </is>
      </c>
      <c r="C961" s="111" t="inlineStr">
        <is>
          <t>https://www.linkedin.com/in/jehirsch</t>
        </is>
      </c>
      <c r="D961" s="368" t="inlineStr">
        <is>
          <t>jehirsch@gmail.com</t>
        </is>
      </c>
      <c r="E961" s="80" t="n">
        <v>46074</v>
      </c>
      <c r="F961" t="inlineStr">
        <is>
          <t>from lizi email</t>
        </is>
      </c>
    </row>
    <row r="962" ht="15.75" customHeight="1" s="216">
      <c r="A962" t="inlineStr">
        <is>
          <t>Matt Quinn</t>
        </is>
      </c>
      <c r="B962" t="inlineStr">
        <is>
          <t>Rebel Fund</t>
        </is>
      </c>
      <c r="C962" s="111" t="inlineStr">
        <is>
          <t>https://www.linkedin.com/in/matthewthomasquinn</t>
        </is>
      </c>
      <c r="D962" s="368" t="inlineStr">
        <is>
          <t>caquinn5@yahoo.com</t>
        </is>
      </c>
      <c r="E962" s="80" t="n">
        <v>46074</v>
      </c>
      <c r="F962" t="inlineStr">
        <is>
          <t>from lizi email</t>
        </is>
      </c>
    </row>
    <row r="963" ht="15.75" customHeight="1" s="216">
      <c r="A963" s="368" t="inlineStr">
        <is>
          <t>Amr Al-Shihabi</t>
        </is>
      </c>
      <c r="B963" t="inlineStr">
        <is>
          <t>Karman Ventures</t>
        </is>
      </c>
      <c r="C963" s="111" t="inlineStr">
        <is>
          <t>https://www.linkedin.com/in/amr-alshihabi</t>
        </is>
      </c>
      <c r="D963" s="368" t="inlineStr">
        <is>
          <t>amr@movingcapital.com</t>
        </is>
      </c>
      <c r="E963" s="80" t="n">
        <v>46074</v>
      </c>
      <c r="F963" t="inlineStr">
        <is>
          <t>from lizi email</t>
        </is>
      </c>
    </row>
    <row r="964" ht="15.75" customHeight="1" s="216">
      <c r="A964" s="368" t="inlineStr">
        <is>
          <t>William Barnes</t>
        </is>
      </c>
      <c r="B964" t="inlineStr">
        <is>
          <t>Karman Ventures</t>
        </is>
      </c>
      <c r="C964" s="111" t="inlineStr">
        <is>
          <t>https://www.linkedin.com/in/williampbarnes/</t>
        </is>
      </c>
      <c r="D964" s="368" t="inlineStr">
        <is>
          <t>william@movingcapital.com</t>
        </is>
      </c>
      <c r="E964" s="80" t="n">
        <v>46074</v>
      </c>
      <c r="F964" t="inlineStr">
        <is>
          <t>from lizi email</t>
        </is>
      </c>
    </row>
    <row r="965" ht="15.75" customHeight="1" s="216">
      <c r="A965" s="368" t="inlineStr">
        <is>
          <t>Dave Clark</t>
        </is>
      </c>
      <c r="B965" t="inlineStr">
        <is>
          <t>Karman Ventures</t>
        </is>
      </c>
      <c r="C965" s="111" t="inlineStr">
        <is>
          <t>https://www.linkedin.com/in/davidacclark</t>
        </is>
      </c>
      <c r="D965" s="368" t="inlineStr">
        <is>
          <t>dave@karman.vc</t>
        </is>
      </c>
      <c r="E965" s="80" t="n">
        <v>46074</v>
      </c>
      <c r="F965" t="inlineStr">
        <is>
          <t>from lizi email</t>
        </is>
      </c>
    </row>
    <row r="966" ht="15.75" customHeight="1" s="216">
      <c r="A966" s="368" t="inlineStr">
        <is>
          <t>Immad Akhund</t>
        </is>
      </c>
      <c r="B966" t="inlineStr">
        <is>
          <t>Founder and CEO of Mercury</t>
        </is>
      </c>
      <c r="C966" s="111" t="inlineStr">
        <is>
          <t>https://www.linkedin.com/in/iakhund/</t>
        </is>
      </c>
      <c r="D966" s="368" t="inlineStr">
        <is>
          <t>immad@mercury.com</t>
        </is>
      </c>
      <c r="E966" s="80" t="n">
        <v>46074</v>
      </c>
      <c r="F966" t="inlineStr">
        <is>
          <t>from lizi email</t>
        </is>
      </c>
    </row>
    <row r="967" ht="15.75" customHeight="1" s="216">
      <c r="A967" s="168" t="inlineStr">
        <is>
          <t>Nate Fischer</t>
        </is>
      </c>
      <c r="B967" t="inlineStr">
        <is>
          <t>New Founding</t>
        </is>
      </c>
      <c r="C967" t="inlineStr">
        <is>
          <t>Aaron Era Group Intro</t>
        </is>
      </c>
      <c r="D967" s="168" t="inlineStr">
        <is>
          <t>nfischer@newfounding.com</t>
        </is>
      </c>
      <c r="E967" s="80" t="n">
        <v>46077</v>
      </c>
    </row>
    <row r="968" ht="15.75" customHeight="1" s="216">
      <c r="A968" t="inlineStr">
        <is>
          <t>Morgan Schwanke</t>
        </is>
      </c>
      <c r="B968" t="inlineStr">
        <is>
          <t>Mana Ventures</t>
        </is>
      </c>
      <c r="D968" s="114" t="inlineStr">
        <is>
          <t>reached out on linked in</t>
        </is>
      </c>
      <c r="E968" s="80" t="n">
        <v>46079</v>
      </c>
      <c r="F968" t="inlineStr">
        <is>
          <t>from lizi linked in</t>
        </is>
      </c>
    </row>
    <row r="969" ht="15.75" customHeight="1" s="216">
      <c r="A969" t="inlineStr">
        <is>
          <t>David Karol</t>
        </is>
      </c>
      <c r="B969" t="inlineStr">
        <is>
          <t>Mana Ventures</t>
        </is>
      </c>
      <c r="C969" s="111" t="inlineStr">
        <is>
          <t>https://www.linkedin.com/in/david-karol/</t>
        </is>
      </c>
      <c r="D969" s="368" t="inlineStr">
        <is>
          <t>david@manaventures.vc</t>
        </is>
      </c>
      <c r="E969" s="80" t="n">
        <v>46079</v>
      </c>
      <c r="F969" t="inlineStr">
        <is>
          <t>from lizi email</t>
        </is>
      </c>
    </row>
    <row r="970" ht="15.75" customHeight="1" s="216">
      <c r="A970" t="inlineStr">
        <is>
          <t>Thomas Fu</t>
        </is>
      </c>
      <c r="B970" t="inlineStr">
        <is>
          <t>Mana Ventures</t>
        </is>
      </c>
      <c r="C970" s="111" t="inlineStr">
        <is>
          <t>https://www.linkedin.com/in/thomas-f-77486b58</t>
        </is>
      </c>
      <c r="D970" s="368" t="inlineStr">
        <is>
          <t>thomasfu0126@gmail.com</t>
        </is>
      </c>
      <c r="E970" s="80" t="n">
        <v>46079</v>
      </c>
      <c r="F970" t="inlineStr">
        <is>
          <t>from lizi email</t>
        </is>
      </c>
    </row>
    <row r="1048466" ht="15.75" customHeight="1" s="216">
      <c r="E1048466" s="80"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2.75"/>
  <cols>
    <col width="22.28515625" customWidth="1" style="216" min="1" max="1"/>
    <col width="37.85546875" customWidth="1" style="216" min="2" max="2"/>
    <col width="45.42578125" customWidth="1" style="216" min="3" max="3"/>
    <col width="16.85546875" customWidth="1" style="216" min="5" max="5"/>
    <col width="39.140625" customWidth="1" style="216" min="6" max="6"/>
    <col width="28.140625" customWidth="1" style="216" min="7" max="7"/>
    <col width="23.5703125" customWidth="1" style="216" min="8" max="8"/>
    <col width="19.140625" customWidth="1" style="216" min="9" max="9"/>
    <col width="21.5703125" customWidth="1" style="216" min="10" max="10"/>
    <col width="14.85546875" customWidth="1" style="216" min="11" max="11"/>
    <col width="32.28515625" customWidth="1" style="216" min="12" max="12"/>
    <col width="23.85546875" customWidth="1" style="216" min="13" max="13"/>
    <col width="16.42578125" customWidth="1" style="216" min="14" max="14"/>
    <col width="19.140625" customWidth="1" style="216" min="15" max="15"/>
    <col width="19.85546875" customWidth="1" style="216" min="16" max="16"/>
    <col width="20.140625" customWidth="1" style="216" min="17" max="17"/>
    <col width="17.140625" customWidth="1" style="216" min="18" max="18"/>
    <col width="17" customWidth="1" style="216" min="19" max="20"/>
    <col width="15.5703125" customWidth="1" style="216" min="21" max="21"/>
    <col width="19.7109375" customWidth="1" style="216" min="22" max="22"/>
  </cols>
  <sheetData>
    <row r="1" customFormat="1" s="165">
      <c r="A1" s="297" t="inlineStr">
        <is>
          <t>watching</t>
        </is>
      </c>
      <c r="B1" s="298" t="inlineStr">
        <is>
          <t>drafting</t>
        </is>
      </c>
      <c r="C1" s="299" t="inlineStr">
        <is>
          <t>submitted</t>
        </is>
      </c>
      <c r="D1" s="300" t="inlineStr">
        <is>
          <t>declined</t>
        </is>
      </c>
      <c r="E1" s="301" t="inlineStr">
        <is>
          <t>pending / awarded</t>
        </is>
      </c>
      <c r="F1" s="302" t="n"/>
      <c r="G1" s="302" t="n"/>
      <c r="L1" s="303" t="inlineStr">
        <is>
          <t>red = due.     yellow = due in 14 days.</t>
        </is>
      </c>
    </row>
    <row r="2" customFormat="1" s="165">
      <c r="A2" s="295" t="n"/>
      <c r="B2" s="296" t="n"/>
      <c r="C2" s="302" t="n"/>
      <c r="D2" s="302" t="n"/>
      <c r="E2" s="302" t="n"/>
      <c r="F2" s="302" t="n"/>
      <c r="G2" s="302" t="n"/>
    </row>
    <row r="3" ht="15" customHeight="1" s="216">
      <c r="A3" s="294" t="inlineStr">
        <is>
          <t>Opportunity ID</t>
        </is>
      </c>
      <c r="B3" s="294" t="inlineStr">
        <is>
          <t>Agency / Organization</t>
        </is>
      </c>
      <c r="C3" s="294" t="inlineStr">
        <is>
          <t>Program / Solicitation Name</t>
        </is>
      </c>
      <c r="D3" s="294" t="inlineStr">
        <is>
          <t>Tier</t>
        </is>
      </c>
      <c r="E3" s="294" t="inlineStr">
        <is>
          <t>Focus Area</t>
        </is>
      </c>
      <c r="F3" s="294" t="inlineStr">
        <is>
          <t>Vehicle Type (CSO / BAA / MAA / SBIR / FO)</t>
        </is>
      </c>
      <c r="G3" s="294" t="inlineStr">
        <is>
          <t>Commercial or Gov Facing</t>
        </is>
      </c>
      <c r="H3" s="294" t="inlineStr">
        <is>
          <t>White Paper Allowed (Y/N)</t>
        </is>
      </c>
      <c r="I3" s="294" t="inlineStr">
        <is>
          <t>Submission Portal</t>
        </is>
      </c>
      <c r="J3" s="294" t="inlineStr">
        <is>
          <t>SAM Required (Y/N)</t>
        </is>
      </c>
      <c r="K3" s="294" t="inlineStr">
        <is>
          <t>Release Date</t>
        </is>
      </c>
      <c r="L3" s="294" t="inlineStr">
        <is>
          <t>Submission Deadline</t>
        </is>
      </c>
      <c r="M3" s="294" t="inlineStr">
        <is>
          <t>Internal Go / No-Go Date</t>
        </is>
      </c>
      <c r="N3" s="294" t="inlineStr">
        <is>
          <t>Current Status</t>
        </is>
      </c>
      <c r="O3" s="294" t="inlineStr">
        <is>
          <t>Primary Owner</t>
        </is>
      </c>
      <c r="P3" s="294" t="inlineStr">
        <is>
          <t>Technical Lead</t>
        </is>
      </c>
      <c r="Q3" s="294" t="inlineStr">
        <is>
          <t>Reviewer(s)</t>
        </is>
      </c>
      <c r="R3" s="294" t="inlineStr">
        <is>
          <t>Key Differentiators</t>
        </is>
      </c>
      <c r="S3" s="294" t="inlineStr">
        <is>
          <t>Submission Date</t>
        </is>
      </c>
      <c r="T3" s="294" t="inlineStr">
        <is>
          <t>Follow-Up Date</t>
        </is>
      </c>
      <c r="U3" s="294" t="inlineStr">
        <is>
          <t>Outcome</t>
        </is>
      </c>
      <c r="V3" s="294" t="inlineStr">
        <is>
          <t>Notes</t>
        </is>
      </c>
    </row>
    <row r="4">
      <c r="A4" t="inlineStr">
        <is>
          <t>NASA-ROSES-2025-D5-Astrophysics-Pioneers</t>
        </is>
      </c>
      <c r="B4" t="inlineStr">
        <is>
          <t>NASA</t>
        </is>
      </c>
      <c r="C4" t="inlineStr">
        <is>
          <t>ROSES 2025 – D.5 Astrophysics Pioneers (Amendment 38)</t>
        </is>
      </c>
      <c r="D4" t="inlineStr">
        <is>
          <t>Tier 2 – Strategic / Platform Positioning</t>
        </is>
      </c>
      <c r="E4" t="inlineStr">
        <is>
          <t>Astrophysics Science; Suborbital Science Platforms; Instrument Validation</t>
        </is>
      </c>
      <c r="F4" t="inlineStr">
        <is>
          <t>FO</t>
        </is>
      </c>
      <c r="G4" t="inlineStr">
        <is>
          <t>Government</t>
        </is>
      </c>
      <c r="H4" t="inlineStr">
        <is>
          <t>N</t>
        </is>
      </c>
      <c r="I4" t="inlineStr">
        <is>
          <t>NASA NSPIRES / SARA</t>
        </is>
      </c>
      <c r="J4" t="inlineStr">
        <is>
          <t>Y</t>
        </is>
      </c>
      <c r="K4" s="289" t="n">
        <v>46036</v>
      </c>
      <c r="L4" t="inlineStr">
        <is>
          <t>NOI: Feb 11, 2026 | Proposal: Apr 2, 2026</t>
        </is>
      </c>
      <c r="M4" s="289" t="n">
        <v>46053</v>
      </c>
      <c r="N4" t="inlineStr">
        <is>
          <t>Watch / Strategically Aligned</t>
        </is>
      </c>
      <c r="O4" t="inlineStr">
        <is>
          <t>Lizi Quinn</t>
        </is>
      </c>
      <c r="P4" t="inlineStr">
        <is>
          <t>TBD (EXOS Vehicle &amp; Payload Integration)</t>
        </is>
      </c>
      <c r="Q4" t="inlineStr">
        <is>
          <t>John Quinn</t>
        </is>
      </c>
      <c r="R4" t="inlineStr">
        <is>
          <t>Blue Origin no longer flying payloads creates a near-term gap in suborbital science access; EXOS can emerge as a licensed, repeatable suborbital platform enabling rapid iteration, payload recovery, and IDIQ-style recurring science missions.</t>
        </is>
      </c>
      <c r="S4" t="inlineStr">
        <is>
          <t>TBD</t>
        </is>
      </c>
      <c r="T4" s="289" t="n">
        <v>46042</v>
      </c>
      <c r="U4" t="inlineStr">
        <is>
          <t>TBD</t>
        </is>
      </c>
      <c r="V4" t="inlineStr">
        <is>
          <t>~$1.5M required to reach flight readiness and secure new license; best suited as platform/partner role supporting university or NASA PIs rather than prime science lead.</t>
        </is>
      </c>
    </row>
    <row r="5" ht="15" customFormat="1" customHeight="1" s="146">
      <c r="A5" s="367" t="inlineStr">
        <is>
          <t>MACH-XL-26-TEAMING</t>
        </is>
      </c>
      <c r="B5" s="367" t="inlineStr">
        <is>
          <t>NSWC Crane / DoD</t>
        </is>
      </c>
      <c r="C5" s="367" t="inlineStr">
        <is>
          <t>MACH-XL 26</t>
        </is>
      </c>
      <c r="D5" s="367" t="inlineStr">
        <is>
          <t>Teaming Partner</t>
        </is>
      </c>
      <c r="E5" s="367" t="inlineStr">
        <is>
          <t>Reusable hypersonic launch; threat systems &amp; interception scenarios; flight test integration</t>
        </is>
      </c>
      <c r="F5" s="367" t="inlineStr">
        <is>
          <t>FO</t>
        </is>
      </c>
      <c r="G5" s="367" t="inlineStr">
        <is>
          <t>Government</t>
        </is>
      </c>
      <c r="H5" s="367" t="inlineStr">
        <is>
          <t>Y</t>
        </is>
      </c>
      <c r="I5" s="367" t="inlineStr">
        <is>
          <t>DoD / NSWC Crane</t>
        </is>
      </c>
      <c r="J5" s="367" t="inlineStr">
        <is>
          <t>N/A</t>
        </is>
      </c>
      <c r="K5" s="367" t="inlineStr">
        <is>
          <t>N/A</t>
        </is>
      </c>
      <c r="L5" s="367" t="inlineStr">
        <is>
          <t>Submitted</t>
        </is>
      </c>
      <c r="M5" s="367" t="inlineStr">
        <is>
          <t>N/A</t>
        </is>
      </c>
      <c r="N5" s="367" t="inlineStr">
        <is>
          <t>Submitted</t>
        </is>
      </c>
      <c r="O5" s="367" t="inlineStr">
        <is>
          <t>John Quinn</t>
        </is>
      </c>
      <c r="P5" s="367" t="inlineStr">
        <is>
          <t>Neil</t>
        </is>
      </c>
      <c r="Q5" s="367" t="inlineStr">
        <is>
          <t>Bryan (FlightX)</t>
        </is>
      </c>
      <c r="R5" s="367" t="inlineStr">
        <is>
          <t>Reusable hypersonic launch systems; flight test + recovery; threat system scenario support; validated materials &amp; thermodynamics support via partners</t>
        </is>
      </c>
      <c r="S5" s="367" t="inlineStr">
        <is>
          <t>Submitted</t>
        </is>
      </c>
      <c r="T5" s="367" t="inlineStr">
        <is>
          <t>N/A</t>
        </is>
      </c>
      <c r="U5" s="367" t="inlineStr">
        <is>
          <t>Pending</t>
        </is>
      </c>
      <c r="V5" s="367" t="inlineStr">
        <is>
          <t>FlightX leading Mach-XL 26 with EXOS as teaming partner; mutual cross-capability statements drafted and agreed; Goodman Technologies providing CMC materials, thermodynamics ROM, and Phase I development/testing hardware; Exo Atmospheric included as additional support partner; Neil submitted on behalf of EXOS; no facility or personnel clearances required for EXOS; FlightX CAGE: 8P1S0 | UEI: PYYYXEMMLWX9 | FCL: Pending DD254</t>
        </is>
      </c>
    </row>
    <row r="6" ht="16.5" customHeight="1" s="216">
      <c r="A6" s="314" t="inlineStr">
        <is>
          <t>AFRL-AMAC-2026</t>
        </is>
      </c>
      <c r="B6" s="314" t="inlineStr">
        <is>
          <t>Air Force Research Laboratory (AFRL)</t>
        </is>
      </c>
      <c r="C6" s="314" t="inlineStr">
        <is>
          <t>AFRL AMAC IDIQ (Multiple Award Contract)</t>
        </is>
      </c>
      <c r="D6" s="314" t="inlineStr">
        <is>
          <t>Strategic</t>
        </is>
      </c>
      <c r="E6" s="314" t="inlineStr">
        <is>
          <t>Space, Air, Hypersonics, Cross-Domain</t>
        </is>
      </c>
      <c r="F6" s="314" t="inlineStr">
        <is>
          <t>IDIQ</t>
        </is>
      </c>
      <c r="G6" s="314" t="inlineStr">
        <is>
          <t>Government</t>
        </is>
      </c>
      <c r="H6" s="314" t="inlineStr">
        <is>
          <t>N</t>
        </is>
      </c>
      <c r="I6" s="314" t="inlineStr">
        <is>
          <t>SAM.gov</t>
        </is>
      </c>
      <c r="J6" s="314" t="inlineStr">
        <is>
          <t>Y</t>
        </is>
      </c>
      <c r="K6" s="314" t="n">
        <v>2026</v>
      </c>
      <c r="L6" s="314" t="inlineStr">
        <is>
          <t>TBD</t>
        </is>
      </c>
      <c r="M6" s="314" t="inlineStr">
        <is>
          <t>TBD – revisit post FY26 appropriations / funding clarity</t>
        </is>
      </c>
      <c r="N6" s="329" t="inlineStr">
        <is>
          <t xml:space="preserve">
Tracking – No funds currently available; long-horizon IDIQ (earliest awards 2026 Q4)</t>
        </is>
      </c>
      <c r="O6" s="314" t="inlineStr">
        <is>
          <t>Lizi Quinn</t>
        </is>
      </c>
      <c r="P6" s="314" t="inlineStr">
        <is>
          <t>Neil, John / Engineering TBD</t>
        </is>
      </c>
      <c r="Q6" s="314" t="inlineStr">
        <is>
          <t>John Quinn</t>
        </is>
      </c>
      <c r="R6" s="314" t="inlineStr">
        <is>
          <t>Reusable suborbital flight test platform; rapid iteration &amp; recovery; AFRL-aligned R&amp;D posture (non-TRL9); potential BLK4 + 20K RDRE development pathway</t>
        </is>
      </c>
      <c r="S6" s="314" t="inlineStr">
        <is>
          <t>TBD</t>
        </is>
      </c>
      <c r="T6" s="314" t="inlineStr">
        <is>
          <t>TBD</t>
        </is>
      </c>
      <c r="U6" s="314" t="inlineStr">
        <is>
          <t>Pending – funding availability</t>
        </is>
      </c>
      <c r="V6" s="314" t="inlineStr">
        <is>
          <t xml:space="preserve">Initial AFRL AMAC IDIQ notice. Internal discussion indicates AMAC may be a pathway for AFRL-funded BLK4 development using a 20K RDRE engine. AFRL research focus aligns with engine maturation and flight demo (non-TRL9). No submission tasking yet; engineering bandwidth currently focused on Mach XL closeout. Monitor and revisit once BLK4 roadmap, RDRE concept maturity, and capacity align. Per internal review of Attachment 3, Section L: Funds are not presently available; Government may cancel solicitation without reimbursement. Proposals require 180-day validity, indicating extended award timeline. Internal assessment anticipates earliest awards in 2026 Q4 pending FY26 defense appropriations. Defense bill passed House and is expected to advance through Senate; DHS funding separated and may face opposition. Reinforces AMAC as long-horizon strategic positioning vehicle, not near-term execution. Continue tracking only.
</t>
        </is>
      </c>
    </row>
    <row r="7">
      <c r="A7" t="inlineStr">
        <is>
          <t>TPS-25-07</t>
        </is>
      </c>
      <c r="B7" t="inlineStr">
        <is>
          <t>TBD (OTA – confirm issuing entity)</t>
        </is>
      </c>
      <c r="C7" t="inlineStr">
        <is>
          <t>Thermal Protection System (TPS)</t>
        </is>
      </c>
      <c r="D7" t="inlineStr">
        <is>
          <t>1 or 2 (depends on compliance readiness)</t>
        </is>
      </c>
      <c r="E7" t="inlineStr">
        <is>
          <t xml:space="preserve">Thermal Protection </t>
        </is>
      </c>
      <c r="F7" t="inlineStr">
        <is>
          <t>OTA</t>
        </is>
      </c>
      <c r="G7" t="inlineStr">
        <is>
          <t>Gov</t>
        </is>
      </c>
      <c r="H7" t="inlineStr">
        <is>
          <t>TBD</t>
        </is>
      </c>
      <c r="I7" t="inlineStr">
        <is>
          <t>OTA Portal (confirm)</t>
        </is>
      </c>
      <c r="J7" t="inlineStr">
        <is>
          <t>Likely Y</t>
        </is>
      </c>
      <c r="K7" t="inlineStr">
        <is>
          <t>Previously released (confirm original date)</t>
        </is>
      </c>
      <c r="L7" t="inlineStr">
        <is>
          <t>March 10, 2026 (extended)</t>
        </is>
      </c>
      <c r="M7" t="inlineStr">
        <is>
          <t>ASAP – before March 10</t>
        </is>
      </c>
      <c r="N7" t="inlineStr">
        <is>
          <t>Exploring joint submission w/ Goodman Tech</t>
        </is>
      </c>
      <c r="O7" t="inlineStr">
        <is>
          <t>John Quinn</t>
        </is>
      </c>
      <c r="R7" t="inlineStr">
        <is>
          <t>Flight Test Capability</t>
        </is>
      </c>
      <c r="U7" t="inlineStr">
        <is>
          <t xml:space="preserve">Pending </t>
        </is>
      </c>
      <c r="V7" t="inlineStr">
        <is>
          <t>Requires CMMC L2 + Facility Clearance. Goodman Tech has draft proposal. Award expected May 2026.</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2.75"/>
  <cols>
    <col width="24.28515625" customWidth="1" style="216" min="1" max="1"/>
    <col width="25" customWidth="1" style="216" min="2" max="2"/>
    <col width="33.28515625" customWidth="1" style="216" min="3" max="3"/>
    <col width="34.140625" customWidth="1" style="216" min="4" max="4"/>
    <col width="41" customWidth="1" style="216" min="5" max="5"/>
    <col width="32.42578125" customWidth="1" style="216" min="6" max="6"/>
    <col width="32.5703125" customWidth="1" style="216" min="7" max="7"/>
    <col width="36.85546875" customWidth="1" style="216" min="8" max="8"/>
    <col width="25.140625" customWidth="1" style="216" min="9" max="9"/>
    <col width="35.140625" customWidth="1" style="216" min="10" max="10"/>
  </cols>
  <sheetData>
    <row r="1">
      <c r="A1" s="157" t="inlineStr">
        <is>
          <t>Organization</t>
        </is>
      </c>
      <c r="B1" s="157" t="inlineStr">
        <is>
          <t>Engagement Pathway Type</t>
        </is>
      </c>
      <c r="C1" s="157" t="inlineStr">
        <is>
          <t>Front Door / Program Name</t>
        </is>
      </c>
      <c r="D1" s="157" t="inlineStr">
        <is>
          <t>How to Engage (Link or Method)</t>
        </is>
      </c>
      <c r="E1" s="157" t="inlineStr">
        <is>
          <t>Relevant Focus Areas</t>
        </is>
      </c>
      <c r="F1" s="157" t="inlineStr">
        <is>
          <t>Upcoming Industry Days / Events</t>
        </is>
      </c>
      <c r="G1" s="157" t="inlineStr">
        <is>
          <t>Conferences Where Present</t>
        </is>
      </c>
      <c r="H1" s="157" t="inlineStr">
        <is>
          <t>Intermediary / Accelerator Involved</t>
        </is>
      </c>
      <c r="I1" s="157" t="inlineStr">
        <is>
          <t>Status</t>
        </is>
      </c>
      <c r="J1" s="157" t="inlineStr">
        <is>
          <t>Next Action</t>
        </is>
      </c>
      <c r="K1" s="157" t="inlineStr">
        <is>
          <t>Owner</t>
        </is>
      </c>
      <c r="L1" s="157" t="inlineStr">
        <is>
          <t>Notes</t>
        </is>
      </c>
      <c r="M1" s="157" t="n"/>
    </row>
    <row r="2">
      <c r="A2" t="inlineStr">
        <is>
          <t>Air Force Research Laboratory (AFRL)</t>
        </is>
      </c>
      <c r="B2" t="inlineStr">
        <is>
          <t>Front Door / Industry Day</t>
        </is>
      </c>
      <c r="C2" t="inlineStr">
        <is>
          <t>AFRL Front Door</t>
        </is>
      </c>
      <c r="D2" t="inlineStr">
        <is>
          <t>Online intake + Q&amp;A sessions</t>
        </is>
      </c>
      <c r="E2" t="inlineStr">
        <is>
          <t>Test infrastructure, hypersonics, flight sciences</t>
        </is>
      </c>
      <c r="F2" t="inlineStr">
        <is>
          <t>AFRL virtual industry days (rolling)</t>
        </is>
      </c>
      <c r="G2" t="inlineStr">
        <is>
          <t>Space Tech Expo, AIAA, DASC</t>
        </is>
      </c>
      <c r="H2" t="inlineStr">
        <is>
          <t>Cross Timbers APEX Accelerator</t>
        </is>
      </c>
      <c r="I2" t="inlineStr">
        <is>
          <t>Researching</t>
        </is>
      </c>
      <c r="J2" s="288" t="inlineStr">
        <is>
          <t>Identify next AFRL Front Door Q&amp;A date</t>
        </is>
      </c>
      <c r="K2" t="inlineStr">
        <is>
          <t>Lizi</t>
        </is>
      </c>
      <c r="L2" t="inlineStr">
        <is>
          <t>STIB alignment signal</t>
        </is>
      </c>
    </row>
    <row r="3">
      <c r="A3" t="inlineStr">
        <is>
          <t>Defense Innovation Unit (DIU)</t>
        </is>
      </c>
      <c r="B3" t="inlineStr">
        <is>
          <t>Industry Day / CSO</t>
        </is>
      </c>
      <c r="C3" t="inlineStr">
        <is>
          <t>Commercial Solutions Opening (CSO)</t>
        </is>
      </c>
      <c r="D3" t="inlineStr">
        <is>
          <t>DIU website + virtual briefings</t>
        </is>
      </c>
      <c r="E3" t="inlineStr">
        <is>
          <t>Rapid prototyping, transition, experimentation</t>
        </is>
      </c>
      <c r="F3" t="inlineStr">
        <is>
          <t>DIU industry days (quarterly)</t>
        </is>
      </c>
      <c r="G3" t="inlineStr">
        <is>
          <t>Space Tech Expo, SmallSat</t>
        </is>
      </c>
      <c r="H3" t="inlineStr">
        <is>
          <t>APEX Accelerator</t>
        </is>
      </c>
      <c r="I3" t="inlineStr">
        <is>
          <t>Researching</t>
        </is>
      </c>
      <c r="J3" s="288" t="inlineStr">
        <is>
          <t>Track next industry day / CSO briefings</t>
        </is>
      </c>
      <c r="K3" t="inlineStr">
        <is>
          <t>Lizi</t>
        </is>
      </c>
      <c r="L3" t="inlineStr">
        <is>
          <t>Infrastructure vs point solutions</t>
        </is>
      </c>
    </row>
    <row r="4">
      <c r="A4" t="inlineStr">
        <is>
          <t>Office of the Under Secretary of Defense for Research and Engineering (OUSD R&amp;E)</t>
        </is>
      </c>
      <c r="B4" t="inlineStr">
        <is>
          <t>Conference / Working Groups</t>
        </is>
      </c>
      <c r="C4" t="inlineStr">
        <is>
          <t>R&amp;E Experimentation Initiatives</t>
        </is>
      </c>
      <c r="D4" t="inlineStr">
        <is>
          <t>Conference attendance + panels</t>
        </is>
      </c>
      <c r="E4" t="inlineStr">
        <is>
          <t>Experimentation, test enterprise</t>
        </is>
      </c>
      <c r="F4" t="inlineStr">
        <is>
          <t>N/A</t>
        </is>
      </c>
      <c r="G4" t="inlineStr">
        <is>
          <t>AIAA, defense tech conferences</t>
        </is>
      </c>
      <c r="H4" t="inlineStr">
        <is>
          <t>APEX Accelerator</t>
        </is>
      </c>
      <c r="I4" t="inlineStr">
        <is>
          <t>Researching</t>
        </is>
      </c>
      <c r="J4" s="288" t="inlineStr">
        <is>
          <t>Track R&amp;E panels at Space Tech Expo / SmallSat</t>
        </is>
      </c>
      <c r="K4" t="inlineStr">
        <is>
          <t>Lizi</t>
        </is>
      </c>
      <c r="L4" t="inlineStr">
        <is>
          <t>Narrative shaping, not funding</t>
        </is>
      </c>
    </row>
    <row r="5">
      <c r="A5" t="inlineStr">
        <is>
          <t>Naval Research Laboratory (NRL)</t>
        </is>
      </c>
      <c r="B5" t="inlineStr">
        <is>
          <t>Industry Day / T&amp;E</t>
        </is>
      </c>
      <c r="C5" t="inlineStr">
        <is>
          <t>NRL Industry Engagement</t>
        </is>
      </c>
      <c r="D5" t="inlineStr">
        <is>
          <t>Technical interchange meetings</t>
        </is>
      </c>
      <c r="E5" t="inlineStr">
        <is>
          <t>Sensors, materials, flight test</t>
        </is>
      </c>
      <c r="F5" t="inlineStr">
        <is>
          <t>NRL TIMs (ad hoc)</t>
        </is>
      </c>
      <c r="G5" t="inlineStr">
        <is>
          <t>SmallSat, AIAA</t>
        </is>
      </c>
      <c r="H5" t="inlineStr">
        <is>
          <t>APEX Accelerator</t>
        </is>
      </c>
      <c r="I5" t="inlineStr">
        <is>
          <t>Researching</t>
        </is>
      </c>
      <c r="J5" s="288" t="inlineStr">
        <is>
          <t>Search for upcoming TIMs related to flight test</t>
        </is>
      </c>
      <c r="K5" t="inlineStr">
        <is>
          <t>Lizi</t>
        </is>
      </c>
      <c r="L5" t="inlineStr">
        <is>
          <t>Recoverability angle strong</t>
        </is>
      </c>
    </row>
    <row r="6">
      <c r="A6" t="inlineStr">
        <is>
          <t>Space Systems Command (SSC)</t>
        </is>
      </c>
      <c r="B6" t="inlineStr">
        <is>
          <t>Industry Day / Early Capability</t>
        </is>
      </c>
      <c r="C6" t="inlineStr">
        <is>
          <t>SSC Industry Days</t>
        </is>
      </c>
      <c r="D6" t="inlineStr">
        <is>
          <t>Virtual + in-person briefings</t>
        </is>
      </c>
      <c r="E6" t="inlineStr">
        <is>
          <t>Early-stage de-risking, experimentation</t>
        </is>
      </c>
      <c r="F6" t="inlineStr">
        <is>
          <t>SSC industry days</t>
        </is>
      </c>
      <c r="G6" t="inlineStr">
        <is>
          <t>SmallSat</t>
        </is>
      </c>
      <c r="H6" t="inlineStr">
        <is>
          <t>APEX Accelerator</t>
        </is>
      </c>
      <c r="I6" t="inlineStr">
        <is>
          <t>Researching</t>
        </is>
      </c>
      <c r="J6" s="288" t="inlineStr">
        <is>
          <t>Scan SSC experimentation / industry day announcements</t>
        </is>
      </c>
      <c r="K6" t="inlineStr">
        <is>
          <t>Lizi</t>
        </is>
      </c>
      <c r="L6" t="inlineStr">
        <is>
          <t>Longer-term pull</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I350"/>
  <sheetViews>
    <sheetView workbookViewId="0">
      <selection activeCell="A1" sqref="A1"/>
    </sheetView>
  </sheetViews>
  <sheetFormatPr baseColWidth="8" defaultColWidth="12.5703125" defaultRowHeight="15.75"/>
  <cols>
    <col width="26.140625" customWidth="1" style="216" min="1" max="1"/>
    <col width="20.140625" customWidth="1" style="216" min="2" max="2"/>
    <col width="35.42578125" customWidth="1" style="216" min="3" max="3"/>
    <col width="34" customWidth="1" style="216" min="4" max="4"/>
    <col width="33.42578125" customWidth="1" style="216" min="5" max="5"/>
    <col width="20.140625" customWidth="1" style="216" min="6" max="6"/>
    <col width="35.5703125" customWidth="1" style="216" min="8" max="8"/>
  </cols>
  <sheetData>
    <row r="1" ht="12.94999980926514" customHeight="1" s="216">
      <c r="A1" s="1" t="inlineStr">
        <is>
          <t>Name</t>
        </is>
      </c>
      <c r="B1" s="1" t="inlineStr">
        <is>
          <t>Company</t>
        </is>
      </c>
      <c r="C1" s="1" t="inlineStr">
        <is>
          <t>LinkedIn Profile</t>
        </is>
      </c>
      <c r="D1" s="1" t="inlineStr">
        <is>
          <t>Email</t>
        </is>
      </c>
      <c r="E1" s="1" t="inlineStr">
        <is>
          <t>Secondary Email</t>
        </is>
      </c>
      <c r="F1" s="1" t="inlineStr">
        <is>
          <t>1st Email Sent</t>
        </is>
      </c>
      <c r="G1" s="1" t="inlineStr">
        <is>
          <t>Follow Up</t>
        </is>
      </c>
      <c r="H1" s="1" t="inlineStr">
        <is>
          <t>Notes</t>
        </is>
      </c>
      <c r="I1" s="1" t="inlineStr">
        <is>
          <t>Email that worked</t>
        </is>
      </c>
    </row>
    <row r="3" ht="15.75" customHeight="1" s="216">
      <c r="A3" s="2" t="inlineStr">
        <is>
          <t>Troy Toman</t>
        </is>
      </c>
      <c r="B3" s="2" t="inlineStr">
        <is>
          <t>Planet Labs</t>
        </is>
      </c>
      <c r="C3" s="3" t="inlineStr">
        <is>
          <t>https://www.linkedin.com/in/troytoman</t>
        </is>
      </c>
      <c r="D3" s="4" t="inlineStr">
        <is>
          <t>ttoman@planet.com</t>
        </is>
      </c>
      <c r="E3" s="4" t="inlineStr">
        <is>
          <t>ttoman@gmail.com</t>
        </is>
      </c>
      <c r="F3" s="2" t="inlineStr">
        <is>
          <t>done - 3/10</t>
        </is>
      </c>
      <c r="G3" s="2" t="inlineStr">
        <is>
          <t>done - 3/24</t>
        </is>
      </c>
    </row>
    <row r="4" ht="15.75" customHeight="1" s="216">
      <c r="A4" s="2" t="inlineStr">
        <is>
          <t>Ali Jafari</t>
        </is>
      </c>
      <c r="B4" s="2" t="inlineStr">
        <is>
          <t>Planet Labs</t>
        </is>
      </c>
      <c r="C4" s="3" t="inlineStr">
        <is>
          <t>https://www.linkedin.com/in/aljafari/</t>
        </is>
      </c>
      <c r="D4" s="4" t="inlineStr">
        <is>
          <t>ali@planet.com</t>
        </is>
      </c>
      <c r="E4" s="4" t="inlineStr">
        <is>
          <t>ajafari21@gmail.com</t>
        </is>
      </c>
      <c r="F4" s="2" t="inlineStr">
        <is>
          <t>done - 3/10</t>
        </is>
      </c>
      <c r="G4" s="2" t="inlineStr">
        <is>
          <t>done - 3/24</t>
        </is>
      </c>
    </row>
    <row r="5" ht="15.75" customHeight="1" s="216">
      <c r="A5" s="2" t="inlineStr">
        <is>
          <t>Robbie Schingler</t>
        </is>
      </c>
      <c r="B5" s="2" t="inlineStr">
        <is>
          <t>Planet Labs</t>
        </is>
      </c>
      <c r="C5" s="3" t="inlineStr">
        <is>
          <t>www.linkedin.com/in/schingler/</t>
        </is>
      </c>
      <c r="D5" s="4" t="inlineStr">
        <is>
          <t>robbie@planet.com</t>
        </is>
      </c>
      <c r="E5" s="4" t="inlineStr">
        <is>
          <t>rschingler@gmail.com</t>
        </is>
      </c>
      <c r="F5" s="2" t="inlineStr">
        <is>
          <t>done - 3/10</t>
        </is>
      </c>
      <c r="G5" s="2" t="inlineStr">
        <is>
          <t>done - 3/24</t>
        </is>
      </c>
    </row>
    <row r="6" ht="15.75" customHeight="1" s="216">
      <c r="A6" s="2" t="inlineStr">
        <is>
          <t>Gina Ruebensaal</t>
        </is>
      </c>
      <c r="B6" s="2" t="inlineStr">
        <is>
          <t>Spire</t>
        </is>
      </c>
      <c r="C6" s="3" t="inlineStr">
        <is>
          <t>https://www.linkedin.com/in/gina-ruebensaal/</t>
        </is>
      </c>
      <c r="D6" s="4" t="inlineStr">
        <is>
          <t>gina@spire-strategies.com</t>
        </is>
      </c>
      <c r="E6" s="4" t="inlineStr">
        <is>
          <t>ruebensaal@gmail.com</t>
        </is>
      </c>
      <c r="F6" s="2" t="inlineStr">
        <is>
          <t>done - 3/10</t>
        </is>
      </c>
      <c r="G6" s="2" t="inlineStr">
        <is>
          <t>done - 3/24</t>
        </is>
      </c>
    </row>
    <row r="7" ht="15.75" customHeight="1" s="216">
      <c r="A7" s="2" t="inlineStr">
        <is>
          <t>Jeffery Bryan</t>
        </is>
      </c>
      <c r="B7" s="2" t="inlineStr">
        <is>
          <t>Spire</t>
        </is>
      </c>
      <c r="C7" s="3" t="inlineStr">
        <is>
          <t>https://www.linkedin.com/in/jmbryan01/</t>
        </is>
      </c>
      <c r="D7" s="4" t="inlineStr">
        <is>
          <t>jeffrey.bryan@spire.com</t>
        </is>
      </c>
      <c r="F7" s="2" t="inlineStr">
        <is>
          <t>done - 3/10</t>
        </is>
      </c>
      <c r="G7" s="2" t="inlineStr">
        <is>
          <t>done - 3/24</t>
        </is>
      </c>
    </row>
    <row r="8" ht="15.75" customHeight="1" s="216">
      <c r="A8" s="2" t="inlineStr">
        <is>
          <t>Dan Glass</t>
        </is>
      </c>
      <c r="B8" s="2" t="inlineStr">
        <is>
          <t>Spire</t>
        </is>
      </c>
      <c r="C8" s="3" t="inlineStr">
        <is>
          <t>https://www.linkedin.com/in/danielglass/</t>
        </is>
      </c>
      <c r="D8" s="4" t="inlineStr">
        <is>
          <t>dan.glass@spire.com</t>
        </is>
      </c>
      <c r="F8" s="2" t="inlineStr">
        <is>
          <t>done - 3/10</t>
        </is>
      </c>
      <c r="G8" s="2" t="inlineStr">
        <is>
          <t>done - 3/24</t>
        </is>
      </c>
    </row>
    <row r="9" ht="15.75" customHeight="1" s="216">
      <c r="A9" s="2" t="inlineStr">
        <is>
          <t>Giuseppe Santangelo</t>
        </is>
      </c>
      <c r="B9" s="2" t="inlineStr">
        <is>
          <t>Tyvak International</t>
        </is>
      </c>
      <c r="C9" s="3" t="inlineStr">
        <is>
          <t>https://www.linkedin.com/in/gsantangelo/</t>
        </is>
      </c>
      <c r="D9" s="4" t="inlineStr">
        <is>
          <t>giuseppe.santangelo@tyvak.eu</t>
        </is>
      </c>
      <c r="E9" s="4" t="inlineStr">
        <is>
          <t>giuseppe.santangelo@gmail.com</t>
        </is>
      </c>
      <c r="F9" s="2" t="inlineStr">
        <is>
          <t>done - 3/10</t>
        </is>
      </c>
      <c r="G9" s="2" t="inlineStr">
        <is>
          <t>done - 3/24</t>
        </is>
      </c>
    </row>
    <row r="10" ht="15.75" customHeight="1" s="216">
      <c r="A10" s="2" t="inlineStr">
        <is>
          <t>David Carroll</t>
        </is>
      </c>
      <c r="B10" s="2" t="inlineStr">
        <is>
          <t>CU Aerospace</t>
        </is>
      </c>
      <c r="C10" s="3" t="inlineStr">
        <is>
          <t>https://www.linkedin.com/in/david-carroll-cua/</t>
        </is>
      </c>
      <c r="D10" s="4" t="inlineStr">
        <is>
          <t>carroll@cuaerospace.com</t>
        </is>
      </c>
      <c r="F10" s="2" t="inlineStr">
        <is>
          <t>done - 3/10</t>
        </is>
      </c>
      <c r="G10" s="2" t="inlineStr">
        <is>
          <t>done - 3/24</t>
        </is>
      </c>
    </row>
    <row r="11" ht="15.75" customHeight="1" s="216">
      <c r="A11" s="2" t="inlineStr">
        <is>
          <t>Darren King</t>
        </is>
      </c>
      <c r="B11" s="2" t="inlineStr">
        <is>
          <t>CU Aerospace</t>
        </is>
      </c>
      <c r="C11" s="3" t="inlineStr">
        <is>
          <t>www.linkedin.com/in/darren-king-44b61410/</t>
        </is>
      </c>
      <c r="D11" s="4" t="inlineStr">
        <is>
          <t>king@cuaerospace.com</t>
        </is>
      </c>
      <c r="F11" s="2" t="inlineStr">
        <is>
          <t>done - 3/10</t>
        </is>
      </c>
      <c r="G11" s="2" t="inlineStr">
        <is>
          <t>done - 3/24</t>
        </is>
      </c>
    </row>
    <row r="12" ht="15.75" customHeight="1" s="216">
      <c r="A12" s="2" t="inlineStr">
        <is>
          <t>Julia Laystrom-Woodard</t>
        </is>
      </c>
      <c r="B12" s="2" t="inlineStr">
        <is>
          <t>CU Aerospace</t>
        </is>
      </c>
      <c r="C12" s="3" t="inlineStr">
        <is>
          <t>www.linkedin.com/in/julia-laystrom-woodard-2977575/</t>
        </is>
      </c>
      <c r="D12" s="4" t="inlineStr">
        <is>
          <t>julia@cuaerospace.com</t>
        </is>
      </c>
      <c r="F12" s="2" t="inlineStr">
        <is>
          <t>done - 3/10</t>
        </is>
      </c>
      <c r="G12" s="2" t="inlineStr">
        <is>
          <t>done - 3/24</t>
        </is>
      </c>
    </row>
    <row r="13" ht="15.75" customHeight="1" s="216">
      <c r="A13" s="2" t="inlineStr">
        <is>
          <t>Jeffery Hostetler</t>
        </is>
      </c>
      <c r="B13" s="2" t="inlineStr">
        <is>
          <t>SNC</t>
        </is>
      </c>
      <c r="C13" s="3" t="inlineStr">
        <is>
          <t>https://www.linkedin.com/in/jeffrey-hostetler-bae-mme/</t>
        </is>
      </c>
      <c r="D13" s="4" t="inlineStr">
        <is>
          <t>jeffrey.hostetler@sncorp.com</t>
        </is>
      </c>
      <c r="E13" s="4" t="inlineStr">
        <is>
          <t>jeff.k.hostetler@sbcglobal.net</t>
        </is>
      </c>
      <c r="F13" s="2" t="inlineStr">
        <is>
          <t>done - 3/10</t>
        </is>
      </c>
      <c r="G13" s="2" t="inlineStr">
        <is>
          <t>done - 3/24</t>
        </is>
      </c>
    </row>
    <row r="14" ht="15.75" customHeight="1" s="216">
      <c r="A14" s="2" t="inlineStr">
        <is>
          <t>Joseph Cannon</t>
        </is>
      </c>
      <c r="B14" s="2" t="inlineStr">
        <is>
          <t>SNC</t>
        </is>
      </c>
      <c r="C14" s="3" t="inlineStr">
        <is>
          <t>https://www.linkedin.com/in/joseph-cannon-ops-leader/</t>
        </is>
      </c>
      <c r="D14" s="4" t="inlineStr">
        <is>
          <t>joe.cannon@sncorp.com</t>
        </is>
      </c>
      <c r="F14" s="2" t="inlineStr">
        <is>
          <t>done - 3/10</t>
        </is>
      </c>
      <c r="G14" s="2" t="inlineStr">
        <is>
          <t>done - 3/24</t>
        </is>
      </c>
    </row>
    <row r="15" ht="15.75" customHeight="1" s="216">
      <c r="A15" s="2" t="inlineStr">
        <is>
          <t>Christian Lenz</t>
        </is>
      </c>
      <c r="B15" s="2" t="inlineStr">
        <is>
          <t>Capella Space</t>
        </is>
      </c>
      <c r="C15" s="3" t="inlineStr">
        <is>
          <t>https://www.linkedin.com/in/christian-lenz-2a22896/</t>
        </is>
      </c>
      <c r="D15" s="4" t="inlineStr">
        <is>
          <t>christian@capellaspace.com</t>
        </is>
      </c>
      <c r="E15" s="4" t="inlineStr">
        <is>
          <t>cplenz1974@gmail.com</t>
        </is>
      </c>
      <c r="F15" s="2" t="inlineStr">
        <is>
          <t>done - 3/10</t>
        </is>
      </c>
      <c r="G15" s="2" t="inlineStr">
        <is>
          <t>done - 3/24</t>
        </is>
      </c>
    </row>
    <row r="16" ht="15.75" customHeight="1" s="216">
      <c r="A16" s="5" t="inlineStr">
        <is>
          <t>Mack Koepke</t>
        </is>
      </c>
      <c r="B16" s="5" t="inlineStr">
        <is>
          <t>Capella Space</t>
        </is>
      </c>
      <c r="C16" s="134" t="inlineStr">
        <is>
          <t>https://www.linkedin.com/in/mackkoepke/</t>
        </is>
      </c>
      <c r="D16" s="6" t="inlineStr">
        <is>
          <t>mack.koepke@capellaspace.com</t>
        </is>
      </c>
      <c r="E16" s="6" t="inlineStr">
        <is>
          <t>gotmack@gmail.com</t>
        </is>
      </c>
      <c r="F16" s="5" t="inlineStr">
        <is>
          <t>done - 3/10</t>
        </is>
      </c>
      <c r="G16" s="5" t="inlineStr">
        <is>
          <t>done - 3/24</t>
        </is>
      </c>
      <c r="H16" s="5" t="inlineStr">
        <is>
          <t>NOT WITH CAPELLA ANYMORE</t>
        </is>
      </c>
    </row>
    <row r="17" ht="15.75" customHeight="1" s="216">
      <c r="A17" s="2" t="inlineStr">
        <is>
          <t>Nathan Kennedy</t>
        </is>
      </c>
      <c r="B17" s="2" t="inlineStr">
        <is>
          <t>Capella Space</t>
        </is>
      </c>
      <c r="C17" s="3" t="inlineStr">
        <is>
          <t>https://www.linkedin.com/in/nathan-g-kennedy/</t>
        </is>
      </c>
      <c r="D17" s="4" t="inlineStr">
        <is>
          <t>nathan.kennedy@capellaspace.com</t>
        </is>
      </c>
      <c r="F17" s="2" t="inlineStr">
        <is>
          <t>done - 3/10</t>
        </is>
      </c>
      <c r="G17" s="2" t="inlineStr">
        <is>
          <t>done - 3/24</t>
        </is>
      </c>
    </row>
    <row r="18" ht="15.75" customHeight="1" s="216">
      <c r="A18" s="2" t="inlineStr">
        <is>
          <t>Chris Moore</t>
        </is>
      </c>
      <c r="B18" s="2" t="inlineStr">
        <is>
          <t>Voyager</t>
        </is>
      </c>
      <c r="C18" s="3" t="inlineStr">
        <is>
          <t>https://www.linkedin.com/in/chris-moore-5b61409/</t>
        </is>
      </c>
      <c r="D18" s="4" t="inlineStr">
        <is>
          <t>christopher.moore@viasat.com</t>
        </is>
      </c>
      <c r="F18" s="2" t="inlineStr">
        <is>
          <t>done - 3/10</t>
        </is>
      </c>
      <c r="G18" s="2" t="inlineStr">
        <is>
          <t>done - 3/24</t>
        </is>
      </c>
    </row>
    <row r="19" ht="15.75" customHeight="1" s="216">
      <c r="A19" s="2" t="inlineStr">
        <is>
          <t>Jonathan Volk</t>
        </is>
      </c>
      <c r="B19" s="2" t="inlineStr">
        <is>
          <t>Voyager</t>
        </is>
      </c>
      <c r="C19" s="3" t="inlineStr">
        <is>
          <t>https://www.linkedin.com/in/jonathan-volk-b2423961/</t>
        </is>
      </c>
      <c r="D19" s="4" t="inlineStr">
        <is>
          <t>jonathan.volk@sierraspace.com</t>
        </is>
      </c>
      <c r="E19" s="4" t="inlineStr">
        <is>
          <t>jvolk07@comcast.net</t>
        </is>
      </c>
      <c r="F19" s="2" t="inlineStr">
        <is>
          <t>done - 3/10</t>
        </is>
      </c>
      <c r="G19" s="2" t="inlineStr">
        <is>
          <t>done - 3/24</t>
        </is>
      </c>
    </row>
    <row r="20" ht="15.75" customHeight="1" s="216">
      <c r="A20" s="2" t="inlineStr">
        <is>
          <t>Matt Magana</t>
        </is>
      </c>
      <c r="B20" s="2" t="inlineStr">
        <is>
          <t>Voyager</t>
        </is>
      </c>
      <c r="C20" s="3" t="inlineStr">
        <is>
          <t>https://www.linkedin.com/in/mattmaga%C3%B1a/</t>
        </is>
      </c>
      <c r="D20" s="4" t="inlineStr">
        <is>
          <t>matt.magana@voyagerspace.com</t>
        </is>
      </c>
      <c r="F20" s="2" t="inlineStr">
        <is>
          <t>done - 3/10</t>
        </is>
      </c>
      <c r="G20" s="2" t="inlineStr">
        <is>
          <t>done - 3/24</t>
        </is>
      </c>
    </row>
    <row r="21" ht="15.75" customHeight="1" s="216">
      <c r="A21" s="5" t="inlineStr">
        <is>
          <t xml:space="preserve">Ernestas Kalabuckas
</t>
        </is>
      </c>
      <c r="B21" s="5" t="inlineStr">
        <is>
          <t>Nano Avionics</t>
        </is>
      </c>
      <c r="C21" s="134" t="inlineStr">
        <is>
          <t>https://www.linkedin.com/in/ernestas-kalabuckas/</t>
        </is>
      </c>
      <c r="D21" s="6" t="inlineStr">
        <is>
          <t>ernestas@nanoavionics.com</t>
        </is>
      </c>
      <c r="E21" s="6" t="inlineStr">
        <is>
          <t>kalabuckas.e@gmail.com</t>
        </is>
      </c>
      <c r="F21" s="5" t="inlineStr">
        <is>
          <t>done - 3/11</t>
        </is>
      </c>
      <c r="G21" s="5" t="inlineStr">
        <is>
          <t>done - 3/24</t>
        </is>
      </c>
      <c r="H21" s="5" t="inlineStr">
        <is>
          <t>no longer with nano</t>
        </is>
      </c>
    </row>
    <row r="22" ht="15.75" customHeight="1" s="216">
      <c r="A22" s="2" t="inlineStr">
        <is>
          <t>Andrew Swain</t>
        </is>
      </c>
      <c r="B22" s="2" t="inlineStr">
        <is>
          <t>Nanoavionics</t>
        </is>
      </c>
      <c r="C22" s="3" t="inlineStr">
        <is>
          <t>https://www.linkedin.com/in/andswain/</t>
        </is>
      </c>
      <c r="D22" s="4" t="inlineStr">
        <is>
          <t>andrew@nanoavionics.com</t>
        </is>
      </c>
      <c r="F22" s="2" t="inlineStr">
        <is>
          <t>done - 3/11</t>
        </is>
      </c>
      <c r="G22" s="2" t="inlineStr">
        <is>
          <t>done - 3/24</t>
        </is>
      </c>
    </row>
    <row r="23" ht="15.75" customHeight="1" s="216">
      <c r="A23" s="2" t="inlineStr">
        <is>
          <t>Gregg Giffhorn</t>
        </is>
      </c>
      <c r="B23" s="2" t="inlineStr">
        <is>
          <t>Nanoavionics</t>
        </is>
      </c>
      <c r="C23" s="2" t="inlineStr">
        <is>
          <t>NA</t>
        </is>
      </c>
      <c r="D23" s="4" t="inlineStr">
        <is>
          <t>gregg@nanoavionics.com</t>
        </is>
      </c>
      <c r="F23" s="2" t="inlineStr">
        <is>
          <t>done - 3/11</t>
        </is>
      </c>
      <c r="G23" s="2" t="inlineStr">
        <is>
          <t>done - 3/24</t>
        </is>
      </c>
    </row>
    <row r="24" ht="15.75" customHeight="1" s="216">
      <c r="A24" s="2" t="inlineStr">
        <is>
          <t>Alfonso Íñiguez</t>
        </is>
      </c>
      <c r="B24" s="2" t="inlineStr">
        <is>
          <t>Swarm Technology</t>
        </is>
      </c>
      <c r="C24" s="3" t="inlineStr">
        <is>
          <t>https://www.linkedin.com/in/alfonsoi/</t>
        </is>
      </c>
      <c r="D24" s="4" t="inlineStr">
        <is>
          <t>alfonso@swarmtechnology.us</t>
        </is>
      </c>
      <c r="F24" s="2" t="inlineStr">
        <is>
          <t>done - 3/11</t>
        </is>
      </c>
      <c r="G24" s="2" t="inlineStr">
        <is>
          <t>done - 3/24</t>
        </is>
      </c>
    </row>
    <row r="25" ht="15.75" customHeight="1" s="216">
      <c r="A25" s="2" t="inlineStr">
        <is>
          <t>Greg Frey</t>
        </is>
      </c>
      <c r="B25" s="2" t="inlineStr">
        <is>
          <t>GHGSat</t>
        </is>
      </c>
      <c r="C25" s="3" t="inlineStr">
        <is>
          <t>https://www.linkedin.com/in/freygreg/</t>
        </is>
      </c>
      <c r="D25" s="4" t="inlineStr">
        <is>
          <t>gfrey@ghgsat.com</t>
        </is>
      </c>
      <c r="F25" s="2" t="inlineStr">
        <is>
          <t>done - 3/11</t>
        </is>
      </c>
      <c r="G25" s="2" t="inlineStr">
        <is>
          <t>done - 3/24</t>
        </is>
      </c>
    </row>
    <row r="26" ht="15.75" customHeight="1" s="216">
      <c r="A26" s="2" t="inlineStr">
        <is>
          <t>Eric Choi</t>
        </is>
      </c>
      <c r="B26" s="2" t="inlineStr">
        <is>
          <t>GHGSat</t>
        </is>
      </c>
      <c r="C26" s="3" t="inlineStr">
        <is>
          <t>https://www.linkedin.com/in/eric-choi-91969514/</t>
        </is>
      </c>
      <c r="D26" s="4" t="inlineStr">
        <is>
          <t>echoi@ghgsat.com</t>
        </is>
      </c>
      <c r="F26" s="2" t="inlineStr">
        <is>
          <t>done - 3/11</t>
        </is>
      </c>
      <c r="G26" s="2" t="inlineStr">
        <is>
          <t>done - 3/24</t>
        </is>
      </c>
    </row>
    <row r="27" ht="15.75" customHeight="1" s="216">
      <c r="A27" s="2" t="inlineStr">
        <is>
          <t>Eric Edawards</t>
        </is>
      </c>
      <c r="B27" s="2" t="inlineStr">
        <is>
          <t>GHGSat</t>
        </is>
      </c>
      <c r="C27" s="3" t="inlineStr">
        <is>
          <t>https://www.linkedin.com/in/eric-edwards-9174652/</t>
        </is>
      </c>
      <c r="F27" s="2" t="inlineStr">
        <is>
          <t>done - 3/11</t>
        </is>
      </c>
      <c r="G27" s="2" t="inlineStr">
        <is>
          <t>done - 3/24</t>
        </is>
      </c>
    </row>
    <row r="28" ht="15.60000038146973" customHeight="1" s="216">
      <c r="A28" s="2" t="inlineStr">
        <is>
          <t>Emiliano Kargieman</t>
        </is>
      </c>
      <c r="B28" s="2" t="inlineStr">
        <is>
          <t>Satellogic</t>
        </is>
      </c>
      <c r="C28" s="3" t="inlineStr">
        <is>
          <t>https://www.linkedin.com/in/ekargieman/</t>
        </is>
      </c>
      <c r="D28" s="4" t="inlineStr">
        <is>
          <t>ek@satellogic.com</t>
        </is>
      </c>
      <c r="F28" s="2" t="inlineStr">
        <is>
          <t>done - 3/11</t>
        </is>
      </c>
      <c r="G28" s="2" t="inlineStr">
        <is>
          <t>done - 3/24</t>
        </is>
      </c>
    </row>
    <row r="29" ht="15.60000038146973" customHeight="1" s="216">
      <c r="A29" s="2" t="inlineStr">
        <is>
          <t>Alan Kharsansky</t>
        </is>
      </c>
      <c r="B29" s="2" t="inlineStr">
        <is>
          <t>Satellogic</t>
        </is>
      </c>
      <c r="C29" s="3" t="inlineStr">
        <is>
          <t>https://www.linkedin.com/in/akharsansky/</t>
        </is>
      </c>
      <c r="D29" s="4" t="inlineStr">
        <is>
          <t>alan@satellogic.com</t>
        </is>
      </c>
      <c r="F29" s="2" t="inlineStr">
        <is>
          <t>done - 3/11</t>
        </is>
      </c>
      <c r="G29" s="2" t="inlineStr">
        <is>
          <t>done - 3/24</t>
        </is>
      </c>
    </row>
    <row r="30" ht="15.60000038146973" customHeight="1" s="216">
      <c r="A30" s="2" t="inlineStr">
        <is>
          <t>Wesley Esser</t>
        </is>
      </c>
      <c r="B30" s="2" t="inlineStr">
        <is>
          <t>MIT Lincoln Lab</t>
        </is>
      </c>
      <c r="C30" s="7" t="inlineStr">
        <is>
          <t>https://www.linkedin.com/in/wesleyesser/</t>
        </is>
      </c>
      <c r="D30" s="4" t="inlineStr">
        <is>
          <t>wesser@mit.edu</t>
        </is>
      </c>
      <c r="F30" s="2" t="inlineStr">
        <is>
          <t>done - 3/11</t>
        </is>
      </c>
      <c r="G30" s="2" t="inlineStr">
        <is>
          <t>done - 3/24</t>
        </is>
      </c>
    </row>
    <row r="31" ht="15.60000038146973" customHeight="1" s="216">
      <c r="A31" s="2" t="inlineStr">
        <is>
          <t>Benoît Deper</t>
        </is>
      </c>
      <c r="B31" s="2" t="inlineStr">
        <is>
          <t>Aerospace Lab</t>
        </is>
      </c>
      <c r="C31" s="3" t="inlineStr">
        <is>
          <t>https://www.linkedin.com/in/bdeper/</t>
        </is>
      </c>
      <c r="D31" s="4" t="inlineStr">
        <is>
          <t>benoit.deper@aerospacelab.be</t>
        </is>
      </c>
      <c r="F31" s="2" t="inlineStr">
        <is>
          <t>done - 3/11</t>
        </is>
      </c>
      <c r="G31" s="2" t="inlineStr">
        <is>
          <t>done - 3/24</t>
        </is>
      </c>
    </row>
    <row r="32" ht="15.60000038146973" customHeight="1" s="216">
      <c r="A32" s="2" t="inlineStr">
        <is>
          <t>Grégoire Nemo</t>
        </is>
      </c>
      <c r="B32" s="2" t="inlineStr">
        <is>
          <t>Aerospace Lab</t>
        </is>
      </c>
      <c r="C32" s="3" t="inlineStr">
        <is>
          <t>https://www.linkedin.com/in/gregoire-nemo/</t>
        </is>
      </c>
      <c r="D32" s="4" t="inlineStr">
        <is>
          <t>gregoire.nemo@aerospacelab.be</t>
        </is>
      </c>
      <c r="F32" s="2" t="inlineStr">
        <is>
          <t>done - 3/11</t>
        </is>
      </c>
      <c r="G32" s="2" t="inlineStr">
        <is>
          <t>done - 3/24</t>
        </is>
      </c>
    </row>
    <row r="33" ht="15.60000038146973" customHeight="1" s="216">
      <c r="A33" s="2" t="inlineStr">
        <is>
          <t>Giuseppe Sisinni</t>
        </is>
      </c>
      <c r="B33" s="2" t="inlineStr">
        <is>
          <t>endurosat</t>
        </is>
      </c>
      <c r="C33" s="3" t="inlineStr">
        <is>
          <t>https://www.linkedin.com/in/giuseppe-sisinni/</t>
        </is>
      </c>
      <c r="D33" s="4" t="inlineStr">
        <is>
          <t>sisinni@endurosat.com</t>
        </is>
      </c>
      <c r="F33" s="2" t="inlineStr">
        <is>
          <t>done - 3/11</t>
        </is>
      </c>
      <c r="G33" s="2" t="inlineStr">
        <is>
          <t>done - 3/24</t>
        </is>
      </c>
    </row>
    <row r="34" ht="15.60000038146973" customHeight="1" s="216">
      <c r="A34" s="2" t="inlineStr">
        <is>
          <t>Dacian Hippeli</t>
        </is>
      </c>
      <c r="B34" s="2" t="inlineStr">
        <is>
          <t>endurosat</t>
        </is>
      </c>
      <c r="C34" s="3" t="inlineStr">
        <is>
          <t>https://www.linkedin.com/in/dacianhippeli/</t>
        </is>
      </c>
      <c r="D34" s="4" t="inlineStr">
        <is>
          <t>dacian.hippeli@endurosat.com</t>
        </is>
      </c>
      <c r="F34" s="2" t="inlineStr">
        <is>
          <t>done - 3/11</t>
        </is>
      </c>
      <c r="G34" s="2" t="inlineStr">
        <is>
          <t>done - 3/24</t>
        </is>
      </c>
    </row>
    <row r="35" ht="15.60000038146973" customHeight="1" s="216">
      <c r="A35" s="2" t="inlineStr">
        <is>
          <t xml:space="preserve">Raycho Raychev </t>
        </is>
      </c>
      <c r="B35" s="2" t="inlineStr">
        <is>
          <t>endurosat</t>
        </is>
      </c>
      <c r="C35" s="3" t="inlineStr">
        <is>
          <t>https://www.linkedin.com/in/raychoraychev/</t>
        </is>
      </c>
      <c r="D35" s="4" t="inlineStr">
        <is>
          <t>raycho@endurosat.com</t>
        </is>
      </c>
      <c r="F35" s="2" t="inlineStr">
        <is>
          <t>done - 3/11</t>
        </is>
      </c>
      <c r="G35" s="2" t="inlineStr">
        <is>
          <t>done - 3/24</t>
        </is>
      </c>
    </row>
    <row r="36" ht="12.60000038146973" customHeight="1" s="216">
      <c r="A36" s="2" t="inlineStr">
        <is>
          <t>Janine Nicolson</t>
        </is>
      </c>
      <c r="B36" s="2" t="inlineStr">
        <is>
          <t>dragonfly aerospace</t>
        </is>
      </c>
      <c r="C36" s="3" t="inlineStr">
        <is>
          <t>https://www.linkedin.com/in/janine-nicolson-a071407/</t>
        </is>
      </c>
      <c r="D36" s="2" t="inlineStr">
        <is>
          <t>janine@dragonflyaerospace.com</t>
        </is>
      </c>
      <c r="F36" s="2" t="inlineStr">
        <is>
          <t>done - 3/11</t>
        </is>
      </c>
      <c r="G36" s="2" t="inlineStr">
        <is>
          <t>done - 3/24</t>
        </is>
      </c>
      <c r="H36" s="2" t="inlineStr">
        <is>
          <t>out of office till 3/25</t>
        </is>
      </c>
    </row>
    <row r="37" ht="15.60000038146973" customHeight="1" s="216">
      <c r="A37" s="8" t="inlineStr">
        <is>
          <t>Diana Kozubenko</t>
        </is>
      </c>
      <c r="B37" s="2" t="inlineStr">
        <is>
          <t>dragonfly aerospace</t>
        </is>
      </c>
      <c r="C37" s="3" t="inlineStr">
        <is>
          <t>https://www.linkedin.com/in/diana-kozubenko-6271b73b/</t>
        </is>
      </c>
      <c r="D37" s="4" t="inlineStr">
        <is>
          <t>diana@dragonflyaerospace.com</t>
        </is>
      </c>
      <c r="F37" s="2" t="inlineStr">
        <is>
          <t>done - 3/11</t>
        </is>
      </c>
      <c r="G37" s="2" t="inlineStr">
        <is>
          <t>done - 3/24</t>
        </is>
      </c>
    </row>
    <row r="38" ht="15.60000038146973" customHeight="1" s="216">
      <c r="A38" s="5" t="inlineStr">
        <is>
          <t xml:space="preserve">Kannas Wiid
</t>
        </is>
      </c>
      <c r="B38" s="5" t="inlineStr">
        <is>
          <t>dragonfly aerospace</t>
        </is>
      </c>
      <c r="C38" s="134" t="inlineStr">
        <is>
          <t>https://www.linkedin.com/in/kannas-wiid-76829a197/</t>
        </is>
      </c>
      <c r="D38" s="6" t="inlineStr">
        <is>
          <t>kannas@dragonflyaerospace.com</t>
        </is>
      </c>
      <c r="E38" s="5" t="n"/>
      <c r="F38" s="5" t="inlineStr">
        <is>
          <t>done - 3/11</t>
        </is>
      </c>
      <c r="G38" s="5" t="inlineStr">
        <is>
          <t>done - 3/24</t>
        </is>
      </c>
      <c r="H38" s="5" t="inlineStr">
        <is>
          <t>not interested</t>
        </is>
      </c>
    </row>
    <row r="39" ht="15.60000038146973" customHeight="1" s="216">
      <c r="A39" s="9" t="inlineStr">
        <is>
          <t>Ian Benade</t>
        </is>
      </c>
      <c r="B39" s="9" t="inlineStr">
        <is>
          <t>cubespace</t>
        </is>
      </c>
      <c r="C39" s="135" t="inlineStr">
        <is>
          <t>https://www.linkedin.com/in/ian-benade-b7455312/</t>
        </is>
      </c>
      <c r="D39" s="10" t="inlineStr">
        <is>
          <t>ian@cubespace.co.za</t>
        </is>
      </c>
      <c r="E39" s="10" t="inlineStr">
        <is>
          <t>ianbenade2@gmail.com</t>
        </is>
      </c>
      <c r="F39" s="9" t="inlineStr">
        <is>
          <t>done - 3/11</t>
        </is>
      </c>
      <c r="G39" s="9" t="inlineStr">
        <is>
          <t>done - 3/24</t>
        </is>
      </c>
      <c r="H39" s="9" t="inlineStr">
        <is>
          <t>forwarded my email to the correct contact -  Hendrik Burger</t>
        </is>
      </c>
    </row>
    <row r="40" ht="15.60000038146973" customHeight="1" s="216">
      <c r="A40" s="2" t="inlineStr">
        <is>
          <t>Mike-Alec</t>
        </is>
      </c>
      <c r="B40" s="2" t="inlineStr">
        <is>
          <t>cubespace</t>
        </is>
      </c>
      <c r="C40" s="3" t="inlineStr">
        <is>
          <t>https://www.linkedin.com/in/mikealeckearney/</t>
        </is>
      </c>
      <c r="D40" s="4" t="inlineStr">
        <is>
          <t>mike@cubespace.co.za</t>
        </is>
      </c>
      <c r="F40" s="2" t="inlineStr">
        <is>
          <t>done - 3/11</t>
        </is>
      </c>
      <c r="G40" s="2" t="inlineStr">
        <is>
          <t>done - 3/24</t>
        </is>
      </c>
    </row>
    <row r="41" ht="15.60000038146973" customHeight="1" s="216">
      <c r="A41" s="2" t="inlineStr">
        <is>
          <t>Bridget Keefe</t>
        </is>
      </c>
      <c r="B41" s="2" t="inlineStr">
        <is>
          <t>university central florida</t>
        </is>
      </c>
      <c r="C41" s="3" t="inlineStr">
        <is>
          <t>https://www.linkedin.com/in/bridgetdkeefe/</t>
        </is>
      </c>
      <c r="D41" s="4" t="inlineStr">
        <is>
          <t>bridget.keefe@ucf.edu</t>
        </is>
      </c>
      <c r="E41" s="4" t="inlineStr">
        <is>
          <t>bridgetdkeefe@gmail.com</t>
        </is>
      </c>
      <c r="F41" s="2" t="inlineStr">
        <is>
          <t>done - 3/12</t>
        </is>
      </c>
      <c r="G41" s="2" t="inlineStr">
        <is>
          <t>done - 3/24</t>
        </is>
      </c>
    </row>
    <row r="42" ht="15.60000038146973" customHeight="1" s="216">
      <c r="A42" s="2" t="inlineStr">
        <is>
          <t>Dr Daniel Eilen</t>
        </is>
      </c>
      <c r="B42" s="2" t="inlineStr">
        <is>
          <t>university central florida</t>
        </is>
      </c>
      <c r="C42" s="3" t="inlineStr">
        <is>
          <t>https://www.linkedin.com/in/dr-daniel-m-eilen-a8350b26/</t>
        </is>
      </c>
      <c r="D42" s="4" t="inlineStr">
        <is>
          <t>daniel.eilen@ucf.edu</t>
        </is>
      </c>
      <c r="E42" s="4" t="inlineStr">
        <is>
          <t>danmeilen@gmail.com</t>
        </is>
      </c>
      <c r="F42" s="2" t="inlineStr">
        <is>
          <t>done - 3/12</t>
        </is>
      </c>
      <c r="G42" s="2" t="inlineStr">
        <is>
          <t>done - 3/24</t>
        </is>
      </c>
    </row>
    <row r="43" ht="15.60000038146973" customHeight="1" s="216">
      <c r="A43" s="2" t="inlineStr">
        <is>
          <t>Chad Macuszonok</t>
        </is>
      </c>
      <c r="B43" s="2" t="inlineStr">
        <is>
          <t>university central florida</t>
        </is>
      </c>
      <c r="C43" s="3" t="inlineStr">
        <is>
          <t>https://www.linkedin.com/in/chad-macuszonok-31a42a2/</t>
        </is>
      </c>
      <c r="D43" s="4" t="inlineStr">
        <is>
          <t>chad.macuszonok@ucf.edu</t>
        </is>
      </c>
      <c r="F43" s="2" t="inlineStr">
        <is>
          <t>done - 3/12</t>
        </is>
      </c>
      <c r="G43" s="2" t="inlineStr">
        <is>
          <t>done - 3/24</t>
        </is>
      </c>
    </row>
    <row r="44" ht="15.60000038146973" customHeight="1" s="216">
      <c r="A44" s="2" t="inlineStr">
        <is>
          <t>David Bull</t>
        </is>
      </c>
      <c r="B44" s="2" t="inlineStr">
        <is>
          <t>MIT</t>
        </is>
      </c>
      <c r="C44" s="3" t="inlineStr">
        <is>
          <t>https://www.linkedin.com/in/david-bull-3bb775/</t>
        </is>
      </c>
      <c r="D44" s="4" t="inlineStr">
        <is>
          <t>dbull@mit.edu</t>
        </is>
      </c>
      <c r="F44" s="2" t="inlineStr">
        <is>
          <t>done - 3/12</t>
        </is>
      </c>
      <c r="G44" s="2" t="inlineStr">
        <is>
          <t>done - 3/24</t>
        </is>
      </c>
    </row>
    <row r="45" ht="15.60000038146973" customHeight="1" s="216">
      <c r="A45" s="2" t="inlineStr">
        <is>
          <t>Brian Shannon</t>
        </is>
      </c>
      <c r="B45" s="2" t="inlineStr">
        <is>
          <t>MIT</t>
        </is>
      </c>
      <c r="C45" s="3" t="inlineStr">
        <is>
          <t>https://www.linkedin.com/in/brianshannon2010/</t>
        </is>
      </c>
      <c r="D45" s="4" t="inlineStr">
        <is>
          <t>bshannon@mit.edu</t>
        </is>
      </c>
      <c r="E45" s="4" t="inlineStr">
        <is>
          <t>brian@mit.edu</t>
        </is>
      </c>
      <c r="F45" s="2" t="inlineStr">
        <is>
          <t>done - 3/12</t>
        </is>
      </c>
      <c r="G45" s="2" t="inlineStr">
        <is>
          <t>done - 3/24</t>
        </is>
      </c>
    </row>
    <row r="46" ht="15.60000038146973" customHeight="1" s="216">
      <c r="A46" s="2" t="inlineStr">
        <is>
          <t>Simone D'Amico</t>
        </is>
      </c>
      <c r="B46" s="2" t="inlineStr">
        <is>
          <t>Stanford SLAB</t>
        </is>
      </c>
      <c r="C46" s="3" t="inlineStr">
        <is>
          <t>https://www.linkedin.com/in/simone-d-amico-0b4a873/</t>
        </is>
      </c>
      <c r="D46" s="4" t="inlineStr">
        <is>
          <t>damicos@stanford.edu</t>
        </is>
      </c>
      <c r="F46" s="2" t="inlineStr">
        <is>
          <t>done - 3/13</t>
        </is>
      </c>
      <c r="G46" s="2" t="inlineStr">
        <is>
          <t>done - 3/24</t>
        </is>
      </c>
    </row>
    <row r="47" ht="15.60000038146973" customHeight="1" s="216">
      <c r="A47" s="2" t="inlineStr">
        <is>
          <t>Steve Cousins</t>
        </is>
      </c>
      <c r="B47" s="2" t="inlineStr">
        <is>
          <t>Stanford</t>
        </is>
      </c>
      <c r="C47" s="3" t="inlineStr">
        <is>
          <t>https://www.linkedin.com/in/cousins/</t>
        </is>
      </c>
      <c r="D47" s="4" t="inlineStr">
        <is>
          <t>cousins@gmail.com</t>
        </is>
      </c>
      <c r="E47" s="4" t="inlineStr">
        <is>
          <t>steveco@stanford.edu</t>
        </is>
      </c>
      <c r="F47" s="2" t="inlineStr">
        <is>
          <t>done - 3/13</t>
        </is>
      </c>
      <c r="G47" s="2" t="inlineStr">
        <is>
          <t>done - 3/24</t>
        </is>
      </c>
    </row>
    <row r="48" ht="15.60000038146973" customHeight="1" s="216">
      <c r="A48" s="2" t="inlineStr">
        <is>
          <t>Richard Webber</t>
        </is>
      </c>
      <c r="B48" s="2" t="inlineStr">
        <is>
          <t>Stanford</t>
        </is>
      </c>
      <c r="C48" s="3" t="inlineStr">
        <is>
          <t>https://www.linkedin.com/in/richard-webber-b11a10/</t>
        </is>
      </c>
      <c r="D48" s="4" t="inlineStr">
        <is>
          <t>rwebber@stanford.edu</t>
        </is>
      </c>
      <c r="F48" s="2" t="inlineStr">
        <is>
          <t>done - 3/13</t>
        </is>
      </c>
      <c r="G48" s="2" t="inlineStr">
        <is>
          <t>done - 3/24</t>
        </is>
      </c>
    </row>
    <row r="49" ht="15.60000038146973" customHeight="1" s="216">
      <c r="A49" s="2" t="inlineStr">
        <is>
          <t>Andy Miller</t>
        </is>
      </c>
      <c r="B49" s="2" t="inlineStr">
        <is>
          <t>Stanford</t>
        </is>
      </c>
      <c r="C49" s="3" t="inlineStr">
        <is>
          <t>https://www.linkedin.com/in/andymiller44/</t>
        </is>
      </c>
      <c r="D49" s="4" t="inlineStr">
        <is>
          <t>andy.miller@stanford.edu</t>
        </is>
      </c>
      <c r="F49" s="2" t="inlineStr">
        <is>
          <t>done - 3/13</t>
        </is>
      </c>
      <c r="G49" s="2" t="inlineStr">
        <is>
          <t>done - 3/24</t>
        </is>
      </c>
    </row>
    <row r="50" ht="15.60000038146973" customHeight="1" s="216">
      <c r="A50" s="2" t="inlineStr">
        <is>
          <t>Matthew Comstock</t>
        </is>
      </c>
      <c r="B50" s="2" t="inlineStr">
        <is>
          <t>University Michigan</t>
        </is>
      </c>
      <c r="C50" s="4" t="n"/>
      <c r="D50" s="4" t="inlineStr">
        <is>
          <t>comstock@umich.edu</t>
        </is>
      </c>
      <c r="E50" s="4" t="inlineStr">
        <is>
          <t>matthew.comstock@umich.edu</t>
        </is>
      </c>
      <c r="F50" s="2" t="inlineStr">
        <is>
          <t>done - 3/13</t>
        </is>
      </c>
      <c r="G50" s="2" t="inlineStr">
        <is>
          <t>done - 3/24</t>
        </is>
      </c>
    </row>
    <row r="51" ht="15.60000038146973" customHeight="1" s="216">
      <c r="A51" s="2" t="inlineStr">
        <is>
          <t>Stephen Kennedy</t>
        </is>
      </c>
      <c r="B51" s="2" t="inlineStr">
        <is>
          <t>UM and CRISPR Theraputics</t>
        </is>
      </c>
      <c r="C51" s="3" t="inlineStr">
        <is>
          <t>https://www.linkedin.com/in/stephen-kennedy-86959125/</t>
        </is>
      </c>
      <c r="D51" s="2" t="inlineStr">
        <is>
          <t>stephen.kennedy@umich.edu</t>
        </is>
      </c>
      <c r="E51" s="4" t="inlineStr">
        <is>
          <t>stephen@umich.edu</t>
        </is>
      </c>
      <c r="F51" s="2" t="inlineStr">
        <is>
          <t>done - 3/13</t>
        </is>
      </c>
      <c r="G51" s="2" t="inlineStr">
        <is>
          <t>done - 3/24</t>
        </is>
      </c>
    </row>
    <row r="52" ht="15.60000038146973" customHeight="1" s="216">
      <c r="A52" s="2" t="inlineStr">
        <is>
          <t>Theresa Ceccarelli</t>
        </is>
      </c>
      <c r="B52" s="2" t="inlineStr">
        <is>
          <t>University Michigan</t>
        </is>
      </c>
      <c r="C52" s="3" t="inlineStr">
        <is>
          <t>https://www.linkedin.com/in/theresaceccarelli/</t>
        </is>
      </c>
      <c r="D52" s="2" t="inlineStr">
        <is>
          <t>theresa.ceccarelli@umich.edu</t>
        </is>
      </c>
      <c r="E52" s="4" t="inlineStr">
        <is>
          <t>tceccare@umich.edu</t>
        </is>
      </c>
      <c r="F52" s="2" t="inlineStr">
        <is>
          <t>done - 3/13</t>
        </is>
      </c>
      <c r="G52" s="2" t="inlineStr">
        <is>
          <t>done - 3/24</t>
        </is>
      </c>
    </row>
    <row r="53" ht="15.60000038146973" customHeight="1" s="216">
      <c r="A53" s="2" t="inlineStr">
        <is>
          <t>Ben Marchionna</t>
        </is>
      </c>
      <c r="B53" s="2" t="inlineStr">
        <is>
          <t>University Michigan</t>
        </is>
      </c>
      <c r="C53" s="7" t="inlineStr">
        <is>
          <t>https://www.linkedin.com/in/benmarchionna/</t>
        </is>
      </c>
      <c r="D53" s="4" t="inlineStr">
        <is>
          <t>benm@umich.edu</t>
        </is>
      </c>
      <c r="E53" s="4" t="inlineStr">
        <is>
          <t>ben.marchionna@gmail.com</t>
        </is>
      </c>
      <c r="F53" s="2" t="inlineStr">
        <is>
          <t>done - 3/13</t>
        </is>
      </c>
      <c r="G53" s="2" t="inlineStr">
        <is>
          <t>done - 3/24</t>
        </is>
      </c>
    </row>
    <row r="54" ht="15.60000038146973" customHeight="1" s="216">
      <c r="A54" s="2" t="inlineStr">
        <is>
          <t>Bethany Ehlmann</t>
        </is>
      </c>
      <c r="B54" s="2" t="inlineStr">
        <is>
          <t>Caltech</t>
        </is>
      </c>
      <c r="C54" s="3" t="inlineStr">
        <is>
          <t>https://www.linkedin.com/in/bethany-ehlmann-1112b81/</t>
        </is>
      </c>
      <c r="D54" s="4" t="inlineStr">
        <is>
          <t>behlmann@caltech.edu</t>
        </is>
      </c>
      <c r="F54" s="2" t="inlineStr">
        <is>
          <t>done - 3/14</t>
        </is>
      </c>
      <c r="G54" s="2" t="inlineStr">
        <is>
          <t>done - 3/24</t>
        </is>
      </c>
    </row>
    <row r="55" ht="15.60000038146973" customHeight="1" s="216">
      <c r="A55" s="11" t="inlineStr">
        <is>
          <t>Harriet Brettle</t>
        </is>
      </c>
      <c r="B55" s="2" t="inlineStr">
        <is>
          <t>Caltech</t>
        </is>
      </c>
      <c r="C55" s="3" t="inlineStr">
        <is>
          <t>https://www.linkedin.com/in/harriet-brettle-59a25852/</t>
        </is>
      </c>
      <c r="D55" s="12" t="inlineStr">
        <is>
          <t>hbrettle@caltech.edu</t>
        </is>
      </c>
      <c r="F55" s="2" t="inlineStr">
        <is>
          <t>done - 3/14</t>
        </is>
      </c>
      <c r="G55" s="2" t="inlineStr">
        <is>
          <t>done - 3/24</t>
        </is>
      </c>
    </row>
    <row r="56" ht="15.60000038146973" customHeight="1" s="216">
      <c r="A56" s="2" t="inlineStr">
        <is>
          <t>Janet Seid</t>
        </is>
      </c>
      <c r="B56" s="2" t="inlineStr">
        <is>
          <t>Caltech</t>
        </is>
      </c>
      <c r="C56" s="3" t="inlineStr">
        <is>
          <t>https://www.linkedin.com/in/janet-seid-b705b713a/</t>
        </is>
      </c>
      <c r="D56" s="12" t="inlineStr">
        <is>
          <t>jseid@caltech.edu</t>
        </is>
      </c>
      <c r="F56" s="2" t="inlineStr">
        <is>
          <t>done - 3/14</t>
        </is>
      </c>
      <c r="G56" s="2" t="inlineStr">
        <is>
          <t>done - 3/24</t>
        </is>
      </c>
    </row>
    <row r="57" ht="12.60000038146973" customHeight="1" s="216">
      <c r="A57" s="2" t="inlineStr">
        <is>
          <t>Rodney Bowersox</t>
        </is>
      </c>
      <c r="B57" s="2" t="inlineStr">
        <is>
          <t>TAMU</t>
        </is>
      </c>
      <c r="C57" s="3" t="inlineStr">
        <is>
          <t>https://www.linkedin.com/in/rodney-bowersox-8294b048/</t>
        </is>
      </c>
      <c r="D57" s="3" t="inlineStr">
        <is>
          <t>bowersox@tamu.edu</t>
        </is>
      </c>
      <c r="F57" s="2" t="inlineStr">
        <is>
          <t>done - 3/14</t>
        </is>
      </c>
      <c r="G57" s="2" t="inlineStr">
        <is>
          <t>done - 3/24</t>
        </is>
      </c>
    </row>
    <row r="58" ht="12.60000038146973" customHeight="1" s="216">
      <c r="A58" s="13" t="inlineStr">
        <is>
          <t>robert bishop</t>
        </is>
      </c>
      <c r="B58" s="2" t="inlineStr">
        <is>
          <t>TAMU</t>
        </is>
      </c>
      <c r="C58" s="3" t="inlineStr">
        <is>
          <t>https://www.linkedin.com/in/robert-h-bishop-53353757/</t>
        </is>
      </c>
      <c r="D58" s="3" t="inlineStr">
        <is>
          <t>engineeringvcd@tamu.edu</t>
        </is>
      </c>
      <c r="F58" s="2" t="inlineStr">
        <is>
          <t>done - 3/14</t>
        </is>
      </c>
      <c r="G58" s="2" t="inlineStr">
        <is>
          <t>done - 3/24</t>
        </is>
      </c>
    </row>
    <row r="59" ht="12.60000038146973" customHeight="1" s="216">
      <c r="A59" s="2" t="inlineStr">
        <is>
          <t>Arul Jayaraman</t>
        </is>
      </c>
      <c r="B59" s="2" t="inlineStr">
        <is>
          <t>TAMU</t>
        </is>
      </c>
      <c r="C59" s="3" t="inlineStr">
        <is>
          <t>https://www.linkedin.com/in/arul-jayaraman-9071a82/</t>
        </is>
      </c>
      <c r="D59" s="3" t="inlineStr">
        <is>
          <t>arulj@tamu.edu</t>
        </is>
      </c>
      <c r="F59" s="2" t="inlineStr">
        <is>
          <t>done - 3/14</t>
        </is>
      </c>
      <c r="G59" s="2" t="inlineStr">
        <is>
          <t>done - 3/24</t>
        </is>
      </c>
    </row>
    <row r="60" ht="12.60000038146973" customHeight="1" s="216">
      <c r="A60" s="2" t="inlineStr">
        <is>
          <t>Arum Han</t>
        </is>
      </c>
      <c r="B60" s="2" t="inlineStr">
        <is>
          <t>TAMU</t>
        </is>
      </c>
      <c r="C60" s="3" t="inlineStr">
        <is>
          <t>https://www.linkedin.com/in/arum-han-40465a330/</t>
        </is>
      </c>
      <c r="D60" s="3" t="inlineStr">
        <is>
          <t>arum.han@tamu.edu</t>
        </is>
      </c>
      <c r="F60" s="2" t="inlineStr">
        <is>
          <t>done - 3/14</t>
        </is>
      </c>
      <c r="G60" s="2" t="inlineStr">
        <is>
          <t>done - 3/24</t>
        </is>
      </c>
    </row>
    <row r="61" ht="12.60000038146973" customHeight="1" s="216">
      <c r="A61" s="2" t="inlineStr">
        <is>
          <t>Harry Hogan</t>
        </is>
      </c>
      <c r="B61" s="2" t="inlineStr">
        <is>
          <t>TAMU</t>
        </is>
      </c>
      <c r="C61" s="3" t="inlineStr">
        <is>
          <t>https://www.linkedin.com/in/harry-hogan-aba65031/</t>
        </is>
      </c>
      <c r="D61" s="3" t="inlineStr">
        <is>
          <t>hhogan@tamu.edu</t>
        </is>
      </c>
      <c r="F61" s="2" t="inlineStr">
        <is>
          <t>done - 3/14</t>
        </is>
      </c>
      <c r="G61" s="2" t="inlineStr">
        <is>
          <t>done - 3/24</t>
        </is>
      </c>
    </row>
    <row r="62" ht="12.60000038146973" customHeight="1" s="216">
      <c r="A62" s="2" t="inlineStr">
        <is>
          <t>Jodie Lutkenhaus</t>
        </is>
      </c>
      <c r="B62" s="2" t="inlineStr">
        <is>
          <t>TAMU</t>
        </is>
      </c>
      <c r="C62" s="3" t="inlineStr">
        <is>
          <t>https://www.linkedin.com/in/jodie-lutkenhaus-4835a61/</t>
        </is>
      </c>
      <c r="D62" s="3" t="inlineStr">
        <is>
          <t>jodie.lutkenhaus@tamu.edu</t>
        </is>
      </c>
      <c r="F62" s="2" t="inlineStr">
        <is>
          <t>done - 3/14</t>
        </is>
      </c>
      <c r="G62" s="2" t="inlineStr">
        <is>
          <t>done - 3/24</t>
        </is>
      </c>
    </row>
    <row r="63" ht="12.60000038146973" customHeight="1" s="216">
      <c r="A63" s="2" t="inlineStr">
        <is>
          <t>Jay Porter</t>
        </is>
      </c>
      <c r="B63" s="2" t="inlineStr">
        <is>
          <t>TAMU</t>
        </is>
      </c>
      <c r="C63" s="3" t="inlineStr">
        <is>
          <t>https://www.linkedin.com/in/jay-porter-0417394/</t>
        </is>
      </c>
      <c r="D63" s="3" t="inlineStr">
        <is>
          <t>jporter@tamu.edu</t>
        </is>
      </c>
      <c r="F63" s="2" t="inlineStr">
        <is>
          <t>done - 3/14</t>
        </is>
      </c>
      <c r="G63" s="2" t="inlineStr">
        <is>
          <t>done - 3/24</t>
        </is>
      </c>
    </row>
    <row r="64" ht="12.60000038146973" customHeight="1" s="216">
      <c r="A64" s="2" t="inlineStr">
        <is>
          <t>Lin Shao</t>
        </is>
      </c>
      <c r="B64" s="2" t="inlineStr">
        <is>
          <t>TAMU</t>
        </is>
      </c>
      <c r="C64" s="3" t="inlineStr">
        <is>
          <t>https://www.linkedin.com/in/lin-shao-bb8a2b20/</t>
        </is>
      </c>
      <c r="D64" s="3" t="inlineStr">
        <is>
          <t>lshao@tamu.edu</t>
        </is>
      </c>
      <c r="F64" s="2" t="inlineStr">
        <is>
          <t>done - 3/14</t>
        </is>
      </c>
      <c r="G64" s="2" t="inlineStr">
        <is>
          <t>done - 3/24</t>
        </is>
      </c>
    </row>
    <row r="65" ht="12.60000038146973" customHeight="1" s="216">
      <c r="A65" s="2" t="inlineStr">
        <is>
          <t>Dr Philip Metzger</t>
        </is>
      </c>
      <c r="B65" s="2" t="inlineStr">
        <is>
          <t>UCF</t>
        </is>
      </c>
      <c r="C65" s="3" t="inlineStr">
        <is>
          <t>https://www.linkedin.com/in/drphilmetzger/</t>
        </is>
      </c>
      <c r="D65" s="3" t="inlineStr">
        <is>
          <t>Philip.Metzger@ucf.edu</t>
        </is>
      </c>
      <c r="F65" s="2" t="inlineStr">
        <is>
          <t>done - 3/14</t>
        </is>
      </c>
      <c r="G65" s="2" t="inlineStr">
        <is>
          <t>done - 3/24</t>
        </is>
      </c>
    </row>
    <row r="66" ht="12.60000038146973" customHeight="1" s="216">
      <c r="A66" s="2" t="inlineStr">
        <is>
          <t>Julie Brisset</t>
        </is>
      </c>
      <c r="B66" s="2" t="inlineStr">
        <is>
          <t>UCF</t>
        </is>
      </c>
      <c r="C66" s="3" t="inlineStr">
        <is>
          <t>https://www.linkedin.com/in/julie-brisset-41a12a2b0/</t>
        </is>
      </c>
      <c r="D66" s="3" t="inlineStr">
        <is>
          <t>julie.brisset@ucf.edu</t>
        </is>
      </c>
      <c r="F66" s="2" t="inlineStr">
        <is>
          <t>done - 3/14</t>
        </is>
      </c>
      <c r="G66" s="2" t="inlineStr">
        <is>
          <t>done - 3/24</t>
        </is>
      </c>
    </row>
    <row r="67" ht="12.60000038146973" customHeight="1" s="216">
      <c r="A67" s="2" t="inlineStr">
        <is>
          <t>Dr Daniel Britt</t>
        </is>
      </c>
      <c r="B67" s="2" t="inlineStr">
        <is>
          <t>UCF</t>
        </is>
      </c>
      <c r="C67" s="3" t="inlineStr">
        <is>
          <t>https://www.linkedin.com/in/daniel-britt-32176413a/</t>
        </is>
      </c>
      <c r="D67" s="3" t="inlineStr">
        <is>
          <t>dbritt@ucf.edu</t>
        </is>
      </c>
      <c r="F67" s="2" t="inlineStr">
        <is>
          <t>done - 3/14</t>
        </is>
      </c>
      <c r="G67" s="2" t="inlineStr">
        <is>
          <t>done - 3/24</t>
        </is>
      </c>
    </row>
    <row r="68" ht="12.60000038146973" customHeight="1" s="216">
      <c r="A68" s="2" t="inlineStr">
        <is>
          <t>Dr Humberto Campins</t>
        </is>
      </c>
      <c r="B68" s="2" t="inlineStr">
        <is>
          <t>UCF</t>
        </is>
      </c>
      <c r="C68" s="3" t="inlineStr">
        <is>
          <t>https://www.linkedin.com/in/humberto-campins-463869260/</t>
        </is>
      </c>
      <c r="D68" s="3" t="inlineStr">
        <is>
          <t>Humberto.Campins@ucf.edu</t>
        </is>
      </c>
      <c r="F68" s="2" t="inlineStr">
        <is>
          <t>done - 3/14</t>
        </is>
      </c>
      <c r="G68" s="2" t="inlineStr">
        <is>
          <t>done - 3/24</t>
        </is>
      </c>
    </row>
    <row r="69" ht="12.60000038146973" customHeight="1" s="216">
      <c r="A69" s="2" t="inlineStr">
        <is>
          <t>Melanie Coathup</t>
        </is>
      </c>
      <c r="B69" s="2" t="inlineStr">
        <is>
          <t>UCF</t>
        </is>
      </c>
      <c r="C69" s="3" t="inlineStr">
        <is>
          <t>https://www.linkedin.com/in/melanie-coathup-64a7703a/</t>
        </is>
      </c>
      <c r="D69" s="3" t="inlineStr">
        <is>
          <t>Melanie.Coathup@ucf.edu</t>
        </is>
      </c>
      <c r="F69" s="2" t="inlineStr">
        <is>
          <t>done - 3/14</t>
        </is>
      </c>
      <c r="G69" s="2" t="inlineStr">
        <is>
          <t>done - 3/24</t>
        </is>
      </c>
    </row>
    <row r="70" ht="12.60000038146973" customHeight="1" s="216">
      <c r="A70" s="2" t="inlineStr">
        <is>
          <t>Joshua Colwell</t>
        </is>
      </c>
      <c r="B70" s="2" t="inlineStr">
        <is>
          <t>UCF</t>
        </is>
      </c>
      <c r="C70" s="3" t="inlineStr">
        <is>
          <t>https://www.linkedin.com/in/joshua-colwell-851604204/</t>
        </is>
      </c>
      <c r="D70" s="3" t="inlineStr">
        <is>
          <t>Josh@ucf.edu</t>
        </is>
      </c>
      <c r="F70" s="2" t="inlineStr">
        <is>
          <t>done - 3/14</t>
        </is>
      </c>
      <c r="G70" s="2" t="inlineStr">
        <is>
          <t>done - 3/24</t>
        </is>
      </c>
    </row>
    <row r="71" ht="12.60000038146973" customHeight="1" s="216">
      <c r="A71" s="2" t="inlineStr">
        <is>
          <t>Addie Dove</t>
        </is>
      </c>
      <c r="B71" s="2" t="inlineStr">
        <is>
          <t>UCF</t>
        </is>
      </c>
      <c r="C71" s="3" t="inlineStr">
        <is>
          <t>https://www.linkedin.com/in/addie-dove-41aa2419/</t>
        </is>
      </c>
      <c r="D71" s="3" t="inlineStr">
        <is>
          <t>adove@ucf.edu</t>
        </is>
      </c>
      <c r="F71" s="2" t="inlineStr">
        <is>
          <t>done - 3/14</t>
        </is>
      </c>
      <c r="G71" s="2" t="inlineStr">
        <is>
          <t>done - 3/24</t>
        </is>
      </c>
    </row>
    <row r="72" ht="12.60000038146973" customHeight="1" s="216">
      <c r="A72" s="2" t="inlineStr">
        <is>
          <t>Dr Ranajay Ghosh</t>
        </is>
      </c>
      <c r="B72" s="2" t="inlineStr">
        <is>
          <t>UCF</t>
        </is>
      </c>
      <c r="C72" s="3" t="inlineStr">
        <is>
          <t>https://www.linkedin.com/in/ranajay-ghosh-b409b3167/</t>
        </is>
      </c>
      <c r="D72" s="3" t="inlineStr">
        <is>
          <t>Ranajay.Ghosh@ucf.edu</t>
        </is>
      </c>
      <c r="F72" s="2" t="inlineStr">
        <is>
          <t>done - 3/14</t>
        </is>
      </c>
      <c r="G72" s="2" t="inlineStr">
        <is>
          <t>done - 3/24</t>
        </is>
      </c>
    </row>
    <row r="73" ht="15.60000038146973" customHeight="1" s="216">
      <c r="A73" s="2" t="inlineStr">
        <is>
          <t>Rebecca Masterson</t>
        </is>
      </c>
      <c r="B73" s="2" t="inlineStr">
        <is>
          <t>MIT</t>
        </is>
      </c>
      <c r="C73" s="3" t="inlineStr">
        <is>
          <t>https://www.facebook.com/bmasterson</t>
        </is>
      </c>
      <c r="D73" s="4" t="inlineStr">
        <is>
          <t>rebecca@mit.edu</t>
        </is>
      </c>
      <c r="E73" s="4" t="inlineStr">
        <is>
          <t>rm@mit.edu</t>
        </is>
      </c>
      <c r="F73" s="2" t="inlineStr">
        <is>
          <t>done - 3/14</t>
        </is>
      </c>
      <c r="G73" s="2" t="inlineStr">
        <is>
          <t>done - 3/24</t>
        </is>
      </c>
    </row>
    <row r="74" ht="15.60000038146973" customHeight="1" s="216">
      <c r="A74" s="2" t="inlineStr">
        <is>
          <t>Alvar Saenz Otero</t>
        </is>
      </c>
      <c r="B74" s="2" t="inlineStr">
        <is>
          <t>MIT</t>
        </is>
      </c>
      <c r="C74" s="3" t="inlineStr">
        <is>
          <t>https://www.linkedin.com/in/alvar-saenz-otero-a9195616/</t>
        </is>
      </c>
      <c r="D74" s="4" t="inlineStr">
        <is>
          <t>alvarso@mit.edu</t>
        </is>
      </c>
      <c r="E74" s="4" t="inlineStr">
        <is>
          <t>sa@mit.edu</t>
        </is>
      </c>
      <c r="F74" s="2" t="inlineStr">
        <is>
          <t>done - 3/14</t>
        </is>
      </c>
      <c r="G74" s="2" t="inlineStr">
        <is>
          <t>done - 3/24</t>
        </is>
      </c>
    </row>
    <row r="75" ht="15.60000038146973" customHeight="1" s="216">
      <c r="A75" s="2" t="inlineStr">
        <is>
          <t>David W Miller</t>
        </is>
      </c>
      <c r="B75" s="2" t="inlineStr">
        <is>
          <t>MIT</t>
        </is>
      </c>
      <c r="D75" s="4" t="inlineStr">
        <is>
          <t>millerd@mit.edu</t>
        </is>
      </c>
      <c r="F75" s="2" t="inlineStr">
        <is>
          <t>done - 3/14</t>
        </is>
      </c>
      <c r="G75" s="2" t="inlineStr">
        <is>
          <t>done - 3/24</t>
        </is>
      </c>
    </row>
    <row r="76" ht="15.60000038146973" customHeight="1" s="216">
      <c r="A76" s="2" t="inlineStr">
        <is>
          <t>Paul Bauer</t>
        </is>
      </c>
      <c r="B76" s="2" t="inlineStr">
        <is>
          <t>MIT</t>
        </is>
      </c>
      <c r="C76" s="3" t="inlineStr">
        <is>
          <t>https://www.linkedin.com/in/paul-bauer-2459359/</t>
        </is>
      </c>
      <c r="D76" s="4" t="inlineStr">
        <is>
          <t>pbauer@mit.edu</t>
        </is>
      </c>
      <c r="E76" s="4" t="inlineStr">
        <is>
          <t>paul@mit.edu</t>
        </is>
      </c>
      <c r="F76" s="2" t="inlineStr">
        <is>
          <t>done - 3/14</t>
        </is>
      </c>
      <c r="G76" s="2" t="inlineStr">
        <is>
          <t>done - 3/24</t>
        </is>
      </c>
    </row>
    <row r="77" ht="17.45000076293945" customHeight="1" s="216">
      <c r="A77" s="2" t="inlineStr">
        <is>
          <t>James Cutler</t>
        </is>
      </c>
      <c r="B77" s="2" t="inlineStr">
        <is>
          <t>University of Michigan</t>
        </is>
      </c>
      <c r="C77" s="3" t="inlineStr">
        <is>
          <t>https://www.linkedin.com/in/james-cutler-810166/</t>
        </is>
      </c>
      <c r="D77" s="14" t="inlineStr">
        <is>
          <t>jwcutler@umich.edu</t>
        </is>
      </c>
      <c r="F77" s="2" t="inlineStr">
        <is>
          <t>done - 3/15</t>
        </is>
      </c>
      <c r="G77" s="2" t="inlineStr">
        <is>
          <t>done - 3/24</t>
        </is>
      </c>
    </row>
    <row r="78" ht="17.45000076293945" customHeight="1" s="216">
      <c r="A78" s="5" t="inlineStr">
        <is>
          <t>Tran Anh Nguyen</t>
        </is>
      </c>
      <c r="B78" s="5" t="inlineStr">
        <is>
          <t>University of Michigan</t>
        </is>
      </c>
      <c r="C78" s="5" t="n"/>
      <c r="D78" s="15" t="inlineStr">
        <is>
          <t>nguyenta@umich.edu</t>
        </is>
      </c>
      <c r="E78" s="5" t="n"/>
      <c r="F78" s="5" t="inlineStr">
        <is>
          <t>done - 3/15</t>
        </is>
      </c>
      <c r="G78" s="5" t="inlineStr">
        <is>
          <t>done - 3/24</t>
        </is>
      </c>
      <c r="H78" s="5" t="inlineStr">
        <is>
          <t>recommended contacting James Cutler</t>
        </is>
      </c>
    </row>
    <row r="79" ht="12.60000038146973" customHeight="1" s="216">
      <c r="A79" s="2" t="inlineStr">
        <is>
          <t>Daniil Voloshin</t>
        </is>
      </c>
      <c r="B79" s="2" t="inlineStr">
        <is>
          <t>University of Michigan</t>
        </is>
      </c>
      <c r="C79" s="3" t="inlineStr">
        <is>
          <t>https://www.linkedin.com/in/gorsheep/</t>
        </is>
      </c>
      <c r="D79" s="2" t="inlineStr">
        <is>
          <t>daniilv@umich.edu</t>
        </is>
      </c>
      <c r="F79" s="2" t="inlineStr">
        <is>
          <t>done - 3/15</t>
        </is>
      </c>
      <c r="G79" s="2" t="inlineStr">
        <is>
          <t>done - 3/24</t>
        </is>
      </c>
    </row>
    <row r="80" ht="12.60000038146973" customHeight="1" s="216">
      <c r="A80" s="2" t="inlineStr">
        <is>
          <t>Francis Eparvier</t>
        </is>
      </c>
      <c r="B80" s="2" t="inlineStr">
        <is>
          <t>CU Boulder - LASP</t>
        </is>
      </c>
      <c r="C80" s="3" t="inlineStr">
        <is>
          <t>https://www.linkedin.com/in/francis-eparvier-824741118/</t>
        </is>
      </c>
      <c r="D80" s="2" t="inlineStr">
        <is>
          <t>eparvier@colorado.edu</t>
        </is>
      </c>
      <c r="F80" s="2" t="inlineStr">
        <is>
          <t>done - 3/17</t>
        </is>
      </c>
      <c r="G80" s="2" t="inlineStr">
        <is>
          <t>done - 3/24</t>
        </is>
      </c>
    </row>
    <row r="81" ht="12.60000038146973" customHeight="1" s="216">
      <c r="A81" s="2" t="inlineStr">
        <is>
          <t>Gary Henry</t>
        </is>
      </c>
      <c r="B81" s="2" t="inlineStr">
        <is>
          <t>CU Boulder - LASP</t>
        </is>
      </c>
      <c r="D81" s="2" t="inlineStr">
        <is>
          <t>gary.henry@colorado.edu</t>
        </is>
      </c>
      <c r="F81" s="2" t="inlineStr">
        <is>
          <t>done - 3/17</t>
        </is>
      </c>
      <c r="G81" s="2" t="inlineStr">
        <is>
          <t>done - 3/24</t>
        </is>
      </c>
    </row>
    <row r="82" ht="12.60000038146973" customHeight="1" s="216">
      <c r="A82" s="2" t="inlineStr">
        <is>
          <t>Pamela Millar</t>
        </is>
      </c>
      <c r="B82" s="2" t="inlineStr">
        <is>
          <t>CU Boulder - LASP</t>
        </is>
      </c>
      <c r="D82" s="2" t="inlineStr">
        <is>
          <t>pamela.millar@colorado.edu</t>
        </is>
      </c>
      <c r="F82" s="2" t="inlineStr">
        <is>
          <t>done - 3/17</t>
        </is>
      </c>
      <c r="G82" s="2" t="inlineStr">
        <is>
          <t>done - 3/24</t>
        </is>
      </c>
    </row>
    <row r="83" ht="12.60000038146973" customHeight="1" s="216">
      <c r="A83" s="2" t="inlineStr">
        <is>
          <t>Peter Pilewskie</t>
        </is>
      </c>
      <c r="B83" s="2" t="inlineStr">
        <is>
          <t>CU Boulder - LASP</t>
        </is>
      </c>
      <c r="D83" s="2" t="inlineStr">
        <is>
          <t>peter.pilewskie@colorado.edu</t>
        </is>
      </c>
      <c r="F83" s="2" t="inlineStr">
        <is>
          <t>done - 3/17</t>
        </is>
      </c>
      <c r="G83" s="2" t="inlineStr">
        <is>
          <t>done - 3/24</t>
        </is>
      </c>
    </row>
    <row r="84" ht="12.60000038146973" customHeight="1" s="216">
      <c r="A84" s="2" t="inlineStr">
        <is>
          <t>Scott Tucker</t>
        </is>
      </c>
      <c r="B84" s="2" t="inlineStr">
        <is>
          <t>CU Boulder - LASP</t>
        </is>
      </c>
      <c r="C84" s="3" t="inlineStr">
        <is>
          <t>https://www.linkedin.com/in/scott-tucker-space/</t>
        </is>
      </c>
      <c r="D84" s="2" t="inlineStr">
        <is>
          <t>scott.tucker@colorado.edu</t>
        </is>
      </c>
      <c r="E84" s="2" t="inlineStr">
        <is>
          <t>tuckersa@colorado.edu</t>
        </is>
      </c>
      <c r="F84" s="2" t="inlineStr">
        <is>
          <t>done - 3/17</t>
        </is>
      </c>
      <c r="G84" s="2" t="inlineStr">
        <is>
          <t>done - 3/24</t>
        </is>
      </c>
      <c r="H84" s="2" t="inlineStr">
        <is>
          <t>out till 3/25</t>
        </is>
      </c>
    </row>
    <row r="85" ht="12.60000038146973" customHeight="1" s="216">
      <c r="A85" s="2" t="inlineStr">
        <is>
          <t>Chris Pankratz</t>
        </is>
      </c>
      <c r="B85" s="2" t="inlineStr">
        <is>
          <t>CU Boulder - LASP</t>
        </is>
      </c>
      <c r="C85" s="3" t="inlineStr">
        <is>
          <t>https://www.linkedin.com/in/chris-pankratz-22562a1a/</t>
        </is>
      </c>
      <c r="D85" s="2" t="inlineStr">
        <is>
          <t>chris@colorado.edu</t>
        </is>
      </c>
      <c r="F85" s="2" t="inlineStr">
        <is>
          <t>done - 3/17</t>
        </is>
      </c>
      <c r="G85" s="2" t="inlineStr">
        <is>
          <t>done - 3/24</t>
        </is>
      </c>
    </row>
    <row r="86" ht="12.60000038146973" customHeight="1" s="216">
      <c r="A86" s="2" t="inlineStr">
        <is>
          <t>Andrew May</t>
        </is>
      </c>
      <c r="B86" s="2" t="inlineStr">
        <is>
          <t>CU Boulder - LASP</t>
        </is>
      </c>
      <c r="C86" s="3" t="inlineStr">
        <is>
          <t>https://www.linkedin.com/in/andrew-d-may/</t>
        </is>
      </c>
      <c r="D86" s="2" t="inlineStr">
        <is>
          <t>andrewm@colorado.edu</t>
        </is>
      </c>
      <c r="E86" s="2" t="inlineStr">
        <is>
          <t>andrew.d.may@colorado.edu</t>
        </is>
      </c>
      <c r="F86" s="2" t="inlineStr">
        <is>
          <t>done - 3/17</t>
        </is>
      </c>
      <c r="G86" s="2" t="inlineStr">
        <is>
          <t>done - 3/24</t>
        </is>
      </c>
    </row>
    <row r="87" ht="12.60000038146973" customHeight="1" s="216">
      <c r="A87" s="2" t="inlineStr">
        <is>
          <t>Michelle Hall</t>
        </is>
      </c>
      <c r="B87" s="2" t="inlineStr">
        <is>
          <t>Georgia Tech</t>
        </is>
      </c>
      <c r="C87" s="3" t="inlineStr">
        <is>
          <t>https://www.linkedin.com/in/michelle-hall-643b6620b/</t>
        </is>
      </c>
      <c r="D87" s="2" t="inlineStr">
        <is>
          <t>michelle.hall@gatech.edu</t>
        </is>
      </c>
      <c r="F87" s="2" t="inlineStr">
        <is>
          <t>done - 3/17</t>
        </is>
      </c>
      <c r="G87" s="2" t="inlineStr">
        <is>
          <t>done - 3/24</t>
        </is>
      </c>
    </row>
    <row r="88" ht="12.60000038146973" customHeight="1" s="216">
      <c r="A88" s="2" t="inlineStr">
        <is>
          <t>Mark Whorton</t>
        </is>
      </c>
      <c r="B88" s="2" t="inlineStr">
        <is>
          <t>Georgia Tech</t>
        </is>
      </c>
      <c r="C88" s="3" t="inlineStr">
        <is>
          <t>https://www.linkedin.com/in/mark-whorton-38a26a/</t>
        </is>
      </c>
      <c r="F88" s="2" t="inlineStr">
        <is>
          <t>done - 3/17</t>
        </is>
      </c>
      <c r="G88" s="2" t="inlineStr">
        <is>
          <t>done - 3/24</t>
        </is>
      </c>
    </row>
    <row r="89" ht="12.60000038146973" customHeight="1" s="216">
      <c r="A89" s="2" t="inlineStr">
        <is>
          <t>Mitchell Walker</t>
        </is>
      </c>
      <c r="B89" s="2" t="inlineStr">
        <is>
          <t>Georgia Tech</t>
        </is>
      </c>
      <c r="C89" s="3" t="inlineStr">
        <is>
          <t>https://www.linkedin.com/in/mitchell-walker-10a76213/</t>
        </is>
      </c>
      <c r="D89" s="2" t="inlineStr">
        <is>
          <t>mitchell.walker@gatech.edu</t>
        </is>
      </c>
      <c r="F89" s="2" t="inlineStr">
        <is>
          <t>done - 3/17</t>
        </is>
      </c>
      <c r="G89" s="2" t="inlineStr">
        <is>
          <t>done - 3/24</t>
        </is>
      </c>
    </row>
    <row r="90" ht="15.60000038146973" customHeight="1" s="216">
      <c r="A90" s="2" t="inlineStr">
        <is>
          <t>Jud Ready</t>
        </is>
      </c>
      <c r="B90" s="2" t="inlineStr">
        <is>
          <t>Georgia Tech</t>
        </is>
      </c>
      <c r="C90" s="3" t="inlineStr">
        <is>
          <t>https://www.linkedin.com/in/judready/</t>
        </is>
      </c>
      <c r="D90" s="4" t="inlineStr">
        <is>
          <t>jud.ready@gatech.edu</t>
        </is>
      </c>
      <c r="E90" s="4" t="inlineStr">
        <is>
          <t>jud@gatech.edu</t>
        </is>
      </c>
      <c r="F90" s="2" t="inlineStr">
        <is>
          <t>done - 3/18</t>
        </is>
      </c>
      <c r="G90" s="2" t="inlineStr">
        <is>
          <t>done - 3/24</t>
        </is>
      </c>
      <c r="H90" s="2" t="inlineStr">
        <is>
          <t>out till 3/28</t>
        </is>
      </c>
    </row>
    <row r="91" ht="12.60000038146973" customHeight="1" s="216">
      <c r="A91" s="2" t="inlineStr">
        <is>
          <t>Sandy Magnus</t>
        </is>
      </c>
      <c r="B91" s="2" t="inlineStr">
        <is>
          <t>Georgia Tech</t>
        </is>
      </c>
      <c r="C91" s="3" t="inlineStr">
        <is>
          <t>https://www.linkedin.com/in/sandra-magnus-70754a16/</t>
        </is>
      </c>
      <c r="D91" s="2" t="inlineStr">
        <is>
          <t>sandra.magnus@gatech.edu</t>
        </is>
      </c>
      <c r="F91" s="2" t="inlineStr">
        <is>
          <t>done - 3/18</t>
        </is>
      </c>
      <c r="G91" s="2" t="inlineStr">
        <is>
          <t>done - 3/24</t>
        </is>
      </c>
    </row>
    <row r="92" ht="12.60000038146973" customHeight="1" s="216">
      <c r="A92" s="2" t="inlineStr">
        <is>
          <t>Karen Feigh</t>
        </is>
      </c>
      <c r="B92" s="2" t="inlineStr">
        <is>
          <t>Georgia Tech</t>
        </is>
      </c>
      <c r="C92" s="3" t="inlineStr">
        <is>
          <t>https://www.linkedin.com/in/karen-feigh-b816ab5/</t>
        </is>
      </c>
      <c r="D92" s="2" t="inlineStr">
        <is>
          <t>karen.feigh@gatech.edu</t>
        </is>
      </c>
      <c r="F92" s="2" t="inlineStr">
        <is>
          <t>done - 3/18</t>
        </is>
      </c>
      <c r="G92" s="2" t="inlineStr">
        <is>
          <t>done - 3/24</t>
        </is>
      </c>
    </row>
    <row r="93" ht="15.60000038146973" customHeight="1" s="216">
      <c r="A93" s="2" t="inlineStr">
        <is>
          <t>Anna Erickson</t>
        </is>
      </c>
      <c r="B93" s="2" t="inlineStr">
        <is>
          <t>Georgia Tech</t>
        </is>
      </c>
      <c r="C93" s="3" t="inlineStr">
        <is>
          <t>https://www.linkedin.com/in/nikann/</t>
        </is>
      </c>
      <c r="D93" s="4" t="inlineStr">
        <is>
          <t>erickson@gatech.edu</t>
        </is>
      </c>
      <c r="F93" s="2" t="inlineStr">
        <is>
          <t>done - 3/18</t>
        </is>
      </c>
      <c r="G93" s="2" t="inlineStr">
        <is>
          <t>done - 3/24</t>
        </is>
      </c>
    </row>
    <row r="94" ht="12.60000038146973" customHeight="1" s="216">
      <c r="A94" s="2" t="inlineStr">
        <is>
          <t xml:space="preserve">Álvaro Romero Calvo </t>
        </is>
      </c>
      <c r="B94" s="2" t="inlineStr">
        <is>
          <t>Georgia Tech</t>
        </is>
      </c>
      <c r="C94" s="3" t="inlineStr">
        <is>
          <t>https://www.linkedin.com/in/alvaroromerocalvo/</t>
        </is>
      </c>
      <c r="D94" s="2" t="inlineStr">
        <is>
          <t>alvaro.calvo@gatech.edu</t>
        </is>
      </c>
      <c r="F94" s="2" t="inlineStr">
        <is>
          <t>done - 3/18</t>
        </is>
      </c>
      <c r="G94" s="2" t="inlineStr">
        <is>
          <t>done - 3/24</t>
        </is>
      </c>
    </row>
    <row r="95" ht="15.60000038146973" customHeight="1" s="216">
      <c r="A95" s="2" t="inlineStr">
        <is>
          <t>E. Glenn Lightsey</t>
        </is>
      </c>
      <c r="B95" s="2" t="inlineStr">
        <is>
          <t>Georgia Tech</t>
        </is>
      </c>
      <c r="C95" s="3" t="inlineStr">
        <is>
          <t>https://www.linkedin.com/in/eglennlightsey/</t>
        </is>
      </c>
      <c r="D95" s="4" t="inlineStr">
        <is>
          <t>e.lightsey@gatech.edu</t>
        </is>
      </c>
      <c r="F95" s="2" t="inlineStr">
        <is>
          <t>done - 3/18</t>
        </is>
      </c>
      <c r="G95" s="2" t="inlineStr">
        <is>
          <t>done - 3/24</t>
        </is>
      </c>
    </row>
    <row r="96" ht="15.60000038146973" customHeight="1" s="216">
      <c r="A96" s="2" t="inlineStr">
        <is>
          <t>Koki Ho</t>
        </is>
      </c>
      <c r="B96" s="2" t="inlineStr">
        <is>
          <t>Georgia Tech</t>
        </is>
      </c>
      <c r="C96" s="3" t="inlineStr">
        <is>
          <t>https://www.linkedin.com/in/koki-ho-7115b432/</t>
        </is>
      </c>
      <c r="D96" s="4" t="inlineStr">
        <is>
          <t>koki.ho@gatech.edu</t>
        </is>
      </c>
      <c r="F96" s="2" t="inlineStr">
        <is>
          <t>done - 3/18</t>
        </is>
      </c>
      <c r="G96" s="2" t="inlineStr">
        <is>
          <t>done - 3/24</t>
        </is>
      </c>
    </row>
    <row r="97" ht="12.60000038146973" customHeight="1" s="216">
      <c r="A97" s="2" t="inlineStr">
        <is>
          <t>Brian Gunter</t>
        </is>
      </c>
      <c r="B97" s="2" t="inlineStr">
        <is>
          <t>Georgia Tech</t>
        </is>
      </c>
      <c r="C97" s="3" t="inlineStr">
        <is>
          <t>https://www.linkedin.com/in/brian-gunter-228a3a7/</t>
        </is>
      </c>
      <c r="D97" s="2" t="inlineStr">
        <is>
          <t>brian.gunter@gatech.edu</t>
        </is>
      </c>
      <c r="F97" s="2" t="inlineStr">
        <is>
          <t>done - 3/18</t>
        </is>
      </c>
      <c r="G97" s="2" t="inlineStr">
        <is>
          <t>done - 3/24</t>
        </is>
      </c>
    </row>
    <row r="98" ht="12.60000038146973" customHeight="1" s="216">
      <c r="A98" s="2" t="inlineStr">
        <is>
          <t>John Christian</t>
        </is>
      </c>
      <c r="B98" s="2" t="inlineStr">
        <is>
          <t>Georgia Tech</t>
        </is>
      </c>
      <c r="C98" s="3" t="inlineStr">
        <is>
          <t>https://www.linkedin.com/in/jchristianphd/</t>
        </is>
      </c>
      <c r="D98" s="2" t="inlineStr">
        <is>
          <t>john.a.christian@gatech.edu</t>
        </is>
      </c>
      <c r="F98" s="2" t="inlineStr">
        <is>
          <t>done - 3/18</t>
        </is>
      </c>
      <c r="G98" s="2" t="inlineStr">
        <is>
          <t>done - 3/24</t>
        </is>
      </c>
    </row>
    <row r="99" ht="15.60000038146973" customHeight="1" s="216">
      <c r="A99" s="2" t="inlineStr">
        <is>
          <t>Lindy Elkins-Tanton</t>
        </is>
      </c>
      <c r="B99" s="2" t="inlineStr">
        <is>
          <t>ASU</t>
        </is>
      </c>
      <c r="C99" s="3" t="inlineStr">
        <is>
          <t>https://www.linkedin.com/in/ltelkins/</t>
        </is>
      </c>
      <c r="D99" s="4" t="inlineStr">
        <is>
          <t>lindy.elkins-tanton@asu.edu</t>
        </is>
      </c>
      <c r="E99" s="4" t="inlineStr">
        <is>
          <t>elindy@asu.edu</t>
        </is>
      </c>
      <c r="F99" s="2" t="inlineStr">
        <is>
          <t>done - 3/18</t>
        </is>
      </c>
      <c r="G99" s="2" t="inlineStr">
        <is>
          <t>done - 4/2</t>
        </is>
      </c>
    </row>
    <row r="100" ht="15.60000038146973" customHeight="1" s="216">
      <c r="A100" s="16" t="inlineStr">
        <is>
          <t>Jesssica Rousset</t>
        </is>
      </c>
      <c r="B100" s="16" t="inlineStr">
        <is>
          <t>ASU</t>
        </is>
      </c>
      <c r="C100" s="136" t="inlineStr">
        <is>
          <t>https://www.linkedin.com/in/jessicalrousset/</t>
        </is>
      </c>
      <c r="D100" s="17" t="inlineStr">
        <is>
          <t>jessica.rousset@asu.edu</t>
        </is>
      </c>
      <c r="E100" s="16" t="inlineStr">
        <is>
          <t>jessica.rousset@gmail.com</t>
        </is>
      </c>
      <c r="F100" s="16" t="inlineStr">
        <is>
          <t>done - 3/18</t>
        </is>
      </c>
      <c r="G100" s="16" t="n"/>
      <c r="H100" s="16" t="inlineStr">
        <is>
          <t>ASU - working with Jessica Rousset and group for continued communication about ASU and Space Edge program</t>
        </is>
      </c>
      <c r="I100" s="2" t="inlineStr">
        <is>
          <t>second meeting in works</t>
        </is>
      </c>
    </row>
    <row r="101" ht="14.10000038146973" customHeight="1" s="216">
      <c r="A101" s="2" t="inlineStr">
        <is>
          <t>Katherine McConachie</t>
        </is>
      </c>
      <c r="B101" s="2" t="inlineStr">
        <is>
          <t>ASU</t>
        </is>
      </c>
      <c r="C101" s="3" t="inlineStr">
        <is>
          <t>https://www.linkedin.com/in/katherine-mcconachie/</t>
        </is>
      </c>
      <c r="D101" s="18" t="inlineStr">
        <is>
          <t>katherine.mcconachie@asu.edu</t>
        </is>
      </c>
      <c r="E101" s="2" t="inlineStr">
        <is>
          <t>kmcconachie@asu.edu</t>
        </is>
      </c>
      <c r="F101" s="2" t="inlineStr">
        <is>
          <t>done - 3/18</t>
        </is>
      </c>
      <c r="G101" s="2" t="inlineStr">
        <is>
          <t>done - 4/2</t>
        </is>
      </c>
    </row>
    <row r="102" ht="15.60000038146973" customHeight="1" s="216">
      <c r="A102" s="2" t="inlineStr">
        <is>
          <t>Shireen Dooling</t>
        </is>
      </c>
      <c r="B102" s="2" t="inlineStr">
        <is>
          <t>ASU</t>
        </is>
      </c>
      <c r="C102" s="3" t="inlineStr">
        <is>
          <t>https://www.linkedin.com/in/shireendooling/</t>
        </is>
      </c>
      <c r="D102" s="2" t="inlineStr">
        <is>
          <t>shireen.dooling@asu.edu</t>
        </is>
      </c>
      <c r="E102" s="4" t="inlineStr">
        <is>
          <t>shireen.d2@gmail.com</t>
        </is>
      </c>
      <c r="F102" s="2" t="inlineStr">
        <is>
          <t>done - 3/18</t>
        </is>
      </c>
      <c r="G102" s="2" t="inlineStr">
        <is>
          <t>done - 4/2</t>
        </is>
      </c>
    </row>
    <row r="103" ht="15.60000038146973" customHeight="1" s="216">
      <c r="A103" s="2" t="inlineStr">
        <is>
          <t>Joe Dubois</t>
        </is>
      </c>
      <c r="B103" s="2" t="inlineStr">
        <is>
          <t>ASU</t>
        </is>
      </c>
      <c r="C103" s="3" t="inlineStr">
        <is>
          <t>https://www.linkedin.com/in/joe-dubois-93b0325/</t>
        </is>
      </c>
      <c r="D103" s="4" t="inlineStr">
        <is>
          <t>joe.dubois@asu.edu</t>
        </is>
      </c>
      <c r="F103" s="2" t="inlineStr">
        <is>
          <t>done - 3/18</t>
        </is>
      </c>
      <c r="G103" s="2" t="inlineStr">
        <is>
          <t>done - 4/2</t>
        </is>
      </c>
    </row>
    <row r="104" ht="15.60000038146973" customHeight="1" s="216">
      <c r="A104" s="2" t="inlineStr">
        <is>
          <t>Juana Garcia</t>
        </is>
      </c>
      <c r="B104" s="2" t="inlineStr">
        <is>
          <t>ASU</t>
        </is>
      </c>
      <c r="C104" s="3" t="inlineStr">
        <is>
          <t>https://www.linkedin.com/in/juana-garcia-645a99286/</t>
        </is>
      </c>
      <c r="D104" s="4" t="inlineStr">
        <is>
          <t>juana.garcia@asu.edu</t>
        </is>
      </c>
      <c r="F104" s="2" t="inlineStr">
        <is>
          <t>done - 3/18</t>
        </is>
      </c>
      <c r="G104" s="2" t="inlineStr">
        <is>
          <t>done - 4/2</t>
        </is>
      </c>
    </row>
    <row r="105" ht="15.60000038146973" customHeight="1" s="216">
      <c r="A105" s="2" t="inlineStr">
        <is>
          <t>Taryn Struck</t>
        </is>
      </c>
      <c r="B105" s="2" t="inlineStr">
        <is>
          <t>ASU</t>
        </is>
      </c>
      <c r="C105" s="3" t="inlineStr">
        <is>
          <t>https://www.linkedin.com/in/taryn-struck-1457b424/</t>
        </is>
      </c>
      <c r="D105" s="4" t="inlineStr">
        <is>
          <t>taryn.struck@asu.edu</t>
        </is>
      </c>
      <c r="E105" s="4" t="inlineStr">
        <is>
          <t>taryn@asu.edu</t>
        </is>
      </c>
      <c r="F105" s="2" t="inlineStr">
        <is>
          <t>done - 3/18</t>
        </is>
      </c>
      <c r="G105" s="2" t="inlineStr">
        <is>
          <t>done - 4/2</t>
        </is>
      </c>
    </row>
    <row r="106" ht="12.60000038146973" customHeight="1" s="216">
      <c r="A106" s="2" t="inlineStr">
        <is>
          <t>Mr Jacobs - reccomended by Taryn</t>
        </is>
      </c>
      <c r="B106" s="2" t="inlineStr">
        <is>
          <t>ASU</t>
        </is>
      </c>
      <c r="D106" s="19" t="inlineStr">
        <is>
          <t>dcjacob2@asu.edu</t>
        </is>
      </c>
    </row>
    <row r="107" ht="15.60000038146973" customHeight="1" s="216">
      <c r="A107" s="2" t="inlineStr">
        <is>
          <t>Mason Peck</t>
        </is>
      </c>
      <c r="B107" s="2" t="inlineStr">
        <is>
          <t>Cornell</t>
        </is>
      </c>
      <c r="C107" s="3" t="inlineStr">
        <is>
          <t>https://www.linkedin.com/in/mason-peck-723295214/</t>
        </is>
      </c>
      <c r="D107" s="4" t="inlineStr">
        <is>
          <t>mason.peck@cornell.edu</t>
        </is>
      </c>
      <c r="F107" s="2" t="inlineStr">
        <is>
          <t>done - 3/24</t>
        </is>
      </c>
      <c r="G107" s="2" t="inlineStr">
        <is>
          <t>done - 4/2</t>
        </is>
      </c>
    </row>
    <row r="108" ht="15.60000038146973" customHeight="1" s="216">
      <c r="A108" s="2" t="inlineStr">
        <is>
          <t>Nelly Andarawis-Puri</t>
        </is>
      </c>
      <c r="B108" s="2" t="inlineStr">
        <is>
          <t>Cornell</t>
        </is>
      </c>
      <c r="C108" s="3" t="inlineStr">
        <is>
          <t>https://www.linkedin.com/in/nelly-andarawis-puri-5596721/</t>
        </is>
      </c>
      <c r="D108" s="4" t="inlineStr">
        <is>
          <t>na424@cornell.edu</t>
        </is>
      </c>
      <c r="F108" s="2" t="inlineStr">
        <is>
          <t>done - 3/24</t>
        </is>
      </c>
      <c r="G108" s="2" t="inlineStr">
        <is>
          <t>done - 4/2</t>
        </is>
      </c>
    </row>
    <row r="109" ht="15.60000038146973" customHeight="1" s="216">
      <c r="A109" s="2" t="inlineStr">
        <is>
          <t>Rajesh Bhaskaran</t>
        </is>
      </c>
      <c r="B109" s="2" t="inlineStr">
        <is>
          <t>Cornell</t>
        </is>
      </c>
      <c r="C109" s="3" t="inlineStr">
        <is>
          <t>https://www.linkedin.com/in/rajesh-bhaskaran-aa06387/</t>
        </is>
      </c>
      <c r="D109" s="4" t="inlineStr">
        <is>
          <t>bhaskaran@cornell.edu</t>
        </is>
      </c>
      <c r="E109" s="4" t="inlineStr">
        <is>
          <t>rb88@cornell.edu</t>
        </is>
      </c>
      <c r="F109" s="2" t="inlineStr">
        <is>
          <t>done - 3/24</t>
        </is>
      </c>
      <c r="G109" s="2" t="inlineStr">
        <is>
          <t>done - 4/2</t>
        </is>
      </c>
    </row>
    <row r="110" ht="12.60000038146973" customHeight="1" s="216">
      <c r="A110" s="5" t="inlineStr">
        <is>
          <t>Mark Campbell</t>
        </is>
      </c>
      <c r="B110" s="5" t="inlineStr">
        <is>
          <t>Cornell</t>
        </is>
      </c>
      <c r="C110" s="134" t="inlineStr">
        <is>
          <t>https://www.linkedin.com/in/mark-campbell-55612782/</t>
        </is>
      </c>
      <c r="D110" s="5" t="inlineStr">
        <is>
          <t>mark.campbell@cornell.edu</t>
        </is>
      </c>
      <c r="E110" s="5" t="inlineStr">
        <is>
          <t>mcampbell@cornell.edu</t>
        </is>
      </c>
      <c r="F110" s="5" t="inlineStr">
        <is>
          <t>done - 3/24</t>
        </is>
      </c>
      <c r="G110" s="5" t="n"/>
      <c r="H110" s="5" t="inlineStr">
        <is>
          <t>not the right contact</t>
        </is>
      </c>
    </row>
    <row r="111" ht="15.60000038146973" customHeight="1" s="216">
      <c r="A111" s="2" t="inlineStr">
        <is>
          <t>David Erickson</t>
        </is>
      </c>
      <c r="B111" s="2" t="inlineStr">
        <is>
          <t>Cornell</t>
        </is>
      </c>
      <c r="C111" s="3" t="inlineStr">
        <is>
          <t>https://www.linkedin.com/in/david-erickson-59784331/</t>
        </is>
      </c>
      <c r="D111" s="2" t="inlineStr">
        <is>
          <t>david.erickson@cornell.edu</t>
        </is>
      </c>
      <c r="E111" s="4" t="inlineStr">
        <is>
          <t>de54@cornell.edu</t>
        </is>
      </c>
      <c r="F111" s="2" t="inlineStr">
        <is>
          <t>done - 3/24</t>
        </is>
      </c>
      <c r="G111" s="2" t="inlineStr">
        <is>
          <t>done - 4/2</t>
        </is>
      </c>
    </row>
    <row r="112" ht="15.60000038146973" customHeight="1" s="216">
      <c r="A112" s="20" t="inlineStr">
        <is>
          <t>Silvia Ferrari</t>
        </is>
      </c>
      <c r="B112" s="2" t="inlineStr">
        <is>
          <t>Cornell</t>
        </is>
      </c>
      <c r="C112" s="3" t="inlineStr">
        <is>
          <t>https://www.linkedin.com/in/silvia-ferrari-864b10324/</t>
        </is>
      </c>
      <c r="D112" s="4" t="inlineStr">
        <is>
          <t>ferrari@cornell.edu</t>
        </is>
      </c>
      <c r="F112" s="2" t="inlineStr">
        <is>
          <t>done - 3/24</t>
        </is>
      </c>
      <c r="G112" s="2" t="inlineStr">
        <is>
          <t>done - 4/2</t>
        </is>
      </c>
    </row>
    <row r="113" ht="12.60000038146973" customHeight="1" s="216">
      <c r="A113" s="5" t="inlineStr">
        <is>
          <t>Timothy Sands</t>
        </is>
      </c>
      <c r="B113" s="5" t="inlineStr">
        <is>
          <t>Cornell</t>
        </is>
      </c>
      <c r="C113" s="134" t="inlineStr">
        <is>
          <t>https://www.engineering.cornell.edu/faculty-directory/timothy-sands</t>
        </is>
      </c>
      <c r="D113" s="134" t="inlineStr">
        <is>
          <t>tas297@cornell.edu</t>
        </is>
      </c>
      <c r="E113" s="5" t="n"/>
      <c r="F113" s="5" t="inlineStr">
        <is>
          <t>done - 3/24</t>
        </is>
      </c>
      <c r="G113" s="5" t="inlineStr">
        <is>
          <t>done - 4/2</t>
        </is>
      </c>
      <c r="H113" s="5" t="inlineStr">
        <is>
          <t>sent PUG on 3/25</t>
        </is>
      </c>
      <c r="I113" s="2" t="inlineStr">
        <is>
          <t>was preparing fall flights for students, asked for PUG, but then found out her would not be returning to Cornell. need to find other faculty there!</t>
        </is>
      </c>
    </row>
    <row r="114" ht="12.60000038146973" customHeight="1" s="216">
      <c r="A114" s="2" t="inlineStr">
        <is>
          <t>Marjolein van der Meulen</t>
        </is>
      </c>
      <c r="B114" s="2" t="inlineStr">
        <is>
          <t>Cornell</t>
        </is>
      </c>
      <c r="C114" s="3" t="inlineStr">
        <is>
          <t>https://www.linkedin.com/in/marjolein-c-h-van-der-meulen-90951711/</t>
        </is>
      </c>
      <c r="D114" s="3" t="inlineStr">
        <is>
          <t>mcv3@cornell.edu</t>
        </is>
      </c>
      <c r="F114" s="2" t="inlineStr">
        <is>
          <t>done - 3/24</t>
        </is>
      </c>
      <c r="G114" s="2" t="inlineStr">
        <is>
          <t>done - 4/2</t>
        </is>
      </c>
    </row>
    <row r="115" ht="12.60000038146973" customHeight="1" s="216">
      <c r="A115" s="2" t="inlineStr">
        <is>
          <t>Phillip J Ansell</t>
        </is>
      </c>
      <c r="B115" s="2" t="inlineStr">
        <is>
          <t>University of Illinois</t>
        </is>
      </c>
      <c r="D115" s="2" t="inlineStr">
        <is>
          <t>ansell1@illinois.edu</t>
        </is>
      </c>
      <c r="F115" s="2" t="inlineStr">
        <is>
          <t>done - 3/25</t>
        </is>
      </c>
      <c r="G115" s="2" t="inlineStr">
        <is>
          <t>done - 4/2</t>
        </is>
      </c>
    </row>
    <row r="116" ht="12.60000038146973" customHeight="1" s="216">
      <c r="A116" s="2" t="inlineStr">
        <is>
          <t>Heather Arnett</t>
        </is>
      </c>
      <c r="B116" s="2" t="inlineStr">
        <is>
          <t>University of Illinois</t>
        </is>
      </c>
      <c r="C116" s="3" t="inlineStr">
        <is>
          <t>https://www.linkedin.com/in/heather-arnett-5b471465</t>
        </is>
      </c>
      <c r="D116" s="2" t="inlineStr">
        <is>
          <t>hrb2@illinois.edu</t>
        </is>
      </c>
      <c r="F116" s="2" t="inlineStr">
        <is>
          <t>done - 3/25</t>
        </is>
      </c>
      <c r="G116" s="2" t="inlineStr">
        <is>
          <t>done - 4/2</t>
        </is>
      </c>
    </row>
    <row r="117" ht="12.60000038146973" customHeight="1" s="216">
      <c r="A117" s="2" t="inlineStr">
        <is>
          <t>David Attig</t>
        </is>
      </c>
      <c r="B117" s="2" t="inlineStr">
        <is>
          <t>University of Illinois</t>
        </is>
      </c>
      <c r="C117" s="3" t="inlineStr">
        <is>
          <t>https://www.linkedin.com/in/dnattig/</t>
        </is>
      </c>
      <c r="D117" s="2" t="inlineStr">
        <is>
          <t>dnattig2@illinois.edu</t>
        </is>
      </c>
      <c r="F117" s="2" t="inlineStr">
        <is>
          <t>done - 3/25</t>
        </is>
      </c>
      <c r="G117" s="2" t="inlineStr">
        <is>
          <t>done - 4/2</t>
        </is>
      </c>
    </row>
    <row r="118" ht="12.60000038146973" customHeight="1" s="216">
      <c r="A118" s="2" t="inlineStr">
        <is>
          <t>Heidi Bjerke</t>
        </is>
      </c>
      <c r="B118" s="2" t="inlineStr">
        <is>
          <t>University of Illinois</t>
        </is>
      </c>
      <c r="D118" s="2" t="inlineStr">
        <is>
          <t>hbjerke2@illinois.edu</t>
        </is>
      </c>
      <c r="F118" s="2" t="inlineStr">
        <is>
          <t>done - 3/25</t>
        </is>
      </c>
      <c r="G118" s="2" t="inlineStr">
        <is>
          <t>done - 4/2</t>
        </is>
      </c>
    </row>
    <row r="119" ht="12.60000038146973" customHeight="1" s="216">
      <c r="A119" s="2" t="inlineStr">
        <is>
          <t>Timothy Bretl</t>
        </is>
      </c>
      <c r="B119" s="2" t="inlineStr">
        <is>
          <t>University of Illinois</t>
        </is>
      </c>
      <c r="C119" s="3" t="inlineStr">
        <is>
          <t>https://www.linkedin.com/in/tim-bretl-56953523/</t>
        </is>
      </c>
      <c r="D119" s="3" t="inlineStr">
        <is>
          <t>tbretl@illinois.edu</t>
        </is>
      </c>
      <c r="F119" s="2" t="inlineStr">
        <is>
          <t>done - 3/25</t>
        </is>
      </c>
      <c r="G119" s="2" t="inlineStr">
        <is>
          <t>done - 4/2</t>
        </is>
      </c>
    </row>
    <row r="120" ht="12.60000038146973" customHeight="1" s="216">
      <c r="A120" s="2" t="inlineStr">
        <is>
          <t>Ralph Semmel</t>
        </is>
      </c>
      <c r="B120" s="2" t="inlineStr">
        <is>
          <t>Johns Hopkins</t>
        </is>
      </c>
      <c r="D120" s="2" t="inlineStr">
        <is>
          <t>ralph.semmel@jhuapl.edu</t>
        </is>
      </c>
      <c r="E120" s="2" t="inlineStr">
        <is>
          <t>ralph@jhuapl.edu</t>
        </is>
      </c>
      <c r="F120" s="2" t="inlineStr">
        <is>
          <t>done - 3/25</t>
        </is>
      </c>
      <c r="G120" s="2" t="inlineStr">
        <is>
          <t>done - 4/2</t>
        </is>
      </c>
    </row>
    <row r="121" ht="15.60000038146973" customHeight="1" s="216">
      <c r="A121" s="2" t="inlineStr">
        <is>
          <t>Tim Galpin</t>
        </is>
      </c>
      <c r="B121" s="2" t="inlineStr">
        <is>
          <t>Johns Hopkins</t>
        </is>
      </c>
      <c r="C121" s="3" t="inlineStr">
        <is>
          <t>https://www.linkedin.com/in/tim-galpin-10657a11/</t>
        </is>
      </c>
      <c r="D121" s="4" t="inlineStr">
        <is>
          <t>tim.galpin@jhuapl.edu</t>
        </is>
      </c>
      <c r="E121" s="2" t="inlineStr">
        <is>
          <t>timothy.galpin@jhuapl.edu</t>
        </is>
      </c>
      <c r="F121" s="2" t="inlineStr">
        <is>
          <t>done - 3/25</t>
        </is>
      </c>
      <c r="G121" s="2" t="inlineStr">
        <is>
          <t>done - 4/2</t>
        </is>
      </c>
    </row>
    <row r="122" ht="15.60000038146973" customHeight="1" s="216">
      <c r="A122" s="2" t="inlineStr">
        <is>
          <t>Jerry Krill</t>
        </is>
      </c>
      <c r="B122" s="2" t="inlineStr">
        <is>
          <t>Johns Hopkins</t>
        </is>
      </c>
      <c r="D122" s="4" t="inlineStr">
        <is>
          <t>jerry.krill@jhuapl.edu</t>
        </is>
      </c>
      <c r="E122" s="4" t="inlineStr">
        <is>
          <t>jerry@jhuapl.edu</t>
        </is>
      </c>
      <c r="F122" s="2" t="inlineStr">
        <is>
          <t>done - 3/26</t>
        </is>
      </c>
      <c r="G122" s="2" t="inlineStr">
        <is>
          <t>done - 4/2</t>
        </is>
      </c>
    </row>
    <row r="123" ht="15.60000038146973" customHeight="1" s="216">
      <c r="A123" s="2" t="inlineStr">
        <is>
          <t>Robert Braun</t>
        </is>
      </c>
      <c r="B123" s="2" t="inlineStr">
        <is>
          <t>Johns Hopkins</t>
        </is>
      </c>
      <c r="C123" s="3" t="inlineStr">
        <is>
          <t>https://www.linkedin.com/in/bobbybraun/</t>
        </is>
      </c>
      <c r="D123" s="18" t="inlineStr">
        <is>
          <t>bobby.braun@jhuapl.edu</t>
        </is>
      </c>
      <c r="E123" s="4" t="n"/>
      <c r="F123" s="2" t="inlineStr">
        <is>
          <t>done - 3/26</t>
        </is>
      </c>
      <c r="G123" s="2" t="inlineStr">
        <is>
          <t>done - 4/2</t>
        </is>
      </c>
    </row>
    <row r="124" ht="15.60000038146973" customHeight="1" s="216">
      <c r="A124" s="2" t="inlineStr">
        <is>
          <t>Andrew Merkle</t>
        </is>
      </c>
      <c r="B124" s="2" t="inlineStr">
        <is>
          <t>Johns Hopkins</t>
        </is>
      </c>
      <c r="C124" s="3" t="inlineStr">
        <is>
          <t>https://www.linkedin.com/in/andrew-merkle-00bb046/</t>
        </is>
      </c>
      <c r="D124" s="2" t="inlineStr">
        <is>
          <t>andrew.merkle@jhuapl.edu</t>
        </is>
      </c>
      <c r="E124" s="4" t="inlineStr">
        <is>
          <t>andrew@jhuapl.edu</t>
        </is>
      </c>
      <c r="F124" s="2" t="inlineStr">
        <is>
          <t>done - 3/26</t>
        </is>
      </c>
      <c r="G124" s="2" t="inlineStr">
        <is>
          <t>done - 4/2</t>
        </is>
      </c>
    </row>
    <row r="125" ht="15.60000038146973" customHeight="1" s="216">
      <c r="A125" s="2" t="inlineStr">
        <is>
          <t>Chris Becraft</t>
        </is>
      </c>
      <c r="B125" s="2" t="inlineStr">
        <is>
          <t>Johns Hopkins</t>
        </is>
      </c>
      <c r="C125" s="3" t="inlineStr">
        <is>
          <t>https://www.linkedin.com/in/chris-becraft-b75bb7140/</t>
        </is>
      </c>
      <c r="D125" s="4" t="inlineStr">
        <is>
          <t>chris@jhuapl.edu</t>
        </is>
      </c>
      <c r="F125" s="2" t="inlineStr">
        <is>
          <t>done - 3/26</t>
        </is>
      </c>
      <c r="G125" s="2" t="inlineStr">
        <is>
          <t>done - 4/2</t>
        </is>
      </c>
    </row>
    <row r="126" ht="12.60000038146973" customHeight="1" s="216">
      <c r="A126" s="2" t="inlineStr">
        <is>
          <t>Rob Kelly</t>
        </is>
      </c>
      <c r="B126" s="2" t="inlineStr">
        <is>
          <t>Embry-Riddle</t>
        </is>
      </c>
      <c r="C126" s="3" t="inlineStr">
        <is>
          <t>https://www.linkedin.com/in/robert-kelly-863a4310/</t>
        </is>
      </c>
      <c r="D126" s="3" t="inlineStr">
        <is>
          <t>robert.j.kelly@erau.edu</t>
        </is>
      </c>
      <c r="F126" s="2" t="inlineStr">
        <is>
          <t>done - 3/31</t>
        </is>
      </c>
    </row>
    <row r="127" ht="12.60000038146973" customHeight="1" s="216">
      <c r="A127" s="2" t="inlineStr">
        <is>
          <t>Sathya Gangadharan</t>
        </is>
      </c>
      <c r="B127" s="2" t="inlineStr">
        <is>
          <t>Embry-Riddle</t>
        </is>
      </c>
      <c r="C127" s="3" t="inlineStr">
        <is>
          <t>https://www.linkedin.com/in/sathya-gangadharan/</t>
        </is>
      </c>
      <c r="D127" s="2" t="inlineStr">
        <is>
          <t>sathya.gangadharan@erau.edu</t>
        </is>
      </c>
      <c r="F127" s="2" t="inlineStr">
        <is>
          <t>done - 3/31</t>
        </is>
      </c>
    </row>
    <row r="128" ht="15.60000038146973" customHeight="1" s="216">
      <c r="A128" s="2" t="inlineStr">
        <is>
          <t xml:space="preserve">John R. Watret </t>
        </is>
      </c>
      <c r="B128" s="2" t="inlineStr">
        <is>
          <t>Embry-Riddle</t>
        </is>
      </c>
      <c r="C128" s="3" t="inlineStr">
        <is>
          <t>https://www.linkedin.com/in/john-r-watret-a58b7811/</t>
        </is>
      </c>
      <c r="D128" s="4" t="inlineStr">
        <is>
          <t>john.watret@erau.edu</t>
        </is>
      </c>
      <c r="E128" s="4" t="inlineStr">
        <is>
          <t>watretj@erau.edu</t>
        </is>
      </c>
      <c r="F128" s="2" t="inlineStr">
        <is>
          <t>done - 3/31</t>
        </is>
      </c>
    </row>
    <row r="129" ht="15.60000038146973" customHeight="1" s="216">
      <c r="A129" s="16" t="inlineStr">
        <is>
          <t>Pedro J. Llanos</t>
        </is>
      </c>
      <c r="B129" s="16" t="inlineStr">
        <is>
          <t>Embry-Riddle</t>
        </is>
      </c>
      <c r="C129" s="136" t="inlineStr">
        <is>
          <t>https://www.linkedin.com/in/pedrojllanos/</t>
        </is>
      </c>
      <c r="D129" s="17" t="inlineStr">
        <is>
          <t>pedro.llanos@erau.edu</t>
        </is>
      </c>
      <c r="E129" s="21" t="inlineStr">
        <is>
          <t xml:space="preserve">llanosp@erau.edu &amp; </t>
        </is>
      </c>
      <c r="F129" s="16" t="inlineStr">
        <is>
          <t>done - 3/31</t>
        </is>
      </c>
      <c r="G129" s="16" t="n"/>
      <c r="H129" s="16" t="inlineStr">
        <is>
          <t>meeting set for 4/4</t>
        </is>
      </c>
      <c r="I129" s="2" t="inlineStr">
        <is>
          <t>follow up in Sept- considering 1U</t>
        </is>
      </c>
    </row>
    <row r="130" ht="12.60000038146973" customHeight="1" s="216">
      <c r="A130" s="2" t="inlineStr">
        <is>
          <t>Jim Gregory</t>
        </is>
      </c>
      <c r="B130" s="2" t="inlineStr">
        <is>
          <t>Embry-Riddle</t>
        </is>
      </c>
      <c r="C130" s="3" t="inlineStr">
        <is>
          <t>https://www.linkedin.com/in/jim-gregory-7072944/</t>
        </is>
      </c>
      <c r="F130" s="2" t="inlineStr">
        <is>
          <t>done - 3/31</t>
        </is>
      </c>
    </row>
    <row r="131" ht="12.60000038146973" customHeight="1" s="216">
      <c r="A131" s="2" t="inlineStr">
        <is>
          <t xml:space="preserve">Troy Henderson </t>
        </is>
      </c>
      <c r="B131" s="2" t="inlineStr">
        <is>
          <t>Embry-Riddle</t>
        </is>
      </c>
      <c r="C131" s="3" t="inlineStr">
        <is>
          <t>https://www.linkedin.com/in/troy-henderson-a105043a/</t>
        </is>
      </c>
      <c r="D131" s="2" t="inlineStr">
        <is>
          <t>henderson@erau.edu</t>
        </is>
      </c>
      <c r="E131" s="2" t="inlineStr">
        <is>
          <t>troy.henderson1@erau.edu</t>
        </is>
      </c>
      <c r="F131" s="2" t="inlineStr">
        <is>
          <t>done - 3/31</t>
        </is>
      </c>
    </row>
    <row r="132" ht="15.60000038146973" customHeight="1" s="216">
      <c r="A132" s="2" t="inlineStr">
        <is>
          <t xml:space="preserve">Sulyman Ahmed Iyanda </t>
        </is>
      </c>
      <c r="B132" s="2" t="inlineStr">
        <is>
          <t>Embry-Riddle</t>
        </is>
      </c>
      <c r="C132" s="3" t="inlineStr">
        <is>
          <t>https://www.linkedin.com/in/sulyman-ahmed-iyanda-9a12b540/</t>
        </is>
      </c>
      <c r="D132" s="4" t="inlineStr">
        <is>
          <t>sulyman.iyanda@erau.edu</t>
        </is>
      </c>
      <c r="F132" s="2" t="inlineStr">
        <is>
          <t>done - 3/31</t>
        </is>
      </c>
    </row>
    <row r="133" ht="12.60000038146973" customHeight="1" s="216">
      <c r="A133" s="2" t="inlineStr">
        <is>
          <t>Elliott Bryner</t>
        </is>
      </c>
      <c r="B133" s="2" t="inlineStr">
        <is>
          <t>Embry-Riddle</t>
        </is>
      </c>
      <c r="C133" s="3" t="inlineStr">
        <is>
          <t>https://www.linkedin.com/in/elliott-bryner-6621b818/</t>
        </is>
      </c>
      <c r="D133" s="2" t="inlineStr">
        <is>
          <t>brynere@erau.edu</t>
        </is>
      </c>
      <c r="F133" s="2" t="inlineStr">
        <is>
          <t>done - 3/31</t>
        </is>
      </c>
    </row>
    <row r="134" ht="12.60000038146973" customHeight="1" s="216">
      <c r="A134" s="2" t="inlineStr">
        <is>
          <t>Brennan Hughey</t>
        </is>
      </c>
      <c r="B134" s="2" t="inlineStr">
        <is>
          <t>Embry-Riddle</t>
        </is>
      </c>
      <c r="C134" s="3" t="inlineStr">
        <is>
          <t>https://www.linkedin.com/in/brennan-hughey-694131287/</t>
        </is>
      </c>
      <c r="D134" s="2" t="inlineStr">
        <is>
          <t>brennan.hughey@erau.edu</t>
        </is>
      </c>
      <c r="F134" s="2" t="inlineStr">
        <is>
          <t>done - 3/31</t>
        </is>
      </c>
    </row>
    <row r="135" ht="15.60000038146973" customHeight="1" s="216">
      <c r="A135" s="2" t="inlineStr">
        <is>
          <t>Kyle Collins</t>
        </is>
      </c>
      <c r="B135" s="2" t="inlineStr">
        <is>
          <t>Embry-Riddle</t>
        </is>
      </c>
      <c r="C135" s="3" t="inlineStr">
        <is>
          <t>https://www.linkedin.com/in/kylebcollins/</t>
        </is>
      </c>
      <c r="D135" s="4" t="inlineStr">
        <is>
          <t>kyle.collins@erau.edu</t>
        </is>
      </c>
      <c r="F135" s="2" t="inlineStr">
        <is>
          <t>done - 3/31</t>
        </is>
      </c>
    </row>
    <row r="136" ht="15.60000038146973" customHeight="1" s="216">
      <c r="A136" s="2" t="inlineStr">
        <is>
          <t>Erik Lundberg</t>
        </is>
      </c>
      <c r="B136" s="2" t="inlineStr">
        <is>
          <t>MIT</t>
        </is>
      </c>
      <c r="C136" s="3" t="inlineStr">
        <is>
          <t>https://www.linkedin.com/in/erik-lundberg-6aa20911/</t>
        </is>
      </c>
      <c r="D136" s="4" t="inlineStr">
        <is>
          <t>elundberg@mitre.org</t>
        </is>
      </c>
      <c r="F136" s="2" t="inlineStr">
        <is>
          <t>done - 3/31</t>
        </is>
      </c>
      <c r="G136" s="2" t="inlineStr">
        <is>
          <t>done - 5/7</t>
        </is>
      </c>
    </row>
    <row r="137" ht="15.60000038146973" customHeight="1" s="216">
      <c r="A137" s="2" t="inlineStr">
        <is>
          <t>Richard Linares</t>
        </is>
      </c>
      <c r="B137" s="2" t="inlineStr">
        <is>
          <t>MIT</t>
        </is>
      </c>
      <c r="C137" s="3" t="inlineStr">
        <is>
          <t>https://www.linkedin.com/in/richard-linares-68769427/</t>
        </is>
      </c>
      <c r="D137" s="4" t="inlineStr">
        <is>
          <t>linaresr@mit.edu</t>
        </is>
      </c>
      <c r="F137" s="2" t="inlineStr">
        <is>
          <t>done - 3/31</t>
        </is>
      </c>
      <c r="G137" s="2" t="inlineStr">
        <is>
          <t>done - 5/7</t>
        </is>
      </c>
    </row>
    <row r="138" ht="15.60000038146973" customHeight="1" s="216">
      <c r="A138" s="2" t="inlineStr">
        <is>
          <t>Kerri Cahoy</t>
        </is>
      </c>
      <c r="B138" s="2" t="inlineStr">
        <is>
          <t>MIT</t>
        </is>
      </c>
      <c r="C138" s="3" t="inlineStr">
        <is>
          <t>https://www.linkedin.com/in/kerri-cahoy-3271a83/</t>
        </is>
      </c>
      <c r="D138" s="4" t="inlineStr">
        <is>
          <t>kcahoy@mit.edu</t>
        </is>
      </c>
      <c r="F138" s="2" t="inlineStr">
        <is>
          <t>done - 3/31</t>
        </is>
      </c>
      <c r="G138" s="2" t="inlineStr">
        <is>
          <t>done - 5/7</t>
        </is>
      </c>
    </row>
    <row r="139" ht="15.60000038146973" customHeight="1" s="216">
      <c r="A139" s="2" t="inlineStr">
        <is>
          <t>Charbel Farhat</t>
        </is>
      </c>
      <c r="B139" s="2" t="inlineStr">
        <is>
          <t>Stanford</t>
        </is>
      </c>
      <c r="C139" s="4" t="n"/>
      <c r="D139" s="4" t="inlineStr">
        <is>
          <t>cfarhat@stanford.edu</t>
        </is>
      </c>
      <c r="F139" s="2" t="inlineStr">
        <is>
          <t>done - 4/1</t>
        </is>
      </c>
      <c r="G139" s="2" t="inlineStr">
        <is>
          <t>done - 5/7</t>
        </is>
      </c>
    </row>
    <row r="140" ht="15.60000038146973" customHeight="1" s="216">
      <c r="A140" s="2" t="inlineStr">
        <is>
          <t>Brian Gilchrist</t>
        </is>
      </c>
      <c r="B140" s="2" t="inlineStr">
        <is>
          <t>University Michigan</t>
        </is>
      </c>
      <c r="C140" s="3" t="inlineStr">
        <is>
          <t>https://www.linkedin.com/in/brian-gilchrist-b797aa1/</t>
        </is>
      </c>
      <c r="D140" s="4" t="inlineStr">
        <is>
          <t>brian.gilchrist@umich.edu</t>
        </is>
      </c>
      <c r="E140" s="4" t="inlineStr">
        <is>
          <t>brian@umich.edu</t>
        </is>
      </c>
      <c r="F140" s="2" t="inlineStr">
        <is>
          <t>done - 4/1</t>
        </is>
      </c>
      <c r="G140" s="2" t="inlineStr">
        <is>
          <t>done - 5/7</t>
        </is>
      </c>
    </row>
    <row r="141" ht="12.60000038146973" customHeight="1" s="216">
      <c r="A141" s="2" t="inlineStr">
        <is>
          <t>Alec Gallimore</t>
        </is>
      </c>
      <c r="B141" s="2" t="inlineStr">
        <is>
          <t>University Michigan</t>
        </is>
      </c>
      <c r="C141" s="3" t="inlineStr">
        <is>
          <t>https://www.linkedin.com/in/alec-gallimore-1010315/</t>
        </is>
      </c>
      <c r="D141" s="2" t="inlineStr">
        <is>
          <t>alec_gallimore@umich.edu</t>
        </is>
      </c>
      <c r="F141" s="2" t="inlineStr">
        <is>
          <t>done - 4/1</t>
        </is>
      </c>
      <c r="G141" s="2" t="inlineStr">
        <is>
          <t>done - 5/7</t>
        </is>
      </c>
    </row>
    <row r="142" ht="15.60000038146973" customHeight="1" s="216">
      <c r="A142" s="2" t="inlineStr">
        <is>
          <t>Aaron Ridley</t>
        </is>
      </c>
      <c r="B142" s="2" t="inlineStr">
        <is>
          <t>University Michigan</t>
        </is>
      </c>
      <c r="C142" s="3" t="inlineStr">
        <is>
          <t>https://www.linkedin.com/in/aaron-ridley-614a174/</t>
        </is>
      </c>
      <c r="D142" s="4" t="inlineStr">
        <is>
          <t>ridley@umich.edu</t>
        </is>
      </c>
      <c r="E142" s="4" t="inlineStr">
        <is>
          <t>aridley@umich.edu</t>
        </is>
      </c>
      <c r="F142" s="2" t="inlineStr">
        <is>
          <t>done - 4/1</t>
        </is>
      </c>
      <c r="G142" s="2" t="inlineStr">
        <is>
          <t>done - 5/7</t>
        </is>
      </c>
    </row>
    <row r="143" ht="15.60000038146973" customHeight="1" s="216">
      <c r="A143" s="2" t="inlineStr">
        <is>
          <t>Soon Jo-Chung</t>
        </is>
      </c>
      <c r="B143" s="2" t="inlineStr">
        <is>
          <t>Caltech</t>
        </is>
      </c>
      <c r="C143" s="3" t="inlineStr">
        <is>
          <t>https://www.linkedin.com/in/soon-jo-chung-899066126/</t>
        </is>
      </c>
      <c r="D143" s="4" t="inlineStr">
        <is>
          <t>sjchung@caltech.edu</t>
        </is>
      </c>
      <c r="E143" s="2" t="inlineStr">
        <is>
          <t>soonjochung@gmail.com</t>
        </is>
      </c>
      <c r="F143" s="2" t="inlineStr">
        <is>
          <t>done - 4/1</t>
        </is>
      </c>
      <c r="G143" s="2" t="inlineStr">
        <is>
          <t>done - 5/7</t>
        </is>
      </c>
    </row>
    <row r="144" ht="12.60000038146973" customHeight="1" s="216">
      <c r="A144" s="2" t="inlineStr">
        <is>
          <t>Daniel Baker</t>
        </is>
      </c>
      <c r="B144" s="2" t="inlineStr">
        <is>
          <t>CU Boulder</t>
        </is>
      </c>
      <c r="C144" s="3" t="inlineStr">
        <is>
          <t>https://www.linkedin.com/in/daniel-baker-67821013/</t>
        </is>
      </c>
      <c r="D144" s="2" t="inlineStr">
        <is>
          <t>daniel.baker@lasp.colorado.edu</t>
        </is>
      </c>
      <c r="F144" s="2" t="inlineStr">
        <is>
          <t>done - 4/1</t>
        </is>
      </c>
      <c r="G144" s="2" t="inlineStr">
        <is>
          <t>done - 5/7</t>
        </is>
      </c>
    </row>
    <row r="145" ht="12.60000038146973" customHeight="1" s="216">
      <c r="A145" s="2" t="inlineStr">
        <is>
          <t>Marty Snow</t>
        </is>
      </c>
      <c r="B145" s="2" t="inlineStr">
        <is>
          <t>CU Boulder</t>
        </is>
      </c>
      <c r="D145" s="2" t="inlineStr">
        <is>
          <t>marty.snow@lasp.colorado.edu</t>
        </is>
      </c>
      <c r="F145" s="2" t="inlineStr">
        <is>
          <t>done - 4/1</t>
        </is>
      </c>
      <c r="G145" s="2" t="inlineStr">
        <is>
          <t>done - 5/7</t>
        </is>
      </c>
    </row>
    <row r="146" ht="12.60000038146973" customHeight="1" s="216">
      <c r="A146" s="2" t="inlineStr">
        <is>
          <t>Nick Schneider</t>
        </is>
      </c>
      <c r="B146" s="2" t="inlineStr">
        <is>
          <t>CU Boulder</t>
        </is>
      </c>
      <c r="D146" s="3" t="inlineStr">
        <is>
          <t>nick.schneider@lasp.colorado.edu</t>
        </is>
      </c>
      <c r="F146" s="2" t="inlineStr">
        <is>
          <t>done - 4/1</t>
        </is>
      </c>
      <c r="G146" s="2" t="inlineStr">
        <is>
          <t>done - 5/7</t>
        </is>
      </c>
    </row>
    <row r="147" ht="12.60000038146973" customHeight="1" s="216">
      <c r="A147" s="2" t="inlineStr">
        <is>
          <t>James Mason</t>
        </is>
      </c>
      <c r="B147" s="2" t="inlineStr">
        <is>
          <t>CU Boulder</t>
        </is>
      </c>
      <c r="D147" s="3" t="inlineStr">
        <is>
          <t>James.Mason@lasp.colorado.edu</t>
        </is>
      </c>
      <c r="F147" s="2" t="inlineStr">
        <is>
          <t>done - 4/1</t>
        </is>
      </c>
      <c r="G147" s="2" t="inlineStr">
        <is>
          <t>done - 5/7</t>
        </is>
      </c>
    </row>
    <row r="148" ht="12.60000038146973" customHeight="1" s="216">
      <c r="A148" s="2" t="inlineStr">
        <is>
          <t>Zachary Putnam</t>
        </is>
      </c>
      <c r="B148" s="2" t="inlineStr">
        <is>
          <t>University Illinois</t>
        </is>
      </c>
      <c r="D148" s="2" t="inlineStr">
        <is>
          <t>zacharyp@illinois.edu</t>
        </is>
      </c>
      <c r="F148" s="2" t="inlineStr">
        <is>
          <t>done - 4/1</t>
        </is>
      </c>
      <c r="G148" s="2" t="inlineStr">
        <is>
          <t>done - 5/7</t>
        </is>
      </c>
    </row>
    <row r="149" ht="12.60000038146973" customHeight="1" s="216">
      <c r="A149" s="2" t="inlineStr">
        <is>
          <t>Brandon Jones</t>
        </is>
      </c>
      <c r="B149" s="2" t="inlineStr">
        <is>
          <t>UT Austin</t>
        </is>
      </c>
      <c r="C149" s="3" t="inlineStr">
        <is>
          <t>https://www.linkedin.com/in/brandonjones84/</t>
        </is>
      </c>
      <c r="D149" s="2" t="inlineStr">
        <is>
          <t>brandon.jones@utexas.edu</t>
        </is>
      </c>
      <c r="E149" s="2" t="inlineStr">
        <is>
          <t>brandon@utexas.edu</t>
        </is>
      </c>
      <c r="F149" s="2" t="inlineStr">
        <is>
          <t>done - 4/1</t>
        </is>
      </c>
      <c r="G149" s="2" t="inlineStr">
        <is>
          <t>done - 5/7</t>
        </is>
      </c>
    </row>
    <row r="150" ht="12.60000038146973" customHeight="1" s="216">
      <c r="A150" s="2" t="inlineStr">
        <is>
          <t>Moriba Jah</t>
        </is>
      </c>
      <c r="B150" s="2" t="inlineStr">
        <is>
          <t>UT Austin</t>
        </is>
      </c>
      <c r="C150" s="3" t="inlineStr">
        <is>
          <t>https://www.linkedin.com/in/jahniverse/</t>
        </is>
      </c>
      <c r="D150" s="2" t="inlineStr">
        <is>
          <t>moriba@utexas.edu</t>
        </is>
      </c>
      <c r="E150" s="2" t="inlineStr">
        <is>
          <t>jah@utexas.edu</t>
        </is>
      </c>
      <c r="F150" s="2" t="inlineStr">
        <is>
          <t>done - 4/1</t>
        </is>
      </c>
      <c r="G150" s="2" t="inlineStr">
        <is>
          <t>done - 5/7</t>
        </is>
      </c>
    </row>
    <row r="151" ht="12.60000038146973" customHeight="1" s="216">
      <c r="A151" s="2" t="inlineStr">
        <is>
          <t>Todd Humphreys</t>
        </is>
      </c>
      <c r="B151" s="2" t="inlineStr">
        <is>
          <t>UT Austin</t>
        </is>
      </c>
      <c r="C151" s="3" t="inlineStr">
        <is>
          <t>https://www.linkedin.com/in/humphreystodd/</t>
        </is>
      </c>
      <c r="D151" s="2" t="inlineStr">
        <is>
          <t>todd.humphreys@utexas.edu</t>
        </is>
      </c>
      <c r="E151" s="2" t="inlineStr">
        <is>
          <t>todd.humphreys@gmail.com</t>
        </is>
      </c>
      <c r="F151" s="2" t="inlineStr">
        <is>
          <t>done - 4/1</t>
        </is>
      </c>
      <c r="G151" s="2" t="inlineStr">
        <is>
          <t>done - 5/7</t>
        </is>
      </c>
    </row>
    <row r="152" ht="12.60000038146973" customHeight="1" s="216">
      <c r="A152" s="2" t="inlineStr">
        <is>
          <t>Jekan Thanga</t>
        </is>
      </c>
      <c r="B152" s="2" t="inlineStr">
        <is>
          <t>UoA-Space TREx Lab</t>
        </is>
      </c>
      <c r="C152" s="3" t="inlineStr">
        <is>
          <t>https://www.linkedin.com/in/jthanga/</t>
        </is>
      </c>
      <c r="D152" s="2" t="inlineStr">
        <is>
          <t>jekan@arizona.edu</t>
        </is>
      </c>
      <c r="F152" s="2" t="inlineStr">
        <is>
          <t>done - 4/1</t>
        </is>
      </c>
      <c r="G152" s="2" t="inlineStr">
        <is>
          <t>done - 5/7</t>
        </is>
      </c>
    </row>
    <row r="153" ht="15.60000038146973" customHeight="1" s="216">
      <c r="A153" s="2" t="inlineStr">
        <is>
          <t>Bryan Mendez</t>
        </is>
      </c>
      <c r="B153" s="2" t="inlineStr">
        <is>
          <t>UC Berkley</t>
        </is>
      </c>
      <c r="C153" s="3" t="inlineStr">
        <is>
          <t>https://www.linkedin.com/in/bjmendez/</t>
        </is>
      </c>
      <c r="D153" s="4" t="inlineStr">
        <is>
          <t>bmendez@berkeley.edu</t>
        </is>
      </c>
      <c r="E153" s="3" t="inlineStr">
        <is>
          <t>bmendez@ssl.berkeley.edu</t>
        </is>
      </c>
      <c r="F153" s="2" t="inlineStr">
        <is>
          <t>done - 4/2</t>
        </is>
      </c>
      <c r="G153" s="2" t="inlineStr">
        <is>
          <t>done - 5/7</t>
        </is>
      </c>
    </row>
    <row r="154" ht="12.60000038146973" customHeight="1" s="216">
      <c r="A154" s="5" t="inlineStr">
        <is>
          <t>Thomas Immel</t>
        </is>
      </c>
      <c r="B154" s="22" t="inlineStr">
        <is>
          <t>UC Berkley</t>
        </is>
      </c>
      <c r="C154" s="134" t="inlineStr">
        <is>
          <t>https://www.linkedin.com/in/thomas-immel-5703a65a/</t>
        </is>
      </c>
      <c r="D154" s="23" t="inlineStr">
        <is>
          <t>immel@ssl.berkeley.edu</t>
        </is>
      </c>
      <c r="E154" s="5" t="n"/>
      <c r="F154" s="5" t="inlineStr">
        <is>
          <t>done - 4/2</t>
        </is>
      </c>
      <c r="G154" s="5" t="n"/>
    </row>
    <row r="155" ht="15.60000038146973" customHeight="1" s="216">
      <c r="A155" s="2" t="inlineStr">
        <is>
          <t>Angela Lee</t>
        </is>
      </c>
      <c r="B155" s="2" t="inlineStr">
        <is>
          <t>UC Berkley</t>
        </is>
      </c>
      <c r="C155" s="3" t="inlineStr">
        <is>
          <t>https://www.linkedin.com/in/angela-lee-0236421aa/</t>
        </is>
      </c>
      <c r="D155" s="4" t="inlineStr">
        <is>
          <t>angela.lee@berkeley.edu</t>
        </is>
      </c>
      <c r="F155" s="2" t="inlineStr">
        <is>
          <t>done - 4/2</t>
        </is>
      </c>
      <c r="G155" s="2" t="inlineStr">
        <is>
          <t>done - 5/7</t>
        </is>
      </c>
    </row>
    <row r="156" ht="12.60000038146973" customHeight="1" s="216">
      <c r="A156" s="2" t="inlineStr">
        <is>
          <t>Stuart Bale</t>
        </is>
      </c>
      <c r="B156" s="2" t="inlineStr">
        <is>
          <t>UC Berkley</t>
        </is>
      </c>
      <c r="D156" s="3" t="inlineStr">
        <is>
          <t>bale@berkeley.edu</t>
        </is>
      </c>
      <c r="F156" s="2" t="inlineStr">
        <is>
          <t>done - 4/2</t>
        </is>
      </c>
      <c r="G156" s="2" t="inlineStr">
        <is>
          <t>done - 5/7</t>
        </is>
      </c>
    </row>
    <row r="157" ht="12.60000038146973" customHeight="1" s="216">
      <c r="A157" s="2" t="inlineStr">
        <is>
          <t>Michael Ludman</t>
        </is>
      </c>
      <c r="B157" s="2" t="inlineStr">
        <is>
          <t>UC Berkley</t>
        </is>
      </c>
      <c r="D157" s="3" t="inlineStr">
        <is>
          <t>michaelludlam@berkeley.edu</t>
        </is>
      </c>
      <c r="F157" s="2" t="inlineStr">
        <is>
          <t>done - 4/2</t>
        </is>
      </c>
      <c r="G157" s="2" t="inlineStr">
        <is>
          <t>done - 5/7</t>
        </is>
      </c>
    </row>
    <row r="158" ht="12.60000038146973" customHeight="1" s="216">
      <c r="A158" s="2" t="inlineStr">
        <is>
          <t>Vladimir Florinski</t>
        </is>
      </c>
      <c r="B158" s="2" t="inlineStr">
        <is>
          <t>University Alabama Huntsville</t>
        </is>
      </c>
      <c r="D158" s="3" t="inlineStr">
        <is>
          <t>vladimir.florinski@uah.edu</t>
        </is>
      </c>
      <c r="F158" s="2" t="inlineStr">
        <is>
          <t>done - 4/2</t>
        </is>
      </c>
      <c r="G158" s="2" t="inlineStr">
        <is>
          <t>done - 5/7</t>
        </is>
      </c>
    </row>
    <row r="159" ht="12.60000038146973" customHeight="1" s="216">
      <c r="A159" s="2" t="inlineStr">
        <is>
          <t>Dale Thomas</t>
        </is>
      </c>
      <c r="B159" s="2" t="inlineStr">
        <is>
          <t>University Alabama Huntsville</t>
        </is>
      </c>
      <c r="C159" s="3" t="inlineStr">
        <is>
          <t>https://www.linkedin.com/in/dale-thomas-5a0a40108/</t>
        </is>
      </c>
      <c r="D159" s="3" t="inlineStr">
        <is>
          <t>dale.thomas@uah.edu</t>
        </is>
      </c>
      <c r="F159" s="2" t="inlineStr">
        <is>
          <t>done - 4/2</t>
        </is>
      </c>
      <c r="G159" s="2" t="inlineStr">
        <is>
          <t>done - 5/7</t>
        </is>
      </c>
    </row>
    <row r="160" ht="12.60000038146973" customHeight="1" s="216">
      <c r="A160" s="101" t="inlineStr">
        <is>
          <t>Robert Frederick</t>
        </is>
      </c>
      <c r="B160" s="101" t="inlineStr">
        <is>
          <t>University Alabama Huntsville</t>
        </is>
      </c>
      <c r="C160" s="102" t="inlineStr">
        <is>
          <t>https://www.linkedin.com/in/bob-frederick-bb866679/</t>
        </is>
      </c>
      <c r="D160" s="102" t="inlineStr">
        <is>
          <t>robert.frederick@uah.edu</t>
        </is>
      </c>
      <c r="E160" s="288" t="n"/>
      <c r="F160" s="2" t="inlineStr">
        <is>
          <t>done - 4/2</t>
        </is>
      </c>
      <c r="G160" s="2" t="inlineStr">
        <is>
          <t>done - 5/7</t>
        </is>
      </c>
    </row>
    <row r="161" ht="12.60000038146973" customHeight="1" s="216">
      <c r="A161" s="2" t="inlineStr">
        <is>
          <t>Gary Zank</t>
        </is>
      </c>
      <c r="B161" s="2" t="inlineStr">
        <is>
          <t>University Alabama Huntsville</t>
        </is>
      </c>
      <c r="D161" s="3" t="inlineStr">
        <is>
          <t>gary.zank@uah.edu</t>
        </is>
      </c>
      <c r="F161" s="2" t="inlineStr">
        <is>
          <t>done - 4/2</t>
        </is>
      </c>
      <c r="G161" s="2" t="inlineStr">
        <is>
          <t>done - 5/7</t>
        </is>
      </c>
    </row>
    <row r="162" ht="12.60000038146973" customHeight="1" s="216">
      <c r="A162" s="2" t="inlineStr">
        <is>
          <t>Gang Wang</t>
        </is>
      </c>
      <c r="B162" s="2" t="inlineStr">
        <is>
          <t>University Alabama Huntsville</t>
        </is>
      </c>
      <c r="C162" s="3" t="inlineStr">
        <is>
          <t>https://www.linkedin.com/in/gang-wang-4117b932/</t>
        </is>
      </c>
      <c r="D162" s="3" t="inlineStr">
        <is>
          <t>gang.wang@uah.edu</t>
        </is>
      </c>
      <c r="F162" s="2" t="inlineStr">
        <is>
          <t>done - 4/2</t>
        </is>
      </c>
      <c r="G162" s="2" t="inlineStr">
        <is>
          <t>done - 5/7</t>
        </is>
      </c>
    </row>
    <row r="163" ht="12.60000038146973" customHeight="1" s="216">
      <c r="A163" s="2" t="inlineStr">
        <is>
          <t>Angel Abbud-Madrid</t>
        </is>
      </c>
      <c r="B163" s="2" t="inlineStr">
        <is>
          <t>Colorado School of Mines</t>
        </is>
      </c>
      <c r="D163" s="3" t="inlineStr">
        <is>
          <t>aabbudma@mines.edu</t>
        </is>
      </c>
      <c r="F163" s="2" t="inlineStr">
        <is>
          <t>done - 4/2</t>
        </is>
      </c>
      <c r="G163" s="2" t="inlineStr">
        <is>
          <t>done - 5/7</t>
        </is>
      </c>
    </row>
    <row r="164" ht="12.60000038146973" customHeight="1" s="216">
      <c r="A164" s="2" t="inlineStr">
        <is>
          <t>Christopher Dreyer</t>
        </is>
      </c>
      <c r="B164" s="2" t="inlineStr">
        <is>
          <t>Colorado School of Mines</t>
        </is>
      </c>
      <c r="C164" s="3" t="inlineStr">
        <is>
          <t>https://www.linkedin.com/in/christopher-dreyer-7843187/</t>
        </is>
      </c>
      <c r="D164" s="3" t="inlineStr">
        <is>
          <t>cdreyer@mines.edu</t>
        </is>
      </c>
      <c r="F164" s="2" t="inlineStr">
        <is>
          <t>done - 4/2</t>
        </is>
      </c>
      <c r="G164" s="2" t="inlineStr">
        <is>
          <t>done - 5/7</t>
        </is>
      </c>
    </row>
    <row r="165" ht="12.60000038146973" customHeight="1" s="216">
      <c r="A165" s="2" t="inlineStr">
        <is>
          <t>George Sowers</t>
        </is>
      </c>
      <c r="B165" s="2" t="inlineStr">
        <is>
          <t>Colorado School of Mines</t>
        </is>
      </c>
      <c r="C165" s="3" t="inlineStr">
        <is>
          <t>https://www.linkedin.com/in/george-sowers-7a20a731/</t>
        </is>
      </c>
      <c r="D165" s="3" t="inlineStr">
        <is>
          <t>gsowers@mines.edu</t>
        </is>
      </c>
      <c r="F165" s="2" t="inlineStr">
        <is>
          <t>done - 4/2</t>
        </is>
      </c>
      <c r="G165" s="2" t="inlineStr">
        <is>
          <t>done - 5/7</t>
        </is>
      </c>
    </row>
    <row r="166" ht="12.60000038146973" customHeight="1" s="216">
      <c r="A166" s="2" t="inlineStr">
        <is>
          <t>Paul Sava</t>
        </is>
      </c>
      <c r="B166" s="2" t="inlineStr">
        <is>
          <t>Colorado School of Mines</t>
        </is>
      </c>
      <c r="D166" s="3" t="inlineStr">
        <is>
          <t>psava@mines.edu</t>
        </is>
      </c>
      <c r="F166" s="2" t="inlineStr">
        <is>
          <t>done - 4/2</t>
        </is>
      </c>
      <c r="G166" s="2" t="inlineStr">
        <is>
          <t>done - 5/7</t>
        </is>
      </c>
    </row>
    <row r="167" ht="15.60000038146973" customHeight="1" s="216">
      <c r="A167" s="2" t="inlineStr">
        <is>
          <t>David Akin</t>
        </is>
      </c>
      <c r="B167" s="2" t="inlineStr">
        <is>
          <t>University of Maryland</t>
        </is>
      </c>
      <c r="C167" s="3" t="inlineStr">
        <is>
          <t>https://www.linkedin.com/in/david-akin-b1061733/</t>
        </is>
      </c>
      <c r="D167" s="4" t="inlineStr">
        <is>
          <t>dakin@umd.edu</t>
        </is>
      </c>
      <c r="F167" s="2" t="inlineStr">
        <is>
          <t>done 4/3</t>
        </is>
      </c>
      <c r="G167" s="2" t="inlineStr">
        <is>
          <t>done - 5/7</t>
        </is>
      </c>
    </row>
    <row r="168" ht="15.60000038146973" customHeight="1" s="216">
      <c r="A168" s="2" t="inlineStr">
        <is>
          <t>Mary Bowden</t>
        </is>
      </c>
      <c r="B168" s="2" t="inlineStr">
        <is>
          <t>University of Maryland</t>
        </is>
      </c>
      <c r="C168" s="3" t="inlineStr">
        <is>
          <t>https://www.linkedin.com/in/mary-bowden-586490b/</t>
        </is>
      </c>
      <c r="D168" s="4" t="inlineStr">
        <is>
          <t>bowden@umd.edu</t>
        </is>
      </c>
      <c r="F168" s="2" t="inlineStr">
        <is>
          <t>done 4/3</t>
        </is>
      </c>
      <c r="G168" s="2" t="inlineStr">
        <is>
          <t>done - 5/7</t>
        </is>
      </c>
    </row>
    <row r="169" ht="15.60000038146973" customHeight="1" s="216">
      <c r="A169" s="9" t="inlineStr">
        <is>
          <t>Andre Mazzoleni</t>
        </is>
      </c>
      <c r="B169" s="9" t="inlineStr">
        <is>
          <t>North Carolina State University</t>
        </is>
      </c>
      <c r="C169" s="135" t="inlineStr">
        <is>
          <t>https://www.linkedin.com/in/andre-mazzoleni-0462591a/</t>
        </is>
      </c>
      <c r="D169" s="10" t="inlineStr">
        <is>
          <t>a_mazzoleni@ncsu.edu</t>
        </is>
      </c>
      <c r="E169" s="9" t="inlineStr">
        <is>
          <t>apmazzol@ncsu.edu</t>
        </is>
      </c>
      <c r="F169" s="9" t="inlineStr">
        <is>
          <t>done 4/3</t>
        </is>
      </c>
      <c r="G169" s="9" t="n"/>
      <c r="H169" s="9" t="inlineStr">
        <is>
          <t>put me in contact with Felix Ewere - feewere@ncsu.edu - Feliz heads up Cube Sat projects</t>
        </is>
      </c>
    </row>
    <row r="170" ht="15.60000038146973" customHeight="1" s="216">
      <c r="A170" s="2" t="inlineStr">
        <is>
          <t>Srinath Ekkad</t>
        </is>
      </c>
      <c r="B170" s="2" t="inlineStr">
        <is>
          <t>North Carolina State University</t>
        </is>
      </c>
      <c r="C170" s="3" t="inlineStr">
        <is>
          <t>https://www.linkedin.com/in/srinath-ekkad-6683a89/</t>
        </is>
      </c>
      <c r="D170" s="4" t="inlineStr">
        <is>
          <t>sekkad@ncsu.edu</t>
        </is>
      </c>
      <c r="F170" s="2" t="inlineStr">
        <is>
          <t>done 4/3</t>
        </is>
      </c>
      <c r="G170" s="2" t="inlineStr">
        <is>
          <t>done - 5/7</t>
        </is>
      </c>
    </row>
    <row r="171" ht="12.60000038146973" customHeight="1" s="216">
      <c r="A171" s="2" t="inlineStr">
        <is>
          <t>Jack Edwards</t>
        </is>
      </c>
      <c r="B171" s="2" t="inlineStr">
        <is>
          <t>North Carolina State University</t>
        </is>
      </c>
      <c r="C171" s="3" t="inlineStr">
        <is>
          <t>https://mae.ncsu.edu/people/jredward/</t>
        </is>
      </c>
      <c r="D171" s="3" t="inlineStr">
        <is>
          <t>jredward@ncsu.edu</t>
        </is>
      </c>
      <c r="F171" s="2" t="inlineStr">
        <is>
          <t>done 4/3</t>
        </is>
      </c>
      <c r="G171" s="2" t="inlineStr">
        <is>
          <t>done - 5/7</t>
        </is>
      </c>
    </row>
    <row r="172" ht="15.60000038146973" customHeight="1" s="216">
      <c r="A172" s="2" t="inlineStr">
        <is>
          <t>Gregory Buckner</t>
        </is>
      </c>
      <c r="B172" s="2" t="inlineStr">
        <is>
          <t>North Carolina State University</t>
        </is>
      </c>
      <c r="C172" s="3" t="inlineStr">
        <is>
          <t>https://www.linkedin.com/in/gregory-buckner-4835769/</t>
        </is>
      </c>
      <c r="D172" s="4" t="inlineStr">
        <is>
          <t>gbuckner@ncsu.edu</t>
        </is>
      </c>
      <c r="E172" s="4" t="inlineStr">
        <is>
          <t>gregory@ncsu.edu</t>
        </is>
      </c>
      <c r="F172" s="2" t="inlineStr">
        <is>
          <t>done 4/3</t>
        </is>
      </c>
      <c r="G172" s="2" t="inlineStr">
        <is>
          <t>done - 5/7</t>
        </is>
      </c>
    </row>
    <row r="173" ht="15.60000038146973" customHeight="1" s="216">
      <c r="A173" s="2" t="inlineStr">
        <is>
          <t>Jim Pfaendtner</t>
        </is>
      </c>
      <c r="B173" s="2" t="inlineStr">
        <is>
          <t>North Carolina State University</t>
        </is>
      </c>
      <c r="C173" s="3" t="inlineStr">
        <is>
          <t>https://www.linkedin.com/in/jim-pfaendtner-063a9720/</t>
        </is>
      </c>
      <c r="D173" s="2" t="inlineStr">
        <is>
          <t>pfaendtner@ncsu.edu</t>
        </is>
      </c>
      <c r="E173" s="4" t="inlineStr">
        <is>
          <t>wjpfaend@ncsu.edu</t>
        </is>
      </c>
      <c r="F173" s="2" t="inlineStr">
        <is>
          <t>done 4/3</t>
        </is>
      </c>
      <c r="G173" s="2" t="inlineStr">
        <is>
          <t>done - 5/7</t>
        </is>
      </c>
    </row>
    <row r="174" ht="14.10000038146973" customHeight="1" s="216">
      <c r="A174" s="16" t="inlineStr">
        <is>
          <t>Francisco Valero-Cuevas</t>
        </is>
      </c>
      <c r="B174" s="16" t="inlineStr">
        <is>
          <t>University Southern California</t>
        </is>
      </c>
      <c r="C174" s="136" t="inlineStr">
        <is>
          <t>https://ame.usc.edu/directory/faculty/profile/?lname=Valero-Cuevas&amp;fname=Francisco</t>
        </is>
      </c>
      <c r="D174" s="24" t="inlineStr">
        <is>
          <t>valero@usc.edu</t>
        </is>
      </c>
      <c r="E174" s="16" t="n"/>
      <c r="F174" s="16" t="inlineStr">
        <is>
          <t>done 4/8</t>
        </is>
      </c>
      <c r="G174" s="16" t="inlineStr">
        <is>
          <t>done - 5/7</t>
        </is>
      </c>
      <c r="H174" s="16" t="inlineStr">
        <is>
          <t>meeting link sent on 5/9</t>
        </is>
      </c>
    </row>
    <row r="175" ht="15.60000038146973" customHeight="1" s="216">
      <c r="A175" s="2" t="inlineStr">
        <is>
          <t>Garrett Reisman</t>
        </is>
      </c>
      <c r="B175" s="2" t="inlineStr">
        <is>
          <t>University Southern California</t>
        </is>
      </c>
      <c r="C175" s="3" t="inlineStr">
        <is>
          <t>https://www.linkedin.com/in/garrett-reisman-158ab730/</t>
        </is>
      </c>
      <c r="D175" s="4" t="inlineStr">
        <is>
          <t>garrett.reisman@usc.edu</t>
        </is>
      </c>
      <c r="E175" s="4" t="inlineStr">
        <is>
          <t>rgarrett@usc.edu</t>
        </is>
      </c>
      <c r="F175" s="2" t="inlineStr">
        <is>
          <t>done 4/8</t>
        </is>
      </c>
      <c r="G175" s="2" t="inlineStr">
        <is>
          <t>done - 5/7</t>
        </is>
      </c>
    </row>
    <row r="176" ht="15.60000038146973" customHeight="1" s="216">
      <c r="A176" s="2" t="inlineStr">
        <is>
          <t>David Barnhart</t>
        </is>
      </c>
      <c r="B176" s="2" t="inlineStr">
        <is>
          <t>University Southern California</t>
        </is>
      </c>
      <c r="C176" s="3" t="inlineStr">
        <is>
          <t>https://www.linkedin.com/in/david-a-barnhart-30887157/</t>
        </is>
      </c>
      <c r="D176" s="4" t="inlineStr">
        <is>
          <t>david.barnhart@usc.edu</t>
        </is>
      </c>
      <c r="F176" s="2" t="inlineStr">
        <is>
          <t>done 4/8</t>
        </is>
      </c>
      <c r="G176" s="2" t="inlineStr">
        <is>
          <t>done - 5/7</t>
        </is>
      </c>
    </row>
    <row r="177" ht="14.10000038146973" customHeight="1" s="216">
      <c r="A177" s="2" t="inlineStr">
        <is>
          <t>Hangbo Zhao</t>
        </is>
      </c>
      <c r="B177" s="2" t="inlineStr">
        <is>
          <t>University Southern California</t>
        </is>
      </c>
      <c r="C177" s="3" t="inlineStr">
        <is>
          <t>https://ame.usc.edu/directory/faculty/profile/?lname=Zhao&amp;fname=Hangbo</t>
        </is>
      </c>
      <c r="D177" s="25" t="inlineStr">
        <is>
          <t>hangbozh@usc.edu</t>
        </is>
      </c>
      <c r="F177" s="2" t="inlineStr">
        <is>
          <t>done 4/8</t>
        </is>
      </c>
      <c r="G177" s="2" t="inlineStr">
        <is>
          <t>done - 5/7</t>
        </is>
      </c>
    </row>
    <row r="178" ht="14.10000038146973" customHeight="1" s="216">
      <c r="A178" s="2" t="inlineStr">
        <is>
          <t>Oussama Safadi</t>
        </is>
      </c>
      <c r="B178" s="2" t="inlineStr">
        <is>
          <t>University Southern California</t>
        </is>
      </c>
      <c r="C178" s="3" t="inlineStr">
        <is>
          <t>https://ame.usc.edu/directory/faculty/profile/?lname=Safadi&amp;fname=Oussama</t>
        </is>
      </c>
      <c r="D178" s="25" t="inlineStr">
        <is>
          <t>safadi@usc.edu</t>
        </is>
      </c>
      <c r="F178" s="2" t="inlineStr">
        <is>
          <t>done 4/8</t>
        </is>
      </c>
      <c r="G178" s="2" t="inlineStr">
        <is>
          <t>done - 5/7</t>
        </is>
      </c>
    </row>
    <row r="179" ht="14.10000038146973" customHeight="1" s="216">
      <c r="A179" s="22" t="inlineStr">
        <is>
          <t>Paul David Ronney</t>
        </is>
      </c>
      <c r="B179" s="22" t="inlineStr">
        <is>
          <t>University Southern California</t>
        </is>
      </c>
      <c r="C179" s="137" t="inlineStr">
        <is>
          <t>https://ame.usc.edu/directory/faculty/profile/?lname=Ronney&amp;fname=Paul</t>
        </is>
      </c>
      <c r="D179" s="26" t="inlineStr">
        <is>
          <t>ronney@usc.edu</t>
        </is>
      </c>
      <c r="E179" s="22" t="n"/>
      <c r="F179" s="22" t="inlineStr">
        <is>
          <t>done 4/8</t>
        </is>
      </c>
      <c r="G179" s="22" t="n"/>
      <c r="H179" s="22" t="inlineStr">
        <is>
          <t>no need for suborbital at this time</t>
        </is>
      </c>
    </row>
    <row r="180" ht="14.10000038146973" customHeight="1" s="216">
      <c r="A180" s="2" t="inlineStr">
        <is>
          <t>Ishwar Puri</t>
        </is>
      </c>
      <c r="B180" s="2" t="inlineStr">
        <is>
          <t>University Southern California</t>
        </is>
      </c>
      <c r="C180" s="3" t="inlineStr">
        <is>
          <t>https://ame.usc.edu/directory/faculty/profile/?lname=Puri&amp;fname=Ishwar</t>
        </is>
      </c>
      <c r="D180" s="25" t="inlineStr">
        <is>
          <t>vpres@usc.edu</t>
        </is>
      </c>
      <c r="F180" s="2" t="inlineStr">
        <is>
          <t>done 4/8</t>
        </is>
      </c>
      <c r="G180" s="2" t="inlineStr">
        <is>
          <t>done - 5/7</t>
        </is>
      </c>
    </row>
    <row r="181" ht="12.60000038146973" customHeight="1" s="216">
      <c r="A181" s="2" t="inlineStr">
        <is>
          <t>Niema Pahlevan</t>
        </is>
      </c>
      <c r="B181" s="2" t="inlineStr">
        <is>
          <t>University Southern California</t>
        </is>
      </c>
      <c r="C181" s="3" t="inlineStr">
        <is>
          <t>https://ame.usc.edu/directory/faculty/profile/?lname=Pahlevan&amp;fname=Niema</t>
        </is>
      </c>
      <c r="D181" s="2" t="inlineStr">
        <is>
          <t>pahlevan@usc.edu</t>
        </is>
      </c>
      <c r="F181" s="2" t="inlineStr">
        <is>
          <t>done 4/8</t>
        </is>
      </c>
      <c r="G181" s="2" t="inlineStr">
        <is>
          <t>done - 5/7</t>
        </is>
      </c>
    </row>
    <row r="182" ht="14.10000038146973" customHeight="1" s="216">
      <c r="A182" s="2" t="inlineStr">
        <is>
          <t>Steve Nutt</t>
        </is>
      </c>
      <c r="B182" s="2" t="inlineStr">
        <is>
          <t>University Southern California</t>
        </is>
      </c>
      <c r="C182" s="3" t="inlineStr">
        <is>
          <t>https://ame.usc.edu/directory/faculty/profile/?lname=Nutt&amp;fname=Steven</t>
        </is>
      </c>
      <c r="D182" s="25" t="inlineStr">
        <is>
          <t>nutt@usc.edu</t>
        </is>
      </c>
      <c r="F182" s="2" t="inlineStr">
        <is>
          <t>done 4/8</t>
        </is>
      </c>
      <c r="G182" s="2" t="inlineStr">
        <is>
          <t>done - 5/7</t>
        </is>
      </c>
    </row>
    <row r="183" ht="14.10000038146973" customHeight="1" s="216">
      <c r="A183" s="2" t="inlineStr">
        <is>
          <t>Paul K. Newton</t>
        </is>
      </c>
      <c r="B183" s="2" t="inlineStr">
        <is>
          <t>University Southern California</t>
        </is>
      </c>
      <c r="C183" s="3" t="inlineStr">
        <is>
          <t>https://ame.usc.edu/directory/faculty/profile/?lname=Newton&amp;fname=Paul</t>
        </is>
      </c>
      <c r="D183" s="25" t="inlineStr">
        <is>
          <t>newton@usc.edu</t>
        </is>
      </c>
      <c r="F183" s="2" t="inlineStr">
        <is>
          <t>done 4/8</t>
        </is>
      </c>
      <c r="G183" s="2" t="inlineStr">
        <is>
          <t>done - 5/7</t>
        </is>
      </c>
    </row>
    <row r="184" ht="14.10000038146973" customHeight="1" s="216">
      <c r="A184" s="2" t="inlineStr">
        <is>
          <t>Azad M Madni</t>
        </is>
      </c>
      <c r="B184" s="2" t="inlineStr">
        <is>
          <t>University Southern California</t>
        </is>
      </c>
      <c r="C184" s="3" t="inlineStr">
        <is>
          <t>https://ame.usc.edu/directory/faculty/profile/?lname=Madni&amp;fname=Azad</t>
        </is>
      </c>
      <c r="D184" s="25" t="inlineStr">
        <is>
          <t>azad.madni@usc.edu</t>
        </is>
      </c>
      <c r="F184" s="2" t="inlineStr">
        <is>
          <t>done 4/8</t>
        </is>
      </c>
      <c r="G184" s="2" t="inlineStr">
        <is>
          <t>done - 5/7</t>
        </is>
      </c>
    </row>
    <row r="185" ht="14.10000038146973" customHeight="1" s="216">
      <c r="A185" s="2" t="inlineStr">
        <is>
          <t>Satyandra K. Gupta</t>
        </is>
      </c>
      <c r="B185" s="2" t="inlineStr">
        <is>
          <t>University Southern California</t>
        </is>
      </c>
      <c r="C185" s="3" t="inlineStr">
        <is>
          <t>https://ame.usc.edu/directory/faculty/profile/?lname=Gupta&amp;fname=Satyandra</t>
        </is>
      </c>
      <c r="D185" s="25" t="inlineStr">
        <is>
          <t>guptask@usc.edu</t>
        </is>
      </c>
      <c r="F185" s="2" t="inlineStr">
        <is>
          <t>done 4/8</t>
        </is>
      </c>
      <c r="G185" s="2" t="inlineStr">
        <is>
          <t>done - 5/7</t>
        </is>
      </c>
    </row>
    <row r="186" ht="14.10000038146973" customHeight="1" s="216">
      <c r="A186" s="22" t="inlineStr">
        <is>
          <t>Mike Gruntman</t>
        </is>
      </c>
      <c r="B186" s="22" t="inlineStr">
        <is>
          <t>University Southern California</t>
        </is>
      </c>
      <c r="C186" s="137" t="inlineStr">
        <is>
          <t>https://ame.usc.edu/directory/faculty/profile/?lname=Gruntman&amp;fname=Michael</t>
        </is>
      </c>
      <c r="D186" s="26" t="inlineStr">
        <is>
          <t>mikeg@usc.edu</t>
        </is>
      </c>
      <c r="E186" s="22" t="n"/>
      <c r="F186" s="22" t="inlineStr">
        <is>
          <t>done 4/8</t>
        </is>
      </c>
      <c r="G186" s="22" t="n"/>
      <c r="H186" s="22" t="inlineStr">
        <is>
          <t>no need at this time</t>
        </is>
      </c>
    </row>
    <row r="187" ht="14.10000038146973" customHeight="1" s="216">
      <c r="A187" s="2" t="inlineStr">
        <is>
          <t>Keenan Albee</t>
        </is>
      </c>
      <c r="B187" s="2" t="inlineStr">
        <is>
          <t>University Southern California</t>
        </is>
      </c>
      <c r="C187" s="3" t="inlineStr">
        <is>
          <t>https://ame.usc.edu/directory/faculty/profile/?lname=Albee&amp;fname=Keenan</t>
        </is>
      </c>
      <c r="D187" s="25" t="inlineStr">
        <is>
          <t>kalbee@usc.edu</t>
        </is>
      </c>
      <c r="F187" s="2" t="inlineStr">
        <is>
          <t>done 4/8</t>
        </is>
      </c>
      <c r="G187" s="2" t="inlineStr">
        <is>
          <t>done - 5/7</t>
        </is>
      </c>
    </row>
    <row r="188" ht="15.60000038146973" customHeight="1" s="216">
      <c r="A188" s="2" t="inlineStr">
        <is>
          <t>Rick Fleeter</t>
        </is>
      </c>
      <c r="B188" s="2" t="inlineStr">
        <is>
          <t>Brown University</t>
        </is>
      </c>
      <c r="C188" s="3" t="inlineStr">
        <is>
          <t>https://www.linkedin.com/in/rick-fleeter-5272432a3/</t>
        </is>
      </c>
      <c r="D188" s="4" t="inlineStr">
        <is>
          <t>rick_fleeter@brown.edu</t>
        </is>
      </c>
      <c r="E188" s="4" t="inlineStr">
        <is>
          <t>rick@brown.edu</t>
        </is>
      </c>
      <c r="F188" s="2" t="inlineStr">
        <is>
          <t>done 4/9</t>
        </is>
      </c>
      <c r="G188" s="2" t="inlineStr">
        <is>
          <t>done - 5/7</t>
        </is>
      </c>
    </row>
    <row r="189" ht="12.60000038146973" customHeight="1" s="216">
      <c r="A189" s="2" t="inlineStr">
        <is>
          <t>Nitin Padture</t>
        </is>
      </c>
      <c r="B189" s="2" t="inlineStr">
        <is>
          <t>Brown University</t>
        </is>
      </c>
      <c r="C189" s="3" t="inlineStr">
        <is>
          <t>https://www.linkedin.com/in/nitin-padture-14690513/</t>
        </is>
      </c>
      <c r="D189" s="2" t="inlineStr">
        <is>
          <t>Nitin_Padture@brown.edu</t>
        </is>
      </c>
      <c r="F189" s="2" t="inlineStr">
        <is>
          <t>done 4/9</t>
        </is>
      </c>
      <c r="G189" s="2" t="inlineStr">
        <is>
          <t>done - 5/7</t>
        </is>
      </c>
    </row>
    <row r="190" ht="12.60000038146973" customHeight="1" s="216">
      <c r="A190" s="2" t="inlineStr">
        <is>
          <t>Kenny Breuer</t>
        </is>
      </c>
      <c r="B190" s="2" t="inlineStr">
        <is>
          <t>Brown University</t>
        </is>
      </c>
      <c r="C190" s="3" t="inlineStr">
        <is>
          <t>https://www.linkedin.com/in/kenny-breuer-6a43b9137/</t>
        </is>
      </c>
      <c r="D190" s="2" t="inlineStr">
        <is>
          <t>kbreuer@brown.edu</t>
        </is>
      </c>
      <c r="F190" s="2" t="inlineStr">
        <is>
          <t>done 4/9</t>
        </is>
      </c>
      <c r="G190" s="2" t="inlineStr">
        <is>
          <t>done - 5/7</t>
        </is>
      </c>
    </row>
    <row r="191" ht="12.60000038146973" customHeight="1" s="216">
      <c r="A191" s="16" t="inlineStr">
        <is>
          <t>Roberto Zenit</t>
        </is>
      </c>
      <c r="B191" s="16" t="inlineStr">
        <is>
          <t>Brown University</t>
        </is>
      </c>
      <c r="C191" s="136" t="inlineStr">
        <is>
          <t>https://www.linkedin.com/in/roberto-zenit-aab73735/</t>
        </is>
      </c>
      <c r="D191" s="16" t="inlineStr">
        <is>
          <t>Roberto_Zenit@brown.edu</t>
        </is>
      </c>
      <c r="E191" s="16" t="n"/>
      <c r="F191" s="16" t="inlineStr">
        <is>
          <t>done 4/9</t>
        </is>
      </c>
      <c r="G191" s="16" t="n"/>
      <c r="H191" s="16" t="inlineStr">
        <is>
          <t>sent meeting link on 4/10</t>
        </is>
      </c>
    </row>
    <row r="192" ht="12.60000038146973" customHeight="1" s="216">
      <c r="A192" s="2" t="inlineStr">
        <is>
          <t>Jesse Ault</t>
        </is>
      </c>
      <c r="B192" s="2" t="inlineStr">
        <is>
          <t>Brown University</t>
        </is>
      </c>
      <c r="D192" s="2" t="inlineStr">
        <is>
          <t>jesse_ault@brown.edu</t>
        </is>
      </c>
      <c r="F192" s="2" t="inlineStr">
        <is>
          <t>done 4/9</t>
        </is>
      </c>
      <c r="G192" s="2" t="inlineStr">
        <is>
          <t>done - 5/7</t>
        </is>
      </c>
    </row>
    <row r="193" ht="12.60000038146973" customHeight="1" s="216">
      <c r="A193" s="2" t="inlineStr">
        <is>
          <t>Daniel Harris</t>
        </is>
      </c>
      <c r="B193" s="2" t="inlineStr">
        <is>
          <t>Brown University</t>
        </is>
      </c>
      <c r="C193" s="3" t="inlineStr">
        <is>
          <t>https://engineering.brown.edu/people/daniel-m-harris</t>
        </is>
      </c>
      <c r="D193" s="3" t="inlineStr">
        <is>
          <t>Daniel_Harris3@brown.edu</t>
        </is>
      </c>
      <c r="F193" s="2" t="inlineStr">
        <is>
          <t>done 4/9</t>
        </is>
      </c>
      <c r="G193" s="2" t="inlineStr">
        <is>
          <t>done - 5/7</t>
        </is>
      </c>
    </row>
    <row r="194" ht="12.60000038146973" customHeight="1" s="216">
      <c r="A194" s="2" t="inlineStr">
        <is>
          <t>Kurt Pennell</t>
        </is>
      </c>
      <c r="B194" s="2" t="inlineStr">
        <is>
          <t>Brown University</t>
        </is>
      </c>
      <c r="C194" s="3" t="inlineStr">
        <is>
          <t>https://www.linkedin.com/in/kurt-pennell-2631759/</t>
        </is>
      </c>
      <c r="D194" s="2" t="inlineStr">
        <is>
          <t>Kurt_Pennell@brown.edu</t>
        </is>
      </c>
      <c r="F194" s="2" t="inlineStr">
        <is>
          <t>done 4/9</t>
        </is>
      </c>
      <c r="G194" s="2" t="inlineStr">
        <is>
          <t>done - 5/7</t>
        </is>
      </c>
    </row>
    <row r="195" ht="12.60000038146973" customHeight="1" s="216">
      <c r="A195" s="2" t="inlineStr">
        <is>
          <t>Jacob Rosenstein</t>
        </is>
      </c>
      <c r="B195" s="2" t="inlineStr">
        <is>
          <t>Brown University</t>
        </is>
      </c>
      <c r="C195" s="3" t="inlineStr">
        <is>
          <t>https://www.linkedin.com/in/jacob-rosenstein-a031515/</t>
        </is>
      </c>
      <c r="D195" s="2" t="inlineStr">
        <is>
          <t>Jacob_Rosenstein@brown.edu</t>
        </is>
      </c>
      <c r="F195" s="2" t="inlineStr">
        <is>
          <t>done 4/9</t>
        </is>
      </c>
      <c r="G195" s="2" t="inlineStr">
        <is>
          <t>done - 5/7</t>
        </is>
      </c>
    </row>
    <row r="196" ht="12.60000038146973" customHeight="1" s="216">
      <c r="A196" s="2" t="inlineStr">
        <is>
          <t>Brian Sheldon</t>
        </is>
      </c>
      <c r="B196" s="2" t="inlineStr">
        <is>
          <t>Brown University</t>
        </is>
      </c>
      <c r="C196" s="3" t="inlineStr">
        <is>
          <t>https://www.linkedin.com/in/brian-sheldon-4273375/</t>
        </is>
      </c>
      <c r="D196" s="2" t="inlineStr">
        <is>
          <t>Brian_Sheldon@brown.edu</t>
        </is>
      </c>
      <c r="F196" s="2" t="inlineStr">
        <is>
          <t>done 4/9</t>
        </is>
      </c>
      <c r="G196" s="2" t="inlineStr">
        <is>
          <t>done - 5/7</t>
        </is>
      </c>
    </row>
    <row r="197" ht="12.60000038146973" customHeight="1" s="216">
      <c r="A197" s="2" t="inlineStr">
        <is>
          <t>Vikas Srivastava</t>
        </is>
      </c>
      <c r="B197" s="2" t="inlineStr">
        <is>
          <t>Brown University</t>
        </is>
      </c>
      <c r="C197" s="3" t="inlineStr">
        <is>
          <t>https://www.linkedin.com/in/vikasri/</t>
        </is>
      </c>
      <c r="D197" s="2" t="inlineStr">
        <is>
          <t>Vikas_Srivastava@brown.edu</t>
        </is>
      </c>
      <c r="F197" s="2" t="inlineStr">
        <is>
          <t>done 4/9</t>
        </is>
      </c>
      <c r="G197" s="2" t="inlineStr">
        <is>
          <t>done - 5/7</t>
        </is>
      </c>
    </row>
    <row r="198" ht="12.60000038146973" customHeight="1" s="216">
      <c r="A198" s="2" t="inlineStr">
        <is>
          <t>Ian Y. Wong</t>
        </is>
      </c>
      <c r="B198" s="2" t="inlineStr">
        <is>
          <t>Brown University</t>
        </is>
      </c>
      <c r="C198" s="3" t="inlineStr">
        <is>
          <t>https://engineering.brown.edu/people/ian-y-wong</t>
        </is>
      </c>
      <c r="D198" s="2" t="inlineStr">
        <is>
          <t>Ian_Wong@brown.edu</t>
        </is>
      </c>
      <c r="F198" s="2" t="inlineStr">
        <is>
          <t>done 4/9</t>
        </is>
      </c>
      <c r="G198" s="2" t="inlineStr">
        <is>
          <t>done - 5/7</t>
        </is>
      </c>
    </row>
    <row r="199" ht="12.60000038146973" customHeight="1" s="216">
      <c r="A199" s="2" t="inlineStr">
        <is>
          <t>David Borton</t>
        </is>
      </c>
      <c r="B199" s="2" t="inlineStr">
        <is>
          <t>Brown University</t>
        </is>
      </c>
      <c r="C199" s="3" t="inlineStr">
        <is>
          <t>https://www.linkedin.com/in/david-borton-2a071a29/</t>
        </is>
      </c>
      <c r="D199" s="3" t="inlineStr">
        <is>
          <t>David_Borton@brown.edu</t>
        </is>
      </c>
      <c r="F199" s="2" t="inlineStr">
        <is>
          <t>done 4/9</t>
        </is>
      </c>
      <c r="G199" s="2" t="inlineStr">
        <is>
          <t>done - 5/7</t>
        </is>
      </c>
    </row>
    <row r="200" ht="12.60000038146973" customHeight="1" s="216">
      <c r="A200" s="2" t="inlineStr">
        <is>
          <t>Kareen Coulombe</t>
        </is>
      </c>
      <c r="B200" s="2" t="inlineStr">
        <is>
          <t>Brown University</t>
        </is>
      </c>
      <c r="C200" s="3" t="inlineStr">
        <is>
          <t>https://www.linkedin.com/in/kareen-coulombe-0015943/</t>
        </is>
      </c>
      <c r="D200" s="3" t="inlineStr">
        <is>
          <t>Kareen_Coulombe@brown.edu</t>
        </is>
      </c>
      <c r="F200" s="2" t="inlineStr">
        <is>
          <t>done 4/9</t>
        </is>
      </c>
      <c r="G200" s="2" t="inlineStr">
        <is>
          <t>done - 5/7</t>
        </is>
      </c>
    </row>
    <row r="201" ht="12.60000038146973" customHeight="1" s="216">
      <c r="A201" s="27" t="inlineStr">
        <is>
          <t>Jonghwan Lee</t>
        </is>
      </c>
      <c r="B201" s="2" t="inlineStr">
        <is>
          <t>Brown University</t>
        </is>
      </c>
      <c r="C201" s="3" t="inlineStr">
        <is>
          <t>https://www.linkedin.com/in/jonghwan-lee-5537131b/</t>
        </is>
      </c>
      <c r="D201" s="3" t="inlineStr">
        <is>
          <t>Jonghwan_Lee@brown.edu</t>
        </is>
      </c>
      <c r="F201" s="2" t="inlineStr">
        <is>
          <t>done 4/9</t>
        </is>
      </c>
      <c r="G201" s="2" t="inlineStr">
        <is>
          <t>done - 5/7</t>
        </is>
      </c>
    </row>
    <row r="202" ht="12.60000038146973" customHeight="1" s="216">
      <c r="A202" s="2" t="inlineStr">
        <is>
          <t>Diane Hoffman-Kim</t>
        </is>
      </c>
      <c r="B202" s="2" t="inlineStr">
        <is>
          <t>Brown University</t>
        </is>
      </c>
      <c r="C202" s="3" t="inlineStr">
        <is>
          <t>https://vivo.brown.edu/display/dihoffma</t>
        </is>
      </c>
      <c r="D202" s="3" t="inlineStr">
        <is>
          <t>Diane_Hoffman-Kim@brown.edu</t>
        </is>
      </c>
      <c r="F202" s="2" t="inlineStr">
        <is>
          <t>done 4/9</t>
        </is>
      </c>
      <c r="G202" s="2" t="inlineStr">
        <is>
          <t>done - 5/7</t>
        </is>
      </c>
    </row>
    <row r="203" ht="12.60000038146973" customHeight="1" s="216">
      <c r="A203" s="2" t="inlineStr">
        <is>
          <t>Tejal Desai</t>
        </is>
      </c>
      <c r="B203" s="2" t="inlineStr">
        <is>
          <t>Brown University</t>
        </is>
      </c>
      <c r="C203" s="3" t="inlineStr">
        <is>
          <t>https://www.linkedin.com/in/tejal-desai-bb429648/</t>
        </is>
      </c>
      <c r="D203" s="3" t="inlineStr">
        <is>
          <t>Tejal_Desai@brown.edu</t>
        </is>
      </c>
      <c r="F203" s="2" t="inlineStr">
        <is>
          <t>done 4/9</t>
        </is>
      </c>
      <c r="G203" s="2" t="inlineStr">
        <is>
          <t>done - 5/7</t>
        </is>
      </c>
    </row>
    <row r="204" ht="12.60000038146973" customHeight="1" s="216">
      <c r="A204" s="2" t="inlineStr">
        <is>
          <t>Anubhav Tripathi</t>
        </is>
      </c>
      <c r="B204" s="2" t="inlineStr">
        <is>
          <t>Brown University</t>
        </is>
      </c>
      <c r="C204" s="3" t="inlineStr">
        <is>
          <t>https://www.linkedin.com/in/anubhav-tripathi-b097984/</t>
        </is>
      </c>
      <c r="D204" s="3" t="inlineStr">
        <is>
          <t>Anubhav_Tripathi@brown.edu</t>
        </is>
      </c>
      <c r="F204" s="2" t="inlineStr">
        <is>
          <t>done 4/9</t>
        </is>
      </c>
      <c r="G204" s="2" t="inlineStr">
        <is>
          <t>done - 5/7</t>
        </is>
      </c>
    </row>
    <row r="205" ht="12.60000038146973" customHeight="1" s="216">
      <c r="A205" s="2" t="inlineStr">
        <is>
          <t>Arto Nurmikko</t>
        </is>
      </c>
      <c r="B205" s="2" t="inlineStr">
        <is>
          <t>Brown University</t>
        </is>
      </c>
      <c r="C205" s="3" t="inlineStr">
        <is>
          <t>https://www.linkedin.com/in/arto-nurmikko-353540187/</t>
        </is>
      </c>
      <c r="D205" s="3" t="inlineStr">
        <is>
          <t>Arto_Nurmikko@brown.edu</t>
        </is>
      </c>
      <c r="F205" s="2" t="inlineStr">
        <is>
          <t>done 4/9</t>
        </is>
      </c>
      <c r="G205" s="2" t="inlineStr">
        <is>
          <t>done - 5/7</t>
        </is>
      </c>
    </row>
    <row r="206" ht="12.60000038146973" customHeight="1" s="216">
      <c r="A206" s="2" t="inlineStr">
        <is>
          <t>Leigh Hochberg</t>
        </is>
      </c>
      <c r="B206" s="2" t="inlineStr">
        <is>
          <t>Brown University</t>
        </is>
      </c>
      <c r="C206" s="3" t="inlineStr">
        <is>
          <t>https://vivo.brown.edu/display/lhochber</t>
        </is>
      </c>
      <c r="D206" s="3" t="inlineStr">
        <is>
          <t>Leigh_Hochberg@brown.edu</t>
        </is>
      </c>
      <c r="F206" s="2" t="inlineStr">
        <is>
          <t>done 4/9</t>
        </is>
      </c>
      <c r="G206" s="2" t="inlineStr">
        <is>
          <t>done - 5/7</t>
        </is>
      </c>
    </row>
    <row r="207" ht="12.60000038146973" customHeight="1" s="216">
      <c r="A207" s="2" t="inlineStr">
        <is>
          <t>Doug Hunsaker</t>
        </is>
      </c>
      <c r="B207" s="2" t="inlineStr">
        <is>
          <t>Utah State University</t>
        </is>
      </c>
      <c r="C207" s="3" t="inlineStr">
        <is>
          <t>https://www.linkedin.com/in/doughunsaker/</t>
        </is>
      </c>
      <c r="D207" s="2" t="inlineStr">
        <is>
          <t>doug.hunsaker@usu.edu</t>
        </is>
      </c>
      <c r="F207" s="2" t="inlineStr">
        <is>
          <t>done - 4/10</t>
        </is>
      </c>
      <c r="G207" s="2" t="inlineStr">
        <is>
          <t>done - 5/7</t>
        </is>
      </c>
    </row>
    <row r="208" ht="12.60000038146973" customHeight="1" s="216">
      <c r="A208" s="2" t="inlineStr">
        <is>
          <t>Barton Smith</t>
        </is>
      </c>
      <c r="B208" s="2" t="inlineStr">
        <is>
          <t>Utah State University</t>
        </is>
      </c>
      <c r="C208" s="3" t="inlineStr">
        <is>
          <t>https://engineering.usu.edu/mae/people/faculty/smith-barton</t>
        </is>
      </c>
      <c r="D208" s="2" t="inlineStr">
        <is>
          <t>barton.smith@usu.edu</t>
        </is>
      </c>
      <c r="F208" s="2" t="inlineStr">
        <is>
          <t>done - 4/10</t>
        </is>
      </c>
      <c r="G208" s="2" t="inlineStr">
        <is>
          <t>done - 5/7</t>
        </is>
      </c>
    </row>
    <row r="209" ht="12.60000038146973" customHeight="1" s="216">
      <c r="A209" s="2" t="inlineStr">
        <is>
          <t>Juhyeong Lee</t>
        </is>
      </c>
      <c r="B209" s="2" t="inlineStr">
        <is>
          <t>Utah State University</t>
        </is>
      </c>
      <c r="C209" s="3" t="inlineStr">
        <is>
          <t>https://www.linkedin.com/in/juhyeong-lee-9368335b/</t>
        </is>
      </c>
      <c r="D209" s="2" t="inlineStr">
        <is>
          <t>juhyeong.lee@usu.edu</t>
        </is>
      </c>
      <c r="F209" s="2" t="inlineStr">
        <is>
          <t>done - 4/10</t>
        </is>
      </c>
      <c r="G209" s="2" t="inlineStr">
        <is>
          <t>done - 5/7</t>
        </is>
      </c>
    </row>
    <row r="210" ht="12.60000038146973" customHeight="1" s="216">
      <c r="A210" s="2" t="inlineStr">
        <is>
          <t>Tianyi He</t>
        </is>
      </c>
      <c r="B210" s="2" t="inlineStr">
        <is>
          <t>Utah State University</t>
        </is>
      </c>
      <c r="C210" s="3" t="inlineStr">
        <is>
          <t>https://engineering.usu.edu/mae/people/faculty/he-tianyi</t>
        </is>
      </c>
      <c r="D210" s="2" t="inlineStr">
        <is>
          <t>tianyi.he@usu.edu</t>
        </is>
      </c>
      <c r="F210" s="2" t="inlineStr">
        <is>
          <t>done - 4/10</t>
        </is>
      </c>
      <c r="G210" s="2" t="inlineStr">
        <is>
          <t>done - 5/7</t>
        </is>
      </c>
    </row>
    <row r="211" ht="12.60000038146973" customHeight="1" s="216">
      <c r="A211" s="2" t="inlineStr">
        <is>
          <t>Thomas Fronk</t>
        </is>
      </c>
      <c r="B211" s="2" t="inlineStr">
        <is>
          <t>Utah State University</t>
        </is>
      </c>
      <c r="C211" s="3" t="inlineStr">
        <is>
          <t>https://www.linkedin.com/in/thomas-fronk-291b3772/</t>
        </is>
      </c>
      <c r="D211" s="3" t="inlineStr">
        <is>
          <t>thomas.fronk@usu.edu</t>
        </is>
      </c>
      <c r="F211" s="2" t="inlineStr">
        <is>
          <t>done - 4/10</t>
        </is>
      </c>
      <c r="G211" s="2" t="inlineStr">
        <is>
          <t>done - 5/7</t>
        </is>
      </c>
    </row>
    <row r="212" ht="12.60000038146973" customHeight="1" s="216">
      <c r="A212" s="28" t="inlineStr">
        <is>
          <t>Nick Roberts</t>
        </is>
      </c>
      <c r="B212" s="2" t="inlineStr">
        <is>
          <t>Utah State University</t>
        </is>
      </c>
      <c r="C212" s="3" t="inlineStr">
        <is>
          <t>https://engineering.usu.edu/mae/people/faculty/roberts-nicholas</t>
        </is>
      </c>
      <c r="D212" s="3" t="inlineStr">
        <is>
          <t>nick.roberts@usu.edu</t>
        </is>
      </c>
      <c r="F212" s="2" t="inlineStr">
        <is>
          <t>done - 4/10</t>
        </is>
      </c>
      <c r="G212" s="2" t="inlineStr">
        <is>
          <t>done - 5/7</t>
        </is>
      </c>
    </row>
    <row r="213" ht="12.60000038146973" customHeight="1" s="216">
      <c r="A213" s="2" t="inlineStr">
        <is>
          <t>Zhongquan "Charlie" Zheng</t>
        </is>
      </c>
      <c r="B213" s="2" t="inlineStr">
        <is>
          <t>Utah State University</t>
        </is>
      </c>
      <c r="C213" s="3" t="inlineStr">
        <is>
          <t>https://engineering.usu.edu/mae/people/faculty/zheng-zhongquan</t>
        </is>
      </c>
      <c r="D213" s="3" t="inlineStr">
        <is>
          <t>zzheng@usu.edu</t>
        </is>
      </c>
      <c r="F213" s="2" t="inlineStr">
        <is>
          <t>done - 4/10</t>
        </is>
      </c>
      <c r="G213" s="2" t="inlineStr">
        <is>
          <t>done - 5/7</t>
        </is>
      </c>
    </row>
    <row r="214" ht="12.60000038146973" customHeight="1" s="216">
      <c r="A214" s="22" t="inlineStr">
        <is>
          <t>Joshua Cameron</t>
        </is>
      </c>
      <c r="B214" s="22" t="inlineStr">
        <is>
          <t>Notre Dame</t>
        </is>
      </c>
      <c r="C214" s="137" t="inlineStr">
        <is>
          <t>https://www.linkedin.com/in/joshua-cameron-9b5bb0169/</t>
        </is>
      </c>
      <c r="D214" s="137" t="inlineStr">
        <is>
          <t>j.cameron@nd.edu</t>
        </is>
      </c>
      <c r="E214" s="22" t="n"/>
      <c r="F214" s="22" t="inlineStr">
        <is>
          <t>done - 4/11</t>
        </is>
      </c>
      <c r="G214" s="22" t="inlineStr">
        <is>
          <t>done - 5/7</t>
        </is>
      </c>
    </row>
    <row r="215" ht="12.60000038146973" customHeight="1" s="216">
      <c r="A215" s="2" t="inlineStr">
        <is>
          <t xml:space="preserve">Huibin Chang </t>
        </is>
      </c>
      <c r="B215" s="2" t="inlineStr">
        <is>
          <t>Notre Dame</t>
        </is>
      </c>
      <c r="C215" s="3" t="inlineStr">
        <is>
          <t>https://ame.nd.edu/faculty/huibin-chang/</t>
        </is>
      </c>
      <c r="D215" s="3" t="inlineStr">
        <is>
          <t>hchang8@nd.edu</t>
        </is>
      </c>
      <c r="F215" s="2" t="inlineStr">
        <is>
          <t>done - 4/11</t>
        </is>
      </c>
      <c r="G215" s="2" t="inlineStr">
        <is>
          <t>done - 5/7</t>
        </is>
      </c>
    </row>
    <row r="216" ht="12.60000038146973" customHeight="1" s="216">
      <c r="A216" s="2" t="inlineStr">
        <is>
          <t>Thomas Corke</t>
        </is>
      </c>
      <c r="B216" s="2" t="inlineStr">
        <is>
          <t>Notre Dame</t>
        </is>
      </c>
      <c r="C216" s="3" t="inlineStr">
        <is>
          <t>https://www.linkedin.com/in/thomas-corke-98861327a/</t>
        </is>
      </c>
      <c r="D216" s="3" t="inlineStr">
        <is>
          <t>tcorke@nd.edu</t>
        </is>
      </c>
      <c r="F216" s="2" t="inlineStr">
        <is>
          <t>done - 4/11</t>
        </is>
      </c>
      <c r="G216" s="2" t="inlineStr">
        <is>
          <t>done - 5/7</t>
        </is>
      </c>
    </row>
    <row r="217" ht="12.60000038146973" customHeight="1" s="216">
      <c r="A217" s="2" t="inlineStr">
        <is>
          <t>Margaret Coad</t>
        </is>
      </c>
      <c r="B217" s="2" t="inlineStr">
        <is>
          <t>Notre Dame</t>
        </is>
      </c>
      <c r="C217" s="3" t="inlineStr">
        <is>
          <t>https://www.linkedin.com/in/margaretcoad/</t>
        </is>
      </c>
      <c r="D217" s="3" t="inlineStr">
        <is>
          <t>mcoad@nd.edu</t>
        </is>
      </c>
      <c r="F217" s="2" t="inlineStr">
        <is>
          <t>done - 4/11</t>
        </is>
      </c>
      <c r="G217" s="2" t="inlineStr">
        <is>
          <t>done - 5/7</t>
        </is>
      </c>
    </row>
    <row r="218" ht="12.60000038146973" customHeight="1" s="216">
      <c r="A218" s="2" t="inlineStr">
        <is>
          <t>Donny Hanjaya-Putra</t>
        </is>
      </c>
      <c r="B218" s="2" t="inlineStr">
        <is>
          <t>Notre Dame</t>
        </is>
      </c>
      <c r="C218" s="3" t="inlineStr">
        <is>
          <t>https://www.linkedin.com/in/donny-hanjaya-putra-55a4984a/</t>
        </is>
      </c>
      <c r="D218" s="3" t="inlineStr">
        <is>
          <t>dputra1@nd.edu</t>
        </is>
      </c>
      <c r="F218" s="2" t="inlineStr">
        <is>
          <t>done - 4/11</t>
        </is>
      </c>
      <c r="G218" s="2" t="inlineStr">
        <is>
          <t>done - 5/7</t>
        </is>
      </c>
    </row>
    <row r="219" ht="12.60000038146973" customHeight="1" s="216">
      <c r="A219" s="2" t="inlineStr">
        <is>
          <t>Stanislav Gordeyev</t>
        </is>
      </c>
      <c r="B219" s="2" t="inlineStr">
        <is>
          <t>Notre Dame</t>
        </is>
      </c>
      <c r="C219" s="3" t="inlineStr">
        <is>
          <t>https://www.linkedin.com/in/stanislav-gordeyev-3b81617/</t>
        </is>
      </c>
      <c r="D219" s="3" t="inlineStr">
        <is>
          <t>sgordeye@nd.edu</t>
        </is>
      </c>
      <c r="F219" s="2" t="inlineStr">
        <is>
          <t>done - 4/11</t>
        </is>
      </c>
      <c r="G219" s="2" t="inlineStr">
        <is>
          <t>done - 5/7</t>
        </is>
      </c>
    </row>
    <row r="220" ht="12.60000038146973" customHeight="1" s="216">
      <c r="A220" s="2" t="inlineStr">
        <is>
          <t>Aleksandar Jemcov</t>
        </is>
      </c>
      <c r="B220" s="2" t="inlineStr">
        <is>
          <t>Notre Dame</t>
        </is>
      </c>
      <c r="C220" s="3" t="inlineStr">
        <is>
          <t>https://www.linkedin.com/in/aleksandar-jemcov-1467284/</t>
        </is>
      </c>
      <c r="D220" s="3" t="inlineStr">
        <is>
          <t>ajemcov@nd.edu</t>
        </is>
      </c>
      <c r="F220" s="2" t="inlineStr">
        <is>
          <t>done - 4/11</t>
        </is>
      </c>
      <c r="G220" s="2" t="inlineStr">
        <is>
          <t>done - 5/7</t>
        </is>
      </c>
    </row>
    <row r="221" ht="12.60000038146973" customHeight="1" s="216">
      <c r="A221" s="16" t="inlineStr">
        <is>
          <t>Thomas Juliano</t>
        </is>
      </c>
      <c r="B221" s="16" t="inlineStr">
        <is>
          <t>Notre Dame</t>
        </is>
      </c>
      <c r="C221" s="136" t="inlineStr">
        <is>
          <t>https://www.linkedin.com/in/thomas-juliano-390b8331/</t>
        </is>
      </c>
      <c r="D221" s="136" t="inlineStr">
        <is>
          <t>tjuliano@nd.edu</t>
        </is>
      </c>
      <c r="E221" s="16" t="n"/>
      <c r="F221" s="16" t="inlineStr">
        <is>
          <t>done - 4/11</t>
        </is>
      </c>
      <c r="G221" s="16" t="n"/>
      <c r="H221" s="16" t="inlineStr">
        <is>
          <t>meeting set for 4/23</t>
        </is>
      </c>
      <c r="I221" s="29" t="inlineStr">
        <is>
          <t>Hi Dr. Juliano,</t>
        </is>
      </c>
    </row>
    <row r="222" ht="12.60000038146973" customHeight="1" s="216">
      <c r="A222" s="2" t="inlineStr">
        <is>
          <t>Sergey Leonov</t>
        </is>
      </c>
      <c r="B222" s="2" t="inlineStr">
        <is>
          <t>Notre Dame</t>
        </is>
      </c>
      <c r="C222" s="3" t="inlineStr">
        <is>
          <t>https://ame.nd.edu/faculty/sergey-leonov/</t>
        </is>
      </c>
      <c r="D222" s="3" t="inlineStr">
        <is>
          <t>sleonov@nd.edu</t>
        </is>
      </c>
      <c r="F222" s="2" t="inlineStr">
        <is>
          <t>done - 4/11</t>
        </is>
      </c>
      <c r="G222" s="2" t="inlineStr">
        <is>
          <t>done - 5/7</t>
        </is>
      </c>
      <c r="I222" s="29" t="n"/>
    </row>
    <row r="223" ht="12.60000038146973" customHeight="1" s="216">
      <c r="A223" s="2" t="inlineStr">
        <is>
          <t>Jingcheng Ma</t>
        </is>
      </c>
      <c r="B223" s="2" t="inlineStr">
        <is>
          <t>Notre Dame</t>
        </is>
      </c>
      <c r="C223" s="3" t="inlineStr">
        <is>
          <t>https://www.linkedin.com/in/jingcheng-ma-425733119/</t>
        </is>
      </c>
      <c r="D223" s="3" t="inlineStr">
        <is>
          <t>jma9@nd.edu</t>
        </is>
      </c>
      <c r="F223" s="2" t="inlineStr">
        <is>
          <t>done - 4/11</t>
        </is>
      </c>
      <c r="G223" s="2" t="inlineStr">
        <is>
          <t>done - 5/7</t>
        </is>
      </c>
      <c r="I223" s="29" t="inlineStr">
        <is>
          <t>I wanted to reach out to introduce Exos Aerospace and explore how we might support your research in aerodynamics, aerothermodynamics, and high-speed flows at Notre Dame. Our platform offers reusable suborbital launch services that provide short-duration access to flight-relevant conditions for collecting aerothermal and fluid dynamics data in real-time.</t>
        </is>
      </c>
    </row>
    <row r="224" ht="12.60000038146973" customHeight="1" s="216">
      <c r="A224" s="2" t="inlineStr">
        <is>
          <t>Scott Morris</t>
        </is>
      </c>
      <c r="B224" s="2" t="inlineStr">
        <is>
          <t>Notre Dame</t>
        </is>
      </c>
      <c r="C224" s="3" t="inlineStr">
        <is>
          <t>https://ame.nd.edu/faculty/scott-morris/</t>
        </is>
      </c>
      <c r="D224" s="3" t="inlineStr">
        <is>
          <t>s.morris@nd.edu</t>
        </is>
      </c>
      <c r="F224" s="2" t="inlineStr">
        <is>
          <t>done - 4/11</t>
        </is>
      </c>
      <c r="G224" s="2" t="inlineStr">
        <is>
          <t>done - 5/7</t>
        </is>
      </c>
      <c r="I224" s="29" t="n"/>
    </row>
    <row r="225" ht="12.60000038146973" customHeight="1" s="216">
      <c r="A225" s="2" t="inlineStr">
        <is>
          <t>Seunghyun Moon</t>
        </is>
      </c>
      <c r="B225" s="2" t="inlineStr">
        <is>
          <t>Notre Dame</t>
        </is>
      </c>
      <c r="C225" s="3" t="inlineStr">
        <is>
          <t>https://www.linkedin.com/in/seunghyun-moon-22b68a82/</t>
        </is>
      </c>
      <c r="D225" s="3" t="inlineStr">
        <is>
          <t>smoon7@nd.edu</t>
        </is>
      </c>
      <c r="F225" s="2" t="inlineStr">
        <is>
          <t>done - 4/11</t>
        </is>
      </c>
      <c r="G225" s="2" t="inlineStr">
        <is>
          <t>done - 5/7</t>
        </is>
      </c>
      <c r="I225" s="29" t="inlineStr">
        <is>
          <t>In addition to payload launches, we offer universities the ability to wet-lease or procure a dedicated launch vehicle, creating a customizable platform for flight testing, sensor validation, and student-led development of experimental hardware.</t>
        </is>
      </c>
    </row>
    <row r="226" ht="12.60000038146973" customHeight="1" s="216">
      <c r="A226" s="16" t="inlineStr">
        <is>
          <t xml:space="preserve">Prakash Nallathamby </t>
        </is>
      </c>
      <c r="B226" s="16" t="inlineStr">
        <is>
          <t>Notre Dame</t>
        </is>
      </c>
      <c r="C226" s="136" t="inlineStr">
        <is>
          <t>https://www.linkedin.com/in/prakashdn/</t>
        </is>
      </c>
      <c r="D226" s="136" t="inlineStr">
        <is>
          <t>pnallath@nd.edu</t>
        </is>
      </c>
      <c r="E226" s="16" t="n"/>
      <c r="F226" s="16" t="inlineStr">
        <is>
          <t>done 4/11</t>
        </is>
      </c>
      <c r="G226" s="16" t="n"/>
      <c r="H226" s="16" t="inlineStr">
        <is>
          <t>meeting held 4/15, he requested supporting docs to pass along to the right people. interest in potential funded payloads as well as more info on wet lease program</t>
        </is>
      </c>
      <c r="I226" s="29" t="n"/>
    </row>
    <row r="227" ht="12.60000038146973" customHeight="1" s="216">
      <c r="A227" s="22" t="inlineStr">
        <is>
          <t>Michael Amitay</t>
        </is>
      </c>
      <c r="B227" s="22" t="inlineStr">
        <is>
          <t>Rensselaer Polytechnic Institute</t>
        </is>
      </c>
      <c r="C227" s="137" t="inlineStr">
        <is>
          <t>https://www.linkedin.com/in/michael-amitay-a42aba65/</t>
        </is>
      </c>
      <c r="D227" s="137" t="inlineStr">
        <is>
          <t>michael.amitay@aol.com</t>
        </is>
      </c>
      <c r="E227" s="22" t="n"/>
      <c r="F227" s="22" t="inlineStr">
        <is>
          <t>done 4/15</t>
        </is>
      </c>
      <c r="G227" s="22" t="inlineStr">
        <is>
          <t>done - 5/7</t>
        </is>
      </c>
      <c r="I227" s="29" t="inlineStr">
        <is>
          <t>We’ve seen increasing interest from faculty modeling supersonic/hypersonic flow behavior, investigating thermal protection systems, or validating aero heating models—and I believe there may be a strong fit with your work in compressible flow testing and aerothermal diagnostics.</t>
        </is>
      </c>
    </row>
    <row r="228" ht="12.60000038146973" customHeight="1" s="216">
      <c r="A228" s="22" t="inlineStr">
        <is>
          <t>Amir Hirsa</t>
        </is>
      </c>
      <c r="B228" s="22" t="inlineStr">
        <is>
          <t>Rensselaer Polytechnic Institute</t>
        </is>
      </c>
      <c r="C228" s="137" t="inlineStr">
        <is>
          <t>https://www.linkedin.com/in/amir-hirsa-7b24093a/</t>
        </is>
      </c>
      <c r="D228" s="137" t="inlineStr">
        <is>
          <t>amir.hirsa@gmail.com</t>
        </is>
      </c>
      <c r="E228" s="22" t="n"/>
      <c r="F228" s="22" t="inlineStr">
        <is>
          <t>done 4/15</t>
        </is>
      </c>
      <c r="G228" s="22" t="inlineStr">
        <is>
          <t>done - 5/7</t>
        </is>
      </c>
      <c r="I228" s="29" t="n"/>
    </row>
    <row r="229" ht="14.10000038146973" customHeight="1" s="216">
      <c r="A229" s="2" t="inlineStr">
        <is>
          <t>Matt Oehlschlaeger</t>
        </is>
      </c>
      <c r="B229" s="2" t="inlineStr">
        <is>
          <t>Rensselaer Polytechnic Institute</t>
        </is>
      </c>
      <c r="C229" s="3" t="inlineStr">
        <is>
          <t>http://linkedin.com/in/matt-oehlschlaeger</t>
        </is>
      </c>
      <c r="D229" s="18" t="inlineStr">
        <is>
          <t>oehlsm@rpi.edu</t>
        </is>
      </c>
      <c r="F229" s="2" t="inlineStr">
        <is>
          <t>done 4/15</t>
        </is>
      </c>
      <c r="G229" s="2" t="inlineStr">
        <is>
          <t>done - 5/7</t>
        </is>
      </c>
      <c r="I229" s="29" t="inlineStr">
        <is>
          <t>I’d love to schedule a quick call to learn more about your ongoing projects and explore how we might collaborate. If someone else on your team would be the best point of contact, I’d appreciate the referral as well.</t>
        </is>
      </c>
    </row>
    <row r="230" ht="12.60000038146973" customHeight="1" s="216">
      <c r="A230" s="2" t="inlineStr">
        <is>
          <t>Onkar Sahni</t>
        </is>
      </c>
      <c r="B230" s="2" t="inlineStr">
        <is>
          <t>Rensselaer Polytechnic Institute</t>
        </is>
      </c>
      <c r="C230" s="3" t="inlineStr">
        <is>
          <t>https://faculty.rpi.edu/onkar-sahni</t>
        </is>
      </c>
      <c r="D230" s="3" t="inlineStr">
        <is>
          <t>sahni@rpi.edu</t>
        </is>
      </c>
      <c r="F230" s="2" t="inlineStr">
        <is>
          <t>done 4/15</t>
        </is>
      </c>
      <c r="G230" s="2" t="inlineStr">
        <is>
          <t>done - 5/7</t>
        </is>
      </c>
      <c r="I230" s="29" t="n"/>
    </row>
    <row r="231" ht="12.60000038146973" customHeight="1" s="216">
      <c r="A231" s="2" t="inlineStr">
        <is>
          <t>Ozgur Tumuklu</t>
        </is>
      </c>
      <c r="B231" s="2" t="inlineStr">
        <is>
          <t>Rensselaer Polytechnic Institute</t>
        </is>
      </c>
      <c r="C231" s="3" t="inlineStr">
        <is>
          <t>https://faculty.rpi.edu/ozgur-tumuklu</t>
        </is>
      </c>
      <c r="D231" s="3" t="inlineStr">
        <is>
          <t>tumuko@rpi.edu</t>
        </is>
      </c>
      <c r="F231" s="2" t="inlineStr">
        <is>
          <t>done 4/15</t>
        </is>
      </c>
      <c r="G231" s="2" t="inlineStr">
        <is>
          <t>done - 5/7</t>
        </is>
      </c>
      <c r="I231" s="29" t="inlineStr">
        <is>
          <t>Would you be open to a brief conversation?</t>
        </is>
      </c>
    </row>
    <row r="232" ht="12.60000038146973" customHeight="1" s="216">
      <c r="A232" s="2" t="inlineStr">
        <is>
          <t>Sandeep Singh</t>
        </is>
      </c>
      <c r="B232" s="2" t="inlineStr">
        <is>
          <t>Rensselaer Polytechnic Institute</t>
        </is>
      </c>
      <c r="C232" s="3" t="inlineStr">
        <is>
          <t>https://www.linkedin.com/in/sandeep-singh-8a4160137/</t>
        </is>
      </c>
      <c r="D232" s="2" t="inlineStr">
        <is>
          <t>sandes5@rpi.edu</t>
        </is>
      </c>
      <c r="F232" s="2" t="inlineStr">
        <is>
          <t>done 4/15</t>
        </is>
      </c>
      <c r="G232" s="2" t="inlineStr">
        <is>
          <t>done - 5/7</t>
        </is>
      </c>
      <c r="I232" s="29" t="inlineStr">
        <is>
          <t>We’ve seen growing interest from researchers exploring how nanoparticles, targeted delivery systems, and biosensors behave in microgravity—especially when studying fluid behavior, biological response, or device performance in conditions relevant to long-duration spaceflight and precision medicine.</t>
        </is>
      </c>
    </row>
    <row r="233" ht="12.60000038146973" customHeight="1" s="216">
      <c r="A233" s="2" t="inlineStr">
        <is>
          <t>Jason Hicken</t>
        </is>
      </c>
      <c r="B233" s="2" t="inlineStr">
        <is>
          <t>Rensselaer Polytechnic Institute</t>
        </is>
      </c>
      <c r="C233" s="3" t="inlineStr">
        <is>
          <t>https://www.linkedin.com/in/jasonhicken/</t>
        </is>
      </c>
      <c r="D233" s="2" t="inlineStr">
        <is>
          <t>hickej2@rpi.edu</t>
        </is>
      </c>
      <c r="F233" s="2" t="inlineStr">
        <is>
          <t>done 4/15</t>
        </is>
      </c>
      <c r="G233" s="2" t="inlineStr">
        <is>
          <t>done - 5/7</t>
        </is>
      </c>
      <c r="I233" s="29" t="n"/>
    </row>
    <row r="234" ht="12.60000038146973" customHeight="1" s="216">
      <c r="A234" s="2" t="inlineStr">
        <is>
          <t>Uri Shumlak</t>
        </is>
      </c>
      <c r="B234" s="2" t="inlineStr">
        <is>
          <t>University of Washington</t>
        </is>
      </c>
      <c r="C234" s="3" t="inlineStr">
        <is>
          <t>https://www.linkedin.com/in/uri-shumlak-41667124a/</t>
        </is>
      </c>
      <c r="D234" s="3" t="inlineStr">
        <is>
          <t>shumlak@uw.edu</t>
        </is>
      </c>
      <c r="F234" s="2" t="inlineStr">
        <is>
          <t>done 4/15</t>
        </is>
      </c>
      <c r="G234" s="2" t="inlineStr">
        <is>
          <t>done - 5/7</t>
        </is>
      </c>
      <c r="I234" s="29" t="inlineStr">
        <is>
          <t>I’d love to schedule a quick call to learn more about your work and explore how we might collaborate. If there’s someone else on your team I should speak with, I’d appreciate the referral as well.</t>
        </is>
      </c>
    </row>
    <row r="235" ht="12.60000038146973" customHeight="1" s="216">
      <c r="A235" s="2" t="inlineStr">
        <is>
          <t>Jim Hermanson</t>
        </is>
      </c>
      <c r="B235" s="2" t="inlineStr">
        <is>
          <t>University of Washington</t>
        </is>
      </c>
      <c r="C235" s="3" t="inlineStr">
        <is>
          <t>https://www.linkedin.com/in/jim-hermanson-695a499/</t>
        </is>
      </c>
      <c r="D235" s="2" t="inlineStr">
        <is>
          <t>jherm@aa.washington.edu</t>
        </is>
      </c>
      <c r="F235" s="2" t="inlineStr">
        <is>
          <t>done 4/15</t>
        </is>
      </c>
      <c r="G235" s="2" t="inlineStr">
        <is>
          <t>done - 5/7</t>
        </is>
      </c>
      <c r="I235" s="29" t="n"/>
    </row>
    <row r="236" ht="12.60000038146973" customHeight="1" s="216">
      <c r="A236" s="2" t="inlineStr">
        <is>
          <t xml:space="preserve">Martin Nisser </t>
        </is>
      </c>
      <c r="B236" s="2" t="inlineStr">
        <is>
          <t>University of Washington</t>
        </is>
      </c>
      <c r="C236" s="3" t="inlineStr">
        <is>
          <t>https://www.linkedin.com/in/martin-nisser-34658a54/</t>
        </is>
      </c>
      <c r="D236" s="3" t="inlineStr">
        <is>
          <t>nisser@uw.edu</t>
        </is>
      </c>
      <c r="F236" s="2" t="inlineStr">
        <is>
          <t>done 4/15</t>
        </is>
      </c>
      <c r="G236" s="2" t="inlineStr">
        <is>
          <t>done - 5/7</t>
        </is>
      </c>
      <c r="I236" s="29" t="inlineStr">
        <is>
          <t>Would you be open to a brief conversation?</t>
        </is>
      </c>
    </row>
    <row r="237" ht="12.60000038146973" customHeight="1" s="216">
      <c r="A237" s="2" t="inlineStr">
        <is>
          <t xml:space="preserve">Mehran Mesbahi </t>
        </is>
      </c>
      <c r="B237" s="2" t="inlineStr">
        <is>
          <t>University of Washington</t>
        </is>
      </c>
      <c r="C237" s="3" t="inlineStr">
        <is>
          <t>https://www.linkedin.com/in/mehran-mesbahi-345a7a83/</t>
        </is>
      </c>
      <c r="D237" s="2" t="inlineStr">
        <is>
          <t>mesbahi@aa.washington.edu</t>
        </is>
      </c>
      <c r="F237" s="2" t="inlineStr">
        <is>
          <t>done 4/15</t>
        </is>
      </c>
      <c r="G237" s="2" t="inlineStr">
        <is>
          <t>done - 5/7</t>
        </is>
      </c>
    </row>
    <row r="238" ht="12.60000038146973" customHeight="1" s="216">
      <c r="A238" s="2" t="inlineStr">
        <is>
          <t>Kristi Morgansen</t>
        </is>
      </c>
      <c r="B238" s="2" t="inlineStr">
        <is>
          <t>University of Washington</t>
        </is>
      </c>
      <c r="C238" s="3" t="inlineStr">
        <is>
          <t>https://www.linkedin.com/in/kristi-morgansen/</t>
        </is>
      </c>
      <c r="D238" s="2" t="inlineStr">
        <is>
          <t>aa-chair@uw.edu</t>
        </is>
      </c>
      <c r="F238" s="2" t="inlineStr">
        <is>
          <t>done 4/15</t>
        </is>
      </c>
      <c r="G238" s="2" t="inlineStr">
        <is>
          <t>done - 5/7</t>
        </is>
      </c>
    </row>
    <row r="239" ht="12.60000038146973" customHeight="1" s="216">
      <c r="A239" s="2" t="inlineStr">
        <is>
          <t>Behçet Açıkmeşe</t>
        </is>
      </c>
      <c r="B239" s="2" t="inlineStr">
        <is>
          <t>University of Washington</t>
        </is>
      </c>
      <c r="C239" s="3" t="inlineStr">
        <is>
          <t>https://www.linkedin.com/in/behcet-acikmese-7a28226/</t>
        </is>
      </c>
      <c r="D239" s="2" t="inlineStr">
        <is>
          <t>behcet@uw.edu</t>
        </is>
      </c>
      <c r="F239" s="2" t="inlineStr">
        <is>
          <t>done 4/15</t>
        </is>
      </c>
      <c r="G239" s="2" t="inlineStr">
        <is>
          <t>done - 5/7</t>
        </is>
      </c>
    </row>
    <row r="240" ht="12.60000038146973" customHeight="1" s="216">
      <c r="A240" s="22" t="inlineStr">
        <is>
          <t>Robert Breidenthal</t>
        </is>
      </c>
      <c r="B240" s="22" t="inlineStr">
        <is>
          <t>University of Washington</t>
        </is>
      </c>
      <c r="C240" s="137" t="inlineStr">
        <is>
          <t>https://www.linkedin.com/in/robert-breidenthal-760a587/</t>
        </is>
      </c>
      <c r="D240" s="22" t="inlineStr">
        <is>
          <t>breidenthal@aa.washington.edu</t>
        </is>
      </c>
      <c r="E240" s="22" t="n"/>
      <c r="F240" s="22" t="inlineStr">
        <is>
          <t>done 4/15</t>
        </is>
      </c>
      <c r="G240" s="22" t="inlineStr">
        <is>
          <t>done - 5/7</t>
        </is>
      </c>
      <c r="H240" s="22" t="inlineStr">
        <is>
          <t>sent me a rec</t>
        </is>
      </c>
    </row>
    <row r="241" ht="12.60000038146973" customHeight="1" s="216">
      <c r="A241" s="22" t="inlineStr">
        <is>
          <t>Antonino Ferrante</t>
        </is>
      </c>
      <c r="B241" s="22" t="inlineStr">
        <is>
          <t>University of Washington</t>
        </is>
      </c>
      <c r="C241" s="137" t="inlineStr">
        <is>
          <t>https://www.linkedin.com/in/antonino-ferrante-aa99a2a0/</t>
        </is>
      </c>
      <c r="D241" s="22" t="inlineStr">
        <is>
          <t>ferrante@aa.washington.edu</t>
        </is>
      </c>
      <c r="E241" s="22" t="n"/>
      <c r="F241" s="22" t="inlineStr">
        <is>
          <t>done 4/15</t>
        </is>
      </c>
      <c r="G241" s="22" t="inlineStr">
        <is>
          <t>done - 5/7</t>
        </is>
      </c>
    </row>
    <row r="242" ht="12.60000038146973" customHeight="1" s="216">
      <c r="A242" s="2" t="inlineStr">
        <is>
          <t>Prabhat Hajela</t>
        </is>
      </c>
      <c r="B242" s="2" t="inlineStr">
        <is>
          <t>Rensselaer Polytechnic Institute</t>
        </is>
      </c>
      <c r="C242" s="3" t="inlineStr">
        <is>
          <t>https://www.linkedin.com/in/prabhat-hajela-ph-d-a9184913/</t>
        </is>
      </c>
      <c r="D242" s="2" t="inlineStr">
        <is>
          <t>hajelap@rpi.edu</t>
        </is>
      </c>
      <c r="F242" s="2" t="inlineStr">
        <is>
          <t>done 4/15</t>
        </is>
      </c>
      <c r="G242" s="2" t="inlineStr">
        <is>
          <t>done - 5/7</t>
        </is>
      </c>
    </row>
    <row r="243" ht="12.60000038146973" customHeight="1" s="216">
      <c r="A243" s="2" t="inlineStr">
        <is>
          <t>Shaowu Pan</t>
        </is>
      </c>
      <c r="B243" s="2" t="inlineStr">
        <is>
          <t>Rensselaer Polytechnic Institute</t>
        </is>
      </c>
      <c r="C243" s="3" t="inlineStr">
        <is>
          <t>https://www.linkedin.com/in/shaowupan/</t>
        </is>
      </c>
      <c r="D243" s="2" t="inlineStr">
        <is>
          <t>pans2@rpi.edu</t>
        </is>
      </c>
      <c r="F243" s="2" t="inlineStr">
        <is>
          <t>done 4/15</t>
        </is>
      </c>
      <c r="G243" s="2" t="inlineStr">
        <is>
          <t>done - 5/7</t>
        </is>
      </c>
    </row>
    <row r="244" ht="12.60000038146973" customHeight="1" s="216">
      <c r="A244" s="2" t="inlineStr">
        <is>
          <t>Owen Williams</t>
        </is>
      </c>
      <c r="B244" s="2" t="inlineStr">
        <is>
          <t>University of Washington</t>
        </is>
      </c>
      <c r="C244" s="3" t="inlineStr">
        <is>
          <t>https://www.linkedin.com/in/owenwilliamsaerospace/</t>
        </is>
      </c>
      <c r="D244" s="2" t="inlineStr">
        <is>
          <t>ojhw@uw.edu</t>
        </is>
      </c>
      <c r="F244" s="2" t="inlineStr">
        <is>
          <t>done 4/15</t>
        </is>
      </c>
      <c r="G244" s="2" t="inlineStr">
        <is>
          <t>done - 5/7</t>
        </is>
      </c>
    </row>
    <row r="245" ht="12.60000038146973" customHeight="1" s="216">
      <c r="A245" s="2" t="inlineStr">
        <is>
          <t>Sandipan Mishra</t>
        </is>
      </c>
      <c r="B245" s="2" t="inlineStr">
        <is>
          <t>Rensselaer Polytechnic Institute</t>
        </is>
      </c>
      <c r="C245" s="3" t="inlineStr">
        <is>
          <t>https://www.linkedin.com/in/sandipan-mishra-6794617/</t>
        </is>
      </c>
      <c r="D245" s="2" t="inlineStr">
        <is>
          <t>mishrs2@rpi.edu</t>
        </is>
      </c>
      <c r="F245" s="2" t="inlineStr">
        <is>
          <t>done 4/15</t>
        </is>
      </c>
      <c r="G245" s="2" t="inlineStr">
        <is>
          <t>done - 5/7</t>
        </is>
      </c>
    </row>
    <row r="246" ht="12.60000038146973" customHeight="1" s="216">
      <c r="A246" s="2" t="inlineStr">
        <is>
          <t>Ya-Ting Liao</t>
        </is>
      </c>
      <c r="B246" s="2" t="inlineStr">
        <is>
          <t>Case Western Reserve University</t>
        </is>
      </c>
      <c r="C246" s="3" t="inlineStr">
        <is>
          <t>https://www.linkedin.com/in/ya-ting-liao-748b47131/</t>
        </is>
      </c>
      <c r="D246" s="2" t="inlineStr">
        <is>
          <t>yating.liao@case.edu</t>
        </is>
      </c>
      <c r="F246" s="2" t="inlineStr">
        <is>
          <t>done 4/16</t>
        </is>
      </c>
      <c r="G246" s="2" t="inlineStr">
        <is>
          <t>done - 5/7</t>
        </is>
      </c>
    </row>
    <row r="247" ht="12.60000038146973" customHeight="1" s="216">
      <c r="A247" s="2" t="inlineStr">
        <is>
          <t>Chirag Kharangate</t>
        </is>
      </c>
      <c r="B247" s="2" t="inlineStr">
        <is>
          <t>Case Western Reserve University</t>
        </is>
      </c>
      <c r="C247" s="3" t="inlineStr">
        <is>
          <t>https://www.linkedin.com/in/chirag-kharangate-68865418/</t>
        </is>
      </c>
      <c r="D247" s="2" t="inlineStr">
        <is>
          <t>chirag.kharangate@case.edu</t>
        </is>
      </c>
      <c r="F247" s="2" t="inlineStr">
        <is>
          <t>done 4/16</t>
        </is>
      </c>
      <c r="G247" s="2" t="inlineStr">
        <is>
          <t>done - 5/7</t>
        </is>
      </c>
    </row>
    <row r="248" ht="12.60000038146973" customHeight="1" s="216">
      <c r="A248" s="2" t="inlineStr">
        <is>
          <t>Zach Patterson</t>
        </is>
      </c>
      <c r="B248" s="2" t="inlineStr">
        <is>
          <t>Case Western Reserve University</t>
        </is>
      </c>
      <c r="C248" s="3" t="inlineStr">
        <is>
          <t>https://www.linkedin.com/in/zpatt/</t>
        </is>
      </c>
      <c r="D248" s="2" t="inlineStr">
        <is>
          <t>zpatt@case.edu</t>
        </is>
      </c>
      <c r="F248" s="2" t="inlineStr">
        <is>
          <t>done 4/16</t>
        </is>
      </c>
      <c r="G248" s="2" t="inlineStr">
        <is>
          <t>done - 5/7</t>
        </is>
      </c>
    </row>
    <row r="249" ht="12.60000038146973" customHeight="1" s="216">
      <c r="A249" s="2" t="inlineStr">
        <is>
          <t>Bryan Schmidt</t>
        </is>
      </c>
      <c r="B249" s="2" t="inlineStr">
        <is>
          <t>Case Western Reserve University</t>
        </is>
      </c>
      <c r="C249" s="3" t="inlineStr">
        <is>
          <t>https://case.edu/engineering/about/faculty-and-staff-directory/bryan-schmidt</t>
        </is>
      </c>
      <c r="D249" s="2" t="inlineStr">
        <is>
          <t>bryan.e.schmidt@case.edu</t>
        </is>
      </c>
      <c r="F249" s="2" t="inlineStr">
        <is>
          <t>done 4/16</t>
        </is>
      </c>
      <c r="G249" s="2" t="inlineStr">
        <is>
          <t>done - 5/7</t>
        </is>
      </c>
    </row>
    <row r="250" ht="12.60000038146973" customHeight="1" s="216">
      <c r="A250" s="2" t="inlineStr">
        <is>
          <t>Steve Hostler</t>
        </is>
      </c>
      <c r="B250" s="2" t="inlineStr">
        <is>
          <t>Case Western Reserve University</t>
        </is>
      </c>
      <c r="C250" s="3" t="inlineStr">
        <is>
          <t>https://www.linkedin.com/in/stevehostler/</t>
        </is>
      </c>
      <c r="D250" s="2" t="inlineStr">
        <is>
          <t>steve.hostler@case.edu</t>
        </is>
      </c>
      <c r="F250" s="2" t="inlineStr">
        <is>
          <t>done 4/16</t>
        </is>
      </c>
      <c r="G250" s="2" t="inlineStr">
        <is>
          <t>done - 5/7</t>
        </is>
      </c>
    </row>
    <row r="251" ht="12.60000038146973" customHeight="1" s="216">
      <c r="A251" s="2" t="inlineStr">
        <is>
          <t>Roger Quinn</t>
        </is>
      </c>
      <c r="B251" s="2" t="inlineStr">
        <is>
          <t>Case Western Reserve University</t>
        </is>
      </c>
      <c r="C251" s="3" t="inlineStr">
        <is>
          <t>https://www.linkedin.com/in/roger-quinn-13159b2/</t>
        </is>
      </c>
      <c r="D251" s="2" t="inlineStr">
        <is>
          <t>roger.quinn@case.edu</t>
        </is>
      </c>
      <c r="F251" s="2" t="inlineStr">
        <is>
          <t>done 4/16</t>
        </is>
      </c>
      <c r="G251" s="2" t="inlineStr">
        <is>
          <t>done - 5/7</t>
        </is>
      </c>
    </row>
    <row r="252" ht="12.60000038146973" customHeight="1" s="216">
      <c r="A252" s="2" t="inlineStr">
        <is>
          <t>Eddy Wang</t>
        </is>
      </c>
      <c r="B252" s="2" t="inlineStr">
        <is>
          <t>Case Western Reserve University</t>
        </is>
      </c>
      <c r="C252" s="3" t="inlineStr">
        <is>
          <t>https://www.linkedin.com/in/eddy-wang-004279109/</t>
        </is>
      </c>
      <c r="D252" s="2" t="inlineStr">
        <is>
          <t>pxw206@case.edu</t>
        </is>
      </c>
      <c r="F252" s="2" t="inlineStr">
        <is>
          <t>done 4/16</t>
        </is>
      </c>
      <c r="G252" s="2" t="inlineStr">
        <is>
          <t>done - 5/7</t>
        </is>
      </c>
    </row>
    <row r="253" ht="12.60000038146973" customHeight="1" s="216">
      <c r="A253" s="2" t="inlineStr">
        <is>
          <t>Penina Axelrad</t>
        </is>
      </c>
      <c r="B253" s="2" t="inlineStr">
        <is>
          <t>CU Boulder</t>
        </is>
      </c>
      <c r="C253" s="3" t="inlineStr">
        <is>
          <t>https://www.linkedin.com/in/penina-axelrad-13012a4/</t>
        </is>
      </c>
      <c r="D253" s="2" t="inlineStr">
        <is>
          <t>penina.axelrad@colorado.edu</t>
        </is>
      </c>
      <c r="F253" s="2" t="inlineStr">
        <is>
          <t>done 4/16</t>
        </is>
      </c>
      <c r="G253" s="2" t="inlineStr">
        <is>
          <t>done - 5/7</t>
        </is>
      </c>
    </row>
    <row r="254" ht="12.60000038146973" customHeight="1" s="216">
      <c r="A254" s="2" t="inlineStr">
        <is>
          <t>Hanspeter Schaub</t>
        </is>
      </c>
      <c r="B254" s="2" t="inlineStr">
        <is>
          <t>CU Boulder</t>
        </is>
      </c>
      <c r="C254" s="3" t="inlineStr">
        <is>
          <t>https://www.linkedin.com/in/hanspeterschaub/</t>
        </is>
      </c>
      <c r="D254" s="2" t="inlineStr">
        <is>
          <t>Hanspeter.Schaub@colorado.edu</t>
        </is>
      </c>
      <c r="F254" s="2" t="inlineStr">
        <is>
          <t>done 4/16</t>
        </is>
      </c>
      <c r="G254" s="2" t="inlineStr">
        <is>
          <t>done - 5/7</t>
        </is>
      </c>
    </row>
    <row r="255" ht="12.60000038146973" customHeight="1" s="216">
      <c r="A255" s="2" t="inlineStr">
        <is>
          <t>Jay McMahon</t>
        </is>
      </c>
      <c r="B255" s="2" t="inlineStr">
        <is>
          <t>CU Boulder</t>
        </is>
      </c>
      <c r="C255" s="3" t="inlineStr">
        <is>
          <t>https://www.linkedin.com/in/jay-mcmahon-022ba56/</t>
        </is>
      </c>
      <c r="D255" s="2" t="inlineStr">
        <is>
          <t>mcmahojw@colorado.edu</t>
        </is>
      </c>
      <c r="F255" s="2" t="inlineStr">
        <is>
          <t>done 4/16</t>
        </is>
      </c>
      <c r="G255" s="2" t="inlineStr">
        <is>
          <t>done - 5/7</t>
        </is>
      </c>
    </row>
    <row r="256" ht="12.60000038146973" customHeight="1" s="216">
      <c r="A256" s="2" t="inlineStr">
        <is>
          <t>Jade Morton</t>
        </is>
      </c>
      <c r="B256" s="2" t="inlineStr">
        <is>
          <t>CU Boulder</t>
        </is>
      </c>
      <c r="C256" s="3" t="inlineStr">
        <is>
          <t>https://www.linkedin.com/in/jade-morton-2472b59/</t>
        </is>
      </c>
      <c r="D256" s="2" t="inlineStr">
        <is>
          <t>jade.morton@colorado.edu</t>
        </is>
      </c>
      <c r="F256" s="2" t="inlineStr">
        <is>
          <t>done 4/16</t>
        </is>
      </c>
      <c r="G256" s="2" t="inlineStr">
        <is>
          <t>done - 5/7</t>
        </is>
      </c>
    </row>
    <row r="257" ht="12.60000038146973" customHeight="1" s="216">
      <c r="A257" s="2" t="inlineStr">
        <is>
          <t>Daniel Scheeres</t>
        </is>
      </c>
      <c r="B257" s="2" t="inlineStr">
        <is>
          <t>CU Boulder</t>
        </is>
      </c>
      <c r="C257" s="3" t="inlineStr">
        <is>
          <t>https://www.linkedin.com/in/daniel-scheeres-18307a4/</t>
        </is>
      </c>
      <c r="D257" s="2" t="inlineStr">
        <is>
          <t>Scheeres@colorado.edu</t>
        </is>
      </c>
      <c r="F257" s="2" t="inlineStr">
        <is>
          <t>done 4/16</t>
        </is>
      </c>
      <c r="G257" s="2" t="inlineStr">
        <is>
          <t>done - 5/7</t>
        </is>
      </c>
    </row>
    <row r="258" ht="12.60000038146973" customHeight="1" s="216">
      <c r="A258" s="2" t="inlineStr">
        <is>
          <t>Brian Argrow</t>
        </is>
      </c>
      <c r="B258" s="2" t="inlineStr">
        <is>
          <t>CU Boulder</t>
        </is>
      </c>
      <c r="C258" s="3" t="inlineStr">
        <is>
          <t>https://www.linkedin.com/in/brian-argrow-9b83461a/</t>
        </is>
      </c>
      <c r="D258" s="2" t="inlineStr">
        <is>
          <t>brian.argrow@colorado.edu</t>
        </is>
      </c>
      <c r="F258" s="2" t="inlineStr">
        <is>
          <t>done 4/16</t>
        </is>
      </c>
      <c r="G258" s="2" t="inlineStr">
        <is>
          <t>done - 5/7</t>
        </is>
      </c>
    </row>
    <row r="259" ht="15.60000038146973" customHeight="1" s="216">
      <c r="A259" s="2" t="inlineStr">
        <is>
          <t>Sean Humbert</t>
        </is>
      </c>
      <c r="B259" s="2" t="inlineStr">
        <is>
          <t>CU Boulder</t>
        </is>
      </c>
      <c r="C259" s="3" t="inlineStr">
        <is>
          <t>https://www.linkedin.com/in/j-sean-humbert-84a487b0/</t>
        </is>
      </c>
      <c r="D259" s="4" t="inlineStr">
        <is>
          <t>humbertj@colorado.edu</t>
        </is>
      </c>
      <c r="E259" s="2" t="inlineStr">
        <is>
          <t>sean.humbert@colorado.edu</t>
        </is>
      </c>
      <c r="F259" s="2" t="inlineStr">
        <is>
          <t>done 4/16</t>
        </is>
      </c>
      <c r="G259" s="2" t="inlineStr">
        <is>
          <t>done - 5/7</t>
        </is>
      </c>
    </row>
    <row r="260" ht="12.60000038146973" customHeight="1" s="216">
      <c r="A260" s="2" t="inlineStr">
        <is>
          <t>Dr. Nisar Ahmed</t>
        </is>
      </c>
      <c r="B260" s="2" t="inlineStr">
        <is>
          <t>CU Boulder</t>
        </is>
      </c>
      <c r="C260" s="3" t="inlineStr">
        <is>
          <t>https://www.linkedin.com/in/nisar-ahmed-67325616/</t>
        </is>
      </c>
      <c r="D260" s="2" t="inlineStr">
        <is>
          <t>nisar.ahmed@colorado.edu</t>
        </is>
      </c>
      <c r="F260" s="2" t="inlineStr">
        <is>
          <t>done 4/17</t>
        </is>
      </c>
      <c r="G260" s="2" t="inlineStr">
        <is>
          <t>done - 5/7</t>
        </is>
      </c>
    </row>
    <row r="261" ht="12.60000038146973" customHeight="1" s="216">
      <c r="A261" s="2" t="inlineStr">
        <is>
          <t>Dennis Akos</t>
        </is>
      </c>
      <c r="B261" s="2" t="inlineStr">
        <is>
          <t>CU Boulder</t>
        </is>
      </c>
      <c r="C261" s="3" t="inlineStr">
        <is>
          <t>https://www.linkedin.com/in/dennis-akos-a3787a1b/</t>
        </is>
      </c>
      <c r="D261" s="2" t="inlineStr">
        <is>
          <t>dma@colorado.edu</t>
        </is>
      </c>
      <c r="F261" s="2" t="inlineStr">
        <is>
          <t>done 4/17</t>
        </is>
      </c>
      <c r="G261" s="2" t="inlineStr">
        <is>
          <t>done - 5/7</t>
        </is>
      </c>
    </row>
    <row r="262" ht="12.60000038146973" customHeight="1" s="216">
      <c r="A262" s="2" t="inlineStr">
        <is>
          <t>Hisham Ali</t>
        </is>
      </c>
      <c r="B262" s="2" t="inlineStr">
        <is>
          <t>CU Boulder</t>
        </is>
      </c>
      <c r="C262" s="3" t="inlineStr">
        <is>
          <t>https://www.linkedin.com/in/hishamkali/</t>
        </is>
      </c>
      <c r="D262" s="2" t="inlineStr">
        <is>
          <t>hisham.ali@colorado.edu</t>
        </is>
      </c>
      <c r="F262" s="2" t="inlineStr">
        <is>
          <t>done 4/17</t>
        </is>
      </c>
      <c r="G262" s="2" t="inlineStr">
        <is>
          <t>done - 5/7</t>
        </is>
      </c>
    </row>
    <row r="263" ht="12.60000038146973" customHeight="1" s="216">
      <c r="A263" s="2" t="inlineStr">
        <is>
          <t>Katya Arquilla</t>
        </is>
      </c>
      <c r="B263" s="2" t="inlineStr">
        <is>
          <t>CU Boulder</t>
        </is>
      </c>
      <c r="C263" s="3" t="inlineStr">
        <is>
          <t>https://www.linkedin.com/in/katya-arquilla-797026101/</t>
        </is>
      </c>
      <c r="D263" s="2" t="inlineStr">
        <is>
          <t>Katya.Arquilla@Colorado.EDU</t>
        </is>
      </c>
      <c r="F263" s="2" t="inlineStr">
        <is>
          <t>done 4/17</t>
        </is>
      </c>
      <c r="G263" s="2" t="inlineStr">
        <is>
          <t>done - 5/7</t>
        </is>
      </c>
    </row>
    <row r="264" ht="12.60000038146973" customHeight="1" s="216">
      <c r="A264" s="2" t="inlineStr">
        <is>
          <t>Vishala Arya</t>
        </is>
      </c>
      <c r="B264" s="2" t="inlineStr">
        <is>
          <t>CU Boulder</t>
        </is>
      </c>
      <c r="C264" s="3" t="inlineStr">
        <is>
          <t>https://www.linkedin.com/in/vishala-arya-80230028/</t>
        </is>
      </c>
      <c r="D264" s="2" t="inlineStr">
        <is>
          <t>vishala@colorado.edu</t>
        </is>
      </c>
      <c r="F264" s="2" t="inlineStr">
        <is>
          <t>done 4/17</t>
        </is>
      </c>
      <c r="G264" s="2" t="inlineStr">
        <is>
          <t>done - 5/7</t>
        </is>
      </c>
    </row>
    <row r="265" ht="12.60000038146973" customHeight="1" s="216">
      <c r="A265" s="2" t="inlineStr">
        <is>
          <t>Natasha Bosanac</t>
        </is>
      </c>
      <c r="B265" s="2" t="inlineStr">
        <is>
          <t>CU Boulder</t>
        </is>
      </c>
      <c r="C265" s="3" t="inlineStr">
        <is>
          <t>https://www.linkedin.com/in/nbosanac/</t>
        </is>
      </c>
      <c r="D265" s="2" t="inlineStr">
        <is>
          <t>Natasha.Bosanac@Colorado.EDU</t>
        </is>
      </c>
      <c r="F265" s="2" t="inlineStr">
        <is>
          <t>done 4/17</t>
        </is>
      </c>
      <c r="G265" s="2" t="inlineStr">
        <is>
          <t>done - 5/7</t>
        </is>
      </c>
    </row>
    <row r="266" ht="12.60000038146973" customHeight="1" s="216">
      <c r="A266" s="2" t="inlineStr">
        <is>
          <t>Iain Boyd</t>
        </is>
      </c>
      <c r="B266" s="2" t="inlineStr">
        <is>
          <t>CU Boulder</t>
        </is>
      </c>
      <c r="C266" s="3" t="inlineStr">
        <is>
          <t>https://www.linkedin.com/in/iain-boyd/</t>
        </is>
      </c>
      <c r="D266" s="2" t="inlineStr">
        <is>
          <t>Iain.Boyd@colorado.edu</t>
        </is>
      </c>
      <c r="F266" s="2" t="inlineStr">
        <is>
          <t>done 4/17</t>
        </is>
      </c>
      <c r="G266" s="2" t="inlineStr">
        <is>
          <t>done - 5/7</t>
        </is>
      </c>
    </row>
    <row r="267" ht="12.60000038146973" customHeight="1" s="216">
      <c r="A267" s="2" t="inlineStr">
        <is>
          <t>Xinzhao Chu</t>
        </is>
      </c>
      <c r="B267" s="2" t="inlineStr">
        <is>
          <t>CU Boulder</t>
        </is>
      </c>
      <c r="C267" s="3" t="inlineStr">
        <is>
          <t>https://www.linkedin.com/in/xinzhao-chu-73942a34/</t>
        </is>
      </c>
      <c r="D267" s="2" t="inlineStr">
        <is>
          <t>xinzhao.chu@colorado.edu</t>
        </is>
      </c>
      <c r="F267" s="2" t="inlineStr">
        <is>
          <t>done 4/17</t>
        </is>
      </c>
      <c r="G267" s="2" t="inlineStr">
        <is>
          <t>done - 5/7</t>
        </is>
      </c>
    </row>
    <row r="268" ht="12.60000038146973" customHeight="1" s="216">
      <c r="A268" s="2" t="inlineStr">
        <is>
          <t>Torin Clark</t>
        </is>
      </c>
      <c r="B268" s="2" t="inlineStr">
        <is>
          <t>CU Boulder</t>
        </is>
      </c>
      <c r="C268" s="3" t="inlineStr">
        <is>
          <t>https://www.linkedin.com/in/torin-clark-88a64727/</t>
        </is>
      </c>
      <c r="D268" s="2" t="inlineStr">
        <is>
          <t>torin.clark@colorado.edu</t>
        </is>
      </c>
      <c r="F268" s="2" t="inlineStr">
        <is>
          <t>done 4/17</t>
        </is>
      </c>
      <c r="G268" s="2" t="inlineStr">
        <is>
          <t>done - 5/7</t>
        </is>
      </c>
    </row>
    <row r="269" ht="12.60000038146973" customHeight="1" s="216">
      <c r="A269" s="2" t="inlineStr">
        <is>
          <t>Stefanie Countryman</t>
        </is>
      </c>
      <c r="B269" s="2" t="inlineStr">
        <is>
          <t>CU Boulder</t>
        </is>
      </c>
      <c r="C269" s="3" t="inlineStr">
        <is>
          <t>https://www.linkedin.com/in/stefanie-countryman-a8687b10/</t>
        </is>
      </c>
      <c r="D269" s="2" t="inlineStr">
        <is>
          <t>countrym@colorado.edu</t>
        </is>
      </c>
      <c r="F269" s="2" t="inlineStr">
        <is>
          <t>done 4/17</t>
        </is>
      </c>
      <c r="G269" s="2" t="inlineStr">
        <is>
          <t>done - 5/7</t>
        </is>
      </c>
    </row>
    <row r="270" ht="12.60000038146973" customHeight="1" s="216">
      <c r="A270" s="2" t="inlineStr">
        <is>
          <t>Alireza Doostan</t>
        </is>
      </c>
      <c r="B270" s="2" t="inlineStr">
        <is>
          <t>CU Boulder</t>
        </is>
      </c>
      <c r="C270" s="3" t="inlineStr">
        <is>
          <t>https://www.linkedin.com/in/alireza-doostan-96104713/</t>
        </is>
      </c>
      <c r="D270" s="2" t="inlineStr">
        <is>
          <t>doostan@colorado.edu</t>
        </is>
      </c>
      <c r="F270" s="2" t="inlineStr">
        <is>
          <t>done 4/17</t>
        </is>
      </c>
      <c r="G270" s="2" t="inlineStr">
        <is>
          <t>done - 5/7</t>
        </is>
      </c>
    </row>
    <row r="271" ht="12.60000038146973" customHeight="1" s="216">
      <c r="A271" s="2" t="inlineStr">
        <is>
          <t>John Evans</t>
        </is>
      </c>
      <c r="B271" s="2" t="inlineStr">
        <is>
          <t>CU Boulder</t>
        </is>
      </c>
      <c r="C271" s="3" t="inlineStr">
        <is>
          <t>https://www.linkedin.com/in/johnaevans/</t>
        </is>
      </c>
      <c r="D271" s="2" t="inlineStr">
        <is>
          <t>john.a.evans@colorado.edu</t>
        </is>
      </c>
      <c r="F271" s="2" t="inlineStr">
        <is>
          <t>done 4/17</t>
        </is>
      </c>
      <c r="G271" s="2" t="inlineStr">
        <is>
          <t>done - 5/7</t>
        </is>
      </c>
    </row>
    <row r="272" ht="12.60000038146973" customHeight="1" s="216">
      <c r="A272" s="2" t="inlineStr">
        <is>
          <t>John Farnsworth</t>
        </is>
      </c>
      <c r="B272" s="2" t="inlineStr">
        <is>
          <t>CU Boulder</t>
        </is>
      </c>
      <c r="C272" s="3" t="inlineStr">
        <is>
          <t>https://www.linkedin.com/in/john-farnsworth-59b6b128/</t>
        </is>
      </c>
      <c r="D272" s="2" t="inlineStr">
        <is>
          <t>john.farnsworth@colorado.edu</t>
        </is>
      </c>
      <c r="F272" s="2" t="inlineStr">
        <is>
          <t>done 4/17</t>
        </is>
      </c>
      <c r="G272" s="2" t="inlineStr">
        <is>
          <t>done - 5/7</t>
        </is>
      </c>
    </row>
    <row r="273" ht="12.60000038146973" customHeight="1" s="216">
      <c r="A273" s="2" t="inlineStr">
        <is>
          <t>Morteza Lahijanian</t>
        </is>
      </c>
      <c r="B273" s="2" t="inlineStr">
        <is>
          <t>CU Boulder</t>
        </is>
      </c>
      <c r="C273" s="3" t="inlineStr">
        <is>
          <t>https://www.linkedin.com/in/mortezal/</t>
        </is>
      </c>
      <c r="D273" s="2" t="inlineStr">
        <is>
          <t>morteza.lahijanian@colorado.edu</t>
        </is>
      </c>
      <c r="F273" s="2" t="inlineStr">
        <is>
          <t>done 4/17</t>
        </is>
      </c>
      <c r="G273" s="2" t="inlineStr">
        <is>
          <t>done - 5/7</t>
        </is>
      </c>
    </row>
    <row r="274" ht="12.60000038146973" customHeight="1" s="216">
      <c r="A274" s="2" t="inlineStr">
        <is>
          <t>Dale Lawrence</t>
        </is>
      </c>
      <c r="B274" s="2" t="inlineStr">
        <is>
          <t>CU Boulder</t>
        </is>
      </c>
      <c r="C274" s="3" t="inlineStr">
        <is>
          <t>https://www.colorado.edu/aerospace/dale-lawrence</t>
        </is>
      </c>
      <c r="D274" s="2" t="inlineStr">
        <is>
          <t>Dale.Lawrence@colorado.edu</t>
        </is>
      </c>
      <c r="F274" s="2" t="inlineStr">
        <is>
          <t>done 4/17</t>
        </is>
      </c>
      <c r="G274" s="2" t="inlineStr">
        <is>
          <t>done - 5/7</t>
        </is>
      </c>
    </row>
    <row r="275" ht="12.60000038146973" customHeight="1" s="216">
      <c r="A275" s="2" t="inlineStr">
        <is>
          <t>Robyn Macdonald</t>
        </is>
      </c>
      <c r="B275" s="2" t="inlineStr">
        <is>
          <t>CU Boulder</t>
        </is>
      </c>
      <c r="C275" s="3" t="inlineStr">
        <is>
          <t>https://www.colorado.edu/aerospace/robyn-macdonald</t>
        </is>
      </c>
      <c r="D275" s="2" t="inlineStr">
        <is>
          <t>robyn.macdonald@colorado.edu</t>
        </is>
      </c>
      <c r="F275" s="2" t="inlineStr">
        <is>
          <t>done 4/17</t>
        </is>
      </c>
      <c r="G275" s="2" t="inlineStr">
        <is>
          <t>done - 5/7</t>
        </is>
      </c>
    </row>
    <row r="276" ht="12.60000038146973" customHeight="1" s="216">
      <c r="A276" s="30" t="inlineStr">
        <is>
          <t>Robert Marshall</t>
        </is>
      </c>
      <c r="B276" s="2" t="inlineStr">
        <is>
          <t>CU Boulder</t>
        </is>
      </c>
      <c r="C276" s="3" t="inlineStr">
        <is>
          <t>https://www.linkedin.com/in/robert-marshall-865a4811/</t>
        </is>
      </c>
      <c r="D276" s="2" t="inlineStr">
        <is>
          <t>robert.marshall@colorado.edu</t>
        </is>
      </c>
      <c r="F276" s="2" t="inlineStr">
        <is>
          <t>done 4/17</t>
        </is>
      </c>
      <c r="G276" s="2" t="inlineStr">
        <is>
          <t>done - 5/7</t>
        </is>
      </c>
    </row>
    <row r="277" ht="12.60000038146973" customHeight="1" s="216">
      <c r="A277" s="2" t="inlineStr">
        <is>
          <t>Kurt Maute</t>
        </is>
      </c>
      <c r="B277" s="2" t="inlineStr">
        <is>
          <t>CU Boulder</t>
        </is>
      </c>
      <c r="C277" s="3" t="inlineStr">
        <is>
          <t>https://www.linkedin.com/in/kurt-maute-88709043/</t>
        </is>
      </c>
      <c r="D277" s="2" t="inlineStr">
        <is>
          <t>Maute@colorado.edu</t>
        </is>
      </c>
      <c r="F277" s="2" t="inlineStr">
        <is>
          <t>done 4/17</t>
        </is>
      </c>
      <c r="G277" s="2" t="inlineStr">
        <is>
          <t>done - 5/7</t>
        </is>
      </c>
    </row>
    <row r="278" ht="12.60000038146973" customHeight="1" s="216">
      <c r="A278" s="2" t="inlineStr">
        <is>
          <t>Timothy K. Minton</t>
        </is>
      </c>
      <c r="B278" s="2" t="inlineStr">
        <is>
          <t>CU Boulder</t>
        </is>
      </c>
      <c r="C278" s="3" t="inlineStr">
        <is>
          <t>https://www.colorado.edu/aerospace/timothy-k-minton</t>
        </is>
      </c>
      <c r="D278" s="2" t="inlineStr">
        <is>
          <t>tminton@colorado.edu</t>
        </is>
      </c>
      <c r="F278" s="2" t="inlineStr">
        <is>
          <t>done 4/17</t>
        </is>
      </c>
      <c r="G278" s="2" t="inlineStr">
        <is>
          <t>done - 5/7</t>
        </is>
      </c>
    </row>
    <row r="279" ht="12.60000038146973" customHeight="1" s="216">
      <c r="A279" s="16" t="inlineStr">
        <is>
          <t>James Nabity</t>
        </is>
      </c>
      <c r="B279" s="16" t="inlineStr">
        <is>
          <t>CU Boulder</t>
        </is>
      </c>
      <c r="C279" s="136" t="inlineStr">
        <is>
          <t>https://www.linkedin.com/in/jim-nabity-2353b945/</t>
        </is>
      </c>
      <c r="D279" s="16" t="inlineStr">
        <is>
          <t>James.Nabity@colorado.edu</t>
        </is>
      </c>
      <c r="E279" s="16" t="n"/>
      <c r="F279" s="16" t="inlineStr">
        <is>
          <t>done 4/17</t>
        </is>
      </c>
      <c r="G279" s="16" t="n"/>
      <c r="H279" s="16" t="inlineStr">
        <is>
          <t>meeting set for 4/25</t>
        </is>
      </c>
    </row>
    <row r="280" ht="12.60000038146973" customHeight="1" s="216">
      <c r="A280" s="2" t="inlineStr">
        <is>
          <t>Tobias Niederwieser</t>
        </is>
      </c>
      <c r="B280" s="2" t="inlineStr">
        <is>
          <t>CU Boulder</t>
        </is>
      </c>
      <c r="C280" s="3" t="inlineStr">
        <is>
          <t>https://www.linkedin.com/in/tobiasniederwieser/</t>
        </is>
      </c>
      <c r="D280" s="2" t="inlineStr">
        <is>
          <t>Tobias.Niederwieser@Colorado.edu</t>
        </is>
      </c>
      <c r="F280" s="2" t="inlineStr">
        <is>
          <t>done 4/17</t>
        </is>
      </c>
      <c r="G280" s="2" t="inlineStr">
        <is>
          <t>done - 5/7</t>
        </is>
      </c>
    </row>
    <row r="281" ht="12.60000038146973" customHeight="1" s="216">
      <c r="A281" s="2" t="inlineStr">
        <is>
          <t>Jeff Glusman</t>
        </is>
      </c>
      <c r="B281" s="2" t="inlineStr">
        <is>
          <t>CU Boulder</t>
        </is>
      </c>
      <c r="C281" s="3" t="inlineStr">
        <is>
          <t>https://www.linkedin.com/in/jeffrey-glusman-b8303616a/</t>
        </is>
      </c>
      <c r="D281" s="2" t="inlineStr">
        <is>
          <t>Jeff.Glusman@Colorado.edu</t>
        </is>
      </c>
      <c r="F281" s="2" t="inlineStr">
        <is>
          <t>done 4/17</t>
        </is>
      </c>
      <c r="G281" s="2" t="inlineStr">
        <is>
          <t>done - 5/7</t>
        </is>
      </c>
    </row>
    <row r="282" ht="12.60000038146973" customHeight="1" s="216">
      <c r="A282" s="2" t="inlineStr">
        <is>
          <t>Charles Hoke</t>
        </is>
      </c>
      <c r="B282" s="2" t="inlineStr">
        <is>
          <t>CU Boulder</t>
        </is>
      </c>
      <c r="C282" s="3" t="inlineStr">
        <is>
          <t>https://www.linkedin.com/in/charles-hoke/</t>
        </is>
      </c>
      <c r="D282" s="2" t="inlineStr">
        <is>
          <t>Charles.Hoke@colorado.edu</t>
        </is>
      </c>
      <c r="F282" s="2" t="inlineStr">
        <is>
          <t>done 4/17</t>
        </is>
      </c>
      <c r="G282" s="2" t="inlineStr">
        <is>
          <t>done - 5/7</t>
        </is>
      </c>
    </row>
    <row r="283" ht="12.60000038146973" customHeight="1" s="216">
      <c r="A283" s="22" t="inlineStr">
        <is>
          <t>David Klaus</t>
        </is>
      </c>
      <c r="B283" s="22" t="inlineStr">
        <is>
          <t>CU Boulder</t>
        </is>
      </c>
      <c r="C283" s="137" t="inlineStr">
        <is>
          <t>https://www.linkedin.com/in/david-klaus-335654305/</t>
        </is>
      </c>
      <c r="D283" s="22" t="inlineStr">
        <is>
          <t>Klaus@colorado.edu</t>
        </is>
      </c>
      <c r="E283" s="22" t="n"/>
      <c r="F283" s="22" t="inlineStr">
        <is>
          <t>done 4/17</t>
        </is>
      </c>
      <c r="G283" s="22" t="inlineStr">
        <is>
          <t>done - 5/7</t>
        </is>
      </c>
    </row>
    <row r="284" ht="12.60000038146973" customHeight="1" s="216">
      <c r="A284" s="2" t="inlineStr">
        <is>
          <t>Chris Koehler</t>
        </is>
      </c>
      <c r="B284" s="2" t="inlineStr">
        <is>
          <t>CU Boulder</t>
        </is>
      </c>
      <c r="C284" s="3" t="inlineStr">
        <is>
          <t>https://www.linkedin.com/in/chris-koehler-b72702a7/</t>
        </is>
      </c>
      <c r="D284" s="2" t="inlineStr">
        <is>
          <t>koehler@colorado.edu</t>
        </is>
      </c>
      <c r="F284" s="2" t="inlineStr">
        <is>
          <t>done 4/17</t>
        </is>
      </c>
      <c r="G284" s="2" t="inlineStr">
        <is>
          <t>done - 5/7</t>
        </is>
      </c>
    </row>
    <row r="285" ht="12.60000038146973" customHeight="1" s="216">
      <c r="A285" s="2" t="inlineStr">
        <is>
          <t>Alexandra Le Moine</t>
        </is>
      </c>
      <c r="B285" s="2" t="inlineStr">
        <is>
          <t>CU Boulder</t>
        </is>
      </c>
      <c r="C285" s="3" t="inlineStr">
        <is>
          <t>https://www.linkedin.com/in/alexandra-le-moine-13a08555/</t>
        </is>
      </c>
      <c r="D285" s="2" t="inlineStr">
        <is>
          <t>Alexandra.LeMoine@colorado.edu</t>
        </is>
      </c>
      <c r="F285" s="2" t="inlineStr">
        <is>
          <t>done 4/18</t>
        </is>
      </c>
      <c r="G285" s="2" t="inlineStr">
        <is>
          <t>done - 5/7</t>
        </is>
      </c>
    </row>
    <row r="286" ht="15.60000038146973" customHeight="1" s="216">
      <c r="A286" s="2" t="inlineStr">
        <is>
          <t>Scott Palo</t>
        </is>
      </c>
      <c r="B286" s="2" t="inlineStr">
        <is>
          <t>CU Boulder</t>
        </is>
      </c>
      <c r="C286" s="3" t="inlineStr">
        <is>
          <t>https://www.colorado.edu/aerospace/scott-palo</t>
        </is>
      </c>
      <c r="D286" s="31" t="inlineStr">
        <is>
          <t>Palo@colorado.edu</t>
        </is>
      </c>
      <c r="F286" s="2" t="inlineStr">
        <is>
          <t>done 4/18</t>
        </is>
      </c>
      <c r="G286" s="2" t="inlineStr">
        <is>
          <t>done - 5/7</t>
        </is>
      </c>
    </row>
    <row r="287" ht="12.60000038146973" customHeight="1" s="216">
      <c r="A287" s="2" t="inlineStr">
        <is>
          <t>Sean Peters</t>
        </is>
      </c>
      <c r="B287" s="2" t="inlineStr">
        <is>
          <t>CU Boulder</t>
        </is>
      </c>
      <c r="C287" s="3" t="inlineStr">
        <is>
          <t>https://www.linkedin.com/in/sean-peters-71a08ba3/</t>
        </is>
      </c>
      <c r="D287" s="2" t="inlineStr">
        <is>
          <t>Sean.Peters@colorado.edu</t>
        </is>
      </c>
      <c r="F287" s="2" t="inlineStr">
        <is>
          <t>done 4/18</t>
        </is>
      </c>
      <c r="G287" s="2" t="inlineStr">
        <is>
          <t>done - 5/7</t>
        </is>
      </c>
    </row>
    <row r="288" ht="12.60000038146973" customHeight="1" s="216">
      <c r="A288" s="2" t="inlineStr">
        <is>
          <t>Matt Rhode</t>
        </is>
      </c>
      <c r="B288" s="2" t="inlineStr">
        <is>
          <t>CU Boulder</t>
        </is>
      </c>
      <c r="C288" s="3" t="inlineStr">
        <is>
          <t>https://www.colorado.edu/aerospace/matt-rhode</t>
        </is>
      </c>
      <c r="D288" s="2" t="inlineStr">
        <is>
          <t>RhodeM@colorado.edu</t>
        </is>
      </c>
      <c r="F288" s="2" t="inlineStr">
        <is>
          <t>done 4/18</t>
        </is>
      </c>
      <c r="G288" s="2" t="inlineStr">
        <is>
          <t>done - 5/7</t>
        </is>
      </c>
    </row>
    <row r="289" ht="12.60000038146973" customHeight="1" s="216">
      <c r="A289" s="2" t="inlineStr">
        <is>
          <t>Zoltan Sternovsky</t>
        </is>
      </c>
      <c r="B289" s="2" t="inlineStr">
        <is>
          <t>CU Boulder</t>
        </is>
      </c>
      <c r="C289" s="3" t="inlineStr">
        <is>
          <t>https://www.linkedin.com/in/zoltan-sternovsky-67301643/</t>
        </is>
      </c>
      <c r="D289" s="2" t="inlineStr">
        <is>
          <t>Zoltan.Sternovsky@colorado.edu</t>
        </is>
      </c>
      <c r="F289" s="2" t="inlineStr">
        <is>
          <t>done 4/18</t>
        </is>
      </c>
      <c r="G289" s="2" t="inlineStr">
        <is>
          <t>done - 5/7</t>
        </is>
      </c>
    </row>
    <row r="290" ht="12.60000038146973" customHeight="1" s="216">
      <c r="A290" s="22" t="inlineStr">
        <is>
          <t>Louis Stodieck</t>
        </is>
      </c>
      <c r="B290" s="22" t="inlineStr">
        <is>
          <t>CU Boulder</t>
        </is>
      </c>
      <c r="C290" s="137" t="inlineStr">
        <is>
          <t>https://www.colorado.edu/aerospace/louis-stodieck</t>
        </is>
      </c>
      <c r="D290" s="22" t="inlineStr">
        <is>
          <t>Louis.Stodieck@colorado.edu</t>
        </is>
      </c>
      <c r="E290" s="22" t="n"/>
      <c r="F290" s="22" t="inlineStr">
        <is>
          <t>done 4/18</t>
        </is>
      </c>
      <c r="G290" s="22" t="inlineStr">
        <is>
          <t>done - 5/7</t>
        </is>
      </c>
    </row>
    <row r="291" ht="12.60000038146973" customHeight="1" s="216">
      <c r="A291" s="2" t="inlineStr">
        <is>
          <t>Zachary Sunberg</t>
        </is>
      </c>
      <c r="B291" s="2" t="inlineStr">
        <is>
          <t>CU Boulder</t>
        </is>
      </c>
      <c r="C291" s="3" t="inlineStr">
        <is>
          <t>https://www.linkedin.com/in/zsunberg/</t>
        </is>
      </c>
      <c r="D291" s="2" t="inlineStr">
        <is>
          <t>zachary.sunberg@colorado.edu</t>
        </is>
      </c>
      <c r="F291" s="2" t="inlineStr">
        <is>
          <t>done 4/18</t>
        </is>
      </c>
      <c r="G291" s="2" t="inlineStr">
        <is>
          <t>done - 5/7</t>
        </is>
      </c>
    </row>
    <row r="292" ht="12.60000038146973" customHeight="1" s="216">
      <c r="A292" s="2" t="inlineStr">
        <is>
          <t>Christopher Williams</t>
        </is>
      </c>
      <c r="B292" s="2" t="inlineStr">
        <is>
          <t>CU Boulder</t>
        </is>
      </c>
      <c r="C292" s="3" t="inlineStr">
        <is>
          <t>https://www.linkedin.com/in/christopher-williams-80136380/</t>
        </is>
      </c>
      <c r="D292" s="2" t="inlineStr">
        <is>
          <t>Christopher.Williams@colorado.edu</t>
        </is>
      </c>
      <c r="F292" s="2" t="inlineStr">
        <is>
          <t>done 4/18</t>
        </is>
      </c>
      <c r="G292" s="2" t="inlineStr">
        <is>
          <t>done - 5/7</t>
        </is>
      </c>
    </row>
    <row r="293" ht="12.60000038146973" customHeight="1" s="216">
      <c r="A293" s="2" t="inlineStr">
        <is>
          <t>Lynda Duran</t>
        </is>
      </c>
      <c r="B293" s="2" t="inlineStr">
        <is>
          <t>CU Boulder - LASP</t>
        </is>
      </c>
      <c r="C293" s="3" t="inlineStr">
        <is>
          <t>https://www.linkedin.com/in/lynda-duran-ph-d-47576b106/</t>
        </is>
      </c>
      <c r="D293" s="2" t="inlineStr">
        <is>
          <t>lynda.duran@lasp.colorado.edu</t>
        </is>
      </c>
      <c r="F293" s="2" t="inlineStr">
        <is>
          <t>done 4/18</t>
        </is>
      </c>
      <c r="G293" s="2" t="inlineStr">
        <is>
          <t>done - 5/7</t>
        </is>
      </c>
    </row>
    <row r="294" ht="15.60000038146973" customHeight="1" s="216">
      <c r="A294" s="2" t="inlineStr">
        <is>
          <t>Robert Kraus</t>
        </is>
      </c>
      <c r="B294" s="2" t="inlineStr">
        <is>
          <t>University North Dakota</t>
        </is>
      </c>
      <c r="C294" s="3" t="inlineStr">
        <is>
          <t>https://www.linkedin.com/in/robertjkrausphd/</t>
        </is>
      </c>
      <c r="D294" s="32" t="inlineStr">
        <is>
          <t>robert.j.kraus@UND.edu</t>
        </is>
      </c>
      <c r="F294" s="2" t="inlineStr">
        <is>
          <t>done on 4/22</t>
        </is>
      </c>
      <c r="G294" s="2" t="inlineStr">
        <is>
          <t>done - 5/7</t>
        </is>
      </c>
    </row>
    <row r="295" ht="15.60000038146973" customHeight="1" s="216">
      <c r="A295" s="2" t="inlineStr">
        <is>
          <t>Elizabeth Bjerke</t>
        </is>
      </c>
      <c r="B295" s="2" t="inlineStr">
        <is>
          <t>University North Dakota</t>
        </is>
      </c>
      <c r="C295" s="3" t="inlineStr">
        <is>
          <t>https://www.linkedin.com/in/elizabeth-bjerke-631712107/</t>
        </is>
      </c>
      <c r="D295" s="32" t="inlineStr">
        <is>
          <t>elizabeth.bjerke@UND.edu</t>
        </is>
      </c>
      <c r="F295" s="2" t="inlineStr">
        <is>
          <t>done on 4/22</t>
        </is>
      </c>
      <c r="G295" s="2" t="inlineStr">
        <is>
          <t>done - 5/7</t>
        </is>
      </c>
    </row>
    <row r="296" ht="15.60000038146973" customHeight="1" s="216">
      <c r="A296" s="3" t="inlineStr">
        <is>
          <t>Angie Panzer</t>
        </is>
      </c>
      <c r="B296" s="2" t="inlineStr">
        <is>
          <t>University North Dakota</t>
        </is>
      </c>
      <c r="C296" s="2" t="inlineStr">
        <is>
          <t>assistant to the dean</t>
        </is>
      </c>
      <c r="D296" s="32" t="inlineStr">
        <is>
          <t>angela.panzer@UND.edu</t>
        </is>
      </c>
      <c r="F296" s="2" t="inlineStr">
        <is>
          <t>done on 4/22</t>
        </is>
      </c>
      <c r="G296" s="2" t="inlineStr">
        <is>
          <t>done - 5/7</t>
        </is>
      </c>
    </row>
    <row r="297" ht="12.60000038146973" customHeight="1" s="216">
      <c r="A297" s="2" t="inlineStr">
        <is>
          <t>Courtney Olson</t>
        </is>
      </c>
      <c r="B297" s="2" t="inlineStr">
        <is>
          <t>University North Dakota</t>
        </is>
      </c>
      <c r="C297" s="3" t="inlineStr">
        <is>
          <t>https://www.linkedin.com/in/courtneyjacob/</t>
        </is>
      </c>
      <c r="D297" s="3" t="inlineStr">
        <is>
          <t>courtney.e.olson@UND.edu</t>
        </is>
      </c>
      <c r="F297" s="2" t="inlineStr">
        <is>
          <t>done on 4/22</t>
        </is>
      </c>
      <c r="G297" s="2" t="inlineStr">
        <is>
          <t>done - 5/7</t>
        </is>
      </c>
    </row>
    <row r="298" ht="12.60000038146973" customHeight="1" s="216">
      <c r="A298" s="2" t="inlineStr">
        <is>
          <t>Hallie Chelmo</t>
        </is>
      </c>
      <c r="B298" s="2" t="inlineStr">
        <is>
          <t>University North Dakota</t>
        </is>
      </c>
      <c r="C298" s="3" t="inlineStr">
        <is>
          <t>https://campus.und.edu/directory/hallie.chelmo#awards</t>
        </is>
      </c>
      <c r="D298" s="2" t="inlineStr">
        <is>
          <t>hallie.chelmo@UND.edu</t>
        </is>
      </c>
      <c r="F298" s="2" t="inlineStr">
        <is>
          <t>done on 4/28</t>
        </is>
      </c>
    </row>
    <row r="299" ht="12.60000038146973" customHeight="1" s="216">
      <c r="A299" s="2" t="inlineStr">
        <is>
          <t>Andrew Dahlen</t>
        </is>
      </c>
      <c r="B299" s="2" t="inlineStr">
        <is>
          <t>University North Dakota</t>
        </is>
      </c>
      <c r="C299" s="3" t="inlineStr">
        <is>
          <t>https://campus.und.edu/directory/andrew.dahlen.1</t>
        </is>
      </c>
      <c r="D299" s="2" t="inlineStr">
        <is>
          <t>andrew.dahlen.1@UND.edu</t>
        </is>
      </c>
      <c r="F299" s="2" t="inlineStr">
        <is>
          <t>done on 4/28</t>
        </is>
      </c>
    </row>
    <row r="300" ht="12.60000038146973" customHeight="1" s="216">
      <c r="A300" s="2" t="inlineStr">
        <is>
          <t>Surojit Gupta</t>
        </is>
      </c>
      <c r="B300" s="2" t="inlineStr">
        <is>
          <t>University North Dakota</t>
        </is>
      </c>
      <c r="C300" s="3" t="inlineStr">
        <is>
          <t>https://www.linkedin.com/in/surojit-gupta-5527117/</t>
        </is>
      </c>
      <c r="D300" s="3" t="inlineStr">
        <is>
          <t>surojit.gupta@UND.edu</t>
        </is>
      </c>
      <c r="F300" s="2" t="inlineStr">
        <is>
          <t>done on 4/28</t>
        </is>
      </c>
    </row>
    <row r="301" ht="12.60000038146973" customHeight="1" s="216">
      <c r="A301" s="2" t="inlineStr">
        <is>
          <t>Jueming Hu</t>
        </is>
      </c>
      <c r="B301" s="2" t="inlineStr">
        <is>
          <t>University North Dakota</t>
        </is>
      </c>
      <c r="C301" s="3" t="inlineStr">
        <is>
          <t>https://www.linkedin.com/in/jueming-hu/</t>
        </is>
      </c>
      <c r="D301" s="2" t="inlineStr">
        <is>
          <t>jueming.hu@UND.edu</t>
        </is>
      </c>
      <c r="F301" s="2" t="inlineStr">
        <is>
          <t>done on 4/28</t>
        </is>
      </c>
    </row>
    <row r="302" ht="12.60000038146973" customHeight="1" s="216">
      <c r="A302" s="2" t="inlineStr">
        <is>
          <t>Hossein Kashani Zadeh</t>
        </is>
      </c>
      <c r="B302" s="2" t="inlineStr">
        <is>
          <t>University North Dakota</t>
        </is>
      </c>
      <c r="C302" s="3" t="inlineStr">
        <is>
          <t>https://www.linkedin.com/in/hossein-kashani-zadeh-phd/</t>
        </is>
      </c>
      <c r="D302" s="3" t="inlineStr">
        <is>
          <t>hossein.kashanizadeh@ndus.edu</t>
        </is>
      </c>
      <c r="F302" s="2" t="inlineStr">
        <is>
          <t>done on 4/28</t>
        </is>
      </c>
    </row>
    <row r="303" ht="12.60000038146973" customHeight="1" s="216">
      <c r="A303" s="2" t="inlineStr">
        <is>
          <t>Dustin McNally</t>
        </is>
      </c>
      <c r="B303" s="2" t="inlineStr">
        <is>
          <t>University North Dakota</t>
        </is>
      </c>
      <c r="C303" s="3" t="inlineStr">
        <is>
          <t>https://www.linkedin.com/in/dustin-mcnally-093495128/</t>
        </is>
      </c>
      <c r="D303" s="3" t="inlineStr">
        <is>
          <t>dustin.mcnally@UND.edu</t>
        </is>
      </c>
      <c r="F303" s="2" t="inlineStr">
        <is>
          <t>done on 4/28</t>
        </is>
      </c>
    </row>
    <row r="304" ht="12.60000038146973" customHeight="1" s="216">
      <c r="A304" s="2" t="inlineStr">
        <is>
          <t>Jeremiah Neubert</t>
        </is>
      </c>
      <c r="B304" s="2" t="inlineStr">
        <is>
          <t>University North Dakota</t>
        </is>
      </c>
      <c r="C304" s="3" t="inlineStr">
        <is>
          <t>https://www.linkedin.com/in/jeremiah-neubert-27883534/</t>
        </is>
      </c>
      <c r="D304" s="2" t="inlineStr">
        <is>
          <t>jeremiah.neubert@UND.edu</t>
        </is>
      </c>
      <c r="F304" s="2" t="inlineStr">
        <is>
          <t>done on 4/28</t>
        </is>
      </c>
    </row>
    <row r="305" ht="12.60000038146973" customHeight="1" s="216">
      <c r="A305" s="2" t="inlineStr">
        <is>
          <t>Carson Running</t>
        </is>
      </c>
      <c r="B305" s="2" t="inlineStr">
        <is>
          <t>University North Dakota</t>
        </is>
      </c>
      <c r="C305" s="3" t="inlineStr">
        <is>
          <t>https://campus.und.edu/directory/carson.running#researchint</t>
        </is>
      </c>
      <c r="D305" s="2" t="inlineStr">
        <is>
          <t>carson.running@UND.edu</t>
        </is>
      </c>
      <c r="F305" s="2" t="inlineStr">
        <is>
          <t>done on 4/28</t>
        </is>
      </c>
    </row>
    <row r="306" ht="12.60000038146973" customHeight="1" s="216">
      <c r="A306" s="2" t="inlineStr">
        <is>
          <t>Anjali Sandip</t>
        </is>
      </c>
      <c r="B306" s="2" t="inlineStr">
        <is>
          <t>University North Dakota</t>
        </is>
      </c>
      <c r="C306" s="3" t="inlineStr">
        <is>
          <t>https://www.linkedin.com/in/anjali-sandip-ph-d-aa910b16/</t>
        </is>
      </c>
      <c r="D306" s="2" t="inlineStr">
        <is>
          <t>anjali.sandip@UND.edu</t>
        </is>
      </c>
      <c r="F306" s="2" t="inlineStr">
        <is>
          <t>done on 4/28</t>
        </is>
      </c>
    </row>
    <row r="307" ht="12.60000038146973" customHeight="1" s="216">
      <c r="A307" s="2" t="inlineStr">
        <is>
          <t>William Semke</t>
        </is>
      </c>
      <c r="B307" s="2" t="inlineStr">
        <is>
          <t>University North Dakota</t>
        </is>
      </c>
      <c r="C307" s="3" t="inlineStr">
        <is>
          <t>https://www.linkedin.com/in/william-semke-190a3b96/</t>
        </is>
      </c>
      <c r="D307" s="2" t="inlineStr">
        <is>
          <t>william.semke@UND.edu</t>
        </is>
      </c>
      <c r="F307" s="2" t="inlineStr">
        <is>
          <t>done on 4/28</t>
        </is>
      </c>
    </row>
    <row r="308" ht="12.60000038146973" customHeight="1" s="216">
      <c r="A308" s="2" t="inlineStr">
        <is>
          <t>Clement Tang</t>
        </is>
      </c>
      <c r="B308" s="2" t="inlineStr">
        <is>
          <t>University North Dakota</t>
        </is>
      </c>
      <c r="C308" s="3" t="inlineStr">
        <is>
          <t>https://www.linkedin.com/in/clement-tang-2295456</t>
        </is>
      </c>
      <c r="D308" s="2" t="inlineStr">
        <is>
          <t>clement.tang@UND.edu</t>
        </is>
      </c>
      <c r="F308" s="2" t="inlineStr">
        <is>
          <t>done on 4/28</t>
        </is>
      </c>
    </row>
    <row r="309" ht="12.60000038146973" customHeight="1" s="216">
      <c r="A309" s="2" t="inlineStr">
        <is>
          <t>Yachao Wang</t>
        </is>
      </c>
      <c r="B309" s="2" t="inlineStr">
        <is>
          <t>University North Dakota</t>
        </is>
      </c>
      <c r="C309" s="3" t="inlineStr">
        <is>
          <t>https://campus.und.edu/directory/yachao.wang</t>
        </is>
      </c>
      <c r="D309" s="2" t="inlineStr">
        <is>
          <t>yachao.wang@UND.edu</t>
        </is>
      </c>
      <c r="F309" s="2" t="inlineStr">
        <is>
          <t>done on 4/28</t>
        </is>
      </c>
    </row>
    <row r="310" ht="12.60000038146973" customHeight="1" s="216">
      <c r="A310" s="2" t="inlineStr">
        <is>
          <t>Cai Xia Yang</t>
        </is>
      </c>
      <c r="B310" s="2" t="inlineStr">
        <is>
          <t>University North Dakota</t>
        </is>
      </c>
      <c r="C310" s="3" t="inlineStr">
        <is>
          <t>https://www.linkedin.com/in/cai-xia-yang-3bb7a75b/</t>
        </is>
      </c>
      <c r="D310" s="2" t="inlineStr">
        <is>
          <t>caixia.yang@UND.edu</t>
        </is>
      </c>
      <c r="F310" s="2" t="inlineStr">
        <is>
          <t>done on 4/28</t>
        </is>
      </c>
    </row>
    <row r="311" ht="12.60000038146973" customHeight="1" s="216">
      <c r="A311" s="2" t="inlineStr">
        <is>
          <t>Djedje-Kossu Zahui</t>
        </is>
      </c>
      <c r="B311" s="2" t="inlineStr">
        <is>
          <t>University North Dakota</t>
        </is>
      </c>
      <c r="C311" s="3" t="inlineStr">
        <is>
          <t>https://www.linkedin.com/in/djedje-kossu-zahui-00b41360/</t>
        </is>
      </c>
      <c r="D311" s="2" t="inlineStr">
        <is>
          <t>dk.zahui@UND.edu</t>
        </is>
      </c>
      <c r="F311" s="2" t="inlineStr">
        <is>
          <t>done on 4/28</t>
        </is>
      </c>
    </row>
    <row r="312" ht="12.60000038146973" customHeight="1" s="216">
      <c r="A312" s="2" t="inlineStr">
        <is>
          <t>Chonglin Zhang</t>
        </is>
      </c>
      <c r="B312" s="2" t="inlineStr">
        <is>
          <t>University North Dakota</t>
        </is>
      </c>
      <c r="C312" s="3" t="inlineStr">
        <is>
          <t>https://www.linkedin.com/in/chonglin-zhang/</t>
        </is>
      </c>
      <c r="D312" s="2" t="inlineStr">
        <is>
          <t>chonglin.zhang@UND.edu</t>
        </is>
      </c>
      <c r="F312" s="2" t="inlineStr">
        <is>
          <t>done on 4/28</t>
        </is>
      </c>
    </row>
    <row r="313" ht="12.60000038146973" customHeight="1" s="216">
      <c r="A313" s="2" t="inlineStr">
        <is>
          <t>Tori McIntosh</t>
        </is>
      </c>
      <c r="B313" s="2" t="inlineStr">
        <is>
          <t>University North Dakota</t>
        </is>
      </c>
      <c r="C313" s="3" t="inlineStr">
        <is>
          <t>https://www.linkedin.com/in/tori-mcintosh/</t>
        </is>
      </c>
      <c r="D313" s="2" t="inlineStr">
        <is>
          <t>tori.mcintosh@UND.edu</t>
        </is>
      </c>
      <c r="F313" s="2" t="inlineStr">
        <is>
          <t>done on 4/28</t>
        </is>
      </c>
    </row>
    <row r="314" ht="12.60000038146973" customHeight="1" s="216">
      <c r="A314" s="2" t="inlineStr">
        <is>
          <t>Caitlin Milera</t>
        </is>
      </c>
      <c r="B314" s="2" t="inlineStr">
        <is>
          <t>University North Dakota</t>
        </is>
      </c>
      <c r="C314" s="3" t="inlineStr">
        <is>
          <t>https://www.linkedin.com/in/cmilera/</t>
        </is>
      </c>
      <c r="D314" s="2" t="inlineStr">
        <is>
          <t>caitlin.milera@UND.edu</t>
        </is>
      </c>
      <c r="F314" s="2" t="inlineStr">
        <is>
          <t>done on 4/28</t>
        </is>
      </c>
    </row>
    <row r="315" ht="12.60000038146973" customHeight="1" s="216">
      <c r="A315" s="2" t="inlineStr">
        <is>
          <t>Laurie Salander</t>
        </is>
      </c>
      <c r="B315" s="2" t="inlineStr">
        <is>
          <t>University North Dakota</t>
        </is>
      </c>
      <c r="C315" s="3" t="inlineStr">
        <is>
          <t>https://www.linkedin.com/in/salanderlaurie/</t>
        </is>
      </c>
      <c r="D315" s="2" t="inlineStr">
        <is>
          <t>laurie.salander@UND.edu</t>
        </is>
      </c>
      <c r="F315" s="2" t="inlineStr">
        <is>
          <t>done on 4/28</t>
        </is>
      </c>
    </row>
    <row r="316" ht="12.60000038146973" customHeight="1" s="216">
      <c r="A316" s="16" t="inlineStr">
        <is>
          <t>Markus Allgaier</t>
        </is>
      </c>
      <c r="B316" s="16" t="inlineStr">
        <is>
          <t>University North Dakota</t>
        </is>
      </c>
      <c r="C316" s="136" t="inlineStr">
        <is>
          <t>https://www.linkedin.com/in/markus-allgaier-2b40b4351/</t>
        </is>
      </c>
      <c r="D316" s="16" t="inlineStr">
        <is>
          <t>markus.allgaier@UND.edu</t>
        </is>
      </c>
      <c r="E316" s="16" t="n"/>
      <c r="F316" s="16" t="inlineStr">
        <is>
          <t>done on 4/28</t>
        </is>
      </c>
      <c r="G316" s="16" t="n"/>
      <c r="H316" s="16" t="inlineStr">
        <is>
          <t>meeting set for 5/2</t>
        </is>
      </c>
    </row>
    <row r="317" ht="12.60000038146973" customHeight="1" s="216">
      <c r="A317" s="2" t="inlineStr">
        <is>
          <t>Wayne Barkhouse</t>
        </is>
      </c>
      <c r="B317" s="2" t="inlineStr">
        <is>
          <t>University North Dakota</t>
        </is>
      </c>
      <c r="C317" s="3" t="inlineStr">
        <is>
          <t>https://www.linkedin.com/in/wayne-barkhouse-44b586257/</t>
        </is>
      </c>
      <c r="D317" s="2" t="inlineStr">
        <is>
          <t>wayne.barkhouse@UND.edu</t>
        </is>
      </c>
      <c r="F317" s="2" t="inlineStr">
        <is>
          <t>done on 4/28</t>
        </is>
      </c>
    </row>
    <row r="318" ht="12.60000038146973" customHeight="1" s="216">
      <c r="A318" s="2" t="inlineStr">
        <is>
          <t>Deniz Cakir</t>
        </is>
      </c>
      <c r="B318" s="2" t="inlineStr">
        <is>
          <t>University North Dakota</t>
        </is>
      </c>
      <c r="C318" s="3" t="inlineStr">
        <is>
          <t>https://www.linkedin.com/in/deniz-cakir-083b911b/</t>
        </is>
      </c>
      <c r="D318" s="2" t="inlineStr">
        <is>
          <t>deniz.cakir@UND.edu</t>
        </is>
      </c>
      <c r="F318" s="2" t="inlineStr">
        <is>
          <t>done on 4/28</t>
        </is>
      </c>
    </row>
    <row r="319" ht="12.60000038146973" customHeight="1" s="216">
      <c r="A319" s="2" t="inlineStr">
        <is>
          <t>Suresh Chathoth</t>
        </is>
      </c>
      <c r="B319" s="2" t="inlineStr">
        <is>
          <t>University North Dakota</t>
        </is>
      </c>
      <c r="C319" s="3" t="inlineStr">
        <is>
          <t>https://www.linkedin.com/in/suresh-chathoth-32b7a7319/</t>
        </is>
      </c>
      <c r="D319" s="2" t="inlineStr">
        <is>
          <t>suresh.chathoth@UND.edu</t>
        </is>
      </c>
      <c r="F319" s="2" t="inlineStr">
        <is>
          <t>done on 4/28</t>
        </is>
      </c>
    </row>
    <row r="320" ht="12.60000038146973" customHeight="1" s="216">
      <c r="A320" s="2" t="inlineStr">
        <is>
          <t>Yen Lee Loh</t>
        </is>
      </c>
      <c r="B320" s="2" t="inlineStr">
        <is>
          <t>University North Dakota</t>
        </is>
      </c>
      <c r="C320" s="3" t="inlineStr">
        <is>
          <t>https://www.linkedin.com/in/yen-lee-loh-299554b/</t>
        </is>
      </c>
      <c r="D320" s="2" t="inlineStr">
        <is>
          <t>yenlee.loh@UND.edu</t>
        </is>
      </c>
      <c r="F320" s="2" t="inlineStr">
        <is>
          <t>done on 4/28</t>
        </is>
      </c>
    </row>
    <row r="321" ht="12.60000038146973" customHeight="1" s="216">
      <c r="A321" s="2" t="inlineStr">
        <is>
          <t>Kanishka Marasinghe</t>
        </is>
      </c>
      <c r="B321" s="2" t="inlineStr">
        <is>
          <t>University North Dakota</t>
        </is>
      </c>
      <c r="C321" s="3" t="inlineStr">
        <is>
          <t>https://www.linkedin.com/in/kanishka-marasinghe-93390bb9/</t>
        </is>
      </c>
      <c r="D321" s="3" t="inlineStr">
        <is>
          <t>gaya.marasinghe@UND.edu</t>
        </is>
      </c>
      <c r="F321" s="2" t="inlineStr">
        <is>
          <t>done on 4/28</t>
        </is>
      </c>
    </row>
    <row r="322" ht="12.60000038146973" customHeight="1" s="216">
      <c r="A322" s="2" t="inlineStr">
        <is>
          <t>Robert Moore</t>
        </is>
      </c>
      <c r="B322" s="2" t="inlineStr">
        <is>
          <t>University North Dakota</t>
        </is>
      </c>
      <c r="C322" s="3" t="inlineStr">
        <is>
          <t>https://www.linkedin.com/in/robert-dean-moore-jr-76734816/</t>
        </is>
      </c>
      <c r="D322" s="2" t="inlineStr">
        <is>
          <t>robert.moore.2@UND.edu</t>
        </is>
      </c>
      <c r="F322" s="2" t="inlineStr">
        <is>
          <t>done on 4/28</t>
        </is>
      </c>
    </row>
    <row r="323" ht="12.60000038146973" customHeight="1" s="216">
      <c r="A323" s="2" t="inlineStr">
        <is>
          <t>Nuri Oncel</t>
        </is>
      </c>
      <c r="B323" s="2" t="inlineStr">
        <is>
          <t>University North Dakota</t>
        </is>
      </c>
      <c r="C323" s="3" t="inlineStr">
        <is>
          <t>https://www.linkedin.com/in/nuri-oncel/</t>
        </is>
      </c>
      <c r="D323" s="2" t="inlineStr">
        <is>
          <t>nuri.oncel@UND.edu</t>
        </is>
      </c>
      <c r="F323" s="2" t="inlineStr">
        <is>
          <t>done on 4/28</t>
        </is>
      </c>
    </row>
    <row r="324" ht="12.60000038146973" customHeight="1" s="216">
      <c r="A324" s="2" t="inlineStr">
        <is>
          <t>Mehmet Ozdogan</t>
        </is>
      </c>
      <c r="B324" s="2" t="inlineStr">
        <is>
          <t>University North Dakota</t>
        </is>
      </c>
      <c r="C324" s="3" t="inlineStr">
        <is>
          <t>https://www.linkedin.com/in/mehmet-ozdogan/</t>
        </is>
      </c>
      <c r="D324" s="2" t="inlineStr">
        <is>
          <t>mehmet.ozdogan@UND.edu</t>
        </is>
      </c>
      <c r="F324" s="2" t="inlineStr">
        <is>
          <t>done on 4/28</t>
        </is>
      </c>
    </row>
    <row r="325" ht="12.60000038146973" customHeight="1" s="216">
      <c r="A325" s="2" t="inlineStr">
        <is>
          <t>Edirisuriya Siriwardane</t>
        </is>
      </c>
      <c r="B325" s="2" t="inlineStr">
        <is>
          <t>University North Dakota</t>
        </is>
      </c>
      <c r="D325" s="3" t="inlineStr">
        <is>
          <t>edirisuriya.siriward@my.UND.edu</t>
        </is>
      </c>
      <c r="F325" s="2" t="inlineStr">
        <is>
          <t>done on 4/29</t>
        </is>
      </c>
    </row>
    <row r="326" ht="12.60000038146973" customHeight="1" s="216">
      <c r="A326" s="16" t="inlineStr">
        <is>
          <t>Timothy Young</t>
        </is>
      </c>
      <c r="B326" s="16" t="inlineStr">
        <is>
          <t>University North Dakota</t>
        </is>
      </c>
      <c r="C326" s="136" t="inlineStr">
        <is>
          <t>https://www.linkedin.com/in/timothy-young-61713a181/</t>
        </is>
      </c>
      <c r="D326" s="16" t="inlineStr">
        <is>
          <t>tim.young@UND.edu</t>
        </is>
      </c>
      <c r="E326" s="16" t="n"/>
      <c r="F326" s="16" t="inlineStr">
        <is>
          <t>done on 4/29</t>
        </is>
      </c>
      <c r="G326" s="16" t="n"/>
      <c r="H326" s="16" t="n"/>
    </row>
    <row r="327" ht="12.60000038146973" customHeight="1" s="216">
      <c r="A327" s="2" t="inlineStr">
        <is>
          <t>Keith Crisman</t>
        </is>
      </c>
      <c r="B327" s="2" t="inlineStr">
        <is>
          <t>University North Dakota</t>
        </is>
      </c>
      <c r="C327" s="3" t="inlineStr">
        <is>
          <t>https://www.linkedin.com/in/keith-crisman-phd-1601b4b7/</t>
        </is>
      </c>
      <c r="D327" s="2" t="inlineStr">
        <is>
          <t>keith.crisman@UND.edu</t>
        </is>
      </c>
      <c r="F327" s="2" t="inlineStr">
        <is>
          <t>done on 4/29</t>
        </is>
      </c>
    </row>
    <row r="328" ht="12.60000038146973" customHeight="1" s="216">
      <c r="A328" s="2" t="inlineStr">
        <is>
          <t>Pablo De Leon</t>
        </is>
      </c>
      <c r="B328" s="2" t="inlineStr">
        <is>
          <t>University North Dakota</t>
        </is>
      </c>
      <c r="C328" s="3" t="inlineStr">
        <is>
          <t>https://www.linkedin.com/in/pablodeleon1/</t>
        </is>
      </c>
      <c r="D328" s="2" t="inlineStr">
        <is>
          <t>pablo.de.leon@UND.edu</t>
        </is>
      </c>
      <c r="F328" s="2" t="inlineStr">
        <is>
          <t>done on 4/29</t>
        </is>
      </c>
    </row>
    <row r="329" ht="12.60000038146973" customHeight="1" s="216">
      <c r="A329" s="2" t="inlineStr">
        <is>
          <t>Michael Dodge</t>
        </is>
      </c>
      <c r="B329" s="2" t="inlineStr">
        <is>
          <t>University North Dakota</t>
        </is>
      </c>
      <c r="D329" s="2" t="inlineStr">
        <is>
          <t>michael.s.dodge@UND.edu</t>
        </is>
      </c>
      <c r="F329" s="2" t="inlineStr">
        <is>
          <t>done on 4/29</t>
        </is>
      </c>
    </row>
    <row r="330" ht="12.60000038146973" customHeight="1" s="216">
      <c r="A330" s="2" t="inlineStr">
        <is>
          <t>Marcos Fernandez-Tous</t>
        </is>
      </c>
      <c r="B330" s="2" t="inlineStr">
        <is>
          <t>University North Dakota</t>
        </is>
      </c>
      <c r="C330" s="3" t="inlineStr">
        <is>
          <t>https://www.linkedin.com/in/marcos-fernandez-tous-ph-d-7928852/</t>
        </is>
      </c>
      <c r="D330" s="2" t="inlineStr">
        <is>
          <t>marcos.fernandeztous@UND.edu</t>
        </is>
      </c>
      <c r="F330" s="2" t="inlineStr">
        <is>
          <t>done on 4/29</t>
        </is>
      </c>
    </row>
    <row r="331" ht="12.60000038146973" customHeight="1" s="216">
      <c r="A331" s="2" t="inlineStr">
        <is>
          <t>Ronald Fevig</t>
        </is>
      </c>
      <c r="B331" s="2" t="inlineStr">
        <is>
          <t>University North Dakota</t>
        </is>
      </c>
      <c r="D331" s="2" t="inlineStr">
        <is>
          <t>ronald.fevig@UND.edu</t>
        </is>
      </c>
      <c r="F331" s="2" t="inlineStr">
        <is>
          <t>done on 4/29</t>
        </is>
      </c>
    </row>
    <row r="332" ht="12.60000038146973" customHeight="1" s="216">
      <c r="A332" s="2" t="inlineStr">
        <is>
          <t>Sherry Fieber-Beyer</t>
        </is>
      </c>
      <c r="B332" s="2" t="inlineStr">
        <is>
          <t>University North Dakota</t>
        </is>
      </c>
      <c r="D332" s="2" t="inlineStr">
        <is>
          <t>sherry.fieber.beyer@UND.edu</t>
        </is>
      </c>
      <c r="F332" s="2" t="inlineStr">
        <is>
          <t>done on 4/29</t>
        </is>
      </c>
    </row>
    <row r="333" ht="12.60000038146973" customHeight="1" s="216">
      <c r="A333" s="2" t="inlineStr">
        <is>
          <t>David Kugler</t>
        </is>
      </c>
      <c r="B333" s="2" t="inlineStr">
        <is>
          <t>University North Dakota</t>
        </is>
      </c>
      <c r="D333" s="2" t="inlineStr">
        <is>
          <t>david.kugler@UND.edu</t>
        </is>
      </c>
      <c r="F333" s="2" t="inlineStr">
        <is>
          <t>done on 4/29</t>
        </is>
      </c>
    </row>
    <row r="334" ht="12.60000038146973" customHeight="1" s="216">
      <c r="A334" s="2" t="inlineStr">
        <is>
          <t>Jacob Carstens</t>
        </is>
      </c>
      <c r="B334" s="2" t="inlineStr">
        <is>
          <t>University North Dakota</t>
        </is>
      </c>
      <c r="C334" s="3" t="inlineStr">
        <is>
          <t>https://www.linkedin.com/in/jcarstenswx/</t>
        </is>
      </c>
      <c r="D334" s="2" t="inlineStr">
        <is>
          <t>jacob.carstens@UND.edu</t>
        </is>
      </c>
      <c r="F334" s="2" t="inlineStr">
        <is>
          <t>done on 5/2</t>
        </is>
      </c>
    </row>
    <row r="335" ht="12.60000038146973" customHeight="1" s="216">
      <c r="A335" s="2" t="inlineStr">
        <is>
          <t>Jordan Christian</t>
        </is>
      </c>
      <c r="B335" s="2" t="inlineStr">
        <is>
          <t>University North Dakota</t>
        </is>
      </c>
      <c r="D335" s="2" t="inlineStr">
        <is>
          <t>jordan.i.christian@UND.edu</t>
        </is>
      </c>
      <c r="F335" s="2" t="inlineStr">
        <is>
          <t>done on 5/2</t>
        </is>
      </c>
    </row>
    <row r="336" ht="12.60000038146973" customHeight="1" s="216">
      <c r="A336" s="2" t="inlineStr">
        <is>
          <t>Mounir CHRIT</t>
        </is>
      </c>
      <c r="B336" s="2" t="inlineStr">
        <is>
          <t>University North Dakota</t>
        </is>
      </c>
      <c r="D336" s="2" t="inlineStr">
        <is>
          <t>mounir.chrit@UND.edu</t>
        </is>
      </c>
      <c r="F336" s="2" t="inlineStr">
        <is>
          <t>done on 5/2</t>
        </is>
      </c>
    </row>
    <row r="337" ht="12.60000038146973" customHeight="1" s="216">
      <c r="A337" s="2" t="inlineStr">
        <is>
          <t>David James Delene</t>
        </is>
      </c>
      <c r="B337" s="2" t="inlineStr">
        <is>
          <t>University North Dakota</t>
        </is>
      </c>
      <c r="D337" s="2" t="inlineStr">
        <is>
          <t>david.delene@UND.edu</t>
        </is>
      </c>
      <c r="F337" s="2" t="inlineStr">
        <is>
          <t>done on 5/2</t>
        </is>
      </c>
    </row>
    <row r="338" ht="12.60000038146973" customHeight="1" s="216">
      <c r="A338" s="2" t="inlineStr">
        <is>
          <t>Andrew Detwiler</t>
        </is>
      </c>
      <c r="B338" s="2" t="inlineStr">
        <is>
          <t>University North Dakota</t>
        </is>
      </c>
      <c r="D338" s="2" t="inlineStr">
        <is>
          <t>andrew.detwiler@UND.edu</t>
        </is>
      </c>
      <c r="F338" s="2" t="inlineStr">
        <is>
          <t>done on 5/2</t>
        </is>
      </c>
    </row>
    <row r="339" ht="12.60000038146973" customHeight="1" s="216">
      <c r="A339" s="2" t="inlineStr">
        <is>
          <t>Montana Etten-Bohm</t>
        </is>
      </c>
      <c r="B339" s="2" t="inlineStr">
        <is>
          <t>University North Dakota</t>
        </is>
      </c>
      <c r="C339" s="3" t="inlineStr">
        <is>
          <t>https://www.linkedin.com/in/montana-etten-bohm-5117877a/</t>
        </is>
      </c>
      <c r="D339" s="2" t="inlineStr">
        <is>
          <t>montana.ettenbohm@UND.edu</t>
        </is>
      </c>
      <c r="F339" s="2" t="inlineStr">
        <is>
          <t>done on 5/2</t>
        </is>
      </c>
    </row>
    <row r="340" ht="12.60000038146973" customHeight="1" s="216">
      <c r="A340" s="2" t="inlineStr">
        <is>
          <t>Catherine Finley</t>
        </is>
      </c>
      <c r="B340" s="2" t="inlineStr">
        <is>
          <t>University North Dakota</t>
        </is>
      </c>
      <c r="C340" s="3" t="inlineStr">
        <is>
          <t>https://www.linkedin.com/in/cathy-finley-84284797/</t>
        </is>
      </c>
      <c r="D340" s="2" t="inlineStr">
        <is>
          <t>catherine.finley@UND.edu</t>
        </is>
      </c>
      <c r="F340" s="2" t="inlineStr">
        <is>
          <t>done on 5/2</t>
        </is>
      </c>
    </row>
    <row r="341" ht="12.60000038146973" customHeight="1" s="216">
      <c r="A341" s="2" t="inlineStr">
        <is>
          <t>Matt Gilmore</t>
        </is>
      </c>
      <c r="B341" s="2" t="inlineStr">
        <is>
          <t>University North Dakota</t>
        </is>
      </c>
      <c r="D341" s="2" t="inlineStr">
        <is>
          <t>matthew.gilmore@UND.edu</t>
        </is>
      </c>
      <c r="F341" s="2" t="inlineStr">
        <is>
          <t>done on 5/2</t>
        </is>
      </c>
    </row>
    <row r="342" ht="12.60000038146973" customHeight="1" s="216">
      <c r="A342" s="2" t="inlineStr">
        <is>
          <t>Aaron Kennedy</t>
        </is>
      </c>
      <c r="B342" s="2" t="inlineStr">
        <is>
          <t>University North Dakota</t>
        </is>
      </c>
      <c r="C342" s="3" t="inlineStr">
        <is>
          <t>https://www.linkedin.com/in/aaron-kennedy-84b0691bb/</t>
        </is>
      </c>
      <c r="D342" s="2" t="inlineStr">
        <is>
          <t>aaron.kennedy@UND.edu</t>
        </is>
      </c>
      <c r="F342" s="2" t="inlineStr">
        <is>
          <t>done on 5/2</t>
        </is>
      </c>
    </row>
    <row r="343" ht="12.60000038146973" customHeight="1" s="216">
      <c r="A343" s="2" t="inlineStr">
        <is>
          <t>Marwa Majdi</t>
        </is>
      </c>
      <c r="B343" s="2" t="inlineStr">
        <is>
          <t>University North Dakota</t>
        </is>
      </c>
      <c r="C343" s="3" t="inlineStr">
        <is>
          <t>https://www.linkedin.com/in/marwa-majdi-und/</t>
        </is>
      </c>
      <c r="D343" s="2" t="inlineStr">
        <is>
          <t>marwa.majdi@UND.edu</t>
        </is>
      </c>
      <c r="F343" s="2" t="inlineStr">
        <is>
          <t>done on 5/2</t>
        </is>
      </c>
    </row>
    <row r="344" ht="12.60000038146973" customHeight="1" s="216">
      <c r="A344" s="2" t="inlineStr">
        <is>
          <t>Jared Marquis</t>
        </is>
      </c>
      <c r="B344" s="2" t="inlineStr">
        <is>
          <t>University North Dakota</t>
        </is>
      </c>
      <c r="C344" s="3" t="inlineStr">
        <is>
          <t>https://www.linkedin.com/in/jared-marquis-478a8156/</t>
        </is>
      </c>
      <c r="D344" s="2" t="inlineStr">
        <is>
          <t>jared.marquis@UND.edu</t>
        </is>
      </c>
      <c r="F344" s="2" t="inlineStr">
        <is>
          <t>done on 5/2</t>
        </is>
      </c>
    </row>
    <row r="345" ht="12.60000038146973" customHeight="1" s="216">
      <c r="A345" s="2" t="inlineStr">
        <is>
          <t>Shawn Wagner</t>
        </is>
      </c>
      <c r="B345" s="2" t="inlineStr">
        <is>
          <t>University North Dakota</t>
        </is>
      </c>
      <c r="D345" s="2" t="inlineStr">
        <is>
          <t>shawn.wagner@UND.edu</t>
        </is>
      </c>
      <c r="F345" s="2" t="inlineStr">
        <is>
          <t>done on 5/2</t>
        </is>
      </c>
    </row>
    <row r="346" ht="12.60000038146973" customHeight="1" s="216">
      <c r="A346" s="2" t="inlineStr">
        <is>
          <t>Daile Zhang</t>
        </is>
      </c>
      <c r="B346" s="2" t="inlineStr">
        <is>
          <t>University North Dakota</t>
        </is>
      </c>
      <c r="C346" s="3" t="inlineStr">
        <is>
          <t>https://www.linkedin.com/in/daile-zhang-614927145/</t>
        </is>
      </c>
      <c r="D346" s="2" t="inlineStr">
        <is>
          <t>daile.zhang@UND.edu</t>
        </is>
      </c>
      <c r="F346" s="2" t="inlineStr">
        <is>
          <t>done on 5/2</t>
        </is>
      </c>
    </row>
    <row r="347" ht="12.60000038146973" customHeight="1" s="216">
      <c r="A347" s="2" t="inlineStr">
        <is>
          <t>JiangLong Zhang</t>
        </is>
      </c>
      <c r="B347" s="2" t="inlineStr">
        <is>
          <t>University North Dakota</t>
        </is>
      </c>
      <c r="D347" s="2" t="inlineStr">
        <is>
          <t>jianglong.zhang@UND.edu</t>
        </is>
      </c>
      <c r="F347" s="2" t="inlineStr">
        <is>
          <t>done on 5/2</t>
        </is>
      </c>
    </row>
    <row r="348" ht="12.60000038146973" customHeight="1" s="216">
      <c r="A348" s="16" t="inlineStr">
        <is>
          <t xml:space="preserve">Felix Ewere </t>
        </is>
      </c>
      <c r="B348" s="16" t="inlineStr">
        <is>
          <t>North Carolina State University</t>
        </is>
      </c>
      <c r="C348" s="16" t="n"/>
      <c r="D348" s="16" t="inlineStr">
        <is>
          <t>feewere@ncsu.edu</t>
        </is>
      </c>
      <c r="E348" s="16" t="n"/>
      <c r="F348" s="16" t="inlineStr">
        <is>
          <t>done on 4/4</t>
        </is>
      </c>
      <c r="G348" s="16" t="inlineStr">
        <is>
          <t>done on 5/7</t>
        </is>
      </c>
      <c r="H348" s="16" t="inlineStr">
        <is>
          <t>meeting link sent on 4/5, followed up 5/7</t>
        </is>
      </c>
    </row>
    <row r="349" ht="12.75" customHeight="1" s="216">
      <c r="A349" s="122" t="inlineStr">
        <is>
          <t>Jose Molina</t>
        </is>
      </c>
      <c r="B349" s="122" t="inlineStr">
        <is>
          <t>Puerto Rico Space Foundation</t>
        </is>
      </c>
      <c r="C349" s="322" t="inlineStr">
        <is>
          <t>https://www.linkedin.com/in/jmolina5462/</t>
        </is>
      </c>
      <c r="D349" s="322" t="inlineStr">
        <is>
          <t>josemolina@prspacefoundation.org</t>
        </is>
      </c>
      <c r="E349" s="122" t="n"/>
      <c r="F349" s="360" t="n">
        <v>46063</v>
      </c>
      <c r="G349" s="122" t="inlineStr">
        <is>
          <t>interest in payload - follow up call with phil - early 2027 flight</t>
        </is>
      </c>
      <c r="H349" s="122" t="n"/>
    </row>
    <row r="350" ht="15.75" customHeight="1" s="216">
      <c r="A350" t="inlineStr">
        <is>
          <t>Ellen Gertsen</t>
        </is>
      </c>
      <c r="B350" t="inlineStr">
        <is>
          <t>American Society for Gravitational and Space Research</t>
        </is>
      </c>
      <c r="C350" s="111" t="inlineStr">
        <is>
          <t>https://www.linkedin.com/in/ellen-gertsen-537395b/</t>
        </is>
      </c>
      <c r="D350" s="368" t="inlineStr">
        <is>
          <t>ellen.gertsen@asgsr.org</t>
        </is>
      </c>
      <c r="F350" s="80" t="n">
        <v>46091</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ColWidth="12.5703125" defaultRowHeight="15.75"/>
  <cols>
    <col width="17.28515625" customWidth="1" style="216" min="1" max="1"/>
    <col width="40.85546875" customWidth="1" style="216" min="2" max="2"/>
    <col width="35.42578125" customWidth="1" style="216" min="3" max="3"/>
    <col width="24.85546875" customWidth="1" style="216" min="4" max="4"/>
    <col width="37" customWidth="1" style="216" min="5" max="5"/>
    <col width="16.7109375" customWidth="1" style="216" min="6" max="6"/>
    <col width="24.140625" customWidth="1" style="216" min="7" max="7"/>
  </cols>
  <sheetData>
    <row r="1" ht="12.94999980926514" customHeight="1" s="216">
      <c r="A1" s="1" t="inlineStr">
        <is>
          <t>Name</t>
        </is>
      </c>
      <c r="B1" s="1" t="inlineStr">
        <is>
          <t>Company</t>
        </is>
      </c>
      <c r="C1" s="1" t="inlineStr">
        <is>
          <t>LinkedIn Profile</t>
        </is>
      </c>
      <c r="D1" s="1" t="inlineStr">
        <is>
          <t>Email</t>
        </is>
      </c>
      <c r="E1" s="1" t="inlineStr">
        <is>
          <t>Any others added to email thread?</t>
        </is>
      </c>
      <c r="F1" s="1" t="inlineStr">
        <is>
          <t>Meeting Status:</t>
        </is>
      </c>
      <c r="G1" s="1" t="inlineStr">
        <is>
          <t>Notes</t>
        </is>
      </c>
      <c r="H1" s="1" t="inlineStr">
        <is>
          <t>Follow Up</t>
        </is>
      </c>
    </row>
    <row r="2" ht="14.10000038146973" customHeight="1" s="216">
      <c r="A2" s="2" t="inlineStr">
        <is>
          <t>Jessica Rousset</t>
        </is>
      </c>
      <c r="B2" s="2" t="inlineStr">
        <is>
          <t>ASU</t>
        </is>
      </c>
      <c r="C2" s="3" t="inlineStr">
        <is>
          <t>https://www.linkedin.com/in/jessicalrousset/</t>
        </is>
      </c>
      <c r="D2" s="18" t="inlineStr">
        <is>
          <t>Jessica.Rousset@asu.edu</t>
        </is>
      </c>
      <c r="E2" s="2" t="inlineStr">
        <is>
          <t>Joe DuBois &lt;joe.dubois@asu.edu&gt;,
danny jacobs &lt;dcjacob2@asu.edu&gt;,
Eric Stribling &lt;estribli@asu.edu&gt;,
"kmccona1@asu.edu" &lt;kmccona1@asu.edu&gt;</t>
        </is>
      </c>
      <c r="F2" s="2" t="inlineStr">
        <is>
          <t>meeting held</t>
        </is>
      </c>
      <c r="G2" s="2" t="inlineStr">
        <is>
          <t>interested in bringing us in on Space Edge and the Interplanetary Initiative Lab</t>
        </is>
      </c>
      <c r="H2" s="2" t="inlineStr">
        <is>
          <t xml:space="preserve">second follow up meeting held on 4/21. need to do early may follow up </t>
        </is>
      </c>
    </row>
    <row r="3" ht="15.75" customHeight="1" s="216">
      <c r="A3" s="33" t="inlineStr">
        <is>
          <t>Pedro J. Llanos</t>
        </is>
      </c>
      <c r="B3" s="33" t="inlineStr">
        <is>
          <t>Embry-Riddle</t>
        </is>
      </c>
      <c r="C3" s="138" t="inlineStr">
        <is>
          <t>https://www.linkedin.com/in/pedrojllanos/</t>
        </is>
      </c>
      <c r="D3" s="34" t="inlineStr">
        <is>
          <t>pedro.llanos@erau.edu</t>
        </is>
      </c>
      <c r="E3" s="35" t="n"/>
      <c r="F3" s="33" t="inlineStr">
        <is>
          <t>meeting held</t>
        </is>
      </c>
      <c r="G3" s="33" t="inlineStr">
        <is>
          <t>Need to close this one!</t>
        </is>
      </c>
      <c r="H3" s="33" t="inlineStr">
        <is>
          <t>follow up in Sept- considering 1U</t>
        </is>
      </c>
      <c r="I3" s="33" t="n"/>
    </row>
    <row r="4" ht="15.75" customHeight="1" s="216">
      <c r="A4" s="36" t="inlineStr">
        <is>
          <t>Roberto Zenit</t>
        </is>
      </c>
      <c r="B4" s="36" t="inlineStr">
        <is>
          <t>Brown University</t>
        </is>
      </c>
      <c r="C4" s="37" t="inlineStr">
        <is>
          <t>https://www.linkedin.com/in/roberto-zenit-aab73735/</t>
        </is>
      </c>
      <c r="D4" s="36" t="inlineStr">
        <is>
          <t>Roberto_Zenit@brown.edu</t>
        </is>
      </c>
      <c r="E4" s="36" t="n"/>
      <c r="F4" s="36" t="inlineStr">
        <is>
          <t>link sent 4/10</t>
        </is>
      </c>
      <c r="G4" s="36" t="n"/>
      <c r="H4" s="36" t="n"/>
      <c r="I4" s="33" t="n"/>
    </row>
    <row r="5" ht="15.75" customHeight="1" s="216">
      <c r="A5" s="33" t="inlineStr">
        <is>
          <t>Thomas Juliano</t>
        </is>
      </c>
      <c r="B5" s="33" t="inlineStr">
        <is>
          <t>Notre Dame</t>
        </is>
      </c>
      <c r="C5" s="138" t="inlineStr">
        <is>
          <t>https://www.linkedin.com/in/thomas-juliano-390b8331/</t>
        </is>
      </c>
      <c r="D5" s="138" t="inlineStr">
        <is>
          <t>tjuliano@nd.edu</t>
        </is>
      </c>
      <c r="E5" s="33" t="n"/>
      <c r="F5" s="33" t="inlineStr">
        <is>
          <t>meeting held</t>
        </is>
      </c>
      <c r="G5" s="33" t="inlineStr">
        <is>
          <t>follow up mid may</t>
        </is>
      </c>
      <c r="H5" s="33" t="inlineStr">
        <is>
          <t>meeting set for 4/23</t>
        </is>
      </c>
    </row>
    <row r="6" ht="15.75" customHeight="1" s="216">
      <c r="A6" s="33" t="inlineStr">
        <is>
          <t xml:space="preserve">Prakash Nallathamby </t>
        </is>
      </c>
      <c r="B6" s="33" t="inlineStr">
        <is>
          <t>Notre Dame</t>
        </is>
      </c>
      <c r="C6" s="138" t="inlineStr">
        <is>
          <t>https://www.linkedin.com/in/prakashdn/</t>
        </is>
      </c>
      <c r="D6" s="138" t="inlineStr">
        <is>
          <t>pnallath@nd.edu</t>
        </is>
      </c>
      <c r="E6" s="33" t="n"/>
      <c r="F6" s="33" t="inlineStr">
        <is>
          <t>meeting held</t>
        </is>
      </c>
      <c r="G6" s="33" t="inlineStr">
        <is>
          <t>meeting held 4/15, he requested supporting docs to pass along to the right people. interest in potential funded payloads as well as more info on wet lease program</t>
        </is>
      </c>
      <c r="H6" s="33" t="n"/>
    </row>
    <row r="7" ht="15.75" customHeight="1" s="216">
      <c r="A7" s="33" t="inlineStr">
        <is>
          <t>James Nabity "Jim"</t>
        </is>
      </c>
      <c r="B7" s="33" t="inlineStr">
        <is>
          <t>UC Boulder</t>
        </is>
      </c>
      <c r="C7" s="138" t="inlineStr">
        <is>
          <t>https://www.linkedin.com/in/jim-nabity-2353b945/</t>
        </is>
      </c>
      <c r="D7" s="33" t="inlineStr">
        <is>
          <t>James.Nabity@colorado.edu</t>
        </is>
      </c>
      <c r="E7" s="33" t="n"/>
      <c r="F7" s="33" t="inlineStr">
        <is>
          <t>meeting held</t>
        </is>
      </c>
      <c r="G7" s="33" t="inlineStr">
        <is>
          <t>working on June 6th payload proposal, follow up email coming soon</t>
        </is>
      </c>
      <c r="H7" s="33" t="n"/>
      <c r="I7" s="33" t="n"/>
    </row>
    <row r="8" ht="15.75" customHeight="1" s="216">
      <c r="A8" s="33" t="inlineStr">
        <is>
          <t>Markus Allgaier</t>
        </is>
      </c>
      <c r="B8" s="33" t="inlineStr">
        <is>
          <t>University North Dakota</t>
        </is>
      </c>
      <c r="C8" s="138" t="inlineStr">
        <is>
          <t>https://www.linkedin.com/in/markus-allgaier-2b40b4351/</t>
        </is>
      </c>
      <c r="D8" s="33" t="inlineStr">
        <is>
          <t>markus.allgaier@UND.edu</t>
        </is>
      </c>
      <c r="E8" s="33" t="n"/>
      <c r="F8" s="33" t="inlineStr">
        <is>
          <t>meeting held</t>
        </is>
      </c>
      <c r="G8" s="33" t="inlineStr">
        <is>
          <t>Markus - booked the meeting and looped in Tim. Markus - very interested in payloads and experiemtns on the rocket. I sent Tim and Markus both the PUG and the Wet Lease program info with intentions to keep line of communication open and follow up. They're very interested in a q1 launch.</t>
        </is>
      </c>
      <c r="H8" s="33" t="n"/>
    </row>
    <row r="9" ht="15.75" customHeight="1" s="216">
      <c r="A9" s="33" t="inlineStr">
        <is>
          <t>Timothy Young</t>
        </is>
      </c>
      <c r="B9" s="33" t="inlineStr">
        <is>
          <t>University North Dakota</t>
        </is>
      </c>
      <c r="C9" s="138" t="inlineStr">
        <is>
          <t>https://www.linkedin.com/in/timothy-young-61713a181/</t>
        </is>
      </c>
      <c r="D9" s="33" t="inlineStr">
        <is>
          <t>tim.young@UND.edu</t>
        </is>
      </c>
      <c r="E9" s="33" t="n"/>
      <c r="F9" s="33" t="inlineStr">
        <is>
          <t>meeting held</t>
        </is>
      </c>
      <c r="G9" s="33" t="inlineStr">
        <is>
          <t>Tim - runs the rocket program</t>
        </is>
      </c>
    </row>
    <row r="10" ht="15.75" customHeight="1" s="216">
      <c r="A10" t="inlineStr">
        <is>
          <t xml:space="preserve">David Schleeper </t>
        </is>
      </c>
      <c r="B10" t="inlineStr">
        <is>
          <t>eferred by Andrew Nelson</t>
        </is>
      </c>
      <c r="D10" s="112" t="inlineStr">
        <is>
          <t>David.Schleeper@rsandh.com</t>
        </is>
      </c>
      <c r="E10" s="112" t="inlineStr">
        <is>
          <t>Andrew.Nelson2@rsandh.com</t>
        </is>
      </c>
      <c r="G10" t="inlineStr">
        <is>
          <t>nuclear payload interest</t>
        </is>
      </c>
    </row>
    <row r="11" ht="15.75" customHeight="1" s="216">
      <c r="A11" t="inlineStr">
        <is>
          <t>Scott Edwards</t>
        </is>
      </c>
      <c r="B11" t="inlineStr">
        <is>
          <t>EntX</t>
        </is>
      </c>
      <c r="D11" s="111" t="inlineStr">
        <is>
          <t>scott@extX.com.au</t>
        </is>
      </c>
      <c r="E11" t="inlineStr">
        <is>
          <t>TBD</t>
        </is>
      </c>
      <c r="F11" t="inlineStr">
        <is>
          <t>Met in person 3/3</t>
        </is>
      </c>
      <c r="G11" t="inlineStr">
        <is>
          <t>Discussed radioactive payload concept + potential flight test alignment</t>
        </is>
      </c>
      <c r="H11" t="inlineStr">
        <is>
          <t>Follow up mid-March re next steps</t>
        </is>
      </c>
    </row>
    <row r="12" ht="15.75" customHeight="1" s="216">
      <c r="A12" t="inlineStr">
        <is>
          <t>KeiS himada</t>
        </is>
      </c>
      <c r="B12" t="inlineStr">
        <is>
          <t>Narravity</t>
        </is>
      </c>
      <c r="D12" s="111" t="inlineStr">
        <is>
          <t>kei@narravity.io</t>
        </is>
      </c>
    </row>
    <row r="13" ht="15.75" customHeight="1" s="216">
      <c r="A13" t="inlineStr">
        <is>
          <t>Roberta Fusaro</t>
        </is>
      </c>
      <c r="B13" t="inlineStr">
        <is>
          <t>Polito Italy</t>
        </is>
      </c>
      <c r="D13" s="111" t="inlineStr">
        <is>
          <t>roberta.fusaro@polito.it</t>
        </is>
      </c>
      <c r="F13" t="inlineStr">
        <is>
          <t>no meeting yet / emailed us on 3/10</t>
        </is>
      </c>
      <c r="G13" t="inlineStr">
        <is>
          <t>PoliTOrbital (Politecnico di Torino student team) exploring potential collaboration with EXOS. Proposed activities include a student-led optimization study to improve BLK3 payload bay reconfigurability for reusable operations, analysis of payload bay integration within the EXOS system architecture, and a longer-term possibility of flying a student-developed technology payload on a future EXOS flight. Team is currently seeking a non-binding support letter from EXOS to assist with their annual program renewal.</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2.75"/>
  <cols>
    <col width="18.5703125" customWidth="1" style="216" min="6" max="6"/>
  </cols>
  <sheetData>
    <row r="1">
      <c r="A1" s="157" t="inlineStr">
        <is>
          <t>Opportunity ID</t>
        </is>
      </c>
      <c r="B1" s="157" t="inlineStr">
        <is>
          <t>Location</t>
        </is>
      </c>
      <c r="C1" s="157" t="inlineStr">
        <is>
          <t>Organization</t>
        </is>
      </c>
      <c r="D1" s="157" t="inlineStr">
        <is>
          <t>Country/State</t>
        </is>
      </c>
      <c r="E1" s="157" t="inlineStr">
        <is>
          <t>Contact Name</t>
        </is>
      </c>
      <c r="F1" s="157" t="inlineStr">
        <is>
          <t>Contact Title</t>
        </is>
      </c>
      <c r="G1" s="157" t="inlineStr">
        <is>
          <t>Email</t>
        </is>
      </c>
      <c r="H1" s="157" t="inlineStr">
        <is>
          <t>Phone</t>
        </is>
      </c>
      <c r="I1" s="157" t="inlineStr">
        <is>
          <t>Type</t>
        </is>
      </c>
      <c r="J1" s="157" t="inlineStr">
        <is>
          <t>Status</t>
        </is>
      </c>
      <c r="K1" s="157" t="inlineStr">
        <is>
          <t>Last Contact</t>
        </is>
      </c>
      <c r="L1" s="157" t="inlineStr">
        <is>
          <t>Next Step</t>
        </is>
      </c>
      <c r="M1" s="157" t="inlineStr">
        <is>
          <t>FAA Pathway</t>
        </is>
      </c>
      <c r="N1" s="157" t="inlineStr">
        <is>
          <t>ITAR Required</t>
        </is>
      </c>
      <c r="O1" s="157" t="inlineStr">
        <is>
          <t>Notes</t>
        </is>
      </c>
    </row>
    <row r="2">
      <c r="A2" t="inlineStr">
        <is>
          <t>NCE-001</t>
        </is>
      </c>
      <c r="B2" t="inlineStr">
        <is>
          <t>Midland</t>
        </is>
      </c>
      <c r="C2" t="inlineStr">
        <is>
          <t>Midland Spaceport, TSC</t>
        </is>
      </c>
      <c r="D2" t="inlineStr">
        <is>
          <t>Texas, USA</t>
        </is>
      </c>
      <c r="E2" t="inlineStr">
        <is>
          <t>George Neild, Oscar Garcia, Yvette Garcia, Sara, Lourcey Sams</t>
        </is>
      </c>
      <c r="F2" t="inlineStr">
        <is>
          <t>Advisor</t>
        </is>
      </c>
      <c r="G2" s="111" t="inlineStr">
        <is>
          <t>oscargarcia@interflightglobal.com, yvettegarcia@interflightglobal.com, gnield@globalspaceportalliance.com</t>
        </is>
      </c>
      <c r="I2" t="inlineStr">
        <is>
          <t>Domestic Spaceport</t>
        </is>
      </c>
      <c r="J2" t="inlineStr">
        <is>
          <t>Early Planning</t>
        </is>
      </c>
      <c r="L2" t="inlineStr">
        <is>
          <t>Follow up next week</t>
        </is>
      </c>
      <c r="M2" t="inlineStr">
        <is>
          <t>420 + 450</t>
        </is>
      </c>
      <c r="N2" t="inlineStr">
        <is>
          <t>No</t>
        </is>
      </c>
      <c r="O2" t="inlineStr">
        <is>
          <t>SEARF funding $5M</t>
        </is>
      </c>
    </row>
    <row r="3">
      <c r="A3" t="inlineStr">
        <is>
          <t>NCE-002</t>
        </is>
      </c>
      <c r="B3" t="inlineStr">
        <is>
          <t>Montana</t>
        </is>
      </c>
      <c r="C3" t="inlineStr">
        <is>
          <t>Montana Spaceport</t>
        </is>
      </c>
      <c r="D3" t="inlineStr">
        <is>
          <t>Montana, USA</t>
        </is>
      </c>
      <c r="E3" t="inlineStr">
        <is>
          <t>EdgarJohansson, Sean</t>
        </is>
      </c>
      <c r="G3" s="111" t="inlineStr">
        <is>
          <t>edgar@montanaspaceport.com sean@montanaspaceport.com</t>
        </is>
      </c>
      <c r="I3" t="inlineStr">
        <is>
          <t>Domestic Spaceport</t>
        </is>
      </c>
      <c r="J3" t="inlineStr">
        <is>
          <t>Early Planning</t>
        </is>
      </c>
      <c r="M3" t="inlineStr">
        <is>
          <t>420 + 450</t>
        </is>
      </c>
      <c r="N3" t="inlineStr">
        <is>
          <t>No</t>
        </is>
      </c>
    </row>
    <row r="4">
      <c r="A4" t="inlineStr">
        <is>
          <t>NCE-003</t>
        </is>
      </c>
      <c r="B4" t="inlineStr">
        <is>
          <t>HOSPO</t>
        </is>
      </c>
      <c r="C4" t="inlineStr">
        <is>
          <t>Hokkaido Spaceport</t>
        </is>
      </c>
      <c r="D4" t="inlineStr">
        <is>
          <t>Japan</t>
        </is>
      </c>
      <c r="E4" t="inlineStr">
        <is>
          <t>Takayuki Ono</t>
        </is>
      </c>
      <c r="G4" s="111" t="inlineStr">
        <is>
          <t>ono-takayuki@spacecotan.com : stynes-robert@spacecotan.com</t>
        </is>
      </c>
      <c r="I4" t="inlineStr">
        <is>
          <t>International Spaceport</t>
        </is>
      </c>
      <c r="J4" t="inlineStr">
        <is>
          <t>Intro Stage</t>
        </is>
      </c>
      <c r="K4" s="80" t="n">
        <v>46091</v>
      </c>
      <c r="L4" t="inlineStr">
        <is>
          <t>Schedule Teams meeting</t>
        </is>
      </c>
      <c r="M4" t="inlineStr">
        <is>
          <t>Export License</t>
        </is>
      </c>
      <c r="N4" t="inlineStr">
        <is>
          <t>Yes</t>
        </is>
      </c>
      <c r="O4" t="inlineStr">
        <is>
          <t>Connected via Robert</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2.75"/>
  <cols>
    <col width="17.28515625" customWidth="1" style="216" min="1" max="1"/>
    <col width="29.42578125" customWidth="1" style="216" min="2" max="2"/>
    <col width="20" customWidth="1" style="216" min="3" max="3"/>
    <col width="29.28515625" customWidth="1" style="216" min="4" max="4"/>
    <col width="22.7109375" customWidth="1" style="216" min="5" max="5"/>
  </cols>
  <sheetData>
    <row r="1" ht="15" customHeight="1" s="216">
      <c r="A1" s="311" t="inlineStr">
        <is>
          <t>Company</t>
        </is>
      </c>
      <c r="B1" s="312" t="inlineStr">
        <is>
          <t>Contact Name(s)</t>
        </is>
      </c>
      <c r="C1" s="312" t="inlineStr">
        <is>
          <t>Role</t>
        </is>
      </c>
      <c r="D1" s="312" t="inlineStr">
        <is>
          <t>Email(s)</t>
        </is>
      </c>
      <c r="E1" s="312" t="inlineStr">
        <is>
          <t>Phone(s)</t>
        </is>
      </c>
      <c r="F1" s="323" t="inlineStr">
        <is>
          <t>Notes</t>
        </is>
      </c>
    </row>
    <row r="2" ht="15" customHeight="1" s="216">
      <c r="A2" s="314" t="inlineStr">
        <is>
          <t>Investor</t>
        </is>
      </c>
      <c r="B2" s="314" t="inlineStr">
        <is>
          <t>Zyad Wright</t>
        </is>
      </c>
      <c r="C2" s="314" t="n"/>
      <c r="D2" s="314" t="inlineStr">
        <is>
          <t>zyadwright@gmail.com</t>
        </is>
      </c>
      <c r="E2" s="319" t="n"/>
      <c r="F2" s="314" t="inlineStr">
        <is>
          <t>our contact first</t>
        </is>
      </c>
    </row>
    <row r="3" ht="15" customHeight="1" s="216">
      <c r="A3" s="314" t="inlineStr">
        <is>
          <t>Investor</t>
        </is>
      </c>
      <c r="B3" s="314" t="inlineStr">
        <is>
          <t>Sergey Gugkaev</t>
        </is>
      </c>
      <c r="C3" s="314" t="n"/>
      <c r="D3" s="314" t="inlineStr">
        <is>
          <t>gugkaev@gmail.com</t>
        </is>
      </c>
      <c r="E3" s="319" t="n"/>
      <c r="F3" s="314" t="n"/>
    </row>
    <row r="4" ht="15" customHeight="1" s="216">
      <c r="A4" s="314" t="inlineStr">
        <is>
          <t>Investor</t>
        </is>
      </c>
      <c r="B4" s="314" t="inlineStr">
        <is>
          <t>Andrew Buczak</t>
        </is>
      </c>
      <c r="C4" s="314" t="n"/>
      <c r="D4" s="314" t="inlineStr">
        <is>
          <t>andrewbuczak@gmail.com</t>
        </is>
      </c>
      <c r="E4" s="319" t="n"/>
      <c r="F4" s="314" t="n"/>
    </row>
    <row r="5" ht="15" customHeight="1" s="216">
      <c r="A5" s="314" t="inlineStr">
        <is>
          <t>Investor</t>
        </is>
      </c>
      <c r="B5" s="314" t="inlineStr">
        <is>
          <t>Dan Schatzan</t>
        </is>
      </c>
      <c r="C5" s="314" t="n"/>
      <c r="D5" s="314" t="inlineStr">
        <is>
          <t>danschat1@aol.com</t>
        </is>
      </c>
      <c r="E5" s="319" t="n"/>
      <c r="F5" s="314" t="inlineStr">
        <is>
          <t>our contact first</t>
        </is>
      </c>
    </row>
    <row r="6" ht="15" customHeight="1" s="216">
      <c r="A6" s="314" t="inlineStr">
        <is>
          <t>Investor</t>
        </is>
      </c>
      <c r="B6" s="314" t="inlineStr">
        <is>
          <t>Ovadiya Aharonoff</t>
        </is>
      </c>
      <c r="C6" s="314" t="n"/>
      <c r="D6" s="314" t="inlineStr">
        <is>
          <t>deals@ovadiya.com</t>
        </is>
      </c>
      <c r="E6" s="319" t="n"/>
      <c r="F6" s="314" t="n"/>
    </row>
    <row r="7" ht="15" customHeight="1" s="216">
      <c r="A7" s="314" t="inlineStr">
        <is>
          <t>Astronaut (Individual)</t>
        </is>
      </c>
      <c r="B7" s="314" t="inlineStr">
        <is>
          <t>JD Russell</t>
        </is>
      </c>
      <c r="C7" s="314" t="n"/>
      <c r="D7" s="314" t="inlineStr">
        <is>
          <t>jdrussellmd@gmail.com</t>
        </is>
      </c>
      <c r="E7" s="314" t="inlineStr">
        <is>
          <t>410-939-1500</t>
        </is>
      </c>
      <c r="F7" s="314" t="n"/>
    </row>
    <row r="8" ht="15" customHeight="1" s="216">
      <c r="A8" s="315" t="inlineStr">
        <is>
          <t>Axiscades</t>
        </is>
      </c>
      <c r="B8" s="315" t="inlineStr">
        <is>
          <t>Suresh Syryadevara</t>
        </is>
      </c>
      <c r="C8" s="315" t="inlineStr">
        <is>
          <t>VP Aerospace &amp; Defense</t>
        </is>
      </c>
      <c r="D8" s="315" t="inlineStr">
        <is>
          <t>suresh.s@axiscades.in</t>
        </is>
      </c>
      <c r="E8" s="315" t="n"/>
      <c r="F8" s="314" t="n"/>
    </row>
    <row r="9" ht="15" customHeight="1" s="216">
      <c r="A9" s="314" t="inlineStr">
        <is>
          <t>Battle Placement Finance</t>
        </is>
      </c>
      <c r="B9" s="314" t="inlineStr">
        <is>
          <t>Jesus Tueme</t>
        </is>
      </c>
      <c r="C9" s="314" t="n"/>
      <c r="D9" s="314" t="inlineStr">
        <is>
          <t>jtueme@castleplacement.com</t>
        </is>
      </c>
      <c r="E9" s="314" t="inlineStr">
        <is>
          <t>646-479-7616</t>
        </is>
      </c>
      <c r="F9" s="314" t="n"/>
    </row>
    <row r="10" ht="15" customHeight="1" s="216">
      <c r="A10" s="314" t="inlineStr">
        <is>
          <t>Beyond Earth</t>
        </is>
      </c>
      <c r="B10" s="314" t="inlineStr">
        <is>
          <t>Inna Galinger</t>
        </is>
      </c>
      <c r="C10" s="314" t="inlineStr">
        <is>
          <t>Investor</t>
        </is>
      </c>
      <c r="D10" s="314" t="inlineStr">
        <is>
          <t>life@beyondearth.tech</t>
        </is>
      </c>
      <c r="E10" s="314" t="n"/>
      <c r="F10" s="314" t="n"/>
    </row>
    <row r="11" ht="15" customHeight="1" s="216">
      <c r="A11" s="314" t="inlineStr">
        <is>
          <t>Centurion One Capital</t>
        </is>
      </c>
      <c r="B11" s="314" t="inlineStr">
        <is>
          <t>Kia Besharat</t>
        </is>
      </c>
      <c r="C11" s="314" t="inlineStr">
        <is>
          <t>CEO</t>
        </is>
      </c>
      <c r="D11" s="314" t="inlineStr">
        <is>
          <t>kbesharat@centurion.com</t>
        </is>
      </c>
      <c r="E11" s="314" t="n"/>
      <c r="F11" s="314" t="n"/>
    </row>
    <row r="12" ht="15" customHeight="1" s="216">
      <c r="A12" s="315" t="inlineStr">
        <is>
          <t>Cloris Capital</t>
        </is>
      </c>
      <c r="B12" s="315" t="inlineStr">
        <is>
          <t>Tahmina</t>
        </is>
      </c>
      <c r="C12" s="315" t="inlineStr">
        <is>
          <t>CEO</t>
        </is>
      </c>
      <c r="D12" s="315" t="inlineStr">
        <is>
          <t>tahmina.investing@gmail.com</t>
        </is>
      </c>
      <c r="E12" s="315" t="n"/>
      <c r="F12" s="315" t="inlineStr">
        <is>
          <t>email outreach has been sent to all</t>
        </is>
      </c>
      <c r="G12" s="122" t="n"/>
      <c r="H12" s="122" t="n"/>
      <c r="I12" s="122" t="n"/>
    </row>
    <row r="13" ht="15" customHeight="1" s="216">
      <c r="A13" s="315" t="inlineStr">
        <is>
          <t>Craft Capital Management</t>
        </is>
      </c>
      <c r="B13" s="315" t="inlineStr">
        <is>
          <t>Brandon Golenda; Alex Hamilton; Ryan Hamilton</t>
        </is>
      </c>
      <c r="C13" s="315" t="n"/>
      <c r="D13" s="315" t="inlineStr">
        <is>
          <t>bgolenda@craftcm.com; alexhamilton@optonline.net; ryanhamilton02@gmail.com</t>
        </is>
      </c>
      <c r="E13" s="315" t="n"/>
      <c r="F13" s="315" t="n"/>
      <c r="G13" s="122" t="n"/>
    </row>
    <row r="14" ht="17.25" customHeight="1" s="216">
      <c r="A14" s="317" t="inlineStr">
        <is>
          <t>DA Davidson</t>
        </is>
      </c>
      <c r="B14" s="317" t="inlineStr">
        <is>
          <t>George 'Toby' Albright III</t>
        </is>
      </c>
      <c r="C14" s="317" t="inlineStr">
        <is>
          <t>CEO</t>
        </is>
      </c>
      <c r="D14" s="317" t="inlineStr">
        <is>
          <t>talbright@dadco.com</t>
        </is>
      </c>
      <c r="E14" s="317" t="n"/>
      <c r="F14" s="318" t="inlineStr">
        <is>
          <t>Suggested you connect with - 
Cerberus Capital Management - Supply Chain and Strategic Opportunities  
Generational Partners
Hale Capital
Lockheed Ventures
Marlinspike
RTX Ventures
Washington Harbour</t>
        </is>
      </c>
    </row>
    <row r="15" ht="15" customHeight="1" s="216">
      <c r="A15" s="314" t="inlineStr">
        <is>
          <t>DS Capital</t>
        </is>
      </c>
      <c r="B15" s="314" t="inlineStr">
        <is>
          <t>Jordan Haley</t>
        </is>
      </c>
      <c r="C15" s="314" t="inlineStr">
        <is>
          <t>Investor</t>
        </is>
      </c>
      <c r="D15" s="314" t="inlineStr">
        <is>
          <t>jordan.h@dscapitalgroup.com</t>
        </is>
      </c>
      <c r="E15" s="314" t="n"/>
      <c r="F15" s="314" t="n"/>
    </row>
    <row r="16" ht="15" customHeight="1" s="216">
      <c r="A16" s="314" t="inlineStr">
        <is>
          <t>Dove Tail Capital</t>
        </is>
      </c>
      <c r="B16" s="314" t="inlineStr">
        <is>
          <t>John Silvestri</t>
        </is>
      </c>
      <c r="C16" s="314" t="n"/>
      <c r="D16" s="314" t="inlineStr">
        <is>
          <t>silvestri@dovetailcap.com</t>
        </is>
      </c>
      <c r="E16" s="314" t="n"/>
      <c r="F16" s="314" t="n"/>
    </row>
    <row r="17" ht="15" customHeight="1" s="216">
      <c r="A17" s="314" t="inlineStr">
        <is>
          <t>EF Hutton</t>
        </is>
      </c>
      <c r="B17" s="314" t="inlineStr">
        <is>
          <t>Anthony Salazar</t>
        </is>
      </c>
      <c r="C17" s="314" t="inlineStr">
        <is>
          <t>Investment Banker</t>
        </is>
      </c>
      <c r="D17" s="314" t="inlineStr">
        <is>
          <t>anthonysalazar139@gmail.com</t>
        </is>
      </c>
      <c r="E17" s="314" t="n"/>
      <c r="F17" s="314" t="n"/>
    </row>
    <row r="18" ht="15" customHeight="1" s="216">
      <c r="A18" s="314" t="inlineStr">
        <is>
          <t>EXO Stellar Pulse Fusion</t>
        </is>
      </c>
      <c r="B18" s="314" t="inlineStr">
        <is>
          <t>Shiva Nagarshi</t>
        </is>
      </c>
      <c r="C18" s="314" t="n"/>
      <c r="D18" s="314" t="inlineStr">
        <is>
          <t>shivanagarshi@gmail.com</t>
        </is>
      </c>
      <c r="E18" s="314" t="n"/>
      <c r="F18" s="314" t="n"/>
    </row>
    <row r="19" ht="15" customHeight="1" s="216">
      <c r="A19" s="314" t="inlineStr">
        <is>
          <t>Farol Asset Management</t>
        </is>
      </c>
      <c r="B19" s="314" t="inlineStr">
        <is>
          <t>Jamal Nasim</t>
        </is>
      </c>
      <c r="C19" s="314" t="n"/>
      <c r="D19" s="314" t="inlineStr">
        <is>
          <t>jamalnasim1@gmail.com</t>
        </is>
      </c>
      <c r="E19" s="314" t="n"/>
      <c r="F19" s="314" t="n"/>
    </row>
    <row r="20" ht="15" customHeight="1" s="216">
      <c r="A20" s="314" t="inlineStr">
        <is>
          <t>Fast-Space</t>
        </is>
      </c>
      <c r="B20" s="314" t="inlineStr">
        <is>
          <t>Anthony Van der Merwe</t>
        </is>
      </c>
      <c r="C20" s="314" t="inlineStr">
        <is>
          <t>CEO</t>
        </is>
      </c>
      <c r="D20" s="314" t="inlineStr">
        <is>
          <t>anthony@fast-space.com</t>
        </is>
      </c>
      <c r="E20" s="314" t="inlineStr">
        <is>
          <t>407-601-8458</t>
        </is>
      </c>
      <c r="F20" s="314" t="n"/>
    </row>
    <row r="21" ht="15" customHeight="1" s="216">
      <c r="A21" s="317" t="inlineStr">
        <is>
          <t>Finance (Individual)</t>
        </is>
      </c>
      <c r="B21" s="317" t="inlineStr">
        <is>
          <t>Mike Broome</t>
        </is>
      </c>
      <c r="C21" s="317" t="n"/>
      <c r="D21" s="317" t="inlineStr">
        <is>
          <t>mgbroome1@gmail.com</t>
        </is>
      </c>
      <c r="E21" s="317" t="n"/>
      <c r="F21" s="317" t="inlineStr">
        <is>
          <t>meeting booked / no show</t>
        </is>
      </c>
      <c r="G21" s="118" t="n"/>
      <c r="H21" s="118" t="n"/>
    </row>
    <row r="22" ht="15" customHeight="1" s="216">
      <c r="A22" s="314" t="inlineStr">
        <is>
          <t>Formidable Space</t>
        </is>
      </c>
      <c r="B22" s="314" t="inlineStr">
        <is>
          <t>Don Weider</t>
        </is>
      </c>
      <c r="C22" s="314" t="n"/>
      <c r="D22" s="314" t="inlineStr">
        <is>
          <t>don@formitable.space</t>
        </is>
      </c>
      <c r="E22" s="314" t="n"/>
      <c r="F22" s="314" t="n"/>
    </row>
    <row r="23" ht="15" customHeight="1" s="216">
      <c r="A23" s="314" t="inlineStr">
        <is>
          <t>Funding Well</t>
        </is>
      </c>
      <c r="B23" s="314" t="inlineStr">
        <is>
          <t>Sheldon Weiss</t>
        </is>
      </c>
      <c r="C23" s="314" t="inlineStr">
        <is>
          <t>Investor</t>
        </is>
      </c>
      <c r="D23" s="314" t="inlineStr">
        <is>
          <t>sheldon@fundwell.com</t>
        </is>
      </c>
      <c r="E23" s="314" t="n"/>
      <c r="F23" s="314" t="n"/>
    </row>
    <row r="24" ht="15" customHeight="1" s="216">
      <c r="A24" s="314" t="inlineStr">
        <is>
          <t>GNC Specialist (Individual)</t>
        </is>
      </c>
      <c r="B24" s="314" t="inlineStr">
        <is>
          <t>Harrison Lambert</t>
        </is>
      </c>
      <c r="C24" s="314" t="inlineStr">
        <is>
          <t>Investor</t>
        </is>
      </c>
      <c r="D24" s="314" t="inlineStr">
        <is>
          <t>lambert.harrison@gmail.com</t>
        </is>
      </c>
      <c r="E24" s="314" t="n"/>
      <c r="F24" s="314" t="n"/>
    </row>
    <row r="25" ht="15" customHeight="1" s="216">
      <c r="A25" s="314" t="inlineStr">
        <is>
          <t>Gulf Technologies Systems</t>
        </is>
      </c>
      <c r="B25" s="314" t="inlineStr">
        <is>
          <t>Samuel Shay</t>
        </is>
      </c>
      <c r="C25" s="314" t="inlineStr">
        <is>
          <t>CEO</t>
        </is>
      </c>
      <c r="D25" s="314" t="n"/>
      <c r="E25" s="314" t="n"/>
      <c r="F25" s="314" t="n"/>
    </row>
    <row r="26" ht="15" customHeight="1" s="216">
      <c r="A26" s="317" t="inlineStr">
        <is>
          <t>High Precision</t>
        </is>
      </c>
      <c r="B26" s="317" t="inlineStr">
        <is>
          <t>Earl Cooke</t>
        </is>
      </c>
      <c r="C26" s="317" t="n"/>
      <c r="D26" s="317" t="inlineStr">
        <is>
          <t>cooktx@gmail.com</t>
        </is>
      </c>
      <c r="E26" s="317" t="n"/>
      <c r="F26" s="317" t="inlineStr">
        <is>
          <t>meeting booked / no show</t>
        </is>
      </c>
      <c r="G26" s="118" t="n"/>
      <c r="H26" s="118" t="n"/>
    </row>
    <row r="27" ht="15" customHeight="1" s="216">
      <c r="A27" s="317" t="inlineStr">
        <is>
          <t>Higher Orbits</t>
        </is>
      </c>
      <c r="B27" s="317" t="inlineStr">
        <is>
          <t>Michelle Lucas</t>
        </is>
      </c>
      <c r="C27" s="317" t="inlineStr">
        <is>
          <t>Non-profit</t>
        </is>
      </c>
      <c r="D27" s="317" t="inlineStr">
        <is>
          <t>michelle@higherorbits.org</t>
        </is>
      </c>
      <c r="E27" s="317" t="n"/>
      <c r="F27" s="317" t="inlineStr">
        <is>
          <t>sent to Lizi for follow up - not a VC opportunity</t>
        </is>
      </c>
      <c r="G27" s="118" t="n"/>
      <c r="H27" s="118" t="n"/>
      <c r="I27" s="118" t="n"/>
      <c r="J27" s="118" t="n"/>
    </row>
    <row r="28" ht="15" customHeight="1" s="216">
      <c r="A28" s="314" t="inlineStr">
        <is>
          <t>Houston Chronicle</t>
        </is>
      </c>
      <c r="B28" s="314" t="inlineStr">
        <is>
          <t>Andrea Leinfelder</t>
        </is>
      </c>
      <c r="C28" s="314" t="inlineStr">
        <is>
          <t>Reporter</t>
        </is>
      </c>
      <c r="D28" s="314" t="inlineStr">
        <is>
          <t>andrea.leinfelder@houstonchronicle.com</t>
        </is>
      </c>
      <c r="E28" s="314" t="n"/>
      <c r="F28" s="314" t="inlineStr">
        <is>
          <t>current contact of ours, but did not book</t>
        </is>
      </c>
    </row>
    <row r="29" ht="15" customHeight="1" s="216">
      <c r="A29" s="314" t="inlineStr">
        <is>
          <t>Invest Green</t>
        </is>
      </c>
      <c r="B29" s="314" t="inlineStr">
        <is>
          <t>Michael Krawchuk</t>
        </is>
      </c>
      <c r="C29" s="314" t="n"/>
      <c r="D29" s="314" t="inlineStr">
        <is>
          <t>mike@invest.green</t>
        </is>
      </c>
      <c r="E29" s="314" t="n"/>
      <c r="F29" s="314" t="n"/>
    </row>
    <row r="30" ht="15" customHeight="1" s="216">
      <c r="A30" s="314" t="inlineStr">
        <is>
          <t>JP Morgan</t>
        </is>
      </c>
      <c r="B30" s="314" t="inlineStr">
        <is>
          <t>Steve Barry; Phil Volpe</t>
        </is>
      </c>
      <c r="C30" s="314" t="inlineStr">
        <is>
          <t>VP; VP</t>
        </is>
      </c>
      <c r="D30" s="314" t="inlineStr">
        <is>
          <t>steven.m.barry@jpmorgan.com; philip.volpe@jpmorgan.com</t>
        </is>
      </c>
      <c r="E30" s="314" t="n"/>
      <c r="F30" s="314" t="n"/>
    </row>
    <row r="31" ht="15" customHeight="1" s="216">
      <c r="A31" s="314" t="inlineStr">
        <is>
          <t>JPL</t>
        </is>
      </c>
      <c r="B31" s="314" t="inlineStr">
        <is>
          <t>Erika Podest</t>
        </is>
      </c>
      <c r="C31" s="314" t="n"/>
      <c r="D31" s="314" t="inlineStr">
        <is>
          <t>erika.podest@jpl.nasa.org</t>
        </is>
      </c>
      <c r="E31" s="314" t="n"/>
      <c r="F31" s="314" t="n"/>
    </row>
    <row r="32" ht="15" customHeight="1" s="216">
      <c r="A32" s="314" t="inlineStr">
        <is>
          <t>K&amp;B Ventures</t>
        </is>
      </c>
      <c r="B32" s="314" t="inlineStr">
        <is>
          <t>Kira Blackwell</t>
        </is>
      </c>
      <c r="C32" s="314" t="n"/>
      <c r="D32" s="314" t="inlineStr">
        <is>
          <t>kblackwell@protonmail.com</t>
        </is>
      </c>
      <c r="E32" s="314" t="n"/>
      <c r="F32" s="314" t="n"/>
    </row>
    <row r="33" ht="15" customHeight="1" s="216">
      <c r="A33" s="314" t="inlineStr">
        <is>
          <t>Lockheed Martin Ventures</t>
        </is>
      </c>
      <c r="B33" s="314" t="inlineStr">
        <is>
          <t>Kaija Gisolfi-McCready</t>
        </is>
      </c>
      <c r="C33" s="314" t="inlineStr">
        <is>
          <t>Investor</t>
        </is>
      </c>
      <c r="D33" s="314" t="inlineStr">
        <is>
          <t>kaija.gisolfi-mccready@imco.com</t>
        </is>
      </c>
      <c r="E33" s="314" t="n"/>
      <c r="F33" s="314" t="n"/>
    </row>
    <row r="34" ht="15" customHeight="1" s="216">
      <c r="A34" s="321" t="inlineStr">
        <is>
          <t>M Capital Group</t>
        </is>
      </c>
      <c r="B34" s="321" t="inlineStr">
        <is>
          <t>Christian Mouchbahani</t>
        </is>
      </c>
      <c r="C34" s="321" t="inlineStr">
        <is>
          <t>Investor</t>
        </is>
      </c>
      <c r="D34" s="321" t="inlineStr">
        <is>
          <t>rhobin@mcapital-group.com</t>
        </is>
      </c>
      <c r="E34" s="321" t="n"/>
      <c r="F34" s="321" t="inlineStr">
        <is>
          <t>materials sent / no follow up</t>
        </is>
      </c>
      <c r="G34" s="275" t="n"/>
      <c r="H34" s="275" t="n"/>
    </row>
    <row r="35" ht="15" customHeight="1" s="216">
      <c r="A35" s="315" t="inlineStr">
        <is>
          <t>M-Fly</t>
        </is>
      </c>
      <c r="B35" s="315" t="inlineStr">
        <is>
          <t>Tetiana Karaicheva</t>
        </is>
      </c>
      <c r="C35" s="315" t="n"/>
      <c r="D35" s="315" t="inlineStr">
        <is>
          <t>t.karaicheva@m-fly.org</t>
        </is>
      </c>
      <c r="E35" s="314" t="n"/>
      <c r="F35" s="314" t="n"/>
    </row>
    <row r="36" ht="15" customHeight="1" s="216">
      <c r="A36" s="314" t="inlineStr">
        <is>
          <t>Marcus &amp; Millichap</t>
        </is>
      </c>
      <c r="B36" s="314" t="inlineStr">
        <is>
          <t>Andres Lopez</t>
        </is>
      </c>
      <c r="C36" s="314" t="n"/>
      <c r="D36" s="314" t="inlineStr">
        <is>
          <t>andres.lopez@marcusmillichap.com</t>
        </is>
      </c>
      <c r="E36" s="314" t="inlineStr">
        <is>
          <t>408-421-4703</t>
        </is>
      </c>
      <c r="F36" s="314" t="n"/>
    </row>
    <row r="37" ht="15" customHeight="1" s="216">
      <c r="A37" s="317" t="inlineStr">
        <is>
          <t>Marvecx</t>
        </is>
      </c>
      <c r="B37" s="317" t="inlineStr">
        <is>
          <t>Marvelours Ayinde</t>
        </is>
      </c>
      <c r="C37" s="317" t="n"/>
      <c r="D37" s="317" t="inlineStr">
        <is>
          <t>marvecxsparct@gmail.com</t>
        </is>
      </c>
      <c r="E37" s="317" t="n"/>
      <c r="F37" s="317" t="inlineStr">
        <is>
          <t>meeting booked / no show</t>
        </is>
      </c>
      <c r="G37" s="118" t="n"/>
      <c r="H37" s="118" t="n"/>
    </row>
    <row r="38" ht="15" customHeight="1" s="216">
      <c r="A38" s="317" t="inlineStr">
        <is>
          <t>NBA Investor</t>
        </is>
      </c>
      <c r="B38" s="317" t="inlineStr">
        <is>
          <t>Luther Head Jr.</t>
        </is>
      </c>
      <c r="C38" s="317" t="inlineStr">
        <is>
          <t>Investor</t>
        </is>
      </c>
      <c r="D38" s="317" t="inlineStr">
        <is>
          <t>idhead2@aim.com</t>
        </is>
      </c>
      <c r="E38" s="314" t="n"/>
      <c r="F38" s="314" t="n"/>
    </row>
    <row r="39" ht="15" customHeight="1" s="216">
      <c r="A39" s="314" t="inlineStr">
        <is>
          <t>Note Investment Corp</t>
        </is>
      </c>
      <c r="B39" s="314" t="inlineStr">
        <is>
          <t>William Naranjo</t>
        </is>
      </c>
      <c r="C39" s="314" t="n"/>
      <c r="D39" s="314" t="inlineStr">
        <is>
          <t>william@noteinvestmentcorporatiin.com</t>
        </is>
      </c>
      <c r="E39" s="314" t="n"/>
      <c r="F39" s="314" t="n"/>
    </row>
    <row r="40" ht="15" customHeight="1" s="216">
      <c r="A40" s="317" t="inlineStr">
        <is>
          <t>Oden Capital</t>
        </is>
      </c>
      <c r="B40" s="317" t="inlineStr">
        <is>
          <t>Eric Gomberg</t>
        </is>
      </c>
      <c r="C40" s="317" t="inlineStr">
        <is>
          <t>Investor</t>
        </is>
      </c>
      <c r="D40" s="317" t="inlineStr">
        <is>
          <t>egomberg@odencap.com</t>
        </is>
      </c>
      <c r="E40" s="314" t="n"/>
      <c r="F40" s="314" t="n"/>
    </row>
    <row r="41" ht="15" customHeight="1" s="216">
      <c r="A41" s="314" t="inlineStr">
        <is>
          <t>One Source Partners</t>
        </is>
      </c>
      <c r="B41" s="314" t="inlineStr">
        <is>
          <t>Robert Samuels</t>
        </is>
      </c>
      <c r="C41" s="314" t="inlineStr">
        <is>
          <t>Venture</t>
        </is>
      </c>
      <c r="D41" s="314" t="inlineStr">
        <is>
          <t>rs@robertsamuels.com</t>
        </is>
      </c>
      <c r="E41" s="314" t="n"/>
      <c r="F41" s="314" t="n"/>
    </row>
    <row r="42" ht="15" customHeight="1" s="216">
      <c r="A42" s="321" t="inlineStr">
        <is>
          <t>Paul Hastings</t>
        </is>
      </c>
      <c r="B42" s="321" t="inlineStr">
        <is>
          <t>Michael Pestana</t>
        </is>
      </c>
      <c r="C42" s="321" t="inlineStr">
        <is>
          <t>Investor</t>
        </is>
      </c>
      <c r="D42" s="321" t="inlineStr">
        <is>
          <t>mikepestana@paulhastings.com</t>
        </is>
      </c>
      <c r="E42" s="321" t="n"/>
      <c r="F42" s="321" t="inlineStr">
        <is>
          <t>info sent / no meeting booked</t>
        </is>
      </c>
      <c r="G42" s="275" t="n"/>
      <c r="H42" s="275" t="n"/>
    </row>
    <row r="43" ht="15" customHeight="1" s="216">
      <c r="A43" s="321" t="inlineStr">
        <is>
          <t>Prototek</t>
        </is>
      </c>
      <c r="B43" s="321" t="inlineStr">
        <is>
          <t>Jenifer Epperson</t>
        </is>
      </c>
      <c r="C43" s="321" t="inlineStr">
        <is>
          <t>Business Development</t>
        </is>
      </c>
      <c r="D43" s="321" t="inlineStr">
        <is>
          <t>eppersonjenni@gmail.com</t>
        </is>
      </c>
      <c r="E43" s="321" t="n"/>
      <c r="F43" s="321" t="inlineStr">
        <is>
          <t>cancelled / no reschedule</t>
        </is>
      </c>
      <c r="G43" s="275" t="n"/>
      <c r="H43" s="275" t="n"/>
    </row>
    <row r="44" ht="15" customHeight="1" s="216">
      <c r="A44" s="314" t="inlineStr">
        <is>
          <t>Quantum Technology Limited</t>
        </is>
      </c>
      <c r="B44" s="314" t="inlineStr">
        <is>
          <t>Keryn Johnson</t>
        </is>
      </c>
      <c r="C44" s="314" t="inlineStr">
        <is>
          <t>CEO / PhD</t>
        </is>
      </c>
      <c r="D44" s="314" t="inlineStr">
        <is>
          <t>k.johnson@ohbeehave007@gmail.com</t>
        </is>
      </c>
      <c r="E44" s="314" t="inlineStr">
        <is>
          <t>642-219-8782</t>
        </is>
      </c>
      <c r="F44" s="314" t="n"/>
    </row>
    <row r="45" ht="15" customHeight="1" s="216">
      <c r="A45" s="321" t="inlineStr">
        <is>
          <t>RF Lafferty &amp; Co</t>
        </is>
      </c>
      <c r="B45" s="321" t="inlineStr">
        <is>
          <t>Zachary Blumenthal</t>
        </is>
      </c>
      <c r="C45" s="321" t="inlineStr">
        <is>
          <t>Investor</t>
        </is>
      </c>
      <c r="D45" s="321" t="inlineStr">
        <is>
          <t>zblumenthal@rflafferty.com</t>
        </is>
      </c>
      <c r="E45" s="321" t="n"/>
      <c r="F45" s="321" t="inlineStr">
        <is>
          <t>materials sent / no follow up</t>
        </is>
      </c>
      <c r="G45" s="275" t="n"/>
      <c r="H45" s="275" t="n"/>
    </row>
    <row r="46" ht="15" customHeight="1" s="216">
      <c r="A46" s="314" t="inlineStr">
        <is>
          <t>Ranger Aerospace</t>
        </is>
      </c>
      <c r="B46" s="314" t="inlineStr">
        <is>
          <t>Steve Townes</t>
        </is>
      </c>
      <c r="C46" s="314" t="inlineStr">
        <is>
          <t>CEO</t>
        </is>
      </c>
      <c r="D46" s="314" t="inlineStr">
        <is>
          <t>stownes@rangeraerospace.com</t>
        </is>
      </c>
      <c r="E46" s="314" t="n"/>
      <c r="F46" s="314" t="n"/>
    </row>
    <row r="47" ht="15" customHeight="1" s="216">
      <c r="A47" s="317" t="inlineStr">
        <is>
          <t>Rocket Propulsion Systems</t>
        </is>
      </c>
      <c r="B47" s="317" t="inlineStr">
        <is>
          <t>Max Ismailov</t>
        </is>
      </c>
      <c r="C47" s="317" t="n"/>
      <c r="D47" s="317" t="inlineStr">
        <is>
          <t>info@rocketpropulsionsysyems.com</t>
        </is>
      </c>
      <c r="E47" s="314" t="n"/>
      <c r="F47" s="314" t="n"/>
    </row>
    <row r="48" ht="15" customHeight="1" s="216">
      <c r="A48" s="314" t="inlineStr">
        <is>
          <t>Rockwell Automation</t>
        </is>
      </c>
      <c r="B48" s="314" t="inlineStr">
        <is>
          <t>Alexander Smith</t>
        </is>
      </c>
      <c r="C48" s="314" t="inlineStr">
        <is>
          <t>CEO</t>
        </is>
      </c>
      <c r="D48" s="314" t="inlineStr">
        <is>
          <t>ajsmith3@rockwellautomation.com</t>
        </is>
      </c>
      <c r="E48" s="314" t="n"/>
      <c r="F48" s="314" t="n"/>
    </row>
    <row r="49" ht="15" customHeight="1" s="216">
      <c r="A49" s="321" t="inlineStr">
        <is>
          <t>SDRC Corp</t>
        </is>
      </c>
      <c r="B49" s="321" t="inlineStr">
        <is>
          <t>Sean-Rae Zalewski</t>
        </is>
      </c>
      <c r="C49" s="321" t="inlineStr">
        <is>
          <t>VP</t>
        </is>
      </c>
      <c r="D49" s="321" t="inlineStr">
        <is>
          <t>sean@sdrccorp.com</t>
        </is>
      </c>
      <c r="E49" s="321" t="n"/>
      <c r="F49" s="321" t="inlineStr">
        <is>
          <t>materials sent / no follow up</t>
        </is>
      </c>
      <c r="G49" s="275" t="n"/>
      <c r="H49" s="275" t="n"/>
    </row>
    <row r="50" ht="15" customHeight="1" s="216">
      <c r="A50" s="314" t="inlineStr">
        <is>
          <t>SLS Group</t>
        </is>
      </c>
      <c r="B50" s="314" t="inlineStr">
        <is>
          <t>Ben Port</t>
        </is>
      </c>
      <c r="C50" s="314" t="n"/>
      <c r="D50" s="314" t="inlineStr">
        <is>
          <t>ben@slsgroup.io</t>
        </is>
      </c>
      <c r="E50" s="314" t="n"/>
      <c r="F50" s="314" t="n"/>
    </row>
    <row r="51" ht="15" customHeight="1" s="216">
      <c r="A51" s="314" t="inlineStr">
        <is>
          <t>Sun Burn Schematics</t>
        </is>
      </c>
      <c r="B51" s="314" t="inlineStr">
        <is>
          <t>Danny Andreev</t>
        </is>
      </c>
      <c r="C51" s="314" t="n"/>
      <c r="D51" s="314" t="inlineStr">
        <is>
          <t>danny@sunburnscematics.com</t>
        </is>
      </c>
      <c r="E51" s="314" t="n"/>
      <c r="F51" s="314" t="n"/>
    </row>
    <row r="52" ht="15" customHeight="1" s="216">
      <c r="A52" s="314" t="inlineStr">
        <is>
          <t>The Booster</t>
        </is>
      </c>
      <c r="B52" s="314" t="inlineStr">
        <is>
          <t>Hakan Kurt</t>
        </is>
      </c>
      <c r="C52" s="314" t="inlineStr">
        <is>
          <t>Investor</t>
        </is>
      </c>
      <c r="D52" s="314" t="inlineStr">
        <is>
          <t>hakan.kurt@thebooster.com</t>
        </is>
      </c>
      <c r="E52" s="314" t="n"/>
      <c r="F52" s="314" t="n"/>
    </row>
    <row r="53" ht="15" customHeight="1" s="216">
      <c r="A53" s="314" t="inlineStr">
        <is>
          <t>Think Equity</t>
        </is>
      </c>
      <c r="B53" s="314" t="inlineStr">
        <is>
          <t>Brian Demmert</t>
        </is>
      </c>
      <c r="C53" s="314" t="inlineStr">
        <is>
          <t>VP</t>
        </is>
      </c>
      <c r="D53" s="314" t="inlineStr">
        <is>
          <t>bd@thinke-quity.com</t>
        </is>
      </c>
      <c r="E53" s="314" t="n"/>
      <c r="F53" s="314" t="n"/>
    </row>
    <row r="54" ht="15" customHeight="1" s="216">
      <c r="A54" s="321" t="inlineStr">
        <is>
          <t>Thunder Rock Capital</t>
        </is>
      </c>
      <c r="B54" s="321" t="inlineStr">
        <is>
          <t>Varun Ajjarapu</t>
        </is>
      </c>
      <c r="C54" s="321" t="inlineStr">
        <is>
          <t>Investor</t>
        </is>
      </c>
      <c r="D54" s="321" t="inlineStr">
        <is>
          <t>va@thunderrockcapital.com</t>
        </is>
      </c>
      <c r="E54" s="321" t="n"/>
      <c r="F54" s="321" t="inlineStr">
        <is>
          <t>materials sent / no follow up</t>
        </is>
      </c>
      <c r="G54" s="275" t="n"/>
      <c r="H54" s="275" t="n"/>
    </row>
    <row r="55" ht="15" customHeight="1" s="216">
      <c r="A55" s="315" t="inlineStr">
        <is>
          <t>Tri-State Capital</t>
        </is>
      </c>
      <c r="B55" s="315" t="inlineStr">
        <is>
          <t>Sulaiman Sulaimani</t>
        </is>
      </c>
      <c r="C55" s="315" t="n"/>
      <c r="D55" s="315" t="inlineStr">
        <is>
          <t>sulaiman@tristatecap.com</t>
        </is>
      </c>
      <c r="E55" s="314" t="n"/>
      <c r="F55" s="314" t="n"/>
    </row>
    <row r="56" ht="15" customHeight="1" s="216">
      <c r="A56" s="317" t="inlineStr">
        <is>
          <t>Turbo Flux</t>
        </is>
      </c>
      <c r="B56" s="317" t="inlineStr">
        <is>
          <t>Kenneth Hicks</t>
        </is>
      </c>
      <c r="C56" s="317" t="inlineStr">
        <is>
          <t>CEO / Investor</t>
        </is>
      </c>
      <c r="D56" s="317" t="inlineStr">
        <is>
          <t>turboflux2001@gmail.com</t>
        </is>
      </c>
      <c r="E56" s="317" t="n"/>
      <c r="F56" s="317" t="inlineStr">
        <is>
          <t>meeting booked / no show</t>
        </is>
      </c>
      <c r="G56" s="118" t="n"/>
      <c r="H56" s="118" t="n"/>
    </row>
    <row r="57" ht="15" customHeight="1" s="216">
      <c r="A57" s="315" t="inlineStr">
        <is>
          <t>US Capital</t>
        </is>
      </c>
      <c r="B57" s="315" t="inlineStr">
        <is>
          <t>Mitch; Steve Wilburn; Charles Sims</t>
        </is>
      </c>
      <c r="C57" s="315" t="inlineStr">
        <is>
          <t>CEO</t>
        </is>
      </c>
      <c r="D57" s="315" t="inlineStr">
        <is>
          <t>mambe@uscapital.com; csims@craftcm.com</t>
        </is>
      </c>
      <c r="E57" s="315" t="n"/>
      <c r="F57" s="314" t="n"/>
    </row>
    <row r="58" ht="15" customHeight="1" s="216">
      <c r="A58" s="315" t="inlineStr">
        <is>
          <t>V2 Axis</t>
        </is>
      </c>
      <c r="B58" s="315" t="inlineStr">
        <is>
          <t>Taylor Schomacher</t>
        </is>
      </c>
      <c r="C58" s="315" t="inlineStr">
        <is>
          <t>VP</t>
        </is>
      </c>
      <c r="D58" s="322" t="inlineStr">
        <is>
          <t>taylor@v2axis.com</t>
        </is>
      </c>
      <c r="E58" s="314" t="n"/>
      <c r="F58" s="314" t="n"/>
    </row>
    <row r="59" ht="15" customHeight="1" s="216">
      <c r="A59" s="314" t="inlineStr">
        <is>
          <t>Venture Capital (Individual)</t>
        </is>
      </c>
      <c r="B59" s="314" t="inlineStr">
        <is>
          <t>Paul Mayer</t>
        </is>
      </c>
      <c r="C59" s="314" t="inlineStr">
        <is>
          <t>Investor</t>
        </is>
      </c>
      <c r="D59" s="314" t="inlineStr">
        <is>
          <t>mayer.w.paul@gmail.com</t>
        </is>
      </c>
      <c r="E59" s="314" t="n"/>
      <c r="F59" s="314" t="n"/>
    </row>
    <row r="60" ht="15" customHeight="1" s="216">
      <c r="A60" s="314" t="n"/>
      <c r="B60" s="314" t="n"/>
      <c r="C60" s="314" t="n"/>
      <c r="D60" s="314" t="n"/>
      <c r="E60" s="314" t="n"/>
      <c r="F60" s="314" t="n"/>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ColWidth="12.5703125" defaultRowHeight="15.75"/>
  <cols>
    <col width="29.85546875" customWidth="1" style="216" min="1" max="1"/>
    <col width="30.140625" customWidth="1" style="216" min="2" max="2"/>
    <col width="43" customWidth="1" style="216" min="3" max="3"/>
    <col width="30" customWidth="1" style="216" min="4" max="4"/>
    <col width="29.140625" customWidth="1" style="216" min="5" max="5"/>
  </cols>
  <sheetData>
    <row r="1" ht="12.94999980926514" customHeight="1" s="216">
      <c r="A1" s="1" t="inlineStr">
        <is>
          <t>Name</t>
        </is>
      </c>
      <c r="B1" s="1" t="inlineStr">
        <is>
          <t>Company</t>
        </is>
      </c>
      <c r="C1" s="1" t="inlineStr">
        <is>
          <t>LinkedIn Profile</t>
        </is>
      </c>
      <c r="D1" s="1" t="inlineStr">
        <is>
          <t>Email</t>
        </is>
      </c>
      <c r="E1" s="1" t="inlineStr">
        <is>
          <t>Secondary Email</t>
        </is>
      </c>
      <c r="F1" s="1" t="inlineStr">
        <is>
          <t>1st Email Sent</t>
        </is>
      </c>
      <c r="G1" s="1" t="inlineStr">
        <is>
          <t>Follow Up</t>
        </is>
      </c>
      <c r="H1" s="1" t="inlineStr">
        <is>
          <t>Notes</t>
        </is>
      </c>
    </row>
    <row r="2" ht="15.75" customHeight="1" s="216">
      <c r="A2" s="16" t="inlineStr">
        <is>
          <t>Michael Baine</t>
        </is>
      </c>
      <c r="B2" s="16" t="inlineStr">
        <is>
          <t xml:space="preserve">Axiom </t>
        </is>
      </c>
      <c r="C2" s="136" t="inlineStr">
        <is>
          <t>https://www.linkedin.com/in/michael-baine-2b870640/</t>
        </is>
      </c>
      <c r="D2" s="16" t="inlineStr">
        <is>
          <t>mike.baine@axiomspace.com</t>
        </is>
      </c>
      <c r="E2" s="17" t="inlineStr">
        <is>
          <t>michaelbaine@mac.com</t>
        </is>
      </c>
      <c r="F2" s="38" t="n">
        <v>45743</v>
      </c>
      <c r="G2" s="16" t="inlineStr">
        <is>
          <t>sent meeting link on 3/28</t>
        </is>
      </c>
      <c r="H2" s="16" t="inlineStr">
        <is>
          <t>4/25 - axiom announced new CEO</t>
        </is>
      </c>
    </row>
    <row r="3" ht="15.75" customHeight="1" s="216">
      <c r="A3" s="2" t="inlineStr">
        <is>
          <t>Russell Ralston</t>
        </is>
      </c>
      <c r="B3" s="2" t="inlineStr">
        <is>
          <t xml:space="preserve">Axiom </t>
        </is>
      </c>
      <c r="C3" s="3" t="inlineStr">
        <is>
          <t>https://www.linkedin.com/in/russell-ralston-62113ab/</t>
        </is>
      </c>
      <c r="D3" s="4" t="inlineStr">
        <is>
          <t>russell@axiomspace.com</t>
        </is>
      </c>
      <c r="F3" s="39" t="n">
        <v>45743</v>
      </c>
    </row>
    <row r="4" ht="15.75" customHeight="1" s="216">
      <c r="A4" s="2" t="inlineStr">
        <is>
          <t>David Romero</t>
        </is>
      </c>
      <c r="B4" s="2" t="inlineStr">
        <is>
          <t xml:space="preserve">Axiom </t>
        </is>
      </c>
      <c r="C4" s="3" t="inlineStr">
        <is>
          <t>https://www.linkedin.com/in/david-romero-479a2128/</t>
        </is>
      </c>
      <c r="D4" s="2" t="inlineStr">
        <is>
          <t>david.romero@axiomspace.com</t>
        </is>
      </c>
      <c r="F4" s="39" t="n">
        <v>45743</v>
      </c>
    </row>
    <row r="5" ht="15.75" customHeight="1" s="216">
      <c r="A5" s="2" t="inlineStr">
        <is>
          <t>Mark Greely</t>
        </is>
      </c>
      <c r="B5" s="2" t="inlineStr">
        <is>
          <t xml:space="preserve">Axiom </t>
        </is>
      </c>
      <c r="D5" s="4" t="inlineStr">
        <is>
          <t>mark@axiomspace.com</t>
        </is>
      </c>
      <c r="F5" s="39" t="n">
        <v>45743</v>
      </c>
    </row>
    <row r="6" ht="15.75" customHeight="1" s="216">
      <c r="A6" s="2" t="inlineStr">
        <is>
          <t>Randy Hubbard</t>
        </is>
      </c>
      <c r="B6" s="2" t="inlineStr">
        <is>
          <t xml:space="preserve">Axiom </t>
        </is>
      </c>
      <c r="C6" s="3" t="inlineStr">
        <is>
          <t>https://www.linkedin.com/in/randy-hubbard-12731175/</t>
        </is>
      </c>
      <c r="D6" s="4" t="inlineStr">
        <is>
          <t>randy@axiomspace.com</t>
        </is>
      </c>
      <c r="F6" s="39" t="n">
        <v>45743</v>
      </c>
    </row>
    <row r="7" ht="15.75" customHeight="1" s="216">
      <c r="A7" s="2" t="inlineStr">
        <is>
          <t>Ben Lee</t>
        </is>
      </c>
      <c r="B7" s="2" t="inlineStr">
        <is>
          <t xml:space="preserve">Axiom </t>
        </is>
      </c>
      <c r="C7" s="3" t="inlineStr">
        <is>
          <t>https://www.linkedin.com/in/ben-junghwan-lee-0403bb43/</t>
        </is>
      </c>
      <c r="D7" s="4" t="inlineStr">
        <is>
          <t>ben@axiomspace.com</t>
        </is>
      </c>
      <c r="F7" s="39" t="n">
        <v>45743</v>
      </c>
    </row>
    <row r="8" ht="15.75" customHeight="1" s="216">
      <c r="A8" s="2" t="inlineStr">
        <is>
          <t>Luke Peeples</t>
        </is>
      </c>
      <c r="B8" s="2" t="inlineStr">
        <is>
          <t xml:space="preserve">Axiom </t>
        </is>
      </c>
      <c r="C8" s="3" t="inlineStr">
        <is>
          <t>https://www.linkedin.com/in/luke-peeples-91846087/</t>
        </is>
      </c>
      <c r="D8" s="4" t="inlineStr">
        <is>
          <t>lukepeeples@gmail.com</t>
        </is>
      </c>
      <c r="E8" s="4" t="inlineStr">
        <is>
          <t>luke@axiomspace.com</t>
        </is>
      </c>
      <c r="F8" s="39" t="n">
        <v>45743</v>
      </c>
    </row>
    <row r="9" ht="15.75" customHeight="1" s="216">
      <c r="A9" s="2" t="inlineStr">
        <is>
          <t>James Stein</t>
        </is>
      </c>
      <c r="B9" s="2" t="inlineStr">
        <is>
          <t xml:space="preserve">Axiom </t>
        </is>
      </c>
      <c r="C9" s="3" t="inlineStr">
        <is>
          <t>https://www.linkedin.com/in/james-stein-09018227/</t>
        </is>
      </c>
      <c r="D9" s="4" t="inlineStr">
        <is>
          <t>jim@axiomspace.com</t>
        </is>
      </c>
      <c r="F9" s="39" t="n">
        <v>45743</v>
      </c>
    </row>
    <row r="10" ht="15.75" customHeight="1" s="216">
      <c r="A10" s="2" t="inlineStr">
        <is>
          <t>Bill Tandy</t>
        </is>
      </c>
      <c r="B10" s="2" t="inlineStr">
        <is>
          <t>Gravitics</t>
        </is>
      </c>
      <c r="C10" s="3" t="inlineStr">
        <is>
          <t>https://www.linkedin.com/in/billtandy/</t>
        </is>
      </c>
      <c r="D10" s="4" t="inlineStr">
        <is>
          <t>btandy@gravitics.com</t>
        </is>
      </c>
      <c r="F10" s="39" t="n">
        <v>45744</v>
      </c>
    </row>
    <row r="11" ht="15.75" customHeight="1" s="216">
      <c r="A11" s="2" t="inlineStr">
        <is>
          <t>Jiral Shah</t>
        </is>
      </c>
      <c r="B11" s="2" t="inlineStr">
        <is>
          <t>Gravitics</t>
        </is>
      </c>
      <c r="C11" s="3" t="inlineStr">
        <is>
          <t>https://www.linkedin.com/in/jiralshah/</t>
        </is>
      </c>
      <c r="D11" s="4" t="inlineStr">
        <is>
          <t>jshah@gravitics.com</t>
        </is>
      </c>
      <c r="E11" s="4" t="inlineStr">
        <is>
          <t>jiral.shah@gmail.com</t>
        </is>
      </c>
      <c r="F11" s="39" t="n">
        <v>45744</v>
      </c>
    </row>
    <row r="12" ht="15.75" customHeight="1" s="216">
      <c r="A12" s="16" t="inlineStr">
        <is>
          <t>Scott Macklin</t>
        </is>
      </c>
      <c r="B12" s="16" t="inlineStr">
        <is>
          <t>Gravitics</t>
        </is>
      </c>
      <c r="C12" s="136" t="inlineStr">
        <is>
          <t>https://www.linkedin.com/in/scmacklin/</t>
        </is>
      </c>
      <c r="D12" s="17" t="inlineStr">
        <is>
          <t>smacklin@gravitics.com</t>
        </is>
      </c>
      <c r="E12" s="17" t="inlineStr">
        <is>
          <t>scottjmacklin@gmail.com</t>
        </is>
      </c>
      <c r="F12" s="38" t="n">
        <v>45744</v>
      </c>
      <c r="G12" s="16" t="inlineStr">
        <is>
          <t>meeting link sent</t>
        </is>
      </c>
      <c r="H12" s="16" t="inlineStr">
        <is>
          <t>meeting set for 4/3</t>
        </is>
      </c>
    </row>
    <row r="13" ht="15.75" customHeight="1" s="216">
      <c r="A13" s="2" t="inlineStr">
        <is>
          <t>Colin Doughan</t>
        </is>
      </c>
      <c r="B13" s="2" t="inlineStr">
        <is>
          <t>Gravitics</t>
        </is>
      </c>
      <c r="C13" s="3" t="inlineStr">
        <is>
          <t>https://www.linkedin.com/in/colin-doughan-60b511/</t>
        </is>
      </c>
      <c r="D13" s="4" t="inlineStr">
        <is>
          <t>cdoughan@gravitics.com</t>
        </is>
      </c>
      <c r="F13" s="39" t="n">
        <v>45744</v>
      </c>
    </row>
    <row r="14" ht="15.75" customHeight="1" s="216">
      <c r="A14" t="inlineStr">
        <is>
          <t>Thomas Mueller</t>
        </is>
      </c>
      <c r="B14" t="inlineStr">
        <is>
          <t>Impulse Space</t>
        </is>
      </c>
      <c r="C14" t="inlineStr">
        <is>
          <t>linkedin.com/in/thomas-mueller-2094513b</t>
        </is>
      </c>
      <c r="D14" s="143" t="inlineStr">
        <is>
          <t>tom@impulsespace.com</t>
        </is>
      </c>
      <c r="E14" t="inlineStr">
        <is>
          <t>310.363.6224</t>
        </is>
      </c>
      <c r="F14" s="80" t="n">
        <v>45908</v>
      </c>
    </row>
    <row r="15" ht="15.75" customHeight="1" s="216">
      <c r="A15" t="inlineStr">
        <is>
          <t>Eric Romo</t>
        </is>
      </c>
      <c r="C15" s="111" t="inlineStr">
        <is>
          <t>https://www.linkedin.com/in/eric-romo/</t>
        </is>
      </c>
      <c r="D15" s="143" t="inlineStr">
        <is>
          <t>eric.romo@impulsespace.com</t>
        </is>
      </c>
      <c r="E15" s="166" t="inlineStr">
        <is>
          <t>310.963.5213</t>
        </is>
      </c>
      <c r="F15" s="80" t="n">
        <v>45908</v>
      </c>
    </row>
    <row r="16" ht="15.75" customHeight="1" s="216">
      <c r="A16" t="inlineStr">
        <is>
          <t>Seth Kovnat</t>
        </is>
      </c>
      <c r="C16" s="111" t="inlineStr">
        <is>
          <t>http://linkedin.com/in/sethkovnat/</t>
        </is>
      </c>
      <c r="D16" s="143" t="inlineStr">
        <is>
          <t>seth@impulsespace.com</t>
        </is>
      </c>
      <c r="E16" s="166" t="inlineStr">
        <is>
          <t>215.939.8422</t>
        </is>
      </c>
      <c r="F16" s="80" t="n">
        <v>45908</v>
      </c>
    </row>
    <row r="17" ht="15.75" customHeight="1" s="216">
      <c r="A17" t="inlineStr">
        <is>
          <t>Spencer Jacobs</t>
        </is>
      </c>
      <c r="C17" s="111" t="inlineStr">
        <is>
          <t>https://www.linkedin.com/in/spencer-d-jacobs/</t>
        </is>
      </c>
      <c r="D17" s="143" t="inlineStr">
        <is>
          <t>spencer@impulsespace.com</t>
        </is>
      </c>
      <c r="E17" s="166" t="inlineStr">
        <is>
          <t>310.219.8695</t>
        </is>
      </c>
      <c r="F17" s="80" t="n">
        <v>45908</v>
      </c>
    </row>
    <row r="18" ht="15.75" customHeight="1" s="216">
      <c r="A18" t="inlineStr">
        <is>
          <t>Jacob Kurtz</t>
        </is>
      </c>
      <c r="C18" s="111" t="inlineStr">
        <is>
          <t>https://www.linkedin.com/in/kurtzjacob/</t>
        </is>
      </c>
      <c r="D18" s="143" t="inlineStr">
        <is>
          <t>jacob@impulsespace.com</t>
        </is>
      </c>
      <c r="E18" s="166" t="inlineStr">
        <is>
          <t xml:space="preserve"> 231.590.0877</t>
        </is>
      </c>
      <c r="F18" s="80" t="n">
        <v>45908</v>
      </c>
    </row>
    <row r="19" ht="15.75" customHeight="1" s="216">
      <c r="A19" t="inlineStr">
        <is>
          <t>Eric Walker</t>
        </is>
      </c>
      <c r="B19" t="inlineStr">
        <is>
          <t>COO Calca</t>
        </is>
      </c>
      <c r="C19" s="111" t="inlineStr">
        <is>
          <t>https://www.linkedin.com/in/ericwalker17/</t>
        </is>
      </c>
      <c r="D19" s="143" t="inlineStr">
        <is>
          <t>eric.walker@calcasolutions.com</t>
        </is>
      </c>
      <c r="E19" s="143" t="inlineStr">
        <is>
          <t>337.494.5774</t>
        </is>
      </c>
      <c r="F19" s="80" t="n">
        <v>45951</v>
      </c>
    </row>
    <row r="20" ht="15.75" customHeight="1" s="216">
      <c r="A20" t="inlineStr">
        <is>
          <t>Shane Jenkins</t>
        </is>
      </c>
      <c r="B20" t="inlineStr">
        <is>
          <t>President &amp; CEO Calca</t>
        </is>
      </c>
      <c r="C20" s="111" t="inlineStr">
        <is>
          <t>https://www.linkedin.com/in/shane-jenkins-96507416/</t>
        </is>
      </c>
      <c r="D20" s="143" t="inlineStr">
        <is>
          <t>shane.jenkins@calcasolutions.com</t>
        </is>
      </c>
      <c r="E20" s="143" t="inlineStr">
        <is>
          <t>337.430.4023</t>
        </is>
      </c>
      <c r="F20" s="80" t="n">
        <v>45951</v>
      </c>
    </row>
    <row r="21" ht="15.75" customHeight="1" s="216">
      <c r="A21" t="inlineStr">
        <is>
          <t>Mark Kern</t>
        </is>
      </c>
      <c r="B21" t="inlineStr">
        <is>
          <t>Sr Operations Consultant</t>
        </is>
      </c>
      <c r="C21" s="111" t="inlineStr">
        <is>
          <t>https://www.linkedin.com/in/mark-kern-15446b13/</t>
        </is>
      </c>
      <c r="D21" s="143" t="inlineStr">
        <is>
          <t>mark.kern@calcasolutions.com</t>
        </is>
      </c>
      <c r="E21" s="143" t="inlineStr">
        <is>
          <t>337.430.4014</t>
        </is>
      </c>
      <c r="F21" s="80" t="n">
        <v>45951</v>
      </c>
    </row>
    <row r="22" ht="15.75" customHeight="1" s="216">
      <c r="A22" t="inlineStr">
        <is>
          <t>Jeff Lamper KaleCharles</t>
        </is>
      </c>
      <c r="B22" t="inlineStr">
        <is>
          <t>Technical Manager</t>
        </is>
      </c>
      <c r="C22" s="111" t="inlineStr">
        <is>
          <t>https://www.linkedin.com/in/jeff-lamper-lakecharles-855b756a/</t>
        </is>
      </c>
      <c r="D22" s="143" t="inlineStr">
        <is>
          <t>jeffrey.lamper@calcasolutions.com</t>
        </is>
      </c>
      <c r="F22" s="80" t="n">
        <v>45951</v>
      </c>
    </row>
    <row r="23" ht="15.75" customHeight="1" s="216">
      <c r="A23" s="166" t="inlineStr">
        <is>
          <t>Richard Hebden</t>
        </is>
      </c>
      <c r="B23" t="inlineStr">
        <is>
          <t>SSTL</t>
        </is>
      </c>
      <c r="C23" s="111" t="inlineStr">
        <is>
          <t>https://www.linkedin.com/in/richard-hebden-9b911045/</t>
        </is>
      </c>
      <c r="D23" s="143" t="inlineStr">
        <is>
          <t>r.hebden@sstl.co.uk</t>
        </is>
      </c>
      <c r="E23" s="143" t="inlineStr">
        <is>
          <t>44-148-380-3943</t>
        </is>
      </c>
      <c r="F23" s="80" t="n">
        <v>45951</v>
      </c>
    </row>
    <row r="24" ht="15.75" customHeight="1" s="216">
      <c r="A24" s="143" t="inlineStr">
        <is>
          <t>Andrew Haslehurst</t>
        </is>
      </c>
      <c r="B24" t="inlineStr">
        <is>
          <t>SSTL</t>
        </is>
      </c>
      <c r="C24" s="111" t="inlineStr">
        <is>
          <t>https://www.linkedin.com/in/andrew-haslehurst-b9963157/</t>
        </is>
      </c>
      <c r="D24" s="143" t="inlineStr">
        <is>
          <t>a.haslehurst@sstl.co.uk</t>
        </is>
      </c>
      <c r="E24" s="143" t="inlineStr">
        <is>
          <t>44-797-635-8774</t>
        </is>
      </c>
      <c r="F24" s="80" t="n">
        <v>45951</v>
      </c>
    </row>
    <row r="25" ht="15.75" customHeight="1" s="216">
      <c r="A25" s="143" t="inlineStr">
        <is>
          <t>Kuo Wong</t>
        </is>
      </c>
      <c r="B25" t="inlineStr">
        <is>
          <t>SSTL</t>
        </is>
      </c>
      <c r="C25" s="111" t="inlineStr">
        <is>
          <t>https://www.linkedin.com/in/kuo-wong-4aa98126/</t>
        </is>
      </c>
      <c r="D25" s="143" t="inlineStr">
        <is>
          <t>k.wong@sstl.co.uk</t>
        </is>
      </c>
      <c r="E25" s="143" t="n"/>
      <c r="F25" s="80" t="n">
        <v>45951</v>
      </c>
    </row>
    <row r="26" ht="15.75" customHeight="1" s="216">
      <c r="A26" s="143" t="inlineStr">
        <is>
          <t>Andrew Cawthorne</t>
        </is>
      </c>
      <c r="B26" t="inlineStr">
        <is>
          <t>SSTL</t>
        </is>
      </c>
      <c r="C26" s="111" t="inlineStr">
        <is>
          <t>https://www.linkedin.com/in/andrew-cawthorne-a4972a107/</t>
        </is>
      </c>
      <c r="D26" s="143" t="inlineStr">
        <is>
          <t>a.cawthorne@sstl.co.uk</t>
        </is>
      </c>
      <c r="E26" s="143" t="inlineStr">
        <is>
          <t>44-790-162-3852</t>
        </is>
      </c>
      <c r="F26" s="80" t="n">
        <v>45951</v>
      </c>
    </row>
    <row r="27" ht="15.75" customHeight="1" s="216">
      <c r="A27" s="143" t="inlineStr">
        <is>
          <t>Robert Elliott</t>
        </is>
      </c>
      <c r="B27" t="inlineStr">
        <is>
          <t>SSTL</t>
        </is>
      </c>
      <c r="C27" s="111" t="inlineStr">
        <is>
          <t>https://www.linkedin.com/in/robertelliottinspace/</t>
        </is>
      </c>
      <c r="D27" s="143" t="inlineStr">
        <is>
          <t>relliott@sstl.co.uk</t>
        </is>
      </c>
      <c r="E27" s="143" t="inlineStr">
        <is>
          <t>44-786-460-4272</t>
        </is>
      </c>
      <c r="F27" s="80" t="n">
        <v>45951</v>
      </c>
    </row>
    <row r="28" ht="15.75" customHeight="1" s="216">
      <c r="A28" s="143" t="inlineStr">
        <is>
          <t>Mark Ferris</t>
        </is>
      </c>
      <c r="B28" t="inlineStr">
        <is>
          <t>SSTL</t>
        </is>
      </c>
      <c r="C28" t="inlineStr">
        <is>
          <t>linkedin.com/in/mark-ferris-4a982615</t>
        </is>
      </c>
      <c r="D28" s="143" t="inlineStr">
        <is>
          <t>mferris@sstl.co.uk</t>
        </is>
      </c>
      <c r="E28" s="143" t="inlineStr">
        <is>
          <t>44-792-026-7585</t>
        </is>
      </c>
      <c r="F28" s="80" t="n">
        <v>45951</v>
      </c>
    </row>
    <row r="29" ht="15.75" customHeight="1" s="216">
      <c r="A29" s="143" t="inlineStr">
        <is>
          <t>Duncan Kerins</t>
        </is>
      </c>
      <c r="B29" t="inlineStr">
        <is>
          <t>SSTL</t>
        </is>
      </c>
      <c r="C29" s="111" t="inlineStr">
        <is>
          <t>https://www.linkedin.com/in/duncan-kerins-0a34a22a/</t>
        </is>
      </c>
      <c r="D29" s="143" t="inlineStr">
        <is>
          <t>d.kerins@sstl.co.uk</t>
        </is>
      </c>
      <c r="E29" s="143" t="inlineStr">
        <is>
          <t>44-791-944-1461</t>
        </is>
      </c>
      <c r="F29" s="80" t="n">
        <v>45951</v>
      </c>
    </row>
    <row r="30" ht="15.75" customHeight="1" s="216">
      <c r="A30" s="143" t="inlineStr">
        <is>
          <t>Benjamin Hooper</t>
        </is>
      </c>
      <c r="B30" t="inlineStr">
        <is>
          <t>SSTL</t>
        </is>
      </c>
      <c r="C30" s="111" t="inlineStr">
        <is>
          <t>https://www.linkedin.com/in/benjamin-hooper-aba23439/</t>
        </is>
      </c>
      <c r="D30" s="143" t="inlineStr">
        <is>
          <t>bhooper@sstl.co.uk</t>
        </is>
      </c>
      <c r="E30" s="143" t="inlineStr">
        <is>
          <t>44-771-224-6931</t>
        </is>
      </c>
      <c r="F30" s="80" t="n">
        <v>45951</v>
      </c>
    </row>
    <row r="31" ht="15.75" customHeight="1" s="216">
      <c r="A31" s="243" t="inlineStr">
        <is>
          <t>Mike Lajczok</t>
        </is>
      </c>
      <c r="B31" s="234" t="inlineStr">
        <is>
          <t>York Space Systems</t>
        </is>
      </c>
      <c r="C31" s="92" t="inlineStr">
        <is>
          <t>https://www.linkedin.com/in/mike-lajczok-lay-check-54b89362</t>
        </is>
      </c>
      <c r="D31" s="143" t="inlineStr">
        <is>
          <t>mike.lajczok@yorkspacesystems.com</t>
        </is>
      </c>
      <c r="E31" s="143" t="inlineStr">
        <is>
          <t>720.926.7607</t>
        </is>
      </c>
      <c r="F31" s="373" t="n">
        <v>45950</v>
      </c>
    </row>
    <row r="32" ht="15.75" customHeight="1" s="216">
      <c r="A32" s="234" t="inlineStr">
        <is>
          <t>Angelina Smith</t>
        </is>
      </c>
      <c r="B32" s="234" t="inlineStr">
        <is>
          <t>York Space Systems</t>
        </is>
      </c>
      <c r="C32" s="92" t="inlineStr">
        <is>
          <t>https://www.linkedin.com/in/angelinasmithmba/</t>
        </is>
      </c>
      <c r="D32" s="143" t="inlineStr">
        <is>
          <t>angelina.smith@yorkspacesystems.com</t>
        </is>
      </c>
      <c r="E32" s="143" t="inlineStr">
        <is>
          <t>720.930.0000</t>
        </is>
      </c>
      <c r="F32" s="373" t="n">
        <v>45950</v>
      </c>
    </row>
    <row r="33" ht="15.75" customHeight="1" s="216">
      <c r="A33" s="143" t="inlineStr">
        <is>
          <t>Cliff Ferrero</t>
        </is>
      </c>
      <c r="B33" s="234" t="inlineStr">
        <is>
          <t>York Space Systems</t>
        </is>
      </c>
      <c r="C33" s="92" t="n"/>
      <c r="D33" s="143" t="inlineStr">
        <is>
          <t>cliff.ferrero@yorkspacesystems.com</t>
        </is>
      </c>
      <c r="E33" s="143" t="inlineStr">
        <is>
          <t>941.626.7267</t>
        </is>
      </c>
      <c r="F33" s="373" t="n">
        <v>45950</v>
      </c>
    </row>
    <row r="34" ht="15.75" customHeight="1" s="216">
      <c r="A34" s="234" t="inlineStr">
        <is>
          <t>Eric Orrill</t>
        </is>
      </c>
      <c r="B34" s="234" t="inlineStr">
        <is>
          <t>York Space Systems</t>
        </is>
      </c>
      <c r="C34" s="111" t="inlineStr">
        <is>
          <t>https://www.linkedin.com/in/eric-orrill-a022a34/</t>
        </is>
      </c>
      <c r="D34" s="143" t="inlineStr">
        <is>
          <t>eric.orrill@yorkspacesystems.com</t>
        </is>
      </c>
      <c r="E34" s="143" t="inlineStr">
        <is>
          <t>480.355.7404</t>
        </is>
      </c>
      <c r="F34" s="373" t="n">
        <v>45950</v>
      </c>
    </row>
    <row r="35" ht="15.75" customHeight="1" s="216">
      <c r="A35" t="inlineStr">
        <is>
          <t>Dan Brophy</t>
        </is>
      </c>
      <c r="B35" s="234" t="inlineStr">
        <is>
          <t>York Space Systems</t>
        </is>
      </c>
      <c r="C35" s="111" t="inlineStr">
        <is>
          <t>https://www.linkedin.com/in/dan-brophy-8321398b/</t>
        </is>
      </c>
      <c r="D35" s="143" t="inlineStr">
        <is>
          <t>daniel.brophy@yorkspacesystems.com</t>
        </is>
      </c>
      <c r="E35" s="143" t="inlineStr">
        <is>
          <t>480.584.9569</t>
        </is>
      </c>
      <c r="F35" s="373" t="n">
        <v>45950</v>
      </c>
    </row>
    <row r="36" ht="15.75" customHeight="1" s="216">
      <c r="A36" t="inlineStr">
        <is>
          <t>Sarah Walter</t>
        </is>
      </c>
      <c r="B36" s="234" t="inlineStr">
        <is>
          <t>York Space Systems</t>
        </is>
      </c>
      <c r="C36" t="inlineStr">
        <is>
          <t>linkedin.com/in/srwalter</t>
        </is>
      </c>
      <c r="D36" s="143" t="inlineStr">
        <is>
          <t>sarah.walter@yorkspacesystems.com</t>
        </is>
      </c>
      <c r="E36" s="143" t="inlineStr">
        <is>
          <t>720.582.3717</t>
        </is>
      </c>
      <c r="F36" s="373" t="n">
        <v>45950</v>
      </c>
    </row>
    <row r="37" ht="15.75" customHeight="1" s="216">
      <c r="A37" t="inlineStr">
        <is>
          <t xml:space="preserve">Gabe Murnan </t>
        </is>
      </c>
      <c r="B37" s="234" t="inlineStr">
        <is>
          <t>York Space Systems</t>
        </is>
      </c>
      <c r="C37" s="111" t="inlineStr">
        <is>
          <t>https://www.linkedin.com/in/gabe-murnan-261a1b48/</t>
        </is>
      </c>
      <c r="D37" s="143" t="inlineStr">
        <is>
          <t>gabriel.murnan@yorkspacesystems.com</t>
        </is>
      </c>
      <c r="E37" s="143" t="inlineStr">
        <is>
          <t>720.288.1901</t>
        </is>
      </c>
      <c r="F37" s="373" t="n">
        <v>45950</v>
      </c>
    </row>
    <row r="38" ht="15.75" customHeight="1" s="216">
      <c r="A38" t="inlineStr">
        <is>
          <t>Al Tadros</t>
        </is>
      </c>
      <c r="B38" t="inlineStr">
        <is>
          <t>Redwire</t>
        </is>
      </c>
      <c r="D38" t="inlineStr">
        <is>
          <t>Al.Tadros@redwirespace.com</t>
        </is>
      </c>
      <c r="F38" s="373" t="n">
        <v>45950</v>
      </c>
    </row>
    <row r="39" ht="15.75" customHeight="1" s="216">
      <c r="A39" t="inlineStr">
        <is>
          <t>Jonathan Baliff</t>
        </is>
      </c>
      <c r="B39" t="inlineStr">
        <is>
          <t>Redwire</t>
        </is>
      </c>
      <c r="D39" t="inlineStr">
        <is>
          <t>Jonathan.Baliff@redwirespace.com</t>
        </is>
      </c>
      <c r="F39" s="373" t="n">
        <v>45950</v>
      </c>
    </row>
    <row r="40" ht="15.75" customHeight="1" s="216">
      <c r="A40" t="inlineStr">
        <is>
          <t>Alex Chayres</t>
        </is>
      </c>
      <c r="B40" t="inlineStr">
        <is>
          <t>Redwire</t>
        </is>
      </c>
      <c r="D40" t="inlineStr">
        <is>
          <t>Alex.Chayres@redwirespace.com</t>
        </is>
      </c>
      <c r="F40" s="373" t="n">
        <v>45950</v>
      </c>
    </row>
    <row r="41" ht="15.75" customHeight="1" s="216">
      <c r="A41" t="inlineStr">
        <is>
          <t>Mike Winters</t>
        </is>
      </c>
      <c r="B41" t="inlineStr">
        <is>
          <t>Redwire</t>
        </is>
      </c>
      <c r="D41" t="inlineStr">
        <is>
          <t>Mike.Winters@redwirespace.com</t>
        </is>
      </c>
      <c r="F41" s="373" t="n">
        <v>45950</v>
      </c>
    </row>
    <row r="42" ht="15.75" customHeight="1" s="216">
      <c r="A42" t="inlineStr">
        <is>
          <t>Konstantin Tomlin</t>
        </is>
      </c>
      <c r="B42" t="inlineStr">
        <is>
          <t>HyImpulse</t>
        </is>
      </c>
      <c r="C42" s="111" t="inlineStr">
        <is>
          <t>https://www.linkedin.com/in/konstantin-tomilin-166830151/</t>
        </is>
      </c>
      <c r="D42" s="143" t="inlineStr">
        <is>
          <t>tomilin@hyimpulse.de</t>
        </is>
      </c>
      <c r="E42" t="inlineStr">
        <is>
          <t>491-520-852-8373</t>
        </is>
      </c>
      <c r="F42" s="373" t="n">
        <v>45950</v>
      </c>
    </row>
    <row r="43" ht="15.75" customHeight="1" s="216">
      <c r="A43" t="inlineStr">
        <is>
          <t>Vibha Vasanthakumar</t>
        </is>
      </c>
      <c r="B43" t="inlineStr">
        <is>
          <t>HyImpulse</t>
        </is>
      </c>
      <c r="C43" s="111" t="inlineStr">
        <is>
          <t>https://www.linkedin.com/in/vibha-vasanthakumar/</t>
        </is>
      </c>
      <c r="D43" s="143" t="inlineStr">
        <is>
          <t>vasanthakumar@hyimpulse.de</t>
        </is>
      </c>
      <c r="E43" t="inlineStr">
        <is>
          <t>+49.7139.5574910</t>
        </is>
      </c>
      <c r="F43" s="373" t="n">
        <v>45950</v>
      </c>
    </row>
    <row r="44" ht="15.75" customHeight="1" s="216">
      <c r="A44" t="inlineStr">
        <is>
          <t>Issabella Verri</t>
        </is>
      </c>
      <c r="B44" t="inlineStr">
        <is>
          <t>HyImpulse</t>
        </is>
      </c>
      <c r="C44" s="111" t="inlineStr">
        <is>
          <t>https://www.linkedin.com/in/isabella-verri-2785b796/</t>
        </is>
      </c>
      <c r="D44" s="143" t="inlineStr">
        <is>
          <t>verri@hyimpulse.de</t>
        </is>
      </c>
      <c r="E44" t="inlineStr">
        <is>
          <t>+49.7139.5574910</t>
        </is>
      </c>
      <c r="F44" s="373" t="n">
        <v>45950</v>
      </c>
    </row>
    <row r="45" ht="15.75" customHeight="1" s="216">
      <c r="A45" t="inlineStr">
        <is>
          <t>Romain Verges</t>
        </is>
      </c>
      <c r="B45" t="inlineStr">
        <is>
          <t>HyImpulse</t>
        </is>
      </c>
      <c r="C45" s="111" t="inlineStr">
        <is>
          <t>https://www.linkedin.com/in/romain-verges/</t>
        </is>
      </c>
      <c r="D45" s="143" t="inlineStr">
        <is>
          <t>verges@hyimpulse.de</t>
        </is>
      </c>
      <c r="E45" t="inlineStr">
        <is>
          <t>+49.7139.5574910</t>
        </is>
      </c>
      <c r="F45" s="373" t="n">
        <v>45950</v>
      </c>
    </row>
    <row r="46" ht="15.75" customHeight="1" s="216">
      <c r="A46" t="inlineStr">
        <is>
          <t>Andrea De Pace</t>
        </is>
      </c>
      <c r="B46" t="inlineStr">
        <is>
          <t>HyImpulse</t>
        </is>
      </c>
      <c r="C46" s="111" t="inlineStr">
        <is>
          <t>https://www.linkedin.com/in/andreadepace/</t>
        </is>
      </c>
      <c r="D46" s="143" t="inlineStr">
        <is>
          <t>depace@hyimpulse.de</t>
        </is>
      </c>
      <c r="E46" t="inlineStr">
        <is>
          <t>+49.7139.5574910</t>
        </is>
      </c>
      <c r="F46" s="373" t="n">
        <v>45950</v>
      </c>
    </row>
    <row r="47" ht="15.75" customHeight="1" s="216">
      <c r="A47" t="inlineStr">
        <is>
          <t>Aurimas Jankauskas</t>
        </is>
      </c>
      <c r="B47" t="inlineStr">
        <is>
          <t>HyImpulse</t>
        </is>
      </c>
      <c r="C47" s="111" t="inlineStr">
        <is>
          <t>https://www.linkedin.com/in/aurimas-jankauskas-67a81482/</t>
        </is>
      </c>
      <c r="D47" s="143" t="inlineStr">
        <is>
          <t>jankauskas@hyimpulse.de</t>
        </is>
      </c>
      <c r="E47" t="inlineStr">
        <is>
          <t>+49.7139.5574910</t>
        </is>
      </c>
      <c r="F47" s="373" t="n">
        <v>45950</v>
      </c>
    </row>
    <row r="48" ht="15.75" customHeight="1" s="216">
      <c r="A48" t="inlineStr">
        <is>
          <t>Altynay Graham</t>
        </is>
      </c>
      <c r="B48" t="inlineStr">
        <is>
          <t>HyImpulse</t>
        </is>
      </c>
      <c r="C48" s="111" t="inlineStr">
        <is>
          <t>https://www.linkedin.com/in/altynay-graham/</t>
        </is>
      </c>
      <c r="D48" s="143" t="inlineStr">
        <is>
          <t>demeubayeva@hyimpulse.de</t>
        </is>
      </c>
      <c r="E48" s="143" t="inlineStr">
        <is>
          <t>917.935.9162</t>
        </is>
      </c>
      <c r="F48" s="373" t="n">
        <v>45950</v>
      </c>
    </row>
    <row r="49" ht="15.75" customHeight="1" s="216">
      <c r="A49" t="inlineStr">
        <is>
          <t>Ulrich Fishcer</t>
        </is>
      </c>
      <c r="B49" t="inlineStr">
        <is>
          <t>HyImpulse</t>
        </is>
      </c>
      <c r="C49" t="inlineStr">
        <is>
          <t>linkedin.com/in/ulrich-fischer-3a6114388</t>
        </is>
      </c>
      <c r="D49" s="143" t="inlineStr">
        <is>
          <t>fischer@hyimpulse.de</t>
        </is>
      </c>
      <c r="E49" t="inlineStr">
        <is>
          <t>+49.7139.5574910</t>
        </is>
      </c>
      <c r="F49" s="373" t="n">
        <v>45950</v>
      </c>
    </row>
    <row r="50" ht="15.75" customHeight="1" s="216">
      <c r="A50" t="inlineStr">
        <is>
          <t>Ilnur Farizanov</t>
        </is>
      </c>
      <c r="B50" t="inlineStr">
        <is>
          <t>HyImpulse</t>
        </is>
      </c>
      <c r="C50" s="111" t="inlineStr">
        <is>
          <t>https://www.linkedin.com/in/ilnur-farizanov-6b2072131/</t>
        </is>
      </c>
      <c r="D50" s="143" t="inlineStr">
        <is>
          <t>farizanov@hyimpulse.de</t>
        </is>
      </c>
      <c r="E50" t="inlineStr">
        <is>
          <t>+49.7139.5574910</t>
        </is>
      </c>
      <c r="F50" s="373" t="n">
        <v>45950</v>
      </c>
    </row>
    <row r="51" ht="15.75" customHeight="1" s="216">
      <c r="A51" s="112" t="inlineStr">
        <is>
          <t>Lauren Smith</t>
        </is>
      </c>
      <c r="B51" t="inlineStr">
        <is>
          <t>Northrop Gruman</t>
        </is>
      </c>
      <c r="D51" s="112" t="inlineStr">
        <is>
          <t>Lauren.M.Smith@ngc.com</t>
        </is>
      </c>
      <c r="F51" t="inlineStr">
        <is>
          <t>10/22 follow up</t>
        </is>
      </c>
    </row>
    <row r="52" ht="15.75" customHeight="1" s="216">
      <c r="A52" s="111" t="inlineStr">
        <is>
          <t>Colonel Stephens</t>
        </is>
      </c>
      <c r="B52" t="inlineStr">
        <is>
          <t>Space Force</t>
        </is>
      </c>
      <c r="D52" s="111" t="inlineStr">
        <is>
          <t>julianna.sutherland.ctr@spaceforce.mil and SpaceRCO.Innovations@spaceforce.mil and owen.stephens@spaceforce.mil</t>
        </is>
      </c>
      <c r="F52" t="inlineStr">
        <is>
          <t>10/8, 10/11, 11/18</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1048576"/>
  <sheetViews>
    <sheetView workbookViewId="0">
      <selection activeCell="A1" sqref="A1"/>
    </sheetView>
  </sheetViews>
  <sheetFormatPr baseColWidth="8" defaultRowHeight="12.75"/>
  <cols>
    <col width="30.42578125" customWidth="1" style="216" min="1" max="1"/>
    <col width="20.28515625" customWidth="1" style="216" min="2" max="2"/>
    <col width="21" customWidth="1" style="216" min="3" max="3"/>
    <col width="29.7109375" customWidth="1" style="216" min="4" max="5"/>
    <col width="21" customWidth="1" style="216" min="6" max="6"/>
    <col width="14.5703125" customWidth="1" style="216" min="7" max="7"/>
    <col width="15.85546875" customWidth="1" style="216" min="8" max="8"/>
    <col width="17.28515625" customWidth="1" style="216" min="9" max="9"/>
  </cols>
  <sheetData>
    <row r="1">
      <c r="A1" s="157" t="inlineStr">
        <is>
          <t>NAME</t>
        </is>
      </c>
      <c r="B1" s="157" t="inlineStr">
        <is>
          <t>COMPANY</t>
        </is>
      </c>
      <c r="C1" s="157" t="inlineStr">
        <is>
          <t>LINKED IN</t>
        </is>
      </c>
      <c r="D1" s="157" t="inlineStr">
        <is>
          <t>EMAIL</t>
        </is>
      </c>
      <c r="E1" s="157" t="inlineStr">
        <is>
          <t>PHONE</t>
        </is>
      </c>
      <c r="F1" s="157" t="inlineStr">
        <is>
          <t>CONTACT</t>
        </is>
      </c>
      <c r="G1" s="157" t="inlineStr">
        <is>
          <t>FOLLOW UP</t>
        </is>
      </c>
      <c r="H1" s="157" t="inlineStr">
        <is>
          <t>NOTES</t>
        </is>
      </c>
      <c r="I1" s="157" t="inlineStr">
        <is>
          <t>FOLLOW UP</t>
        </is>
      </c>
    </row>
    <row r="2" ht="15" customHeight="1" s="216">
      <c r="A2" s="87" t="inlineStr">
        <is>
          <t>Investor Relations</t>
        </is>
      </c>
      <c r="B2" s="98" t="inlineStr">
        <is>
          <t>Acequia Capital</t>
        </is>
      </c>
      <c r="D2" s="111" t="inlineStr">
        <is>
          <t>investor.relations@acecap.com</t>
        </is>
      </c>
      <c r="E2" s="143" t="inlineStr">
        <is>
          <t>206.726.7886</t>
        </is>
      </c>
      <c r="F2" s="80" t="n">
        <v>45852</v>
      </c>
      <c r="G2" s="80" t="n">
        <v>45881</v>
      </c>
      <c r="I2" s="80" t="n">
        <v>45922</v>
      </c>
    </row>
    <row r="3" ht="15" customHeight="1" s="216">
      <c r="A3" s="87" t="inlineStr">
        <is>
          <t>info</t>
        </is>
      </c>
      <c r="B3" s="98" t="inlineStr">
        <is>
          <t>First Spark Ventures</t>
        </is>
      </c>
      <c r="D3" s="109" t="inlineStr">
        <is>
          <t xml:space="preserve"> info@firstsparkventures.com</t>
        </is>
      </c>
      <c r="E3" s="143" t="inlineStr">
        <is>
          <t>917.744.0645</t>
        </is>
      </c>
      <c r="F3" s="80" t="n">
        <v>45852</v>
      </c>
      <c r="G3" s="80" t="n">
        <v>45881</v>
      </c>
      <c r="I3" s="80" t="n">
        <v>45922</v>
      </c>
    </row>
    <row r="4" ht="14.25" customHeight="1" s="216">
      <c r="A4" s="87" t="inlineStr">
        <is>
          <t>Ryan Clinton</t>
        </is>
      </c>
      <c r="B4" s="98" t="inlineStr">
        <is>
          <t>Ridgeline VC</t>
        </is>
      </c>
      <c r="D4" s="111" t="inlineStr">
        <is>
          <t>rclinton@ridgeline.vc</t>
        </is>
      </c>
      <c r="E4" s="111" t="inlineStr">
        <is>
          <t>office 219.808.2701 | other 914.805.1055 | mobile 818.777.5653</t>
        </is>
      </c>
      <c r="F4" s="80" t="n">
        <v>45852</v>
      </c>
      <c r="G4" s="80" t="n">
        <v>45881</v>
      </c>
      <c r="I4" s="80" t="n">
        <v>45922</v>
      </c>
    </row>
    <row r="5" ht="14.25" customHeight="1" s="216">
      <c r="B5" s="98" t="inlineStr">
        <is>
          <t>Blue Yard VC</t>
        </is>
      </c>
      <c r="D5" t="inlineStr">
        <is>
          <t xml:space="preserve"> legal@blueyard.com</t>
        </is>
      </c>
      <c r="F5" s="80" t="n">
        <v>45852</v>
      </c>
      <c r="G5" s="80" t="n">
        <v>45881</v>
      </c>
      <c r="I5" s="80" t="n">
        <v>45922</v>
      </c>
    </row>
    <row r="6" ht="15" customHeight="1" s="216">
      <c r="A6" s="288" t="inlineStr">
        <is>
          <t>Lauren Graupman</t>
        </is>
      </c>
      <c r="B6" s="126" t="inlineStr">
        <is>
          <t>Aero Equity</t>
        </is>
      </c>
      <c r="C6" s="127" t="inlineStr">
        <is>
          <t>https://www.linkedin.com/in/lauren-graupman</t>
        </is>
      </c>
      <c r="D6" s="288" t="inlineStr">
        <is>
          <t xml:space="preserve"> lgraupman@aeroequity.com</t>
        </is>
      </c>
      <c r="E6" s="153" t="inlineStr">
        <is>
          <t>561.372.7820</t>
        </is>
      </c>
      <c r="F6" s="129" t="n">
        <v>45852</v>
      </c>
      <c r="G6" s="80" t="n">
        <v>45881</v>
      </c>
      <c r="I6" s="80" t="n"/>
    </row>
    <row r="7" ht="14.25" customHeight="1" s="216">
      <c r="A7" s="125" t="inlineStr">
        <is>
          <t>Paul Damato</t>
        </is>
      </c>
      <c r="B7" s="126" t="inlineStr">
        <is>
          <t>Michigan Capital</t>
        </is>
      </c>
      <c r="C7" s="127" t="inlineStr">
        <is>
          <t>https://www.linkedin.com/in/paul-damato-405536a</t>
        </is>
      </c>
      <c r="D7" s="288" t="inlineStr">
        <is>
          <t xml:space="preserve"> paul@michigancapitalnetwork.com</t>
        </is>
      </c>
      <c r="E7" s="288" t="n"/>
      <c r="F7" s="129" t="n">
        <v>45852</v>
      </c>
      <c r="G7" s="80" t="n">
        <v>45881</v>
      </c>
      <c r="I7" s="80" t="n">
        <v>45922</v>
      </c>
    </row>
    <row r="8" ht="14.25" customHeight="1" s="216">
      <c r="A8" s="87" t="inlineStr">
        <is>
          <t>Pete Koziol</t>
        </is>
      </c>
      <c r="B8" s="98" t="inlineStr">
        <is>
          <t>Dauntless Ventures</t>
        </is>
      </c>
      <c r="C8" s="111" t="inlineStr">
        <is>
          <t>https://breakline.org/pete-koziol-co-founder-of-dauntless-ventures-investing-in-americas-future/</t>
        </is>
      </c>
      <c r="D8" s="111" t="inlineStr">
        <is>
          <t>pete@dauntlessvc.com</t>
        </is>
      </c>
      <c r="E8" s="111" t="n"/>
      <c r="F8" s="80" t="n">
        <v>45852</v>
      </c>
      <c r="G8" s="80" t="n">
        <v>45881</v>
      </c>
      <c r="I8" s="80" t="n">
        <v>45922</v>
      </c>
    </row>
    <row r="9" ht="14.25" customHeight="1" s="216">
      <c r="A9" s="87" t="inlineStr">
        <is>
          <t>Investor Relations</t>
        </is>
      </c>
      <c r="B9" s="98" t="inlineStr">
        <is>
          <t>America's Fronteir</t>
        </is>
      </c>
      <c r="D9" s="111" t="inlineStr">
        <is>
          <t>investor.relations@americasfrontier.com</t>
        </is>
      </c>
      <c r="E9" s="111" t="n"/>
      <c r="F9" s="80" t="n">
        <v>45852</v>
      </c>
      <c r="G9" s="80" t="n">
        <v>45881</v>
      </c>
      <c r="I9" s="80" t="n">
        <v>45922</v>
      </c>
    </row>
    <row r="10" ht="14.25" customHeight="1" s="216">
      <c r="A10" s="125" t="inlineStr">
        <is>
          <t>Eric Wolking</t>
        </is>
      </c>
      <c r="B10" s="126" t="inlineStr">
        <is>
          <t>Blue Stone</t>
        </is>
      </c>
      <c r="C10" s="127" t="inlineStr">
        <is>
          <t>https://www.linkedin.com/in/eric-wolking-29a6701/</t>
        </is>
      </c>
      <c r="D10" s="127" t="inlineStr">
        <is>
          <t>ewolking@bluestoneinv.com</t>
        </is>
      </c>
      <c r="E10" s="127" t="inlineStr">
        <is>
          <t>office: 703.462.5600</t>
        </is>
      </c>
      <c r="F10" s="129" t="n">
        <v>45852</v>
      </c>
      <c r="G10" s="80" t="n">
        <v>45881</v>
      </c>
      <c r="I10" s="80" t="n"/>
    </row>
    <row r="11" ht="14.25" customHeight="1" s="216">
      <c r="A11" s="119" t="inlineStr">
        <is>
          <t>Shane Shermann</t>
        </is>
      </c>
      <c r="B11" s="123" t="inlineStr">
        <is>
          <t>One Bow River</t>
        </is>
      </c>
      <c r="C11" s="322" t="inlineStr">
        <is>
          <t>https://www.linkedin.com/in/shane-sherman/</t>
        </is>
      </c>
      <c r="D11" s="322" t="inlineStr">
        <is>
          <t>shane.sherman@onebowriver.com</t>
        </is>
      </c>
      <c r="E11" s="322" t="inlineStr">
        <is>
          <t>office: 818.758.4076 mobile: 719.651.9093</t>
        </is>
      </c>
      <c r="F11" s="121" t="n">
        <v>45852</v>
      </c>
      <c r="G11" s="121" t="n">
        <v>45881</v>
      </c>
      <c r="H11" s="122" t="inlineStr">
        <is>
          <t>Stowe Faircloth &lt;Stowe.faircloth@onebowriver.com&gt;replied requesting a meeting on 9/22</t>
        </is>
      </c>
      <c r="I11" s="121" t="n">
        <v>45922</v>
      </c>
    </row>
    <row r="12" ht="15" customHeight="1" s="216">
      <c r="A12" t="inlineStr">
        <is>
          <t>Gregory Bernstein</t>
        </is>
      </c>
      <c r="B12" t="inlineStr">
        <is>
          <t>Acequia Capital</t>
        </is>
      </c>
      <c r="D12" s="143" t="inlineStr">
        <is>
          <t>gregory@acecap.com</t>
        </is>
      </c>
      <c r="E12" s="143" t="inlineStr">
        <is>
          <t>917.748.4052</t>
        </is>
      </c>
      <c r="F12" s="80" t="n">
        <v>45853</v>
      </c>
      <c r="G12" s="80" t="n">
        <v>45881</v>
      </c>
      <c r="I12" s="80" t="n">
        <v>45922</v>
      </c>
    </row>
    <row r="13" ht="15" customHeight="1" s="216">
      <c r="A13" t="inlineStr">
        <is>
          <t>Michael Whitticom</t>
        </is>
      </c>
      <c r="B13" t="inlineStr">
        <is>
          <t>Acequia Capital</t>
        </is>
      </c>
      <c r="D13" s="143" t="inlineStr">
        <is>
          <t>mike@acecap.com</t>
        </is>
      </c>
      <c r="E13" s="143" t="inlineStr">
        <is>
          <t>970.275.6598</t>
        </is>
      </c>
      <c r="F13" s="80" t="n">
        <v>45853</v>
      </c>
      <c r="G13" s="80" t="n">
        <v>45881</v>
      </c>
      <c r="I13" s="80" t="n">
        <v>45922</v>
      </c>
    </row>
    <row r="14" ht="15" customHeight="1" s="216">
      <c r="A14" t="inlineStr">
        <is>
          <t>Marc Jalabert</t>
        </is>
      </c>
      <c r="B14" t="inlineStr">
        <is>
          <t>Acequia Capital</t>
        </is>
      </c>
      <c r="D14" s="143" t="inlineStr">
        <is>
          <t>marc@acecap.com</t>
        </is>
      </c>
      <c r="E14" s="143" t="n"/>
      <c r="F14" s="80" t="n">
        <v>45853</v>
      </c>
      <c r="G14" s="80" t="n">
        <v>45881</v>
      </c>
      <c r="I14" s="80" t="n">
        <v>45922</v>
      </c>
    </row>
    <row r="15" ht="15" customHeight="1" s="216">
      <c r="A15" t="inlineStr">
        <is>
          <t>Leif Danielsen</t>
        </is>
      </c>
      <c r="B15" t="inlineStr">
        <is>
          <t>Acequia Capital</t>
        </is>
      </c>
      <c r="D15" s="143" t="inlineStr">
        <is>
          <t>danielsen@acecap.com</t>
        </is>
      </c>
      <c r="E15" s="143" t="n"/>
      <c r="F15" s="80" t="n">
        <v>45853</v>
      </c>
      <c r="G15" s="80" t="n">
        <v>45881</v>
      </c>
      <c r="I15" s="80" t="n">
        <v>45922</v>
      </c>
    </row>
    <row r="16" ht="15" customHeight="1" s="216">
      <c r="A16" t="inlineStr">
        <is>
          <t>Hank Vigil</t>
        </is>
      </c>
      <c r="B16" t="inlineStr">
        <is>
          <t>Acequia Capital</t>
        </is>
      </c>
      <c r="D16" s="143" t="inlineStr">
        <is>
          <t>hank@acecap.com</t>
        </is>
      </c>
      <c r="E16" s="143" t="inlineStr">
        <is>
          <t>425.363.3954</t>
        </is>
      </c>
      <c r="F16" s="80" t="n">
        <v>45853</v>
      </c>
      <c r="G16" s="80" t="n">
        <v>45881</v>
      </c>
      <c r="I16" s="80" t="n">
        <v>45922</v>
      </c>
    </row>
    <row r="17" ht="15" customHeight="1" s="216">
      <c r="A17" t="inlineStr">
        <is>
          <t>Aaron Sisto</t>
        </is>
      </c>
      <c r="B17" t="inlineStr">
        <is>
          <t>First Spark Ventures</t>
        </is>
      </c>
      <c r="D17" s="143" t="inlineStr">
        <is>
          <t>aaron@firstsparkventures.com</t>
        </is>
      </c>
      <c r="E17" s="143" t="inlineStr">
        <is>
          <t>219.775.7810</t>
        </is>
      </c>
      <c r="F17" s="80" t="n">
        <v>45853</v>
      </c>
      <c r="G17" s="80" t="n">
        <v>45881</v>
      </c>
      <c r="I17" s="80" t="n">
        <v>45922</v>
      </c>
    </row>
    <row r="18" ht="15" customHeight="1" s="216">
      <c r="A18" t="inlineStr">
        <is>
          <t>Peter Richards</t>
        </is>
      </c>
      <c r="B18" t="inlineStr">
        <is>
          <t>First Spark Ventures</t>
        </is>
      </c>
      <c r="D18" s="143" t="inlineStr">
        <is>
          <t>peter@firstsparkventures.com</t>
        </is>
      </c>
      <c r="E18" s="143" t="inlineStr">
        <is>
          <t>310.488.9913</t>
        </is>
      </c>
      <c r="F18" s="80" t="n">
        <v>45853</v>
      </c>
      <c r="G18" s="80" t="n">
        <v>45881</v>
      </c>
      <c r="I18" s="80" t="n">
        <v>45922</v>
      </c>
    </row>
    <row r="19" ht="15" customHeight="1" s="216">
      <c r="A19" t="inlineStr">
        <is>
          <t>Peter Olcott</t>
        </is>
      </c>
      <c r="B19" t="inlineStr">
        <is>
          <t>First Spark Ventures</t>
        </is>
      </c>
      <c r="D19" s="143" t="inlineStr">
        <is>
          <t>polcott@firstsparkventures.com</t>
        </is>
      </c>
      <c r="E19" s="143" t="inlineStr">
        <is>
          <t>650.489.5277</t>
        </is>
      </c>
      <c r="F19" s="80" t="n">
        <v>45853</v>
      </c>
      <c r="G19" s="80" t="n">
        <v>45881</v>
      </c>
      <c r="I19" s="80" t="n">
        <v>45922</v>
      </c>
    </row>
    <row r="20" ht="15" customHeight="1" s="216">
      <c r="A20" t="inlineStr">
        <is>
          <t>Haitao Zhu</t>
        </is>
      </c>
      <c r="B20" t="inlineStr">
        <is>
          <t>First Spark Ventures</t>
        </is>
      </c>
      <c r="D20" s="143" t="inlineStr">
        <is>
          <t>haitao@firstsparkventures.com</t>
        </is>
      </c>
      <c r="E20" s="143" t="inlineStr">
        <is>
          <t>650.283.7729</t>
        </is>
      </c>
      <c r="F20" s="80" t="n">
        <v>45853</v>
      </c>
      <c r="G20" s="80" t="n">
        <v>45881</v>
      </c>
      <c r="I20" s="80" t="n">
        <v>45922</v>
      </c>
    </row>
    <row r="21" ht="15" customHeight="1" s="216">
      <c r="A21" t="inlineStr">
        <is>
          <t>Gal Treger</t>
        </is>
      </c>
      <c r="B21" t="inlineStr">
        <is>
          <t>First Spark Ventures</t>
        </is>
      </c>
      <c r="D21" s="143" t="inlineStr">
        <is>
          <t>gt@firstsparkventures.com</t>
        </is>
      </c>
      <c r="E21" s="143" t="inlineStr">
        <is>
          <t>347.572.4728</t>
        </is>
      </c>
      <c r="F21" s="80" t="n">
        <v>45853</v>
      </c>
      <c r="G21" s="80" t="n">
        <v>45881</v>
      </c>
      <c r="I21" s="80" t="n">
        <v>45922</v>
      </c>
    </row>
    <row r="22" ht="15" customHeight="1" s="216">
      <c r="A22" t="inlineStr">
        <is>
          <t>Danny Chen</t>
        </is>
      </c>
      <c r="B22" t="inlineStr">
        <is>
          <t>First Spark Ventures</t>
        </is>
      </c>
      <c r="D22" s="143" t="inlineStr">
        <is>
          <t>danny@firstsparkventures.com</t>
        </is>
      </c>
      <c r="E22" s="143" t="n"/>
      <c r="F22" s="80" t="n">
        <v>45853</v>
      </c>
      <c r="G22" s="80" t="n">
        <v>45881</v>
      </c>
      <c r="I22" s="80" t="n">
        <v>45922</v>
      </c>
    </row>
    <row r="23" ht="15" customHeight="1" s="216">
      <c r="A23" t="inlineStr">
        <is>
          <t>Todd Meister</t>
        </is>
      </c>
      <c r="B23" t="inlineStr">
        <is>
          <t>First Spark Ventures</t>
        </is>
      </c>
      <c r="D23" s="143" t="inlineStr">
        <is>
          <t>todd@firstsparkventures.com</t>
        </is>
      </c>
      <c r="E23" s="143" t="n"/>
      <c r="F23" s="80" t="n">
        <v>45853</v>
      </c>
      <c r="G23" s="80" t="n">
        <v>45881</v>
      </c>
      <c r="I23" s="80" t="n">
        <v>45922</v>
      </c>
    </row>
    <row r="24" ht="15" customHeight="1" s="216">
      <c r="A24" t="inlineStr">
        <is>
          <t>Andrew McMahon</t>
        </is>
      </c>
      <c r="B24" t="inlineStr">
        <is>
          <t>Ridgeline VC</t>
        </is>
      </c>
      <c r="D24" s="143" t="inlineStr">
        <is>
          <t>andrew@ridgeline.vc</t>
        </is>
      </c>
      <c r="E24" s="143" t="inlineStr">
        <is>
          <t>301.461.5874</t>
        </is>
      </c>
      <c r="F24" s="80" t="n">
        <v>45853</v>
      </c>
      <c r="G24" s="80" t="n">
        <v>45881</v>
      </c>
      <c r="I24" s="80" t="n">
        <v>45922</v>
      </c>
    </row>
    <row r="25" ht="15" customHeight="1" s="216">
      <c r="A25" t="inlineStr">
        <is>
          <t>Brandon Harris</t>
        </is>
      </c>
      <c r="B25" t="inlineStr">
        <is>
          <t>Ridgeline VC</t>
        </is>
      </c>
      <c r="D25" s="143" t="inlineStr">
        <is>
          <t>brandon@ridgelinepartners.co</t>
        </is>
      </c>
      <c r="E25" s="143" t="inlineStr">
        <is>
          <t>901.647.6271</t>
        </is>
      </c>
      <c r="F25" s="80" t="n">
        <v>45853</v>
      </c>
      <c r="G25" s="80" t="n">
        <v>45881</v>
      </c>
      <c r="I25" s="80" t="n">
        <v>45922</v>
      </c>
    </row>
    <row r="26" ht="15" customHeight="1" s="216">
      <c r="A26" t="inlineStr">
        <is>
          <t>Ben Walker</t>
        </is>
      </c>
      <c r="B26" t="inlineStr">
        <is>
          <t>Ridgeline VC</t>
        </is>
      </c>
      <c r="D26" s="143" t="inlineStr">
        <is>
          <t>ben@ridgelinepartners.co</t>
        </is>
      </c>
      <c r="E26" s="143" t="inlineStr">
        <is>
          <t>706.338.8213</t>
        </is>
      </c>
      <c r="F26" s="80" t="n">
        <v>45853</v>
      </c>
      <c r="G26" s="80" t="n">
        <v>45881</v>
      </c>
      <c r="I26" s="80" t="n">
        <v>45922</v>
      </c>
    </row>
    <row r="27" ht="15" customHeight="1" s="216">
      <c r="A27" t="inlineStr">
        <is>
          <t>Chad Fowler</t>
        </is>
      </c>
      <c r="B27" t="inlineStr">
        <is>
          <t>BlueYard VC</t>
        </is>
      </c>
      <c r="D27" s="143" t="inlineStr">
        <is>
          <t>chad@blueyard.com</t>
        </is>
      </c>
      <c r="E27" s="143" t="inlineStr">
        <is>
          <t>303.317.5309 and 901.518.5107</t>
        </is>
      </c>
      <c r="F27" s="80" t="n">
        <v>45853</v>
      </c>
      <c r="G27" s="80" t="n">
        <v>45881</v>
      </c>
      <c r="I27" s="80" t="n">
        <v>45922</v>
      </c>
    </row>
    <row r="28" ht="15" customHeight="1" s="216">
      <c r="A28" t="inlineStr">
        <is>
          <t>Ciaran O'Leary</t>
        </is>
      </c>
      <c r="B28" t="inlineStr">
        <is>
          <t>BlueYard VC</t>
        </is>
      </c>
      <c r="D28" s="143" t="inlineStr">
        <is>
          <t>ciaran@blueyard.com</t>
        </is>
      </c>
      <c r="F28" s="80" t="n">
        <v>45853</v>
      </c>
      <c r="G28" s="80" t="n">
        <v>45881</v>
      </c>
      <c r="I28" s="80" t="n">
        <v>45922</v>
      </c>
    </row>
    <row r="29" ht="15" customHeight="1" s="216">
      <c r="A29" t="inlineStr">
        <is>
          <t>Jason Whitmire</t>
        </is>
      </c>
      <c r="B29" t="inlineStr">
        <is>
          <t>BlueYard VC</t>
        </is>
      </c>
      <c r="D29" s="143" t="inlineStr">
        <is>
          <t>jason@blueyard.com</t>
        </is>
      </c>
      <c r="E29" s="143" t="inlineStr">
        <is>
          <t>510.749.2643</t>
        </is>
      </c>
      <c r="F29" s="80" t="n">
        <v>45853</v>
      </c>
      <c r="G29" s="80" t="n">
        <v>45881</v>
      </c>
      <c r="I29" s="80" t="n">
        <v>45922</v>
      </c>
    </row>
    <row r="30" ht="15" customHeight="1" s="216">
      <c r="A30" t="inlineStr">
        <is>
          <t>David Byrd</t>
        </is>
      </c>
      <c r="B30" t="inlineStr">
        <is>
          <t>BlueYard VC</t>
        </is>
      </c>
      <c r="D30" s="143" t="inlineStr">
        <is>
          <t>david@blueyard.com</t>
        </is>
      </c>
      <c r="E30" s="143" t="inlineStr">
        <is>
          <t>408.857.4330</t>
        </is>
      </c>
      <c r="F30" s="80" t="n">
        <v>45853</v>
      </c>
      <c r="G30" s="80" t="n">
        <v>45881</v>
      </c>
      <c r="I30" s="80" t="n">
        <v>45922</v>
      </c>
    </row>
    <row r="31" ht="15.75" customHeight="1" s="216">
      <c r="A31" t="inlineStr">
        <is>
          <t>David Rowe</t>
        </is>
      </c>
      <c r="B31" t="inlineStr">
        <is>
          <t>Aero Equity / AE Industrial Partners</t>
        </is>
      </c>
      <c r="D31" s="143" t="inlineStr">
        <is>
          <t>drowe@aeroequity.com</t>
        </is>
      </c>
      <c r="E31" s="166" t="inlineStr">
        <is>
          <t>912.596.8336</t>
        </is>
      </c>
      <c r="F31" s="80" t="n">
        <v>45853</v>
      </c>
      <c r="G31" s="80" t="n">
        <v>45881</v>
      </c>
      <c r="I31" s="80" t="n">
        <v>45922</v>
      </c>
    </row>
    <row r="32" ht="15.75" customHeight="1" s="216">
      <c r="A32" t="inlineStr">
        <is>
          <t>Kirk Konert</t>
        </is>
      </c>
      <c r="B32" t="inlineStr">
        <is>
          <t>Aero Equity / AE Industrial Partners</t>
        </is>
      </c>
      <c r="D32" s="143" t="inlineStr">
        <is>
          <t>kkonert@aeroequity.com</t>
        </is>
      </c>
      <c r="E32" s="166" t="inlineStr">
        <is>
          <t>561.372.7835</t>
        </is>
      </c>
      <c r="F32" s="80" t="n">
        <v>45853</v>
      </c>
      <c r="G32" s="80" t="n">
        <v>45882</v>
      </c>
      <c r="I32" s="80" t="n">
        <v>45922</v>
      </c>
    </row>
    <row r="33" ht="15.75" customHeight="1" s="216">
      <c r="A33" t="inlineStr">
        <is>
          <t>Brian Schettler</t>
        </is>
      </c>
      <c r="B33" t="inlineStr">
        <is>
          <t>Aero Equity / AE Industrial Partners</t>
        </is>
      </c>
      <c r="D33" s="143" t="inlineStr">
        <is>
          <t>bschettler@aeroequity.com</t>
        </is>
      </c>
      <c r="E33" s="166" t="inlineStr">
        <is>
          <t>650.232.9272</t>
        </is>
      </c>
      <c r="F33" s="80" t="n">
        <v>45853</v>
      </c>
      <c r="G33" s="80" t="n">
        <v>45882</v>
      </c>
      <c r="I33" s="80" t="n">
        <v>45922</v>
      </c>
    </row>
    <row r="34" ht="15" customHeight="1" s="216">
      <c r="A34" t="inlineStr">
        <is>
          <t>Dale Grogan</t>
        </is>
      </c>
      <c r="B34" t="inlineStr">
        <is>
          <t>Michigan Capital</t>
        </is>
      </c>
      <c r="D34" s="143" t="inlineStr">
        <is>
          <t>dale@michigancapitalnetwork.com</t>
        </is>
      </c>
      <c r="E34" s="143" t="inlineStr">
        <is>
          <t>616.644.6024</t>
        </is>
      </c>
      <c r="F34" s="80" t="n">
        <v>45853</v>
      </c>
      <c r="G34" s="80" t="n">
        <v>45882</v>
      </c>
      <c r="I34" s="80" t="n">
        <v>45922</v>
      </c>
    </row>
    <row r="35" ht="15" customHeight="1" s="216">
      <c r="A35" s="288" t="inlineStr">
        <is>
          <t>Sapna Patel</t>
        </is>
      </c>
      <c r="B35" s="288" t="inlineStr">
        <is>
          <t>Michigan Capital</t>
        </is>
      </c>
      <c r="C35" s="288" t="n"/>
      <c r="D35" s="153" t="inlineStr">
        <is>
          <t>sapna@michigancapitalnetwork.com</t>
        </is>
      </c>
      <c r="E35" s="153" t="n"/>
      <c r="F35" s="129" t="n">
        <v>45853</v>
      </c>
      <c r="G35" s="129" t="n">
        <v>45882</v>
      </c>
    </row>
    <row r="36" ht="15" customHeight="1" s="216">
      <c r="A36" t="inlineStr">
        <is>
          <t>Jordan Blashek</t>
        </is>
      </c>
      <c r="B36" t="inlineStr">
        <is>
          <t>America's Fronteir</t>
        </is>
      </c>
      <c r="D36" s="143" t="inlineStr">
        <is>
          <t>jordan@americasfrontier.org</t>
        </is>
      </c>
      <c r="E36" s="143" t="inlineStr">
        <is>
          <t>818.789.0123 and 818.406.5058</t>
        </is>
      </c>
      <c r="F36" s="80" t="n">
        <v>45853</v>
      </c>
      <c r="G36" s="80" t="n">
        <v>45882</v>
      </c>
      <c r="I36" s="80" t="n">
        <v>45922</v>
      </c>
    </row>
    <row r="37" ht="15" customHeight="1" s="216">
      <c r="A37" t="inlineStr">
        <is>
          <t>Faran Nouri</t>
        </is>
      </c>
      <c r="B37" t="inlineStr">
        <is>
          <t>America's Fronteir</t>
        </is>
      </c>
      <c r="D37" s="143" t="inlineStr">
        <is>
          <t>faran@americasfrontier.org</t>
        </is>
      </c>
      <c r="E37" s="143" t="inlineStr">
        <is>
          <t>510.572.3055 and 408.666.4699</t>
        </is>
      </c>
      <c r="F37" s="80" t="n">
        <v>45853</v>
      </c>
      <c r="G37" s="80" t="n">
        <v>45882</v>
      </c>
      <c r="I37" s="80" t="n">
        <v>45922</v>
      </c>
    </row>
    <row r="38" ht="15" customHeight="1" s="216">
      <c r="A38" t="inlineStr">
        <is>
          <t>Gilman Louie</t>
        </is>
      </c>
      <c r="B38" t="inlineStr">
        <is>
          <t>America's Fronteir</t>
        </is>
      </c>
      <c r="D38" s="143" t="inlineStr">
        <is>
          <t>gilman@americasfrontier.org</t>
        </is>
      </c>
      <c r="E38" s="143" t="inlineStr">
        <is>
          <t>540.533.4600 and 415.994.4055</t>
        </is>
      </c>
      <c r="F38" s="80" t="n">
        <v>45853</v>
      </c>
      <c r="G38" s="80" t="n">
        <v>45882</v>
      </c>
      <c r="I38" s="80" t="n">
        <v>45922</v>
      </c>
    </row>
    <row r="39" ht="15" customHeight="1" s="216">
      <c r="A39" t="inlineStr">
        <is>
          <t>Jeff Karras</t>
        </is>
      </c>
      <c r="B39" t="inlineStr">
        <is>
          <t>America's Fronteir</t>
        </is>
      </c>
      <c r="D39" s="143" t="inlineStr">
        <is>
          <t>jkarras@altervp.com</t>
        </is>
      </c>
      <c r="E39" s="143" t="n"/>
      <c r="F39" s="80" t="n">
        <v>45853</v>
      </c>
      <c r="G39" s="80" t="n">
        <v>45882</v>
      </c>
      <c r="I39" s="80" t="n">
        <v>45922</v>
      </c>
    </row>
    <row r="40" ht="15" customHeight="1" s="216">
      <c r="A40" t="inlineStr">
        <is>
          <t>John Allen</t>
        </is>
      </c>
      <c r="B40" t="inlineStr">
        <is>
          <t>Blue Stone</t>
        </is>
      </c>
      <c r="D40" s="143" t="inlineStr">
        <is>
          <t>jallen@bluestoneinv.com</t>
        </is>
      </c>
      <c r="E40" s="143" t="inlineStr">
        <is>
          <t>703.462.5601</t>
        </is>
      </c>
      <c r="F40" s="80" t="n">
        <v>45853</v>
      </c>
      <c r="G40" s="80" t="n">
        <v>45882</v>
      </c>
      <c r="I40" s="80" t="n">
        <v>45922</v>
      </c>
    </row>
    <row r="41" ht="15" customHeight="1" s="216">
      <c r="A41" s="122" t="inlineStr">
        <is>
          <t>Mike Ivey</t>
        </is>
      </c>
      <c r="B41" s="122" t="inlineStr">
        <is>
          <t>Blue Stone</t>
        </is>
      </c>
      <c r="C41" s="122" t="n"/>
      <c r="D41" s="122" t="inlineStr">
        <is>
          <t>mivey@bluestoneinv.com</t>
        </is>
      </c>
      <c r="E41" s="223" t="inlineStr">
        <is>
          <t>703.462.5605</t>
        </is>
      </c>
      <c r="F41" s="121" t="n">
        <v>45853</v>
      </c>
      <c r="G41" s="80" t="n">
        <v>45882</v>
      </c>
      <c r="H41" t="inlineStr">
        <is>
          <t>asked to set meeting</t>
        </is>
      </c>
      <c r="I41" s="80" t="n">
        <v>45922</v>
      </c>
    </row>
    <row r="42">
      <c r="A42" t="inlineStr">
        <is>
          <t>Bill Strang</t>
        </is>
      </c>
      <c r="B42" t="inlineStr">
        <is>
          <t>Blue Stone</t>
        </is>
      </c>
      <c r="D42" t="inlineStr">
        <is>
          <t>bstrang@bluestoneinv.com</t>
        </is>
      </c>
      <c r="F42" s="80" t="n">
        <v>45853</v>
      </c>
      <c r="G42" s="80" t="n">
        <v>45882</v>
      </c>
      <c r="I42" s="80" t="n">
        <v>45922</v>
      </c>
    </row>
    <row r="43" ht="15" customHeight="1" s="216">
      <c r="A43" s="288" t="inlineStr">
        <is>
          <t>Joe Collins</t>
        </is>
      </c>
      <c r="B43" s="288" t="inlineStr">
        <is>
          <t>Blue Stone</t>
        </is>
      </c>
      <c r="C43" s="288" t="n"/>
      <c r="D43" s="127" t="inlineStr">
        <is>
          <t>jcollins@bluestoneinv.com</t>
        </is>
      </c>
      <c r="E43" s="153" t="inlineStr">
        <is>
          <t>703.997.4767</t>
        </is>
      </c>
      <c r="F43" s="129" t="n">
        <v>45853</v>
      </c>
      <c r="G43" s="129" t="n">
        <v>45882</v>
      </c>
      <c r="H43" t="inlineStr">
        <is>
          <t>outside area of expertise</t>
        </is>
      </c>
      <c r="I43" s="80" t="n">
        <v>45922</v>
      </c>
    </row>
    <row r="44" ht="15" customHeight="1" s="216">
      <c r="A44" s="288" t="inlineStr">
        <is>
          <t>Kevin O'Neil</t>
        </is>
      </c>
      <c r="B44" s="288" t="inlineStr">
        <is>
          <t>One Bow River</t>
        </is>
      </c>
      <c r="C44" s="288" t="n"/>
      <c r="D44" s="153" t="inlineStr">
        <is>
          <t>kevin.oneil@onebowriver.com</t>
        </is>
      </c>
      <c r="E44" s="153" t="inlineStr">
        <is>
          <t>208.739.8333</t>
        </is>
      </c>
      <c r="F44" s="129" t="n">
        <v>45853</v>
      </c>
      <c r="G44" s="129" t="n">
        <v>45882</v>
      </c>
    </row>
    <row r="45" ht="15" customHeight="1" s="216">
      <c r="A45" s="288" t="inlineStr">
        <is>
          <t>Steven Joanis</t>
        </is>
      </c>
      <c r="B45" s="288" t="inlineStr">
        <is>
          <t>One Bow River</t>
        </is>
      </c>
      <c r="C45" s="288" t="n"/>
      <c r="D45" s="153" t="inlineStr">
        <is>
          <t>steven.joanis@onebowriver.com</t>
        </is>
      </c>
      <c r="E45" s="153" t="inlineStr">
        <is>
          <t>303.517.9317</t>
        </is>
      </c>
      <c r="F45" s="129" t="n">
        <v>45853</v>
      </c>
      <c r="G45" s="129" t="n">
        <v>45882</v>
      </c>
    </row>
    <row r="46" ht="15.75" customHeight="1" s="216">
      <c r="A46" t="inlineStr">
        <is>
          <t>Kevin Robbins</t>
        </is>
      </c>
      <c r="B46" t="inlineStr">
        <is>
          <t>Blue Delta Capital Partners</t>
        </is>
      </c>
      <c r="D46" s="143" t="inlineStr">
        <is>
          <t>kevin@bluedeltacapitalpartners.com</t>
        </is>
      </c>
      <c r="E46" s="166" t="inlineStr">
        <is>
          <t>703.251.8601 (m) and 240.626.7766</t>
        </is>
      </c>
      <c r="F46" s="80" t="n">
        <v>45854</v>
      </c>
      <c r="G46" s="80" t="n">
        <v>45882</v>
      </c>
      <c r="I46" s="80" t="n">
        <v>45922</v>
      </c>
    </row>
    <row r="47" ht="15.75" customHeight="1" s="216">
      <c r="A47" t="inlineStr">
        <is>
          <t>Chris Torti</t>
        </is>
      </c>
      <c r="B47" t="inlineStr">
        <is>
          <t>Blue Delta Capital Partners</t>
        </is>
      </c>
      <c r="D47" s="143" t="inlineStr">
        <is>
          <t>chris@bluedeltacapitalpartners.com</t>
        </is>
      </c>
      <c r="E47" s="166" t="inlineStr">
        <is>
          <t>703.282.7439 (m) and 240.626.7766</t>
        </is>
      </c>
      <c r="F47" s="80" t="n">
        <v>45854</v>
      </c>
      <c r="G47" s="80" t="n">
        <v>45882</v>
      </c>
      <c r="I47" s="80" t="n">
        <v>45922</v>
      </c>
    </row>
    <row r="48" ht="15.75" customHeight="1" s="216">
      <c r="A48" t="inlineStr">
        <is>
          <t>Phil Nolan</t>
        </is>
      </c>
      <c r="B48" t="inlineStr">
        <is>
          <t>Blue Delta Capital Partners</t>
        </is>
      </c>
      <c r="D48" s="143" t="inlineStr">
        <is>
          <t>phil@bluedeltacapitalpartners.com</t>
        </is>
      </c>
      <c r="E48" s="166" t="inlineStr">
        <is>
          <t>703.282.7449 (m) and 240.626.7766</t>
        </is>
      </c>
      <c r="F48" s="80" t="n">
        <v>45854</v>
      </c>
      <c r="G48" s="80" t="n">
        <v>45882</v>
      </c>
      <c r="I48" s="80" t="n">
        <v>45922</v>
      </c>
    </row>
    <row r="49" ht="15.75" customHeight="1" s="216">
      <c r="A49" t="inlineStr">
        <is>
          <t>Andrew Weinberg</t>
        </is>
      </c>
      <c r="B49" t="inlineStr">
        <is>
          <t>Brightstar Capital Partners</t>
        </is>
      </c>
      <c r="D49" s="143" t="inlineStr">
        <is>
          <t>andrew@brightstarcp.com</t>
        </is>
      </c>
      <c r="E49" s="166" t="inlineStr">
        <is>
          <t>212.430.2510 (m) and 212.430.2510</t>
        </is>
      </c>
      <c r="F49" s="80" t="n">
        <v>45854</v>
      </c>
      <c r="G49" s="80" t="n">
        <v>45882</v>
      </c>
      <c r="I49" s="80" t="n">
        <v>45922</v>
      </c>
    </row>
    <row r="50" ht="15.75" customHeight="1" s="216">
      <c r="A50" t="inlineStr">
        <is>
          <t>Michael Singer</t>
        </is>
      </c>
      <c r="B50" t="inlineStr">
        <is>
          <t>Brightstar Capital Partners</t>
        </is>
      </c>
      <c r="D50" s="143" t="inlineStr">
        <is>
          <t>msinger@brightstarcp.com</t>
        </is>
      </c>
      <c r="E50" s="166" t="inlineStr">
        <is>
          <t>305.921.1477 (m) and 212.430.2500</t>
        </is>
      </c>
      <c r="F50" s="80" t="n">
        <v>45854</v>
      </c>
      <c r="G50" s="80" t="n">
        <v>45882</v>
      </c>
      <c r="I50" s="80" t="n">
        <v>45922</v>
      </c>
    </row>
    <row r="51" ht="15.75" customHeight="1" s="216">
      <c r="A51" t="inlineStr">
        <is>
          <t>Bruce Roberson</t>
        </is>
      </c>
      <c r="B51" t="inlineStr">
        <is>
          <t>Brightstar Capital Partners</t>
        </is>
      </c>
      <c r="D51" s="143" t="inlineStr">
        <is>
          <t>broberson@brightstarcp.com</t>
        </is>
      </c>
      <c r="E51" s="166" t="inlineStr">
        <is>
          <t>214.649.5424 (m) and 212.430.2500</t>
        </is>
      </c>
      <c r="F51" s="80" t="n">
        <v>45854</v>
      </c>
      <c r="G51" s="80" t="n">
        <v>45882</v>
      </c>
      <c r="I51" s="80" t="n">
        <v>45922</v>
      </c>
    </row>
    <row r="52" ht="15" customHeight="1" s="216">
      <c r="A52" t="inlineStr">
        <is>
          <t>Shana Bochinis</t>
        </is>
      </c>
      <c r="B52" t="inlineStr">
        <is>
          <t>Brightstar Capital Partners</t>
        </is>
      </c>
      <c r="D52" s="143" t="inlineStr">
        <is>
          <t>shana@brightstarcp.com</t>
        </is>
      </c>
      <c r="E52" s="143" t="n"/>
      <c r="F52" s="80" t="n">
        <v>45854</v>
      </c>
      <c r="G52" s="80" t="n">
        <v>45882</v>
      </c>
      <c r="I52" s="80" t="n">
        <v>45922</v>
      </c>
    </row>
    <row r="53" ht="15" customHeight="1" s="216">
      <c r="A53" t="inlineStr">
        <is>
          <t>Kevin Deemer</t>
        </is>
      </c>
      <c r="B53" t="inlineStr">
        <is>
          <t>Brightstar Capital Partners</t>
        </is>
      </c>
      <c r="D53" s="143" t="inlineStr">
        <is>
          <t>kdeemer@brightstarcp.com</t>
        </is>
      </c>
      <c r="E53" s="143" t="n"/>
      <c r="F53" s="80" t="n">
        <v>45854</v>
      </c>
      <c r="G53" s="80" t="n">
        <v>45882</v>
      </c>
      <c r="I53" s="80" t="n">
        <v>45922</v>
      </c>
    </row>
    <row r="54">
      <c r="B54" t="inlineStr">
        <is>
          <t>Brightstar Capital Partners</t>
        </is>
      </c>
      <c r="D54" s="111" t="inlineStr">
        <is>
          <t>info@brightstarcp.com</t>
        </is>
      </c>
      <c r="E54" s="111" t="n"/>
      <c r="F54" s="80" t="n">
        <v>45854</v>
      </c>
      <c r="G54" s="80" t="n">
        <v>45882</v>
      </c>
      <c r="I54" s="80" t="n">
        <v>45922</v>
      </c>
    </row>
    <row r="55" ht="15.75" customHeight="1" s="216">
      <c r="B55" t="inlineStr">
        <is>
          <t>Decisive Point</t>
        </is>
      </c>
      <c r="D55" s="111" t="inlineStr">
        <is>
          <t>info@decisivepoint.com</t>
        </is>
      </c>
      <c r="E55" s="166" t="inlineStr">
        <is>
          <t>845.258.0016</t>
        </is>
      </c>
      <c r="F55" s="80" t="n">
        <v>45854</v>
      </c>
      <c r="G55" s="80" t="n">
        <v>45882</v>
      </c>
      <c r="I55" s="80" t="n">
        <v>45922</v>
      </c>
    </row>
    <row r="56" ht="15.75" customHeight="1" s="216">
      <c r="A56" t="inlineStr">
        <is>
          <t>Andrew Price</t>
        </is>
      </c>
      <c r="B56" t="inlineStr">
        <is>
          <t>Decisive Point</t>
        </is>
      </c>
      <c r="D56" s="143" t="inlineStr">
        <is>
          <t>andrew@decisivepoint.com</t>
        </is>
      </c>
      <c r="E56" s="166" t="inlineStr">
        <is>
          <t>908.285.8003</t>
        </is>
      </c>
      <c r="F56" s="80" t="n">
        <v>45854</v>
      </c>
      <c r="G56" s="80" t="n">
        <v>45882</v>
      </c>
      <c r="I56" s="80" t="n">
        <v>45922</v>
      </c>
    </row>
    <row r="57" ht="15.75" customHeight="1" s="216">
      <c r="A57" t="inlineStr">
        <is>
          <t>Eric Horan</t>
        </is>
      </c>
      <c r="B57" t="inlineStr">
        <is>
          <t>Decisive Point</t>
        </is>
      </c>
      <c r="D57" s="143" t="inlineStr">
        <is>
          <t>eric@decisivepoint.com</t>
        </is>
      </c>
      <c r="E57" s="166" t="inlineStr">
        <is>
          <t>207.232.9483</t>
        </is>
      </c>
      <c r="F57" s="80" t="n">
        <v>45854</v>
      </c>
      <c r="G57" s="80" t="n">
        <v>45882</v>
      </c>
      <c r="I57" s="80" t="n">
        <v>45922</v>
      </c>
    </row>
    <row r="58" ht="15.75" customHeight="1" s="216">
      <c r="A58" t="inlineStr">
        <is>
          <t>Thomas Hendrix</t>
        </is>
      </c>
      <c r="B58" t="inlineStr">
        <is>
          <t>Decisive Point</t>
        </is>
      </c>
      <c r="D58" s="143" t="inlineStr">
        <is>
          <t>tommy@decisivepoint.com</t>
        </is>
      </c>
      <c r="E58" s="166" t="inlineStr">
        <is>
          <t>909.447.0773</t>
        </is>
      </c>
      <c r="F58" s="80" t="n">
        <v>45854</v>
      </c>
      <c r="G58" s="80" t="n">
        <v>45882</v>
      </c>
      <c r="I58" s="80" t="n">
        <v>45922</v>
      </c>
    </row>
    <row r="59" ht="15.75" customHeight="1" s="216">
      <c r="A59" t="inlineStr">
        <is>
          <t>Farah Ali</t>
        </is>
      </c>
      <c r="B59" t="inlineStr">
        <is>
          <t>Embedded Ventures</t>
        </is>
      </c>
      <c r="D59" s="143" t="inlineStr">
        <is>
          <t>farah@embedded.ventures</t>
        </is>
      </c>
      <c r="E59" s="166" t="inlineStr">
        <is>
          <t>206.739.9055</t>
        </is>
      </c>
      <c r="F59" s="80" t="n">
        <v>45854</v>
      </c>
      <c r="G59" s="80" t="n">
        <v>45882</v>
      </c>
      <c r="I59" s="80" t="n">
        <v>45922</v>
      </c>
    </row>
    <row r="60" ht="15.75" customHeight="1" s="216">
      <c r="A60" t="inlineStr">
        <is>
          <t>Jenna Bryant</t>
        </is>
      </c>
      <c r="B60" t="inlineStr">
        <is>
          <t>Embedded Ventures</t>
        </is>
      </c>
      <c r="D60" s="143" t="inlineStr">
        <is>
          <t>jenna@embedded.ventures</t>
        </is>
      </c>
      <c r="E60" s="166" t="inlineStr">
        <is>
          <t>205.222.6014 (m) and (323.741.4658)</t>
        </is>
      </c>
      <c r="F60" s="80" t="n">
        <v>45854</v>
      </c>
      <c r="G60" s="80" t="n">
        <v>45882</v>
      </c>
      <c r="I60" s="80" t="n">
        <v>45922</v>
      </c>
    </row>
    <row r="61" ht="15.75" customHeight="1" s="216">
      <c r="A61" t="inlineStr">
        <is>
          <t>Bill Cramsie</t>
        </is>
      </c>
      <c r="B61" t="inlineStr">
        <is>
          <t>Embedded Ventures</t>
        </is>
      </c>
      <c r="D61" s="143" t="inlineStr">
        <is>
          <t>william@embedded.ventures</t>
        </is>
      </c>
      <c r="E61" s="166" t="inlineStr">
        <is>
          <t>813.323.7010</t>
        </is>
      </c>
      <c r="F61" s="80" t="n">
        <v>45854</v>
      </c>
      <c r="G61" s="80" t="n">
        <v>45882</v>
      </c>
      <c r="I61" s="80" t="n">
        <v>45922</v>
      </c>
    </row>
    <row r="62" ht="15.75" customHeight="1" s="216">
      <c r="A62" t="inlineStr">
        <is>
          <t>Jordan Noone</t>
        </is>
      </c>
      <c r="B62" t="inlineStr">
        <is>
          <t>Embedded Ventures</t>
        </is>
      </c>
      <c r="D62" s="143" t="inlineStr">
        <is>
          <t>jordan@embedded.ventures</t>
        </is>
      </c>
      <c r="E62" s="166" t="inlineStr">
        <is>
          <t xml:space="preserve"> 415.349.1193</t>
        </is>
      </c>
      <c r="F62" s="80" t="n">
        <v>45854</v>
      </c>
      <c r="G62" s="80" t="n">
        <v>45882</v>
      </c>
      <c r="I62" s="80" t="n">
        <v>45922</v>
      </c>
    </row>
    <row r="63">
      <c r="A63" t="inlineStr">
        <is>
          <t>Amanda Brown</t>
        </is>
      </c>
      <c r="B63" t="inlineStr">
        <is>
          <t>Harbert Management</t>
        </is>
      </c>
      <c r="D63" s="111" t="inlineStr">
        <is>
          <t>abrown@harbert.net</t>
        </is>
      </c>
      <c r="E63" s="111" t="inlineStr">
        <is>
          <t>office: (205) 987-5500</t>
        </is>
      </c>
      <c r="F63" s="80" t="n">
        <v>45854</v>
      </c>
      <c r="G63" s="80" t="n">
        <v>45882</v>
      </c>
      <c r="I63" s="80" t="n">
        <v>45922</v>
      </c>
    </row>
    <row r="64" ht="15.75" customHeight="1" s="216">
      <c r="A64" t="inlineStr">
        <is>
          <t>Travis Pritchett</t>
        </is>
      </c>
      <c r="B64" t="inlineStr">
        <is>
          <t>Harbert Management</t>
        </is>
      </c>
      <c r="D64" s="143" t="inlineStr">
        <is>
          <t>tpritchett@harbert.net</t>
        </is>
      </c>
      <c r="E64" s="166" t="inlineStr">
        <is>
          <t>205.987.5638</t>
        </is>
      </c>
      <c r="F64" s="80" t="n">
        <v>45854</v>
      </c>
      <c r="G64" s="80" t="n">
        <v>45882</v>
      </c>
      <c r="I64" s="80" t="n">
        <v>45922</v>
      </c>
    </row>
    <row r="65" ht="15.75" customHeight="1" s="216">
      <c r="A65" t="inlineStr">
        <is>
          <t>Wayne Hunter</t>
        </is>
      </c>
      <c r="B65" t="inlineStr">
        <is>
          <t>Harbert Management</t>
        </is>
      </c>
      <c r="D65" s="143" t="inlineStr">
        <is>
          <t>whunter@harbert.net</t>
        </is>
      </c>
      <c r="E65" s="166" t="inlineStr">
        <is>
          <t>804.782.3801</t>
        </is>
      </c>
      <c r="F65" s="80" t="n">
        <v>45854</v>
      </c>
      <c r="G65" s="80" t="n">
        <v>45882</v>
      </c>
      <c r="I65" s="80" t="n">
        <v>45922</v>
      </c>
    </row>
    <row r="66" ht="15.75" customHeight="1" s="216">
      <c r="A66" t="inlineStr">
        <is>
          <t>Mike Bauder</t>
        </is>
      </c>
      <c r="B66" t="inlineStr">
        <is>
          <t>Harbert Management</t>
        </is>
      </c>
      <c r="D66" s="143" t="inlineStr">
        <is>
          <t>mbauder@harbert.net</t>
        </is>
      </c>
      <c r="E66" s="166" t="inlineStr">
        <is>
          <t>205.987.5598</t>
        </is>
      </c>
      <c r="F66" s="80" t="n">
        <v>45854</v>
      </c>
      <c r="G66" s="80" t="n">
        <v>45882</v>
      </c>
      <c r="I66" s="80" t="n">
        <v>45922</v>
      </c>
    </row>
    <row r="67" ht="15.75" customHeight="1" s="216">
      <c r="A67" t="inlineStr">
        <is>
          <t>Jon-Paul Momsen</t>
        </is>
      </c>
      <c r="B67" t="inlineStr">
        <is>
          <t>Harbert Management</t>
        </is>
      </c>
      <c r="D67" s="143" t="inlineStr">
        <is>
          <t>jmomsen@harbert.net</t>
        </is>
      </c>
      <c r="E67" s="166" t="inlineStr">
        <is>
          <t>415.442.8383</t>
        </is>
      </c>
      <c r="F67" s="80" t="n">
        <v>45854</v>
      </c>
      <c r="G67" s="80" t="n">
        <v>45882</v>
      </c>
      <c r="I67" s="80" t="n">
        <v>45922</v>
      </c>
    </row>
    <row r="68" ht="15.75" customHeight="1" s="216">
      <c r="A68" t="inlineStr">
        <is>
          <t>Jordan Redella</t>
        </is>
      </c>
      <c r="B68" t="inlineStr">
        <is>
          <t>Harbert Management</t>
        </is>
      </c>
      <c r="D68" s="143" t="inlineStr">
        <is>
          <t>jredella@harbert.net</t>
        </is>
      </c>
      <c r="E68" s="166" t="inlineStr">
        <is>
          <t>404.435.3994</t>
        </is>
      </c>
      <c r="F68" s="80" t="n">
        <v>45854</v>
      </c>
      <c r="G68" s="80" t="n">
        <v>45882</v>
      </c>
      <c r="I68" s="80" t="n">
        <v>45922</v>
      </c>
    </row>
    <row r="69" ht="15.75" customHeight="1" s="216">
      <c r="B69" t="inlineStr">
        <is>
          <t>JH Whitney Capital Partners</t>
        </is>
      </c>
      <c r="D69" s="111" t="inlineStr">
        <is>
          <t>info@whitney.com</t>
        </is>
      </c>
      <c r="E69" s="166" t="inlineStr">
        <is>
          <t>(203) 716-6100</t>
        </is>
      </c>
      <c r="F69" s="80" t="n">
        <v>45854</v>
      </c>
      <c r="G69" s="80" t="n">
        <v>45882</v>
      </c>
      <c r="I69" s="80" t="n">
        <v>45922</v>
      </c>
    </row>
    <row r="70" ht="15.75" customHeight="1" s="216">
      <c r="B70" t="inlineStr">
        <is>
          <t>Level Equity Management</t>
        </is>
      </c>
      <c r="D70" s="111" t="inlineStr">
        <is>
          <t>info@levelequity.com</t>
        </is>
      </c>
      <c r="E70" s="166" t="inlineStr">
        <is>
          <t>(212) 660-2470</t>
        </is>
      </c>
      <c r="F70" s="80" t="n">
        <v>45854</v>
      </c>
      <c r="G70" s="80" t="n">
        <v>45882</v>
      </c>
      <c r="I70" s="80" t="n">
        <v>45922</v>
      </c>
    </row>
    <row r="71" ht="15.75" customHeight="1" s="216">
      <c r="A71" t="inlineStr">
        <is>
          <t>Charles Chen</t>
        </is>
      </c>
      <c r="B71" t="inlineStr">
        <is>
          <t>Level Equity Management</t>
        </is>
      </c>
      <c r="D71" s="143" t="inlineStr">
        <is>
          <t>cchen@levelequity.com</t>
        </is>
      </c>
      <c r="E71" s="166" t="inlineStr">
        <is>
          <t>212.993.7284</t>
        </is>
      </c>
      <c r="F71" s="80" t="n">
        <v>45854</v>
      </c>
      <c r="G71" s="80" t="n">
        <v>45882</v>
      </c>
      <c r="I71" s="80" t="n">
        <v>45922</v>
      </c>
    </row>
    <row r="72" ht="15.75" customHeight="1" s="216">
      <c r="A72" t="inlineStr">
        <is>
          <t>Benjamin Levin</t>
        </is>
      </c>
      <c r="B72" t="inlineStr">
        <is>
          <t>Level Equity Management</t>
        </is>
      </c>
      <c r="D72" s="143" t="inlineStr">
        <is>
          <t>blevin@levelequity.com</t>
        </is>
      </c>
      <c r="E72" s="166" t="inlineStr">
        <is>
          <t>212.660.2475</t>
        </is>
      </c>
      <c r="F72" s="80" t="n">
        <v>45854</v>
      </c>
      <c r="G72" s="80" t="n">
        <v>45882</v>
      </c>
      <c r="I72" s="80" t="n">
        <v>45922</v>
      </c>
    </row>
    <row r="73" ht="15.75" customHeight="1" s="216">
      <c r="A73" t="inlineStr">
        <is>
          <t>Hanna Yu</t>
        </is>
      </c>
      <c r="B73" t="inlineStr">
        <is>
          <t>Level Equity Management</t>
        </is>
      </c>
      <c r="D73" s="143" t="inlineStr">
        <is>
          <t>hyu@levelequity.com</t>
        </is>
      </c>
      <c r="E73" s="166" t="inlineStr">
        <is>
          <t>847.371.1706</t>
        </is>
      </c>
      <c r="F73" s="80" t="n">
        <v>45854</v>
      </c>
      <c r="G73" s="80" t="n">
        <v>45882</v>
      </c>
      <c r="I73" s="80" t="n">
        <v>45922</v>
      </c>
    </row>
    <row r="74" ht="15.75" customHeight="1" s="216">
      <c r="A74" t="inlineStr">
        <is>
          <t>Arthur Tingas</t>
        </is>
      </c>
      <c r="B74" t="inlineStr">
        <is>
          <t>Level Equity Management</t>
        </is>
      </c>
      <c r="D74" s="143" t="inlineStr">
        <is>
          <t>atingas@levelequity.com</t>
        </is>
      </c>
      <c r="E74" s="166" t="inlineStr">
        <is>
          <t>212.660.2473</t>
        </is>
      </c>
      <c r="F74" s="80" t="n">
        <v>45854</v>
      </c>
      <c r="G74" s="80" t="n">
        <v>45882</v>
      </c>
      <c r="I74" s="80" t="n">
        <v>45922</v>
      </c>
    </row>
    <row r="75" ht="15.75" customHeight="1" s="216">
      <c r="A75" t="inlineStr">
        <is>
          <t>Daniel Zhang</t>
        </is>
      </c>
      <c r="B75" t="inlineStr">
        <is>
          <t>Level Equity Management</t>
        </is>
      </c>
      <c r="D75" s="143" t="inlineStr">
        <is>
          <t>dzhang@levelequity.com</t>
        </is>
      </c>
      <c r="E75" s="166" t="inlineStr">
        <is>
          <t>925.549.8559</t>
        </is>
      </c>
      <c r="F75" s="80" t="n">
        <v>45854</v>
      </c>
      <c r="G75" s="80" t="n">
        <v>45882</v>
      </c>
      <c r="I75" s="80" t="n">
        <v>45922</v>
      </c>
    </row>
    <row r="76" ht="15.75" customHeight="1" s="216">
      <c r="B76" t="inlineStr">
        <is>
          <t>Rallyday Partners</t>
        </is>
      </c>
      <c r="D76" s="111" t="inlineStr">
        <is>
          <t>info@rallydaypartners.com</t>
        </is>
      </c>
      <c r="E76" s="166" t="inlineStr">
        <is>
          <t>(720) 307-1050 and 720.836.1067</t>
        </is>
      </c>
      <c r="F76" s="80" t="n">
        <v>45854</v>
      </c>
      <c r="G76" s="80" t="n">
        <v>45882</v>
      </c>
      <c r="I76" s="80" t="n">
        <v>45922</v>
      </c>
    </row>
    <row r="77" ht="15.75" customHeight="1" s="216">
      <c r="A77" t="inlineStr">
        <is>
          <t>Ryan Heckman</t>
        </is>
      </c>
      <c r="B77" t="inlineStr">
        <is>
          <t>Rallyday Partners</t>
        </is>
      </c>
      <c r="D77" s="143" t="inlineStr">
        <is>
          <t>ryan@rallydaypartners.com</t>
        </is>
      </c>
      <c r="E77" s="166" t="inlineStr">
        <is>
          <t>303.330.6929</t>
        </is>
      </c>
      <c r="F77" s="80" t="n">
        <v>45854</v>
      </c>
      <c r="G77" s="80" t="n">
        <v>45882</v>
      </c>
      <c r="I77" s="80" t="n">
        <v>45922</v>
      </c>
    </row>
    <row r="78">
      <c r="A78" t="inlineStr">
        <is>
          <t>Katelyn Fritcher</t>
        </is>
      </c>
      <c r="B78" t="inlineStr">
        <is>
          <t>Rallyday Partners</t>
        </is>
      </c>
      <c r="D78" s="111" t="inlineStr">
        <is>
          <t>Katelyn@RallydayPartners.com</t>
        </is>
      </c>
      <c r="E78" s="111" t="n"/>
      <c r="F78" s="80" t="n">
        <v>45854</v>
      </c>
      <c r="G78" s="80" t="n">
        <v>45882</v>
      </c>
      <c r="I78" s="80" t="n">
        <v>45922</v>
      </c>
    </row>
    <row r="79" ht="15.75" customHeight="1" s="216">
      <c r="A79" t="inlineStr">
        <is>
          <t>Nancy Phillips</t>
        </is>
      </c>
      <c r="B79" t="inlineStr">
        <is>
          <t>Rallyday Partners</t>
        </is>
      </c>
      <c r="D79" s="143" t="inlineStr">
        <is>
          <t>nancy@rallydaypartners.com</t>
        </is>
      </c>
      <c r="E79" s="166" t="inlineStr">
        <is>
          <t>303.407.4706</t>
        </is>
      </c>
      <c r="F79" s="80" t="n">
        <v>45854</v>
      </c>
      <c r="G79" s="80" t="n">
        <v>45882</v>
      </c>
      <c r="I79" s="80" t="n">
        <v>45922</v>
      </c>
    </row>
    <row r="80" ht="15.75" customHeight="1" s="216">
      <c r="A80" t="inlineStr">
        <is>
          <t>Ryan Kirkpatrick</t>
        </is>
      </c>
      <c r="B80" t="inlineStr">
        <is>
          <t>Rallyday Partners</t>
        </is>
      </c>
      <c r="D80" s="143" t="inlineStr">
        <is>
          <t>ryank@rallydaypartners.com</t>
        </is>
      </c>
      <c r="E80" s="166" t="inlineStr">
        <is>
          <t>917.696.9091</t>
        </is>
      </c>
      <c r="F80" s="80" t="n">
        <v>45854</v>
      </c>
      <c r="G80" s="80" t="n">
        <v>45882</v>
      </c>
      <c r="I80" s="80" t="n">
        <v>45922</v>
      </c>
    </row>
    <row r="81" ht="15.75" customHeight="1" s="216">
      <c r="A81" t="inlineStr">
        <is>
          <t>Mark Hopkins</t>
        </is>
      </c>
      <c r="B81" t="inlineStr">
        <is>
          <t>Rallyday Partners</t>
        </is>
      </c>
      <c r="D81" s="143" t="inlineStr">
        <is>
          <t>mark@rallydaypartners.com</t>
        </is>
      </c>
      <c r="E81" s="166" t="inlineStr">
        <is>
          <t>303.570.0464</t>
        </is>
      </c>
      <c r="F81" s="80" t="n">
        <v>45854</v>
      </c>
      <c r="G81" s="80" t="n">
        <v>45882</v>
      </c>
      <c r="I81" s="80" t="n">
        <v>45922</v>
      </c>
    </row>
    <row r="82" ht="15.75" customHeight="1" s="216">
      <c r="A82" t="inlineStr">
        <is>
          <t>Frank Sands</t>
        </is>
      </c>
      <c r="B82" t="inlineStr">
        <is>
          <t>Sands Capital</t>
        </is>
      </c>
      <c r="D82" s="143" t="inlineStr">
        <is>
          <t>fsands@sandscap.com</t>
        </is>
      </c>
      <c r="E82" s="166" t="inlineStr">
        <is>
          <t>703.714.1545</t>
        </is>
      </c>
      <c r="F82" s="80" t="n">
        <v>45854</v>
      </c>
      <c r="G82" s="80" t="n">
        <v>45882</v>
      </c>
      <c r="I82" s="80" t="n">
        <v>45922</v>
      </c>
    </row>
    <row r="83" ht="15.75" customHeight="1" s="216">
      <c r="A83" t="inlineStr">
        <is>
          <t>Michael Graninger</t>
        </is>
      </c>
      <c r="B83" t="inlineStr">
        <is>
          <t>Sands Capital</t>
        </is>
      </c>
      <c r="D83" s="143" t="inlineStr">
        <is>
          <t>mgraninger@sandscap.com</t>
        </is>
      </c>
      <c r="E83" s="166" t="inlineStr">
        <is>
          <t>703.253.2127</t>
        </is>
      </c>
      <c r="F83" s="80" t="n">
        <v>45854</v>
      </c>
      <c r="G83" s="80" t="n">
        <v>45882</v>
      </c>
      <c r="I83" s="80" t="n">
        <v>45922</v>
      </c>
    </row>
    <row r="84" ht="15" customHeight="1" s="216">
      <c r="A84" t="inlineStr">
        <is>
          <t>Andrew Gavlin</t>
        </is>
      </c>
      <c r="B84" t="inlineStr">
        <is>
          <t>Sands Capital</t>
        </is>
      </c>
      <c r="D84" s="143" t="inlineStr">
        <is>
          <t>agavlin@sandscap.com</t>
        </is>
      </c>
      <c r="E84" t="inlineStr">
        <is>
          <t>703.253.2130</t>
        </is>
      </c>
      <c r="G84" s="80" t="n">
        <v>45882</v>
      </c>
      <c r="I84" s="80" t="n">
        <v>45922</v>
      </c>
    </row>
    <row r="85" ht="15.75" customHeight="1" s="216">
      <c r="A85" t="inlineStr">
        <is>
          <t>Stephen Zachary</t>
        </is>
      </c>
      <c r="B85" t="inlineStr">
        <is>
          <t>Sands Capital</t>
        </is>
      </c>
      <c r="D85" s="143" t="inlineStr">
        <is>
          <t>szachary@sandscap.com</t>
        </is>
      </c>
      <c r="E85" s="166" t="inlineStr">
        <is>
          <t>703.253.4409</t>
        </is>
      </c>
      <c r="G85" s="80" t="n">
        <v>45882</v>
      </c>
      <c r="I85" s="80" t="n">
        <v>45922</v>
      </c>
    </row>
    <row r="86">
      <c r="A86" t="inlineStr">
        <is>
          <t>office</t>
        </is>
      </c>
      <c r="B86" t="inlineStr">
        <is>
          <t>AE Industrial Partners</t>
        </is>
      </c>
      <c r="E86" t="inlineStr">
        <is>
          <t>(561) 372-7820</t>
        </is>
      </c>
    </row>
    <row r="87" ht="15.75" customHeight="1" s="216">
      <c r="A87" t="inlineStr">
        <is>
          <t>OSC Team</t>
        </is>
      </c>
      <c r="B87" t="inlineStr">
        <is>
          <t>OSC</t>
        </is>
      </c>
      <c r="D87" s="111" t="inlineStr">
        <is>
          <t>osc.loan.application@osc.mil</t>
        </is>
      </c>
      <c r="E87" s="166" t="n"/>
      <c r="F87" s="80" t="n">
        <v>45922</v>
      </c>
    </row>
    <row r="88" ht="15.75" customHeight="1" s="216">
      <c r="E88" s="166" t="n"/>
    </row>
    <row r="89" ht="15.75" customHeight="1" s="216">
      <c r="E89" s="166" t="n"/>
    </row>
    <row r="1048576">
      <c r="G1048576" s="80"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2.75"/>
  <sheetData>
    <row r="1">
      <c r="A1" s="157" t="inlineStr">
        <is>
          <t>NAME</t>
        </is>
      </c>
      <c r="B1" s="157" t="inlineStr">
        <is>
          <t>COMPANY</t>
        </is>
      </c>
      <c r="C1" s="157" t="inlineStr">
        <is>
          <t>LINKED IN</t>
        </is>
      </c>
      <c r="D1" s="157" t="inlineStr">
        <is>
          <t>EMAIL</t>
        </is>
      </c>
      <c r="E1" s="157" t="inlineStr">
        <is>
          <t>PHONE</t>
        </is>
      </c>
      <c r="F1" s="157" t="inlineStr">
        <is>
          <t>CONTACTED</t>
        </is>
      </c>
      <c r="G1" s="157" t="inlineStr">
        <is>
          <t>FOLLOW UP</t>
        </is>
      </c>
      <c r="H1" s="157" t="inlineStr">
        <is>
          <t>WHAT THEY DO</t>
        </is>
      </c>
      <c r="I1" s="157" t="n"/>
    </row>
    <row r="2">
      <c r="A2" s="234" t="inlineStr">
        <is>
          <t>David Ford</t>
        </is>
      </c>
      <c r="B2" s="234" t="inlineStr">
        <is>
          <t>Silver Peak</t>
        </is>
      </c>
      <c r="C2" s="234" t="n"/>
      <c r="D2" s="242" t="inlineStr">
        <is>
          <t xml:space="preserve">df@silverpeakib.com </t>
        </is>
      </c>
      <c r="E2" s="373" t="n"/>
      <c r="F2" s="373" t="n">
        <v>45945</v>
      </c>
      <c r="G2" s="234" t="n"/>
      <c r="H2" s="234" t="inlineStr">
        <is>
          <t>Bridge Loans</t>
        </is>
      </c>
      <c r="I2" s="234" t="n"/>
      <c r="J2" s="234" t="n"/>
      <c r="K2" s="234" t="n"/>
      <c r="L2" s="234" t="n"/>
      <c r="M2" s="234" t="n"/>
      <c r="N2" s="234" t="n"/>
      <c r="O2" s="234" t="n"/>
      <c r="P2" s="234" t="n"/>
    </row>
    <row r="3">
      <c r="A3" s="234" t="inlineStr">
        <is>
          <t>met at VC Arena event</t>
        </is>
      </c>
      <c r="B3" s="234" t="n"/>
      <c r="C3" s="234" t="n"/>
      <c r="D3" s="92" t="inlineStr">
        <is>
          <t>emeagher@cdfslaw.com</t>
        </is>
      </c>
      <c r="E3" s="234" t="n"/>
      <c r="F3" s="373" t="n">
        <v>45961</v>
      </c>
      <c r="G3" s="234" t="n"/>
      <c r="H3" s="234" t="inlineStr">
        <is>
          <t>Legal Services</t>
        </is>
      </c>
      <c r="I3" s="234" t="n"/>
      <c r="J3" s="234" t="n"/>
      <c r="K3" s="234" t="n"/>
      <c r="L3" s="234" t="n"/>
      <c r="M3" s="234" t="n"/>
      <c r="N3" s="234" t="n"/>
      <c r="O3" s="234" t="n"/>
      <c r="P3" s="234"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2.75"/>
  <cols>
    <col width="14.7109375" customWidth="1" style="216" min="1" max="1"/>
    <col width="17.42578125" customWidth="1" style="216" min="2" max="2"/>
    <col width="39.28515625" customWidth="1" style="216" min="3" max="3"/>
    <col width="17.5703125" customWidth="1" style="216" min="4" max="4"/>
    <col width="19" customWidth="1" style="216" min="5" max="5"/>
    <col width="18.5703125" customWidth="1" style="216" min="7" max="7"/>
  </cols>
  <sheetData>
    <row r="1">
      <c r="A1" s="157" t="inlineStr">
        <is>
          <t>NAME</t>
        </is>
      </c>
      <c r="B1" s="157" t="inlineStr">
        <is>
          <t>COMPANY</t>
        </is>
      </c>
      <c r="C1" s="157" t="inlineStr">
        <is>
          <t>EMAIL</t>
        </is>
      </c>
      <c r="D1" s="157" t="inlineStr">
        <is>
          <t>FIRST OUTREACH</t>
        </is>
      </c>
      <c r="E1" s="157" t="inlineStr">
        <is>
          <t>FOLLOW UP</t>
        </is>
      </c>
      <c r="F1" s="157" t="inlineStr">
        <is>
          <t>NOTES</t>
        </is>
      </c>
      <c r="G1" s="157" t="inlineStr">
        <is>
          <t>FOLLOW UP</t>
        </is>
      </c>
    </row>
    <row r="2">
      <c r="C2" s="111" t="inlineStr">
        <is>
          <t>helotaibi@misa.gov.sa</t>
        </is>
      </c>
      <c r="D2" s="80" t="n">
        <v>45851</v>
      </c>
    </row>
    <row r="3">
      <c r="B3" t="inlineStr">
        <is>
          <t>Alpine Space VC</t>
        </is>
      </c>
      <c r="C3" s="111" t="inlineStr">
        <is>
          <t>catriona@alpinespace.vc</t>
        </is>
      </c>
      <c r="D3" s="80" t="n">
        <v>45851</v>
      </c>
    </row>
    <row r="4">
      <c r="A4" t="inlineStr">
        <is>
          <t>Ben Balmforth</t>
        </is>
      </c>
      <c r="B4" t="inlineStr">
        <is>
          <t>Nif Fund</t>
        </is>
      </c>
      <c r="C4" s="111" t="inlineStr">
        <is>
          <t>ben.balmforth@nif.fund</t>
        </is>
      </c>
      <c r="D4" s="80" t="n">
        <v>45851</v>
      </c>
    </row>
    <row r="5">
      <c r="A5" s="89" t="inlineStr">
        <is>
          <t>Yutaka Wada CTO</t>
        </is>
      </c>
      <c r="B5" s="89" t="inlineStr">
        <is>
          <t>Astro X/Chiba Tech</t>
        </is>
      </c>
      <c r="C5" s="246" t="inlineStr">
        <is>
          <t>utaka_wada@astrox.jp | yutaka.wada@p.chibakoudai.jp</t>
        </is>
      </c>
      <c r="D5" s="89" t="n"/>
      <c r="E5" s="89" t="inlineStr">
        <is>
          <t>1-050-3703-6042 or 81-47-478-0513</t>
        </is>
      </c>
      <c r="F5" s="89" t="inlineStr">
        <is>
          <t>meeting at exos 10/23</t>
        </is>
      </c>
      <c r="G5" s="89" t="n"/>
    </row>
    <row r="6">
      <c r="A6" s="89" t="inlineStr">
        <is>
          <t>Susumu TanakaEngineering Dept</t>
        </is>
      </c>
      <c r="B6" s="89" t="inlineStr">
        <is>
          <t>Astro X</t>
        </is>
      </c>
      <c r="C6" s="246" t="inlineStr">
        <is>
          <t>susumu_tanaka@astrox.jp</t>
        </is>
      </c>
      <c r="D6" s="89" t="n"/>
      <c r="E6" s="89" t="inlineStr">
        <is>
          <t>81-03-6824-7894</t>
        </is>
      </c>
      <c r="F6" s="89" t="n"/>
      <c r="G6" s="89" t="n"/>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2:D9"/>
  <sheetViews>
    <sheetView workbookViewId="0">
      <selection activeCell="A1" sqref="A1"/>
    </sheetView>
  </sheetViews>
  <sheetFormatPr baseColWidth="8" defaultColWidth="12.5703125" defaultRowHeight="15.75"/>
  <sheetData>
    <row r="2" ht="15.75" customHeight="1" s="216">
      <c r="A2" s="2" t="inlineStr">
        <is>
          <t>Jeffery Chi</t>
        </is>
      </c>
      <c r="B2" s="2" t="inlineStr">
        <is>
          <t>Vickers Venture</t>
        </is>
      </c>
      <c r="C2" s="139" t="inlineStr">
        <is>
          <t>jeff.chi@vickersventure.com</t>
        </is>
      </c>
      <c r="D2" s="2" t="inlineStr">
        <is>
          <t>potential - follow up next year</t>
        </is>
      </c>
    </row>
    <row r="3" ht="15.75" customHeight="1" s="216">
      <c r="C3" s="42" t="n"/>
    </row>
    <row r="4" ht="15.75" customHeight="1" s="216">
      <c r="C4" s="43" t="n"/>
    </row>
    <row r="5" ht="15.75" customHeight="1" s="216">
      <c r="C5" s="44" t="n"/>
    </row>
    <row r="6" ht="15.75" customHeight="1" s="216">
      <c r="C6" s="44" t="n"/>
    </row>
    <row r="7" ht="15.75" customHeight="1" s="216">
      <c r="C7" s="44" t="n"/>
    </row>
    <row r="8" ht="15.75" customHeight="1" s="216">
      <c r="C8" s="43" t="n"/>
    </row>
    <row r="9" ht="15.75" customHeight="1" s="216">
      <c r="C9" s="45" t="n"/>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2:B6"/>
  <sheetViews>
    <sheetView workbookViewId="0">
      <selection activeCell="A1" sqref="A1"/>
    </sheetView>
  </sheetViews>
  <sheetFormatPr baseColWidth="8" defaultColWidth="12.5703125" defaultRowHeight="15.75"/>
  <cols>
    <col width="8.42578125" customWidth="1" style="216" min="1" max="1"/>
    <col width="39.28515625" customWidth="1" style="216" min="2" max="2"/>
  </cols>
  <sheetData>
    <row r="2" ht="15.75" customHeight="1" s="216">
      <c r="A2" s="46" t="n">
        <v>1</v>
      </c>
      <c r="B2" s="47" t="inlineStr">
        <is>
          <t>Oval Ventures POC Joe Cell number 1 (917) 757 2264 / email address grodkojoseph@gmail.com</t>
        </is>
      </c>
    </row>
    <row r="3" ht="15.75" customHeight="1" s="216">
      <c r="A3" s="48" t="n">
        <v>2</v>
      </c>
      <c r="B3" s="49" t="inlineStr">
        <is>
          <t>Head of Recourse Factoring POC Leigh ones Cell number is 770-349-5452 Email  llones@rosenthalinc.com</t>
        </is>
      </c>
    </row>
    <row r="4" ht="15.75" customHeight="1" s="216">
      <c r="A4" s="50" t="n">
        <v>3</v>
      </c>
      <c r="B4" s="51" t="inlineStr">
        <is>
          <t>Fund my contract POC Joe Galluccio jgalluccio@fundmycom</t>
        </is>
      </c>
    </row>
    <row r="5" ht="15.75" customHeight="1" s="216">
      <c r="A5" s="50" t="n">
        <v>4</v>
      </c>
      <c r="B5" s="51" t="inlineStr">
        <is>
          <t>Bankers Factoring Chris Curtin CEO chris@bankersfactoring.com</t>
        </is>
      </c>
    </row>
    <row r="6" ht="15.75" customHeight="1" s="216">
      <c r="A6" s="50" t="n">
        <v>5</v>
      </c>
      <c r="B6" s="51" t="inlineStr">
        <is>
          <t>JD Factors POC Brad Millier EMAIL bmiller@jdfactors.com</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2:B37"/>
  <sheetViews>
    <sheetView workbookViewId="0">
      <selection activeCell="A1" sqref="A1"/>
    </sheetView>
  </sheetViews>
  <sheetFormatPr baseColWidth="8" defaultColWidth="12.5703125" defaultRowHeight="15.75"/>
  <sheetData>
    <row r="2" ht="15.75" customHeight="1" s="216">
      <c r="A2" s="52" t="inlineStr">
        <is>
          <t>STAR Funding (New York, NY)</t>
        </is>
      </c>
    </row>
    <row r="3" ht="15.75" customHeight="1" s="216">
      <c r="A3" s="52" t="n"/>
      <c r="B3" s="52" t="inlineStr">
        <is>
          <t>Overview: Specializes in PO funding for government contracts, offering up to 100% of cost of goods and 80–90% of government receivables.</t>
        </is>
      </c>
    </row>
    <row r="4" ht="15.75" customHeight="1" s="216">
      <c r="A4" s="52" t="n"/>
      <c r="B4" s="52" t="inlineStr">
        <is>
          <t>DoD/Government Fit: Explicitly markets to government contractors, highlighting the Assignment of Claims process and experience with federal contracts. They handle both finished goods PO financing and work-in-process funding, ideal for DoD suppliers.</t>
        </is>
      </c>
    </row>
    <row r="5" ht="15.75" customHeight="1" s="216">
      <c r="A5" s="52" t="n"/>
      <c r="B5" s="52" t="inlineStr">
        <is>
          <t>Details: Funds deployed in days, tailored for small to midsize contractors. Contact: (212) 768-9900, 237 W 37th St, 5th Floor, New York, NY 10018.</t>
        </is>
      </c>
    </row>
    <row r="6" ht="15.75" customHeight="1" s="216">
      <c r="A6" s="52" t="n"/>
      <c r="B6" s="53" t="inlineStr">
        <is>
          <t>Source: starfunding.com (Web ID: 9).</t>
        </is>
      </c>
    </row>
    <row r="7" ht="15.75" customHeight="1" s="216">
      <c r="A7" s="52" t="n"/>
      <c r="B7" s="54" t="inlineStr">
        <is>
          <t>Comment / Meeting Today / March 31 @ 1:30PM</t>
        </is>
      </c>
    </row>
    <row r="8" ht="15.75" customHeight="1" s="216">
      <c r="A8" s="52" t="n"/>
    </row>
    <row r="9" ht="15.75" customHeight="1" s="216">
      <c r="A9" s="52" t="inlineStr">
        <is>
          <t>Commercial Capital LLC (Miami, FL)</t>
        </is>
      </c>
    </row>
    <row r="10" ht="15.75" customHeight="1" s="216">
      <c r="A10" s="52" t="n"/>
      <c r="B10" s="52" t="inlineStr">
        <is>
          <t>Overview: Provides PO financing, supplier financing, and invoice factoring for government contractors, with a focus on small businesses under programs like 8(a).</t>
        </is>
      </c>
    </row>
    <row r="11" ht="15.75" customHeight="1" s="216">
      <c r="A11" s="52" t="n"/>
      <c r="B11" s="52" t="inlineStr">
        <is>
          <t>DoD/Government Fit: Notes government orders often exceed small vendors’ financial capacity, offering solutions compliant with the Assignment of Claims Act. Best for distributors/resellers, not manufacturers.</t>
        </is>
      </c>
    </row>
    <row r="12" ht="15.75" customHeight="1" s="216">
      <c r="A12" s="52" t="n"/>
      <c r="B12" s="52" t="inlineStr">
        <is>
          <t>Details: Rates average 3% per 30 days, setup in 1–2 weeks. Contact: (877) 300-3258, 701 Brickell Ave, Suite 1550, Miami, FL 33131.</t>
        </is>
      </c>
    </row>
    <row r="13" ht="15.75" customHeight="1" s="216">
      <c r="A13" s="52" t="n"/>
      <c r="B13" s="53" t="inlineStr">
        <is>
          <t>Source: comcapfactoring.com (Web ID: 8).</t>
        </is>
      </c>
    </row>
    <row r="14" ht="15.75" customHeight="1" s="216">
      <c r="A14" s="52" t="n"/>
    </row>
    <row r="15" ht="15.75" customHeight="1" s="216">
      <c r="A15" s="52" t="inlineStr">
        <is>
          <t>Triumph Business Capital (Coppell, TX)</t>
        </is>
      </c>
    </row>
    <row r="16" ht="15.75" customHeight="1" s="216">
      <c r="A16" s="52" t="n"/>
      <c r="B16" s="52" t="inlineStr">
        <is>
          <t>Overview: Offers PO financing and factoring services, with a division focused on government contract financing.</t>
        </is>
      </c>
    </row>
    <row r="17" ht="15.75" customHeight="1" s="216">
      <c r="A17" s="52" t="n"/>
      <c r="B17" s="52" t="inlineStr">
        <is>
          <t>DoD/Government Fit: Experienced with federal contracts, including DoD, leveraging the Assignment of Claims Act. Caters to businesses needing to bridge cash flow gaps for government POs.</t>
        </is>
      </c>
    </row>
    <row r="18" ht="15.75" customHeight="1" s="216">
      <c r="A18" s="52" t="n"/>
      <c r="B18" s="52" t="inlineStr">
        <is>
          <t>Details: Flexible funding up to millions, quick approvals. Contact: (866) 227-7797, 651 Canyon Dr, Suite 100, Coppell, TX 75019.</t>
        </is>
      </c>
    </row>
    <row r="19" ht="15.75" customHeight="1" s="216">
      <c r="A19" s="52" t="n"/>
      <c r="B19" s="53" t="inlineStr">
        <is>
          <t>Source: Industry reputation and triumphbcapital.com.</t>
        </is>
      </c>
    </row>
    <row r="20" ht="15.75" customHeight="1" s="216">
      <c r="A20" s="52" t="n"/>
    </row>
    <row r="21" ht="15.75" customHeight="1" s="216">
      <c r="A21" s="52" t="inlineStr">
        <is>
          <t>DS-Concept (New York, NY, and nationwide)</t>
        </is>
      </c>
    </row>
    <row r="22" ht="15.75" customHeight="1" s="216">
      <c r="A22" s="52" t="n"/>
      <c r="B22" s="52" t="inlineStr">
        <is>
          <t>Overview: Global trade finance provider with U.S. operations, offering PO financing for large orders.</t>
        </is>
      </c>
    </row>
    <row r="23" ht="15.75" customHeight="1" s="216">
      <c r="A23" s="52" t="n"/>
      <c r="B23" s="52" t="inlineStr">
        <is>
          <t>DoD/Government Fit: Works with government contractors, particularly in high-value sectors like defense, providing up to 100% supplier funding. Familiar with federal payment terms (net-30 to 60).</t>
        </is>
      </c>
    </row>
    <row r="24" ht="15.75" customHeight="1" s="216">
      <c r="A24" s="52" t="n"/>
      <c r="B24" s="52" t="inlineStr">
        <is>
          <t>Details: Customized solutions, higher rates for riskier deals (3–6% per 30 days). Contact: (212) 765-5770, U.S. HQ in New York.</t>
        </is>
      </c>
    </row>
    <row r="25" ht="15.75" customHeight="1" s="216">
      <c r="A25" s="52" t="n"/>
      <c r="B25" s="53" t="inlineStr">
        <is>
          <t>Source: ds-concept.net and industry listings.</t>
        </is>
      </c>
    </row>
    <row r="26" ht="15.75" customHeight="1" s="216">
      <c r="A26" s="52" t="n"/>
    </row>
    <row r="27" ht="15.75" customHeight="1" s="216">
      <c r="A27" s="52" t="inlineStr">
        <is>
          <t>Greenbox Capital (Miami, FL)</t>
        </is>
      </c>
    </row>
    <row r="28" ht="14.44999980926514" customHeight="1" s="216">
      <c r="A28" s="52" t="n"/>
      <c r="B28" s="52" t="inlineStr">
        <is>
          <t>Overview: Alternative lender offering PO financing and working capital for small to midsize businesses.</t>
        </is>
      </c>
    </row>
    <row r="29" ht="14.44999980926514" customHeight="1" s="216">
      <c r="A29" s="52" t="n"/>
      <c r="B29" s="52" t="inlineStr">
        <is>
          <t>DoD/Government Fit: Serves government contractors needing funds for supplier payments, with experience in federal contract ecosystems. Not DoD-specific but adaptable.</t>
        </is>
      </c>
    </row>
    <row r="30" ht="14.44999980926514" customHeight="1" s="216">
      <c r="A30" s="52" t="n"/>
      <c r="B30" s="52" t="inlineStr">
        <is>
          <t>Details: Funding from $50K to $5M, fast approval (1–3 days). Contact: (855) 442-3423, 1951 NW 7th Ave, Suite 600, Miami, FL 33136.</t>
        </is>
      </c>
    </row>
    <row r="31" ht="14.44999980926514" customHeight="1" s="216">
      <c r="A31" s="52" t="n"/>
      <c r="B31" s="53" t="inlineStr">
        <is>
          <t>Source: greenboxcapital.com.</t>
        </is>
      </c>
    </row>
    <row r="32" ht="14.44999980926514" customHeight="1" s="216">
      <c r="A32" s="52" t="n"/>
      <c r="B32" s="52" t="n"/>
    </row>
    <row r="33" ht="14.44999980926514" customHeight="1" s="216">
      <c r="A33" s="52" t="inlineStr">
        <is>
          <t>Porter Capital (Birmingham, AL): Offers PO financing and factoring, with government contract experience. Contact: (800) 737-7344. Known for flexibility with small businesses.</t>
        </is>
      </c>
    </row>
    <row r="34" ht="14.44999980926514" customHeight="1" s="216">
      <c r="A34" s="52" t="n"/>
    </row>
    <row r="35" ht="14.44999980926514" customHeight="1" s="216">
      <c r="A35" s="52" t="inlineStr">
        <is>
          <t>Paragon Financial Group (Fort Lauderdale, FL): Specializes in government contract factoring and PO financing, citing the Assignment of Claims Act. Contact: (888) 400-5931.</t>
        </is>
      </c>
    </row>
    <row r="36" ht="14.44999980926514" customHeight="1" s="216">
      <c r="A36" s="52" t="n"/>
    </row>
    <row r="37" ht="14.44999980926514" customHeight="1" s="216">
      <c r="A37" s="52" t="inlineStr">
        <is>
          <t>1st Commercial Credit (Austin, TX): Provides PO financing for government vendors, focusing on receivables-backed funding. Contact: (855) 263-0483.</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ColWidth="12.5703125" defaultRowHeight="15.75"/>
  <cols>
    <col width="5.7109375" customWidth="1" style="216" min="1" max="1"/>
    <col width="18.5703125" customWidth="1" style="216" min="4" max="4"/>
    <col width="23.42578125" customWidth="1" style="216" min="5" max="5"/>
    <col width="23.5703125" customWidth="1" style="216" min="7" max="7"/>
    <col width="23.42578125" customWidth="1" style="216" min="8" max="8"/>
    <col width="19" customWidth="1" style="216" min="9" max="9"/>
    <col width="15.42578125" customWidth="1" style="216" min="10" max="10"/>
    <col width="14.85546875" customWidth="1" style="216" min="15" max="15"/>
  </cols>
  <sheetData>
    <row r="1" ht="14.10000038146973" customHeight="1" s="216">
      <c r="A1" s="55" t="n"/>
      <c r="B1" s="55" t="n"/>
      <c r="C1" s="55" t="n"/>
      <c r="D1" s="55" t="n"/>
      <c r="E1" s="55" t="n"/>
      <c r="F1" s="55" t="n"/>
      <c r="G1" s="55" t="n"/>
      <c r="H1" s="55" t="n"/>
      <c r="I1" s="55" t="n"/>
      <c r="J1" s="55" t="n"/>
      <c r="K1" s="55" t="n"/>
    </row>
    <row r="2" ht="14.10000038146973" customHeight="1" s="216">
      <c r="A2" s="55" t="n"/>
      <c r="B2" s="55" t="n"/>
      <c r="C2" s="55" t="n"/>
      <c r="D2" s="55" t="n"/>
      <c r="E2" s="55" t="n"/>
      <c r="F2" s="55" t="n"/>
      <c r="G2" s="55" t="n"/>
      <c r="H2" s="55" t="n"/>
      <c r="I2" s="55" t="n"/>
      <c r="J2" s="55" t="n"/>
      <c r="K2" s="55" t="n"/>
    </row>
    <row r="3" ht="14.10000038146973" customHeight="1" s="216">
      <c r="A3" s="55" t="n"/>
      <c r="B3" s="56" t="inlineStr">
        <is>
          <t>Status</t>
        </is>
      </c>
      <c r="C3" s="431" t="n"/>
      <c r="D3" s="57" t="inlineStr">
        <is>
          <t>Prospects</t>
        </is>
      </c>
      <c r="E3" s="57" t="inlineStr">
        <is>
          <t>Next Action Item</t>
        </is>
      </c>
      <c r="F3" s="57" t="inlineStr">
        <is>
          <t>POC</t>
        </is>
      </c>
      <c r="G3" s="57" t="inlineStr">
        <is>
          <t>EMAIL</t>
        </is>
      </c>
      <c r="H3" s="57" t="inlineStr">
        <is>
          <t>Phone Number</t>
        </is>
      </c>
      <c r="I3" s="57" t="inlineStr">
        <is>
          <t>Phone number</t>
        </is>
      </c>
      <c r="J3" s="57" t="inlineStr">
        <is>
          <t>LinkedIn Profile</t>
        </is>
      </c>
      <c r="K3" s="57" t="inlineStr">
        <is>
          <t>Comment</t>
        </is>
      </c>
    </row>
    <row r="4" ht="14.10000038146973" customHeight="1" s="216">
      <c r="A4" s="55" t="n"/>
      <c r="B4" s="58" t="n"/>
      <c r="C4" s="432" t="n"/>
      <c r="D4" s="433" t="n"/>
      <c r="E4" s="434" t="n"/>
      <c r="F4" s="434" t="n"/>
      <c r="G4" s="434" t="n"/>
      <c r="H4" s="434" t="n"/>
      <c r="I4" s="435" t="n"/>
      <c r="J4" s="59" t="n"/>
      <c r="K4" s="60" t="n"/>
    </row>
    <row r="5" ht="14.10000038146973" customHeight="1" s="216">
      <c r="A5" s="55" t="n"/>
      <c r="B5" s="61" t="inlineStr">
        <is>
          <t>Dead</t>
        </is>
      </c>
      <c r="C5" s="62" t="n">
        <v>1</v>
      </c>
      <c r="D5" s="63" t="inlineStr">
        <is>
          <t>TruSight, LLC</t>
        </is>
      </c>
      <c r="E5" s="63" t="inlineStr">
        <is>
          <t>Left Voice mail, Sent email / Not connected on LinkedIn waiting on accept</t>
        </is>
      </c>
      <c r="F5" s="63" t="inlineStr">
        <is>
          <t>Joseph Loreto</t>
        </is>
      </c>
      <c r="G5" s="64" t="inlineStr">
        <is>
          <t>joe@trusightllc.com</t>
        </is>
      </c>
      <c r="H5" s="65" t="inlineStr">
        <is>
          <t>856.563.0909</t>
        </is>
      </c>
      <c r="I5" s="65" t="inlineStr">
        <is>
          <t>215.307.0467</t>
        </is>
      </c>
      <c r="J5" s="140" t="inlineStr">
        <is>
          <t>https://www.linkedin.com/in/joseph-l-616a4111/</t>
        </is>
      </c>
      <c r="K5" s="60" t="inlineStr">
        <is>
          <t>Passed</t>
        </is>
      </c>
    </row>
    <row r="6" ht="14.10000038146973" customHeight="1" s="216">
      <c r="A6" s="55" t="n"/>
      <c r="B6" s="58" t="n"/>
      <c r="C6" s="66" t="n"/>
      <c r="D6" s="433" t="n"/>
      <c r="E6" s="434" t="n"/>
      <c r="F6" s="434" t="n"/>
      <c r="G6" s="434" t="n"/>
      <c r="H6" s="434" t="n"/>
      <c r="I6" s="435" t="n"/>
      <c r="J6" s="59" t="n"/>
      <c r="K6" s="60" t="n"/>
    </row>
    <row r="7" ht="14.10000038146973" customHeight="1" s="216">
      <c r="A7" s="55" t="n"/>
      <c r="B7" s="61" t="inlineStr">
        <is>
          <t>Dead</t>
        </is>
      </c>
      <c r="C7" s="62" t="n">
        <v>2</v>
      </c>
      <c r="D7" s="63" t="inlineStr">
        <is>
          <t>Aero X Ventures, GP</t>
        </is>
      </c>
      <c r="E7" s="63" t="inlineStr">
        <is>
          <t>Dead</t>
        </is>
      </c>
      <c r="F7" s="63" t="inlineStr">
        <is>
          <t>Aaron Ishikawa</t>
        </is>
      </c>
      <c r="G7" s="64" t="inlineStr">
        <is>
          <t>aaronishikawa@aeroxventures.com</t>
        </is>
      </c>
      <c r="H7" s="67" t="inlineStr">
        <is>
          <t>Cell | 808.277.6451</t>
        </is>
      </c>
      <c r="I7" s="60" t="n"/>
      <c r="J7" s="68" t="inlineStr">
        <is>
          <t>https://www.linkedin.com/in/aaron-ishikawa/</t>
        </is>
      </c>
      <c r="K7" s="63" t="inlineStr">
        <is>
          <t>Wanted Cash Flow</t>
        </is>
      </c>
    </row>
    <row r="8" ht="14.10000038146973" customHeight="1" s="216">
      <c r="A8" s="55" t="n"/>
      <c r="B8" s="58" t="n"/>
      <c r="C8" s="66" t="n"/>
      <c r="D8" s="433" t="n"/>
      <c r="E8" s="434" t="n"/>
      <c r="F8" s="434" t="n"/>
      <c r="G8" s="434" t="n"/>
      <c r="H8" s="434" t="n"/>
      <c r="I8" s="435" t="n"/>
      <c r="J8" s="59" t="n"/>
      <c r="K8" s="60" t="n"/>
    </row>
    <row r="9" ht="14.10000038146973" customHeight="1" s="216">
      <c r="A9" s="55" t="n"/>
      <c r="B9" s="61" t="inlineStr">
        <is>
          <t>Dead</t>
        </is>
      </c>
      <c r="C9" s="62" t="n">
        <v>3</v>
      </c>
      <c r="D9" s="60" t="inlineStr">
        <is>
          <t>Nexus Commercial Finance / OZ</t>
        </is>
      </c>
      <c r="E9" s="60" t="inlineStr">
        <is>
          <t>Left VM &amp; Email and LinkedIn</t>
        </is>
      </c>
      <c r="F9" s="60" t="inlineStr">
        <is>
          <t>OZ Josefian</t>
        </is>
      </c>
      <c r="G9" s="64" t="inlineStr">
        <is>
          <t>oz.josefian@mynexusfinance.com</t>
        </is>
      </c>
      <c r="H9" s="69" t="inlineStr">
        <is>
          <t>408-560-2701</t>
        </is>
      </c>
      <c r="I9" s="60" t="n"/>
      <c r="J9" s="70" t="inlineStr">
        <is>
          <t>https://www.linkedin.com/in/ozjosefian/</t>
        </is>
      </c>
      <c r="K9" s="60" t="inlineStr">
        <is>
          <t>OZ forward to Neil / John correspond</t>
        </is>
      </c>
    </row>
    <row r="10" ht="14.10000038146973" customHeight="1" s="216">
      <c r="A10" s="55" t="n"/>
      <c r="B10" s="58" t="n"/>
      <c r="C10" s="66" t="n"/>
      <c r="D10" s="433" t="n"/>
      <c r="E10" s="434" t="n"/>
      <c r="F10" s="434" t="n"/>
      <c r="G10" s="434" t="n"/>
      <c r="H10" s="434" t="n"/>
      <c r="I10" s="435" t="n"/>
      <c r="J10" s="59" t="n"/>
      <c r="K10" s="60" t="n"/>
    </row>
    <row r="11" ht="14.10000038146973" customHeight="1" s="216">
      <c r="A11" s="55" t="n"/>
      <c r="B11" s="61" t="inlineStr">
        <is>
          <t>Dead</t>
        </is>
      </c>
      <c r="C11" s="62" t="n">
        <v>4</v>
      </c>
      <c r="D11" s="60" t="inlineStr">
        <is>
          <t>Ellis / Mohamed</t>
        </is>
      </c>
      <c r="E11" s="60" t="inlineStr">
        <is>
          <t>20 Investors / Need to know from John</t>
        </is>
      </c>
      <c r="F11" s="60" t="inlineStr">
        <is>
          <t>Mohamed</t>
        </is>
      </c>
      <c r="G11" s="60" t="inlineStr">
        <is>
          <t>?</t>
        </is>
      </c>
      <c r="H11" s="60" t="inlineStr">
        <is>
          <t>?</t>
        </is>
      </c>
      <c r="I11" s="60" t="n"/>
      <c r="J11" s="60" t="n"/>
      <c r="K11" s="60" t="inlineStr">
        <is>
          <t>Please give me update</t>
        </is>
      </c>
    </row>
    <row r="12" ht="14.10000038146973" customHeight="1" s="216">
      <c r="A12" s="55" t="n"/>
      <c r="B12" s="58" t="n"/>
      <c r="C12" s="66" t="n"/>
      <c r="D12" s="433" t="n"/>
      <c r="E12" s="434" t="n"/>
      <c r="F12" s="434" t="n"/>
      <c r="G12" s="434" t="n"/>
      <c r="H12" s="434" t="n"/>
      <c r="I12" s="435" t="n"/>
      <c r="J12" s="59" t="n"/>
      <c r="K12" s="60" t="n"/>
    </row>
    <row r="13" ht="14.10000038146973" customHeight="1" s="216">
      <c r="A13" s="71" t="n"/>
      <c r="B13" s="61" t="inlineStr">
        <is>
          <t>Dead</t>
        </is>
      </c>
      <c r="C13" s="72" t="n">
        <v>5</v>
      </c>
      <c r="D13" s="63" t="inlineStr">
        <is>
          <t>Nand</t>
        </is>
      </c>
      <c r="E13" s="63" t="inlineStr">
        <is>
          <t>Sent Email to Nand / LinkedIn and VM but sent from my AmpliTech Email / due to closeness of AmpliTech</t>
        </is>
      </c>
      <c r="F13" s="63" t="inlineStr">
        <is>
          <t>Nand</t>
        </is>
      </c>
      <c r="G13" s="73" t="inlineStr">
        <is>
          <t>nand@newprivateequity.com</t>
        </is>
      </c>
      <c r="H13" s="63" t="inlineStr">
        <is>
          <t>303.606.3631</t>
        </is>
      </c>
      <c r="I13" s="63" t="inlineStr">
        <is>
          <t>212.403.3500</t>
        </is>
      </c>
      <c r="J13" s="74" t="inlineStr">
        <is>
          <t>https://www.linkedin.com/in/nand-sharma-b16a3749/</t>
        </is>
      </c>
      <c r="K13" s="63" t="inlineStr">
        <is>
          <t>Wanted Cash flow</t>
        </is>
      </c>
    </row>
    <row r="14" ht="14.10000038146973" customHeight="1" s="216">
      <c r="A14" s="55" t="n"/>
      <c r="B14" s="436" t="inlineStr">
        <is>
          <t>New</t>
        </is>
      </c>
      <c r="C14" s="62" t="n">
        <v>6</v>
      </c>
      <c r="D14" s="64" t="inlineStr">
        <is>
          <t>Asad Khan</t>
        </is>
      </c>
      <c r="E14" s="63" t="inlineStr">
        <is>
          <t>Connected / Looking One Pager</t>
        </is>
      </c>
      <c r="F14" s="63" t="n"/>
      <c r="G14" s="63" t="n"/>
      <c r="H14" s="63" t="n"/>
      <c r="I14" s="63" t="n"/>
      <c r="J14" s="75" t="inlineStr">
        <is>
          <t>https://www.linkedin.com/in/asad-k-39b33b263/</t>
        </is>
      </c>
      <c r="K14" s="63" t="n"/>
    </row>
    <row r="15" ht="14.10000038146973" customHeight="1" s="216">
      <c r="A15" s="55" t="n"/>
      <c r="B15" s="437" t="n"/>
      <c r="C15" s="66" t="n"/>
      <c r="D15" s="433" t="n"/>
      <c r="E15" s="434" t="n"/>
      <c r="F15" s="434" t="n"/>
      <c r="G15" s="434" t="n"/>
      <c r="H15" s="434" t="n"/>
      <c r="I15" s="435" t="n"/>
      <c r="J15" s="59" t="n"/>
      <c r="K15" s="60" t="n"/>
    </row>
    <row r="16" ht="14.10000038146973" customHeight="1" s="216">
      <c r="A16" s="55" t="n"/>
      <c r="B16" s="437" t="n"/>
      <c r="C16" s="62" t="n">
        <v>7</v>
      </c>
      <c r="D16" s="64" t="inlineStr">
        <is>
          <t>Bradley Petty, MBA, FMVA®</t>
        </is>
      </c>
      <c r="E16" s="60" t="inlineStr">
        <is>
          <t>Local Invistor / DFW Private Equity had meeting with John through Google</t>
        </is>
      </c>
      <c r="F16" s="63" t="n"/>
      <c r="G16" s="141" t="inlineStr">
        <is>
          <t>info@bpcfoservices.com</t>
        </is>
      </c>
      <c r="H16" s="63" t="n"/>
      <c r="I16" s="63" t="n"/>
      <c r="J16" s="75" t="inlineStr">
        <is>
          <t>https://www.linkedin.com/in/bradley-petty/</t>
        </is>
      </c>
      <c r="K16" s="63" t="inlineStr">
        <is>
          <t>His best friend was into Rockets</t>
        </is>
      </c>
    </row>
    <row r="17" ht="15" customHeight="1" s="216">
      <c r="A17" s="55" t="n"/>
      <c r="B17" s="432" t="n"/>
      <c r="C17" s="62" t="n">
        <v>8</v>
      </c>
      <c r="D17" s="64" t="inlineStr">
        <is>
          <t>Jeremy Hallett</t>
        </is>
      </c>
      <c r="E17" s="60" t="inlineStr">
        <is>
          <t>Requested one pager and intro to John</t>
        </is>
      </c>
      <c r="F17" s="63" t="n"/>
      <c r="G17" s="141" t="inlineStr">
        <is>
          <t>jeremy.hallett@brindabella.co</t>
        </is>
      </c>
      <c r="H17" s="63" t="n"/>
      <c r="I17" s="63" t="n"/>
      <c r="J17" s="75" t="inlineStr">
        <is>
          <t>https://www.linkedin.com/in/jeremy-hallett/</t>
        </is>
      </c>
      <c r="K17" s="151" t="inlineStr">
        <is>
          <t>Chief Executive Officer for Brindabella &amp; Company</t>
        </is>
      </c>
      <c r="O17" s="152" t="inlineStr">
        <is>
          <t>STILL PENDING</t>
        </is>
      </c>
    </row>
    <row r="18" ht="98.09999847412109" customHeight="1" s="216">
      <c r="A18" s="55" t="n"/>
      <c r="B18" s="76" t="inlineStr">
        <is>
          <t xml:space="preserve"> </t>
        </is>
      </c>
      <c r="C18" s="77" t="n">
        <v>9</v>
      </c>
      <c r="D18" s="78" t="inlineStr">
        <is>
          <t>Vimal Dutt</t>
        </is>
      </c>
      <c r="E18" s="79" t="inlineStr">
        <is>
          <t>This could be of interest. Please send through information and i will pass to our shareholders. One question. Who do you anticipate having majority ownership?</t>
        </is>
      </c>
      <c r="F18" s="55" t="n"/>
      <c r="H18" s="55" t="n"/>
      <c r="I18" s="55" t="n"/>
      <c r="J18" s="142" t="inlineStr">
        <is>
          <t>https://www.linkedin.com/in/vimal-dutt-5b68904/</t>
        </is>
      </c>
      <c r="K18" s="55" t="n"/>
    </row>
    <row r="19" ht="14.10000038146973" customHeight="1" s="216">
      <c r="A19" s="55" t="n"/>
      <c r="B19" s="55" t="n"/>
      <c r="C19" s="55" t="n"/>
      <c r="D19" s="55" t="n"/>
      <c r="E19" s="55" t="n"/>
      <c r="F19" s="55" t="n"/>
      <c r="G19" s="55" t="n"/>
      <c r="H19" s="55" t="n"/>
      <c r="I19" s="55" t="n"/>
      <c r="J19" s="55" t="n"/>
      <c r="K19" s="55" t="n"/>
    </row>
    <row r="21" ht="15.75" customHeight="1" s="216">
      <c r="B21" s="29" t="inlineStr">
        <is>
          <t>Interplay</t>
        </is>
      </c>
      <c r="D21" s="2" t="inlineStr">
        <is>
          <t>InterplayEngage@interplay.vc</t>
        </is>
      </c>
      <c r="F21" s="39" t="n">
        <v>45778</v>
      </c>
    </row>
  </sheetData>
  <mergeCells count="8">
    <mergeCell ref="B14:B17"/>
    <mergeCell ref="D10:I10"/>
    <mergeCell ref="D4:I4"/>
    <mergeCell ref="C3:C4"/>
    <mergeCell ref="D12:I12"/>
    <mergeCell ref="D6:I6"/>
    <mergeCell ref="D8:I8"/>
    <mergeCell ref="D15:I15"/>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ColWidth="12.5703125" defaultRowHeight="15.75"/>
  <cols>
    <col width="38.5703125" customWidth="1" style="216" min="1" max="1"/>
    <col width="20.140625" customWidth="1" style="216" min="2" max="2"/>
    <col width="47" customWidth="1" style="216" min="3" max="3"/>
    <col width="25.42578125" customWidth="1" style="216" min="4" max="4"/>
    <col width="21.42578125" customWidth="1" style="216" min="5" max="5"/>
    <col width="17.7109375" customWidth="1" style="216" min="6" max="6"/>
  </cols>
  <sheetData>
    <row r="1" ht="12.94999980926514" customHeight="1" s="216">
      <c r="A1" s="40" t="inlineStr">
        <is>
          <t>Name</t>
        </is>
      </c>
      <c r="B1" s="40" t="inlineStr">
        <is>
          <t>Company</t>
        </is>
      </c>
      <c r="C1" s="40" t="inlineStr">
        <is>
          <t>Linked In</t>
        </is>
      </c>
      <c r="D1" s="40" t="inlineStr">
        <is>
          <t>Email</t>
        </is>
      </c>
      <c r="E1" s="40" t="inlineStr">
        <is>
          <t>First Contact Made</t>
        </is>
      </c>
      <c r="F1" s="40" t="inlineStr">
        <is>
          <t>Follow Up Made</t>
        </is>
      </c>
      <c r="G1" s="40" t="inlineStr">
        <is>
          <t>Status</t>
        </is>
      </c>
      <c r="H1" s="40" t="inlineStr">
        <is>
          <t>Notes</t>
        </is>
      </c>
    </row>
    <row r="2" ht="15.75" customHeight="1" s="216">
      <c r="A2" s="2" t="inlineStr">
        <is>
          <t>Farah Ali</t>
        </is>
      </c>
      <c r="B2" s="2" t="inlineStr">
        <is>
          <t>Embedded Ventures</t>
        </is>
      </c>
      <c r="C2" s="3" t="inlineStr">
        <is>
          <t>https://www.linkedin.com/in/farahmali/</t>
        </is>
      </c>
      <c r="D2" s="2" t="inlineStr">
        <is>
          <t>farah@embedded.ventures</t>
        </is>
      </c>
      <c r="E2" s="39" t="n">
        <v>45779</v>
      </c>
    </row>
    <row r="3" ht="15.75" customHeight="1" s="216">
      <c r="A3" s="2" t="inlineStr">
        <is>
          <t>Jordan Noone</t>
        </is>
      </c>
      <c r="B3" s="2" t="inlineStr">
        <is>
          <t>Embedded Ventures</t>
        </is>
      </c>
      <c r="C3" s="3" t="inlineStr">
        <is>
          <t>https://www.linkedin.com/in/jordan-noone/</t>
        </is>
      </c>
      <c r="D3" s="2" t="inlineStr">
        <is>
          <t>jordan@embedded.ventures</t>
        </is>
      </c>
      <c r="E3" s="39" t="n">
        <v>45779</v>
      </c>
    </row>
    <row r="4" ht="15.75" customHeight="1" s="216">
      <c r="A4" s="2" t="inlineStr">
        <is>
          <t>Vonni Williams</t>
        </is>
      </c>
      <c r="B4" s="2" t="inlineStr">
        <is>
          <t>Embedded Ventures</t>
        </is>
      </c>
      <c r="C4" s="3" t="inlineStr">
        <is>
          <t xml:space="preserve">https://www.linkedin.com/in/vonni-williams-83515415/ </t>
        </is>
      </c>
      <c r="D4" s="2" t="inlineStr">
        <is>
          <t>vonni@embedded.ventures</t>
        </is>
      </c>
      <c r="E4" s="39" t="n">
        <v>45779</v>
      </c>
    </row>
    <row r="5" ht="14.10000038146973" customHeight="1" s="216">
      <c r="A5" s="2" t="inlineStr">
        <is>
          <t>Jenna Bryant</t>
        </is>
      </c>
      <c r="B5" s="2" t="inlineStr">
        <is>
          <t>Embedded Ventures</t>
        </is>
      </c>
      <c r="C5" s="3" t="inlineStr">
        <is>
          <t>https://www.linkedin.com/in/jennabryant/</t>
        </is>
      </c>
      <c r="D5" s="18" t="inlineStr">
        <is>
          <t>jenna@embedded.ventures</t>
        </is>
      </c>
      <c r="E5" s="39" t="n">
        <v>45779</v>
      </c>
    </row>
    <row r="6" ht="15.75" customHeight="1" s="216">
      <c r="A6" s="2" t="inlineStr">
        <is>
          <t>Irina Berkon</t>
        </is>
      </c>
      <c r="B6" s="2" t="inlineStr">
        <is>
          <t>Golden Seeds</t>
        </is>
      </c>
      <c r="C6" s="3" t="inlineStr">
        <is>
          <t>https://www.linkedin.com/in/irinaberkon/</t>
        </is>
      </c>
      <c r="D6" s="4" t="inlineStr">
        <is>
          <t>iberkon@goldenseeds.com</t>
        </is>
      </c>
      <c r="E6" s="39" t="n">
        <v>45779</v>
      </c>
    </row>
    <row r="7" ht="15.75" customHeight="1" s="216">
      <c r="A7" s="2" t="inlineStr">
        <is>
          <t>Sheryl Schultz</t>
        </is>
      </c>
      <c r="B7" s="2" t="inlineStr">
        <is>
          <t>Golden Seeds</t>
        </is>
      </c>
      <c r="C7" s="3" t="inlineStr">
        <is>
          <t>https://www.linkedin.com/in/sherylschultz/</t>
        </is>
      </c>
      <c r="D7" s="2" t="inlineStr">
        <is>
          <t>srs@goldenseeds.com</t>
        </is>
      </c>
      <c r="E7" s="39" t="n">
        <v>45779</v>
      </c>
    </row>
    <row r="8" ht="15.75" customHeight="1" s="216">
      <c r="A8" s="2" t="inlineStr">
        <is>
          <t>JoAnn Corkran</t>
        </is>
      </c>
      <c r="B8" s="2" t="inlineStr">
        <is>
          <t>Golden Seeds</t>
        </is>
      </c>
      <c r="C8" s="3" t="inlineStr">
        <is>
          <t>https://www.linkedin.com/in/jo-ann-corkran-06600531/</t>
        </is>
      </c>
      <c r="D8" s="4" t="inlineStr">
        <is>
          <t>jac@goldenseeds.com</t>
        </is>
      </c>
      <c r="E8" s="39" t="n">
        <v>45779</v>
      </c>
    </row>
    <row r="9" ht="15.75" customHeight="1" s="216">
      <c r="A9" s="2" t="inlineStr">
        <is>
          <t>Loretta McCarthy</t>
        </is>
      </c>
      <c r="B9" s="2" t="inlineStr">
        <is>
          <t>Golden Seeds</t>
        </is>
      </c>
      <c r="C9" s="3" t="inlineStr">
        <is>
          <t>https://www.linkedin.com/in/loretta-mccarthy-b885a/</t>
        </is>
      </c>
      <c r="D9" s="4" t="inlineStr">
        <is>
          <t>loretta@goldenseeds.com</t>
        </is>
      </c>
      <c r="E9" s="39" t="n">
        <v>45779</v>
      </c>
    </row>
    <row r="10" ht="15.75" customHeight="1" s="216">
      <c r="A10" s="2" t="inlineStr">
        <is>
          <t>Samina Farid</t>
        </is>
      </c>
      <c r="B10" s="2" t="inlineStr">
        <is>
          <t>Golden Seeds</t>
        </is>
      </c>
      <c r="C10" s="3" t="inlineStr">
        <is>
          <t>https://www.linkedin.com/in/samina-farid-a8156a2/</t>
        </is>
      </c>
      <c r="D10" s="2" t="inlineStr">
        <is>
          <t>sfarid@goldenseeds.com</t>
        </is>
      </c>
      <c r="E10" s="39" t="n">
        <v>45779</v>
      </c>
    </row>
    <row r="11" ht="15.75" customHeight="1" s="216">
      <c r="A11" s="2" t="inlineStr">
        <is>
          <t>Ulya Khan</t>
        </is>
      </c>
      <c r="B11" s="2" t="inlineStr">
        <is>
          <t>Golden Seeds</t>
        </is>
      </c>
      <c r="C11" s="3" t="inlineStr">
        <is>
          <t>https://www.linkedin.com/in/ulyakhan/</t>
        </is>
      </c>
      <c r="D11" s="2" t="inlineStr">
        <is>
          <t>ulya.khan@gmail.com</t>
        </is>
      </c>
      <c r="E11" s="39" t="n">
        <v>45779</v>
      </c>
    </row>
    <row r="12" ht="15.75" customHeight="1" s="216">
      <c r="A12" s="2" t="inlineStr">
        <is>
          <t>Laura Baldwin</t>
        </is>
      </c>
      <c r="B12" s="2" t="inlineStr">
        <is>
          <t>Golden Seeds</t>
        </is>
      </c>
      <c r="C12" s="3" t="inlineStr">
        <is>
          <t>https://www.linkedin.com/in/laura-baldwin-98233615/</t>
        </is>
      </c>
      <c r="D12" s="4" t="inlineStr">
        <is>
          <t>baldwinlaura@sbcglobal.net</t>
        </is>
      </c>
      <c r="E12" s="39" t="n">
        <v>45779</v>
      </c>
    </row>
    <row r="13" ht="15.75" customHeight="1" s="216">
      <c r="A13" s="2" t="inlineStr">
        <is>
          <t>Heather Hunter</t>
        </is>
      </c>
      <c r="B13" s="2" t="inlineStr">
        <is>
          <t>Golden Seeds</t>
        </is>
      </c>
      <c r="C13" s="3" t="inlineStr">
        <is>
          <t>https://www.linkedin.com/in/heatherhunter/</t>
        </is>
      </c>
      <c r="D13" s="4" t="inlineStr">
        <is>
          <t>hhunter@goldenseeds.com</t>
        </is>
      </c>
      <c r="E13" s="39" t="n">
        <v>45779</v>
      </c>
    </row>
    <row r="14" ht="15.75" customHeight="1" s="216">
      <c r="A14" s="2" t="inlineStr">
        <is>
          <t>Amy Kim</t>
        </is>
      </c>
      <c r="B14" s="2" t="inlineStr">
        <is>
          <t>Golden Seeds</t>
        </is>
      </c>
      <c r="C14" s="3" t="inlineStr">
        <is>
          <t>https://www.linkedin.com/in/amkim/</t>
        </is>
      </c>
      <c r="D14" s="4" t="inlineStr">
        <is>
          <t>akim@goldenseeds.com</t>
        </is>
      </c>
      <c r="E14" s="39" t="n">
        <v>45779</v>
      </c>
    </row>
    <row r="15" ht="15.75" customHeight="1" s="216">
      <c r="A15" s="2" t="inlineStr">
        <is>
          <t>Sumina Verma</t>
        </is>
      </c>
      <c r="B15" s="2" t="inlineStr">
        <is>
          <t>Golden Seeds</t>
        </is>
      </c>
      <c r="C15" s="3" t="inlineStr">
        <is>
          <t>https://www.linkedin.com/in/sumina/</t>
        </is>
      </c>
      <c r="D15" s="2" t="inlineStr">
        <is>
          <t>sverma@goldenseeds.com</t>
        </is>
      </c>
      <c r="E15" s="39" t="n">
        <v>45779</v>
      </c>
    </row>
    <row r="16" ht="15.75" customHeight="1" s="216">
      <c r="A16" s="2" t="inlineStr">
        <is>
          <t>Jenny Chou</t>
        </is>
      </c>
      <c r="B16" s="2" t="inlineStr">
        <is>
          <t>Golden Seeds</t>
        </is>
      </c>
      <c r="C16" s="3" t="inlineStr">
        <is>
          <t>https://www.linkedin.com/in/jennyannchou/</t>
        </is>
      </c>
      <c r="D16" s="2" t="inlineStr">
        <is>
          <t>jchou@goldenseeds.com</t>
        </is>
      </c>
      <c r="E16" s="39" t="n">
        <v>45779</v>
      </c>
    </row>
    <row r="17" ht="15.75" customHeight="1" s="216">
      <c r="A17" s="2" t="inlineStr">
        <is>
          <t>Robert Delman</t>
        </is>
      </c>
      <c r="B17" s="2" t="inlineStr">
        <is>
          <t>Golden Seeds</t>
        </is>
      </c>
      <c r="C17" s="3" t="inlineStr">
        <is>
          <t>https://www.linkedin.com/in/robdelman/</t>
        </is>
      </c>
      <c r="D17" s="4" t="inlineStr">
        <is>
          <t>robdelman@gmail.com</t>
        </is>
      </c>
      <c r="E17" s="39" t="n">
        <v>45779</v>
      </c>
    </row>
    <row r="18" ht="15.75" customHeight="1" s="216">
      <c r="A18" s="2" t="inlineStr">
        <is>
          <t>Tom Watts</t>
        </is>
      </c>
      <c r="B18" s="2" t="inlineStr">
        <is>
          <t>Radius</t>
        </is>
      </c>
      <c r="C18" s="3" t="inlineStr">
        <is>
          <t>https://www.linkedin.com/in/tom-watts-8186181/</t>
        </is>
      </c>
      <c r="D18" s="4" t="inlineStr">
        <is>
          <t>tomwatts4@gmail.com</t>
        </is>
      </c>
      <c r="E18" s="39" t="n">
        <v>45786</v>
      </c>
    </row>
    <row r="19" ht="15.75" customHeight="1" s="216">
      <c r="A19" s="2" t="inlineStr">
        <is>
          <t>Gopi Sundaram</t>
        </is>
      </c>
      <c r="B19" s="2" t="inlineStr">
        <is>
          <t>Radius</t>
        </is>
      </c>
      <c r="C19" s="3" t="inlineStr">
        <is>
          <t>https://www.linkedin.com/in/gopi-sundaram-2b35b91/</t>
        </is>
      </c>
      <c r="D19" s="4" t="inlineStr">
        <is>
          <t>gsundaram@radiuscapitalpartners.com</t>
        </is>
      </c>
      <c r="E19" s="39" t="n">
        <v>45786</v>
      </c>
    </row>
    <row r="20" ht="14.10000038146973" customHeight="1" s="216">
      <c r="A20" s="16" t="inlineStr">
        <is>
          <t>Oliver</t>
        </is>
      </c>
      <c r="B20" s="16" t="inlineStr">
        <is>
          <t>Thunder VC</t>
        </is>
      </c>
      <c r="C20" s="16" t="n"/>
      <c r="D20" s="41" t="inlineStr">
        <is>
          <t>oliver@thunder.vc</t>
        </is>
      </c>
      <c r="E20" s="38" t="n">
        <v>45789</v>
      </c>
      <c r="F20" s="16" t="inlineStr">
        <is>
          <t>meeting held 5/12</t>
        </is>
      </c>
      <c r="G20" s="16" t="inlineStr">
        <is>
          <t>deck sent</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2.75"/>
  <cols>
    <col width="20.42578125" customWidth="1" style="216" min="1" max="1"/>
    <col width="20.28515625" customWidth="1" style="216" min="2" max="2"/>
    <col width="16" customWidth="1" style="216" min="3" max="3"/>
  </cols>
  <sheetData>
    <row r="1">
      <c r="A1" s="157" t="inlineStr">
        <is>
          <t>NAME</t>
        </is>
      </c>
      <c r="B1" s="157" t="inlineStr">
        <is>
          <t>EMAIL</t>
        </is>
      </c>
      <c r="C1" s="157" t="inlineStr">
        <is>
          <t>DATE</t>
        </is>
      </c>
      <c r="D1" s="157" t="inlineStr">
        <is>
          <t>NOTES</t>
        </is>
      </c>
    </row>
    <row r="2">
      <c r="A2" t="inlineStr">
        <is>
          <t>Kinji Sato</t>
        </is>
      </c>
      <c r="B2" s="111" t="inlineStr">
        <is>
          <t>kinji_sato@jp.honda</t>
        </is>
      </c>
      <c r="C2" s="80" t="n">
        <v>45842</v>
      </c>
      <c r="D2" t="inlineStr">
        <is>
          <t>blk3 payload - confirm flight computer and software can reach orbit</t>
        </is>
      </c>
    </row>
    <row r="3">
      <c r="A3" t="inlineStr">
        <is>
          <t>Tanmayi Sai</t>
        </is>
      </c>
      <c r="B3" s="111" t="inlineStr">
        <is>
          <t>saitanmayi@gmail.com</t>
        </is>
      </c>
      <c r="C3" s="80" t="n">
        <v>45891</v>
      </c>
      <c r="D3" t="inlineStr">
        <is>
          <t>Reconnecting on payload integration</t>
        </is>
      </c>
    </row>
    <row r="4">
      <c r="A4" t="inlineStr">
        <is>
          <t>Quenton Bonds</t>
        </is>
      </c>
      <c r="B4" s="111" t="inlineStr">
        <is>
          <t>quenton.bonds@nasa.gov</t>
        </is>
      </c>
      <c r="C4" s="80" t="n">
        <v>45891</v>
      </c>
      <c r="D4" t="inlineStr">
        <is>
          <t>EXOS fit for NASA’s SBIR → IDIQ pathway</t>
        </is>
      </c>
    </row>
    <row r="5">
      <c r="A5" t="inlineStr">
        <is>
          <t>Andrew Parlock</t>
        </is>
      </c>
      <c r="B5" s="111" t="inlineStr">
        <is>
          <t>andrew@space-phoenix.com</t>
        </is>
      </c>
      <c r="C5" s="80" t="n">
        <v>45891</v>
      </c>
      <c r="D5" t="inlineStr">
        <is>
          <t>Exploring collaboration between Space Phoenix and EXOS + Scorpius</t>
        </is>
      </c>
    </row>
    <row r="6">
      <c r="A6" t="inlineStr">
        <is>
          <t>Gwen Griffin</t>
        </is>
      </c>
      <c r="B6" s="111" t="inlineStr">
        <is>
          <t>gwen@griffincg.com</t>
        </is>
      </c>
      <c r="C6" s="164" t="n">
        <v>46024</v>
      </c>
      <c r="D6" t="inlineStr">
        <is>
          <t>CEO Space Communications - Griffin Group - met at Rice Bowl Game</t>
        </is>
      </c>
    </row>
    <row r="7">
      <c r="A7" t="inlineStr">
        <is>
          <t>Vinod Veedu</t>
        </is>
      </c>
      <c r="B7" s="111" t="inlineStr">
        <is>
          <t>vinodveedu@rice.edu</t>
        </is>
      </c>
      <c r="C7" s="164" t="n">
        <v>46024</v>
      </c>
      <c r="D7" t="inlineStr">
        <is>
          <t>AVOP Defense Research Advancement at Rice University - met at Rice Bowl Game</t>
        </is>
      </c>
    </row>
    <row r="8">
      <c r="A8" t="inlineStr">
        <is>
          <t>Roger Williams</t>
        </is>
      </c>
      <c r="B8" t="inlineStr">
        <is>
          <t>202-225-9896 | RepRWilliams on X</t>
        </is>
      </c>
      <c r="C8" s="164" t="n">
        <v>46024</v>
      </c>
      <c r="D8" t="inlineStr">
        <is>
          <t>Arlington and Cleburne Offices, williams.house.gov, chairman of house small business comitee, met at Rice Bowl game</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2.75"/>
  <cols>
    <col width="17.85546875" customWidth="1" style="216" min="1" max="1"/>
    <col width="48" customWidth="1" style="216" min="2" max="2"/>
    <col width="38.28515625" customWidth="1" style="216" min="3" max="3"/>
    <col width="39" customWidth="1" style="216" min="4" max="4"/>
    <col width="19.42578125" customWidth="1" style="216" min="5" max="5"/>
    <col width="14.140625" customWidth="1" style="216" min="6" max="6"/>
    <col width="25.140625" customWidth="1" style="216" min="7" max="7"/>
    <col width="15" customWidth="1" style="216" min="8" max="8"/>
    <col width="16.5703125" customWidth="1" style="216" min="9" max="9"/>
  </cols>
  <sheetData>
    <row r="1">
      <c r="A1" s="157" t="inlineStr">
        <is>
          <t>NAME</t>
        </is>
      </c>
      <c r="B1" s="157" t="inlineStr">
        <is>
          <t>COMPANY</t>
        </is>
      </c>
      <c r="C1" s="157" t="inlineStr">
        <is>
          <t>EMAIL</t>
        </is>
      </c>
      <c r="D1" s="157" t="inlineStr">
        <is>
          <t>PHONE</t>
        </is>
      </c>
      <c r="E1" s="157" t="inlineStr">
        <is>
          <t>OTHER</t>
        </is>
      </c>
      <c r="F1" s="157" t="inlineStr">
        <is>
          <t>NOTES</t>
        </is>
      </c>
      <c r="G1" s="157" t="inlineStr">
        <is>
          <t>FIRST CONTACT</t>
        </is>
      </c>
      <c r="H1" s="157" t="inlineStr">
        <is>
          <t>FOLLOW UP</t>
        </is>
      </c>
      <c r="I1" s="157" t="inlineStr">
        <is>
          <t>MEETING SET</t>
        </is>
      </c>
      <c r="J1" s="165" t="n"/>
    </row>
    <row r="2">
      <c r="A2" t="inlineStr">
        <is>
          <t>John Treiber</t>
        </is>
      </c>
      <c r="B2" t="inlineStr">
        <is>
          <t>Senior Dreictor Aerospace - Western Alliance Bank</t>
        </is>
      </c>
      <c r="C2" s="111" t="inlineStr">
        <is>
          <t>john.treiber@westernalliancebank.com</t>
        </is>
      </c>
      <c r="D2" t="inlineStr">
        <is>
          <t>p) 469-442-3346 and m) 972-689-2955</t>
        </is>
      </c>
      <c r="E2" t="inlineStr">
        <is>
          <t>Irving, TX - met before</t>
        </is>
      </c>
      <c r="G2" s="164" t="n">
        <v>45878</v>
      </c>
    </row>
    <row r="3">
      <c r="A3" t="inlineStr">
        <is>
          <t>Laura Onderdonk Olin</t>
        </is>
      </c>
      <c r="B3" t="inlineStr">
        <is>
          <t>COS - Trideum</t>
        </is>
      </c>
      <c r="C3" s="111" t="inlineStr">
        <is>
          <t>lolin@trideum.com</t>
        </is>
      </c>
      <c r="D3" t="inlineStr">
        <is>
          <t>p) 256-704-6136 and m) 256-836-2324</t>
        </is>
      </c>
      <c r="G3" s="164" t="n">
        <v>45878</v>
      </c>
    </row>
    <row r="4">
      <c r="A4" t="inlineStr">
        <is>
          <t>Chris Harbaugh</t>
        </is>
      </c>
      <c r="B4" t="inlineStr">
        <is>
          <t>Mundo Tech</t>
        </is>
      </c>
      <c r="C4" s="111" t="inlineStr">
        <is>
          <t>chris@mundo-tech.com</t>
        </is>
      </c>
      <c r="D4" t="inlineStr">
        <is>
          <t>p) 479-636-8600 and m) 479-93691816</t>
        </is>
      </c>
      <c r="E4" t="inlineStr">
        <is>
          <t>Rogers, AR</t>
        </is>
      </c>
      <c r="G4" s="164" t="n">
        <v>45878</v>
      </c>
    </row>
    <row r="5">
      <c r="A5" t="inlineStr">
        <is>
          <t>Dustin Engelhardt</t>
        </is>
      </c>
      <c r="B5" t="inlineStr">
        <is>
          <t>Account Exec - Army Aviation</t>
        </is>
      </c>
      <c r="C5" s="111" t="inlineStr">
        <is>
          <t>dengelhardt@palantir.com</t>
        </is>
      </c>
      <c r="D5" t="inlineStr">
        <is>
          <t>256-731-1444</t>
        </is>
      </c>
      <c r="G5" s="164" t="n">
        <v>45878</v>
      </c>
    </row>
    <row r="6">
      <c r="A6" t="inlineStr">
        <is>
          <t>Steven Swenson</t>
        </is>
      </c>
      <c r="B6" t="inlineStr">
        <is>
          <t>Biz Dev Tech Sales - Kaneka</t>
        </is>
      </c>
      <c r="C6" s="111" t="inlineStr">
        <is>
          <t>steven.swenson@kaneka.com</t>
        </is>
      </c>
      <c r="D6" t="inlineStr">
        <is>
          <t>510-602-5702</t>
        </is>
      </c>
      <c r="E6" t="inlineStr">
        <is>
          <t>Benicia, CA</t>
        </is>
      </c>
      <c r="G6" s="164" t="n">
        <v>45878</v>
      </c>
    </row>
    <row r="7">
      <c r="A7" t="inlineStr">
        <is>
          <t>Rick Davis</t>
        </is>
      </c>
      <c r="B7" t="inlineStr">
        <is>
          <t>Chase Commercial Real Estate</t>
        </is>
      </c>
      <c r="C7" s="111" t="inlineStr">
        <is>
          <t>davisr@chasecommercial.com</t>
        </is>
      </c>
      <c r="D7" t="inlineStr">
        <is>
          <t>p) 256-539-1686 m) 256-800-3783</t>
        </is>
      </c>
      <c r="E7" t="inlineStr">
        <is>
          <t>Huntsville, AL</t>
        </is>
      </c>
      <c r="G7" s="164" t="n">
        <v>45878</v>
      </c>
    </row>
    <row r="8">
      <c r="A8" t="inlineStr">
        <is>
          <t>Hunter Phillips</t>
        </is>
      </c>
      <c r="B8" t="inlineStr">
        <is>
          <t xml:space="preserve">Director of Strategy - Ierus Technologies </t>
        </is>
      </c>
      <c r="C8" s="111" t="inlineStr">
        <is>
          <t>hunter.phillips@ierustech.com</t>
        </is>
      </c>
      <c r="D8" t="inlineStr">
        <is>
          <t>p) 256-319-2026 ext 349 and m) 256-937-8950</t>
        </is>
      </c>
      <c r="E8" t="inlineStr">
        <is>
          <t>Huntsville, AL</t>
        </is>
      </c>
      <c r="G8" s="164" t="n">
        <v>45878</v>
      </c>
    </row>
    <row r="9">
      <c r="A9" s="163" t="inlineStr">
        <is>
          <t>TOM DELAY</t>
        </is>
      </c>
      <c r="B9" t="inlineStr">
        <is>
          <t>CTO - Hanwha</t>
        </is>
      </c>
      <c r="C9" s="111" t="inlineStr">
        <is>
          <t>tomd@hanwhacimarron.com</t>
        </is>
      </c>
      <c r="D9" t="inlineStr">
        <is>
          <t>m) 256-260-9583 and m) 256-655-8980 and p) 256-851-5077 x 1022</t>
        </is>
      </c>
      <c r="E9" t="inlineStr">
        <is>
          <t>Huntsville, AL</t>
        </is>
      </c>
      <c r="F9" t="inlineStr">
        <is>
          <t>KEY contact</t>
        </is>
      </c>
      <c r="G9" s="164" t="n">
        <v>45878</v>
      </c>
    </row>
    <row r="10">
      <c r="A10" t="inlineStr">
        <is>
          <t>David King</t>
        </is>
      </c>
      <c r="B10" t="inlineStr">
        <is>
          <t>System Studies and Simulation Inc</t>
        </is>
      </c>
      <c r="C10" s="111" t="inlineStr">
        <is>
          <t>david.king@s3inc.com</t>
        </is>
      </c>
      <c r="D10" t="inlineStr">
        <is>
          <t>p) 256-327-9944 and m) 256-497-3913</t>
        </is>
      </c>
      <c r="E10" t="inlineStr">
        <is>
          <t>Huntsville, AL</t>
        </is>
      </c>
      <c r="F10" t="inlineStr">
        <is>
          <t>missile systems training</t>
        </is>
      </c>
      <c r="G10" s="164" t="n">
        <v>45878</v>
      </c>
    </row>
    <row r="11">
      <c r="A11" t="inlineStr">
        <is>
          <t>Scott Haymaker</t>
        </is>
      </c>
      <c r="B11" t="inlineStr">
        <is>
          <t>System Studies and Simulation Inc</t>
        </is>
      </c>
      <c r="C11" s="111" t="inlineStr">
        <is>
          <t>scott.haymaker@s3inc.com</t>
        </is>
      </c>
      <c r="D11" t="inlineStr">
        <is>
          <t>p) 256-327-9916 and m) 812-371-7342</t>
        </is>
      </c>
      <c r="E11" t="inlineStr">
        <is>
          <t>Huntsville, AL</t>
        </is>
      </c>
      <c r="F11" t="inlineStr">
        <is>
          <t>missile systems training</t>
        </is>
      </c>
      <c r="G11" s="164" t="n">
        <v>45878</v>
      </c>
    </row>
    <row r="12" ht="15" customHeight="1" s="216">
      <c r="A12" s="163" t="inlineStr">
        <is>
          <t>Michael Smith</t>
        </is>
      </c>
      <c r="B12" t="inlineStr">
        <is>
          <t>Strategic Analyst - NASA</t>
        </is>
      </c>
      <c r="C12" s="111" t="inlineStr">
        <is>
          <t>m.j.smith@nasa.gov</t>
        </is>
      </c>
      <c r="D12" t="inlineStr">
        <is>
          <t>p) 256-544-0344 and m) 321-300-1788</t>
        </is>
      </c>
      <c r="E12" t="inlineStr">
        <is>
          <t>Huntsville, AL</t>
        </is>
      </c>
      <c r="F12" t="inlineStr">
        <is>
          <t>include Allison in email about RDRE contract</t>
        </is>
      </c>
      <c r="G12" s="164" t="n">
        <v>45878</v>
      </c>
      <c r="H12" s="144" t="inlineStr">
        <is>
          <t>8/12 follow up</t>
        </is>
      </c>
    </row>
    <row r="13">
      <c r="A13" t="inlineStr">
        <is>
          <t>Evelyn Stein</t>
        </is>
      </c>
      <c r="B13" t="inlineStr">
        <is>
          <t>Payload Systems Engineer - Vaya Space</t>
        </is>
      </c>
      <c r="C13" s="111" t="inlineStr">
        <is>
          <t>evelyn.stein@vayaspace.com</t>
        </is>
      </c>
      <c r="D13" t="inlineStr">
        <is>
          <t>p) 734-751-1746 and m) 321-222-0858</t>
        </is>
      </c>
      <c r="E13" t="inlineStr">
        <is>
          <t>Cocoa, FL</t>
        </is>
      </c>
      <c r="F13" t="inlineStr">
        <is>
          <t>at conf with us</t>
        </is>
      </c>
      <c r="G13" s="164" t="n">
        <v>45878</v>
      </c>
    </row>
    <row r="14">
      <c r="A14" t="inlineStr">
        <is>
          <t>John London</t>
        </is>
      </c>
      <c r="B14" t="inlineStr">
        <is>
          <t>Senior Systems Engineer - Qualis</t>
        </is>
      </c>
      <c r="C14" s="111" t="inlineStr">
        <is>
          <t>jlondon@qualis-corp.com</t>
        </is>
      </c>
      <c r="D14" t="inlineStr">
        <is>
          <t>256-929-5013</t>
        </is>
      </c>
      <c r="E14" t="inlineStr">
        <is>
          <t>Huntsville, AL</t>
        </is>
      </c>
      <c r="F14" t="inlineStr">
        <is>
          <t>knows Jim and Markus - worked with them at Scorpius in the early days</t>
        </is>
      </c>
      <c r="G14" s="164" t="n">
        <v>45878</v>
      </c>
    </row>
    <row r="15">
      <c r="A15" t="inlineStr">
        <is>
          <t>Toku Sakai</t>
        </is>
      </c>
      <c r="B15" t="inlineStr">
        <is>
          <t>CCO - Letara</t>
        </is>
      </c>
      <c r="C15" s="111" t="inlineStr">
        <is>
          <t>toku.sakai@letara.space</t>
        </is>
      </c>
      <c r="E15" t="inlineStr">
        <is>
          <t>Japan</t>
        </is>
      </c>
      <c r="G15" s="164" t="n">
        <v>45878</v>
      </c>
    </row>
    <row r="16">
      <c r="A16" t="inlineStr">
        <is>
          <t>Will Dickson</t>
        </is>
      </c>
      <c r="B16" t="inlineStr">
        <is>
          <t>CCO - Canopy</t>
        </is>
      </c>
      <c r="C16" s="111" t="inlineStr">
        <is>
          <t>will@canopyaerospace.com</t>
        </is>
      </c>
      <c r="D16" t="inlineStr">
        <is>
          <t>469-585-4838</t>
        </is>
      </c>
      <c r="E16" t="inlineStr">
        <is>
          <t>Littleton, CO</t>
        </is>
      </c>
      <c r="G16" s="164" t="n">
        <v>45878</v>
      </c>
    </row>
    <row r="17">
      <c r="A17" s="163" t="inlineStr">
        <is>
          <t>Tyler Herrin</t>
        </is>
      </c>
      <c r="B17" t="inlineStr">
        <is>
          <t>Herrin Aero / Circor Rep</t>
        </is>
      </c>
      <c r="C17" s="111" t="inlineStr">
        <is>
          <t>th@herrinaero.com</t>
        </is>
      </c>
      <c r="D17" t="inlineStr">
        <is>
          <t>817-233-4591</t>
        </is>
      </c>
      <c r="F17" t="inlineStr">
        <is>
          <t>(comes to L3 Greenville area often)</t>
        </is>
      </c>
      <c r="G17" s="164" t="n">
        <v>45878</v>
      </c>
      <c r="H17" t="inlineStr">
        <is>
          <t>reached out to Lizi on 8/18, Lizi sent meeting link</t>
        </is>
      </c>
    </row>
    <row r="18">
      <c r="A18" s="163" t="inlineStr">
        <is>
          <t>Nick Van De Weert</t>
        </is>
      </c>
      <c r="B18" t="inlineStr">
        <is>
          <t>Biz Dev - Circor</t>
        </is>
      </c>
      <c r="C18" s="111" t="inlineStr">
        <is>
          <t>nick.vandeweert@circor.com</t>
        </is>
      </c>
      <c r="D18" t="inlineStr">
        <is>
          <t>p) 631-524-3944 and m) 607-743-4422</t>
        </is>
      </c>
      <c r="E18" t="inlineStr">
        <is>
          <t>Hauppauge, NY</t>
        </is>
      </c>
      <c r="F18" t="inlineStr">
        <is>
          <t>potentially needs new tank provider</t>
        </is>
      </c>
      <c r="G18" s="164" t="n">
        <v>45878</v>
      </c>
    </row>
    <row r="19">
      <c r="A19" s="163" t="inlineStr">
        <is>
          <t>Michael Wroblewski</t>
        </is>
      </c>
      <c r="B19" t="inlineStr">
        <is>
          <t>Circor</t>
        </is>
      </c>
      <c r="C19" s="111" t="inlineStr">
        <is>
          <t>michael.wroblewski@circor.com</t>
        </is>
      </c>
      <c r="D19" t="inlineStr">
        <is>
          <t>631-245-8446</t>
        </is>
      </c>
      <c r="E19" t="inlineStr">
        <is>
          <t>Hauppauge, NY</t>
        </is>
      </c>
      <c r="G19" s="164" t="n">
        <v>45878</v>
      </c>
    </row>
    <row r="20">
      <c r="A20" t="inlineStr">
        <is>
          <t>Cesar Callejas</t>
        </is>
      </c>
      <c r="B20" t="inlineStr">
        <is>
          <t>Plexus</t>
        </is>
      </c>
      <c r="C20" s="111" t="inlineStr">
        <is>
          <t>cesar.callejas@plexus.com</t>
        </is>
      </c>
      <c r="D20" t="inlineStr">
        <is>
          <t>720-819-0145</t>
        </is>
      </c>
      <c r="F20" t="inlineStr">
        <is>
          <t>makes circut boards</t>
        </is>
      </c>
      <c r="G20" s="164" t="n">
        <v>45878</v>
      </c>
    </row>
    <row r="21">
      <c r="A21" s="163" t="inlineStr">
        <is>
          <t>Dr. James J Rooney</t>
        </is>
      </c>
      <c r="B21" t="inlineStr">
        <is>
          <t>Rooney Global Strategies</t>
        </is>
      </c>
      <c r="C21" s="111" t="inlineStr">
        <is>
          <t>jimrooney6@gmail.com</t>
        </is>
      </c>
      <c r="D21" t="inlineStr">
        <is>
          <t>713-409-5773</t>
        </is>
      </c>
      <c r="E21" t="inlineStr">
        <is>
          <t>Friendswood, TX</t>
        </is>
      </c>
      <c r="F21" t="inlineStr">
        <is>
          <t>very excited to potentially work with us / potential testing before orbital projects</t>
        </is>
      </c>
      <c r="G21" s="164" t="n">
        <v>45878</v>
      </c>
      <c r="H21" t="inlineStr">
        <is>
          <t>convo happening</t>
        </is>
      </c>
    </row>
    <row r="22">
      <c r="A22" t="inlineStr">
        <is>
          <t>Ben Surratt</t>
        </is>
      </c>
      <c r="B22" t="inlineStr">
        <is>
          <t>Market Dev Manager - Aviva Metals</t>
        </is>
      </c>
      <c r="C22" s="111" t="inlineStr">
        <is>
          <t>bsurratt@avivametals.com</t>
        </is>
      </c>
      <c r="D22" t="inlineStr">
        <is>
          <t>p) 713-869-9600 and m) 704-640-3858</t>
        </is>
      </c>
      <c r="E22" t="inlineStr">
        <is>
          <t>Houston, TX</t>
        </is>
      </c>
      <c r="G22" s="164" t="n">
        <v>45878</v>
      </c>
    </row>
    <row r="23">
      <c r="A23" t="inlineStr">
        <is>
          <t>Joe Majewski</t>
        </is>
      </c>
      <c r="B23" t="inlineStr">
        <is>
          <t>Alkegen ITM &amp; Specialty Insulation</t>
        </is>
      </c>
      <c r="C23" s="111" t="inlineStr">
        <is>
          <t>joe.majewski@alkegen.com</t>
        </is>
      </c>
      <c r="D23" t="inlineStr">
        <is>
          <t>682-430-5155</t>
        </is>
      </c>
      <c r="E23" t="inlineStr">
        <is>
          <t>Everett, WA</t>
        </is>
      </c>
      <c r="G23" s="164" t="n">
        <v>45878</v>
      </c>
    </row>
    <row r="24">
      <c r="A24" t="inlineStr">
        <is>
          <t>Darby Moore</t>
        </is>
      </c>
      <c r="B24" t="inlineStr">
        <is>
          <t>VP - USI</t>
        </is>
      </c>
      <c r="C24" s="111" t="inlineStr">
        <is>
          <t>darby.moore@usi-inc.net</t>
        </is>
      </c>
      <c r="D24" t="inlineStr">
        <is>
          <t>256-527-0029</t>
        </is>
      </c>
      <c r="E24" t="inlineStr">
        <is>
          <t>Newport News, VA</t>
        </is>
      </c>
      <c r="G24" s="164" t="n">
        <v>45878</v>
      </c>
    </row>
    <row r="25">
      <c r="A25" t="inlineStr">
        <is>
          <t>Pamela Hunter</t>
        </is>
      </c>
      <c r="B25" t="inlineStr">
        <is>
          <t>Talent Acquisition - 4M Research</t>
        </is>
      </c>
      <c r="C25" s="111" t="inlineStr">
        <is>
          <t>pamela.hunter@4MResearch.com</t>
        </is>
      </c>
      <c r="D25" t="inlineStr">
        <is>
          <t>870-310-8474</t>
        </is>
      </c>
      <c r="E25" t="inlineStr">
        <is>
          <t>Huntsville, AL</t>
        </is>
      </c>
      <c r="F25" t="inlineStr">
        <is>
          <t>passionate about mental health for veterans, woman owned SB</t>
        </is>
      </c>
      <c r="G25" s="164" t="n">
        <v>45878</v>
      </c>
    </row>
    <row r="26">
      <c r="A26" t="inlineStr">
        <is>
          <t>Matthew Thompson Ph.D</t>
        </is>
      </c>
      <c r="B26" t="inlineStr">
        <is>
          <t xml:space="preserve">Toray Composities </t>
        </is>
      </c>
      <c r="C26" s="111" t="inlineStr">
        <is>
          <t>matthew.thompson@toraycma.com</t>
        </is>
      </c>
      <c r="D26" t="inlineStr">
        <is>
          <t>p) 256-260-1050 and m) 256-476-1125</t>
        </is>
      </c>
      <c r="E26" t="inlineStr">
        <is>
          <t>Decatur, AL</t>
        </is>
      </c>
      <c r="G26" s="164" t="n">
        <v>45878</v>
      </c>
    </row>
    <row r="27">
      <c r="A27" t="inlineStr">
        <is>
          <t>Jarrett Grubb</t>
        </is>
      </c>
      <c r="B27" t="inlineStr">
        <is>
          <t xml:space="preserve">Toray Composities </t>
        </is>
      </c>
      <c r="C27" s="111" t="inlineStr">
        <is>
          <t>jarrett.grubb@toraycma.com</t>
        </is>
      </c>
      <c r="D27" t="inlineStr">
        <is>
          <t>256-260-1004</t>
        </is>
      </c>
      <c r="E27" t="inlineStr">
        <is>
          <t>Decatur, AL</t>
        </is>
      </c>
      <c r="G27" s="164" t="n">
        <v>45878</v>
      </c>
    </row>
    <row r="28">
      <c r="A28" t="inlineStr">
        <is>
          <t>Joel Weber</t>
        </is>
      </c>
      <c r="B28" t="inlineStr">
        <is>
          <t xml:space="preserve">President - AeroGear Telemetry </t>
        </is>
      </c>
      <c r="C28" s="111" t="inlineStr">
        <is>
          <t>Joel.Weber@AeroGear.us</t>
        </is>
      </c>
      <c r="D28" t="inlineStr">
        <is>
          <t>561-753-4327</t>
        </is>
      </c>
      <c r="E28" t="inlineStr">
        <is>
          <t>Wellington, FL</t>
        </is>
      </c>
      <c r="G28" s="164" t="n">
        <v>45878</v>
      </c>
    </row>
    <row r="29">
      <c r="A29" t="inlineStr">
        <is>
          <t>Cindy Lyons</t>
        </is>
      </c>
      <c r="B29" t="inlineStr">
        <is>
          <t>Regional Sales - Roxtec</t>
        </is>
      </c>
      <c r="C29" s="111" t="inlineStr">
        <is>
          <t>cindy.lyons@roxtec.com</t>
        </is>
      </c>
      <c r="D29" t="inlineStr">
        <is>
          <t>616-304-5710</t>
        </is>
      </c>
      <c r="E29" t="inlineStr">
        <is>
          <t>Tulsa, OK</t>
        </is>
      </c>
      <c r="G29" s="164" t="n">
        <v>45878</v>
      </c>
    </row>
    <row r="30">
      <c r="A30" t="inlineStr">
        <is>
          <t>David Andersen</t>
        </is>
      </c>
      <c r="B30" t="inlineStr">
        <is>
          <t>24 Jupiter</t>
        </is>
      </c>
      <c r="C30" s="111" t="inlineStr">
        <is>
          <t>david.andersen@jupitermt.com</t>
        </is>
      </c>
      <c r="D30" t="inlineStr">
        <is>
          <t>p) 309-342-9342 and m) 309-371-8575</t>
        </is>
      </c>
      <c r="E30" t="inlineStr">
        <is>
          <t>Galesburg, IL</t>
        </is>
      </c>
      <c r="G30" s="164" t="n">
        <v>45878</v>
      </c>
    </row>
    <row r="31">
      <c r="A31" t="inlineStr">
        <is>
          <t>Michael Driscoll</t>
        </is>
      </c>
      <c r="B31" t="inlineStr">
        <is>
          <t>Glenair</t>
        </is>
      </c>
      <c r="C31" s="111" t="inlineStr">
        <is>
          <t>mdriscoll@glenair.com</t>
        </is>
      </c>
      <c r="D31" t="inlineStr">
        <is>
          <t>p) 818-247-6000 and m) 818-696-6552</t>
        </is>
      </c>
      <c r="E31" t="inlineStr">
        <is>
          <t>Glendale, CA</t>
        </is>
      </c>
      <c r="G31" s="164" t="n">
        <v>45878</v>
      </c>
    </row>
    <row r="32">
      <c r="A32" t="inlineStr">
        <is>
          <t>Pam Goldston</t>
        </is>
      </c>
      <c r="B32" t="inlineStr">
        <is>
          <t>Mavitech Professional Services</t>
        </is>
      </c>
      <c r="C32" s="111" t="inlineStr">
        <is>
          <t>pam@mavitechps.com</t>
        </is>
      </c>
      <c r="D32" t="inlineStr">
        <is>
          <t>512-844-7900</t>
        </is>
      </c>
      <c r="E32" t="inlineStr">
        <is>
          <t>Huntsville, AL</t>
        </is>
      </c>
      <c r="G32" s="164" t="n">
        <v>45878</v>
      </c>
    </row>
    <row r="33">
      <c r="A33" t="inlineStr">
        <is>
          <t>Noah O Rhys Ph.D</t>
        </is>
      </c>
      <c r="B33" t="inlineStr">
        <is>
          <t>YetiSpace</t>
        </is>
      </c>
      <c r="C33" s="111" t="inlineStr">
        <is>
          <t>noah@yetispace.com</t>
        </is>
      </c>
      <c r="D33" t="inlineStr">
        <is>
          <t>256-520-5014</t>
        </is>
      </c>
      <c r="E33" t="inlineStr">
        <is>
          <t>Huntsville, AL</t>
        </is>
      </c>
      <c r="F33" t="inlineStr">
        <is>
          <t>MLI, Cryo CFM, Instrumentation</t>
        </is>
      </c>
      <c r="G33" s="164" t="n">
        <v>45878</v>
      </c>
    </row>
    <row r="34">
      <c r="A34" s="163" t="inlineStr">
        <is>
          <t>Adam Merchant</t>
        </is>
      </c>
      <c r="B34" t="inlineStr">
        <is>
          <t>Leap</t>
        </is>
      </c>
      <c r="C34" s="111" t="inlineStr">
        <is>
          <t>adam@leapspace.one</t>
        </is>
      </c>
      <c r="D34" t="inlineStr">
        <is>
          <t>201-919-3713</t>
        </is>
      </c>
      <c r="G34" s="164" t="n">
        <v>45878</v>
      </c>
    </row>
    <row r="35">
      <c r="A35" t="inlineStr">
        <is>
          <t>Jim Falasco</t>
        </is>
      </c>
      <c r="B35" t="inlineStr">
        <is>
          <t>AeroGear Telemetry</t>
        </is>
      </c>
      <c r="C35" s="111" t="inlineStr">
        <is>
          <t>jim.falasco@aerogear.us</t>
        </is>
      </c>
      <c r="D35" t="inlineStr">
        <is>
          <t>972-575-8663</t>
        </is>
      </c>
      <c r="F35" t="inlineStr">
        <is>
          <t>re-connected with</t>
        </is>
      </c>
      <c r="G35" s="164" t="n">
        <v>45878</v>
      </c>
    </row>
    <row r="36">
      <c r="A36" t="inlineStr">
        <is>
          <t>Jeff Bodziak</t>
        </is>
      </c>
      <c r="B36" t="inlineStr">
        <is>
          <t>Biz Dev - Conax Technologies</t>
        </is>
      </c>
      <c r="C36" s="111" t="inlineStr">
        <is>
          <t>jeff.bodziak@conaxtechnologies.com</t>
        </is>
      </c>
      <c r="D36" t="inlineStr">
        <is>
          <t>p) 716-684-4501 ext 364 and m) 716-344-5166</t>
        </is>
      </c>
      <c r="E36" t="inlineStr">
        <is>
          <t>Buffalo, NY</t>
        </is>
      </c>
      <c r="F36" t="inlineStr">
        <is>
          <t>wiring sensors</t>
        </is>
      </c>
      <c r="G36" s="164" t="n">
        <v>45878</v>
      </c>
    </row>
    <row r="37">
      <c r="A37" t="inlineStr">
        <is>
          <t>Amanda Pace</t>
        </is>
      </c>
      <c r="B37" t="inlineStr">
        <is>
          <t>North Star Imaging</t>
        </is>
      </c>
      <c r="C37" s="111" t="inlineStr">
        <is>
          <t>apace@4nsi.com</t>
        </is>
      </c>
      <c r="D37" t="inlineStr">
        <is>
          <t>763-276-8257</t>
        </is>
      </c>
      <c r="G37" s="164" t="n">
        <v>45878</v>
      </c>
    </row>
    <row r="38">
      <c r="A38" s="163" t="inlineStr">
        <is>
          <t>Allison Chambers</t>
        </is>
      </c>
      <c r="B38" t="inlineStr">
        <is>
          <t>Nasa</t>
        </is>
      </c>
      <c r="C38" s="111" t="inlineStr">
        <is>
          <t>allison.y.chambers@nasa.gov</t>
        </is>
      </c>
      <c r="D38" t="n">
        <v>2564245222</v>
      </c>
      <c r="E38" t="inlineStr">
        <is>
          <t>Huntsville, AL</t>
        </is>
      </c>
      <c r="G38" s="164" t="n">
        <v>45878</v>
      </c>
      <c r="H38" t="inlineStr">
        <is>
          <t>8/12 follow up</t>
        </is>
      </c>
    </row>
    <row r="44">
      <c r="A44" t="inlineStr">
        <is>
          <t>Howard</t>
        </is>
      </c>
      <c r="B44" t="inlineStr">
        <is>
          <t>PACA NEW MEXICO EVENT</t>
        </is>
      </c>
      <c r="C44" s="198" t="inlineStr">
        <is>
          <t>howardgentry@odysseyconsult.com</t>
        </is>
      </c>
      <c r="G44" s="80" t="n">
        <v>45911</v>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2.75"/>
  <cols>
    <col width="40.5703125" customWidth="1" style="216" min="1" max="1"/>
    <col width="47" customWidth="1" style="216" min="2" max="2"/>
    <col width="41.7109375" customWidth="1" style="216" min="3" max="3"/>
    <col width="12.28515625" customWidth="1" style="216" min="4" max="4"/>
    <col width="30" customWidth="1" style="216" min="5" max="5"/>
    <col width="83.28515625" customWidth="1" style="216" min="6" max="6"/>
  </cols>
  <sheetData>
    <row r="1">
      <c r="A1" s="157" t="inlineStr">
        <is>
          <t>Name</t>
        </is>
      </c>
      <c r="B1" s="157" t="inlineStr">
        <is>
          <t>Title</t>
        </is>
      </c>
      <c r="C1" s="157" t="inlineStr">
        <is>
          <t>Company</t>
        </is>
      </c>
      <c r="D1" s="157" t="inlineStr">
        <is>
          <t>Phone</t>
        </is>
      </c>
      <c r="E1" s="157" t="inlineStr">
        <is>
          <t>Email</t>
        </is>
      </c>
      <c r="F1" s="157" t="inlineStr">
        <is>
          <t>Notes</t>
        </is>
      </c>
      <c r="G1" s="157" t="inlineStr">
        <is>
          <t>Follow Up Sent</t>
        </is>
      </c>
    </row>
    <row r="2">
      <c r="A2" t="inlineStr">
        <is>
          <t>Mahsa Esfand</t>
        </is>
      </c>
      <c r="B2" t="inlineStr">
        <is>
          <t>Aerospace Specialist</t>
        </is>
      </c>
      <c r="C2" t="inlineStr">
        <is>
          <t>Italian Trade Agency</t>
        </is>
      </c>
      <c r="D2" t="n">
        <v>2818884288</v>
      </c>
      <c r="E2" s="111" t="inlineStr">
        <is>
          <t>m.esfand.ext@ice.it</t>
        </is>
      </c>
      <c r="F2" t="inlineStr">
        <is>
          <t>trip to Italy? email with booking link sent 1/28</t>
        </is>
      </c>
      <c r="G2" s="80" t="n">
        <v>46050</v>
      </c>
    </row>
    <row r="3" customFormat="1" s="282">
      <c r="A3" s="282" t="inlineStr">
        <is>
          <t>Izzy House</t>
        </is>
      </c>
      <c r="B3" s="282" t="inlineStr">
        <is>
          <t>Content &amp; Media Director</t>
        </is>
      </c>
      <c r="C3" s="282" t="inlineStr">
        <is>
          <t>SpaceCom</t>
        </is>
      </c>
      <c r="D3" s="282" t="n">
        <v>6062712092</v>
      </c>
      <c r="E3" s="283" t="inlineStr">
        <is>
          <t>ihouse@spacecomexpo.com</t>
        </is>
      </c>
      <c r="F3" s="282" t="inlineStr">
        <is>
          <t>john feature - content and marketing</t>
        </is>
      </c>
      <c r="G3" s="363" t="n">
        <v>46050</v>
      </c>
    </row>
    <row r="4">
      <c r="A4" t="inlineStr">
        <is>
          <t>Edward Ellegood</t>
        </is>
      </c>
      <c r="B4" t="inlineStr">
        <is>
          <t>Aerospace Industry Analyst</t>
        </is>
      </c>
      <c r="C4" t="inlineStr">
        <is>
          <t>Merrick &amp; Co Melbourne FL</t>
        </is>
      </c>
      <c r="D4" t="inlineStr">
        <is>
          <t>321-698-9101</t>
        </is>
      </c>
      <c r="E4" s="111" t="inlineStr">
        <is>
          <t>edward.ellegood@merrick.com</t>
        </is>
      </c>
      <c r="F4" t="inlineStr">
        <is>
          <t>sat at our table on summit day</t>
        </is>
      </c>
      <c r="G4" s="80" t="n">
        <v>46050</v>
      </c>
    </row>
    <row r="5" customFormat="1" s="282">
      <c r="A5" s="282" t="inlineStr">
        <is>
          <t>Eileen Velez-Vega</t>
        </is>
      </c>
      <c r="B5" s="282" t="inlineStr">
        <is>
          <t>PE (?)</t>
        </is>
      </c>
      <c r="C5" s="282" t="inlineStr">
        <is>
          <t>Kimley Horn Puerto Rico</t>
        </is>
      </c>
      <c r="D5" s="282" t="inlineStr">
        <is>
          <t>mobile 5616355004 or direct 7877825050</t>
        </is>
      </c>
      <c r="E5" s="283" t="inlineStr">
        <is>
          <t>eileen.velez@kimley-horn.com</t>
        </is>
      </c>
      <c r="F5" s="282" t="inlineStr">
        <is>
          <t>charter enterprise?</t>
        </is>
      </c>
      <c r="G5" s="363" t="n">
        <v>46050</v>
      </c>
    </row>
    <row r="6" customFormat="1" s="282">
      <c r="A6" s="282" t="inlineStr">
        <is>
          <t>Sean McClung</t>
        </is>
      </c>
      <c r="B6" s="282" t="inlineStr">
        <is>
          <t>VP</t>
        </is>
      </c>
      <c r="C6" s="282" t="inlineStr">
        <is>
          <t>Montana Spaceport Test Range</t>
        </is>
      </c>
      <c r="D6" s="282" t="n">
        <v>7192089244</v>
      </c>
      <c r="E6" s="283" t="inlineStr">
        <is>
          <t>sean@montanaspaceport.com</t>
        </is>
      </c>
      <c r="F6" s="282" t="inlineStr">
        <is>
          <t>charter enterprise?</t>
        </is>
      </c>
      <c r="G6" s="363" t="n">
        <v>46057</v>
      </c>
    </row>
    <row r="7" customFormat="1" s="282">
      <c r="A7" s="282" t="inlineStr">
        <is>
          <t>Edgar Johansson</t>
        </is>
      </c>
      <c r="B7" s="282" t="inlineStr">
        <is>
          <t>President / CEO</t>
        </is>
      </c>
      <c r="C7" s="282" t="inlineStr">
        <is>
          <t>Montana Spaceport Test Range</t>
        </is>
      </c>
      <c r="D7" s="282" t="n">
        <v>7205604999</v>
      </c>
      <c r="E7" s="283" t="inlineStr">
        <is>
          <t>edgar@montanaspaceport.com</t>
        </is>
      </c>
      <c r="F7" s="282" t="inlineStr">
        <is>
          <t>charter enterprise?</t>
        </is>
      </c>
      <c r="G7" s="363" t="n">
        <v>46057</v>
      </c>
    </row>
    <row r="8">
      <c r="A8" t="inlineStr">
        <is>
          <t>Maria Blyther</t>
        </is>
      </c>
      <c r="B8" t="inlineStr">
        <is>
          <t>Management and Program Analyst</t>
        </is>
      </c>
      <c r="C8" t="inlineStr">
        <is>
          <t>FAA</t>
        </is>
      </c>
      <c r="D8" t="n">
        <v>8478949397</v>
      </c>
      <c r="E8" s="111" t="inlineStr">
        <is>
          <t>maria.blyther@faa.gov</t>
        </is>
      </c>
    </row>
    <row r="9">
      <c r="A9" t="inlineStr">
        <is>
          <t>Minh Nguyen</t>
        </is>
      </c>
      <c r="B9" t="inlineStr">
        <is>
          <t>Deputy Associate Administrator</t>
        </is>
      </c>
      <c r="C9" t="inlineStr">
        <is>
          <t>FAA</t>
        </is>
      </c>
      <c r="D9" t="n">
        <v>2025104588</v>
      </c>
      <c r="E9" s="111" t="inlineStr">
        <is>
          <t>minh.a.nguyen@faa.gov</t>
        </is>
      </c>
      <c r="G9" s="80" t="n">
        <v>46057</v>
      </c>
    </row>
    <row r="10">
      <c r="A10" t="inlineStr">
        <is>
          <t>Zheng Tao</t>
        </is>
      </c>
      <c r="B10" t="inlineStr">
        <is>
          <t>Co-Founder / President</t>
        </is>
      </c>
      <c r="C10" t="inlineStr">
        <is>
          <t>Airspace Innovation</t>
        </is>
      </c>
      <c r="D10" t="inlineStr">
        <is>
          <t>703-531-8565</t>
        </is>
      </c>
      <c r="E10" s="111" t="inlineStr">
        <is>
          <t>zheng@airspaceinnovation.com</t>
        </is>
      </c>
      <c r="G10" s="80" t="n">
        <v>46057</v>
      </c>
    </row>
    <row r="11">
      <c r="A11" t="inlineStr">
        <is>
          <t>Jason Schwartz</t>
        </is>
      </c>
      <c r="B11" t="inlineStr">
        <is>
          <t>Co Founder / Managing Partner</t>
        </is>
      </c>
      <c r="C11" t="inlineStr">
        <is>
          <t xml:space="preserve">League Advisors </t>
        </is>
      </c>
      <c r="D11" t="n">
        <v>2398988626</v>
      </c>
      <c r="E11" s="111" t="inlineStr">
        <is>
          <t>jason@leagueadvisors.com</t>
        </is>
      </c>
      <c r="G11" s="80" t="n">
        <v>46057</v>
      </c>
    </row>
    <row r="12" customFormat="1" s="146">
      <c r="A12" s="146" t="inlineStr">
        <is>
          <t>Tricia Quinn</t>
        </is>
      </c>
      <c r="B12" s="146" t="inlineStr">
        <is>
          <t>VP Aerospace and Healthcare Practices</t>
        </is>
      </c>
      <c r="C12" s="146" t="inlineStr">
        <is>
          <t>Michael Baker International</t>
        </is>
      </c>
      <c r="D12" s="146" t="n">
        <v>4076208571</v>
      </c>
      <c r="E12" s="341" t="inlineStr">
        <is>
          <t>tricia.quinn@mbakerintl.com</t>
        </is>
      </c>
      <c r="F12" s="146" t="inlineStr">
        <is>
          <t xml:space="preserve">share one pager and she will distro to potential spaceport of orbital clients. </t>
        </is>
      </c>
      <c r="G12" s="343" t="n">
        <v>46057</v>
      </c>
    </row>
    <row r="13" customFormat="1" s="152">
      <c r="A13" s="152" t="inlineStr">
        <is>
          <t>Andrew Bonwick</t>
        </is>
      </c>
      <c r="B13" s="152" t="inlineStr">
        <is>
          <t>VP Product Development</t>
        </is>
      </c>
      <c r="C13" s="152" t="inlineStr">
        <is>
          <t>RELM</t>
        </is>
      </c>
      <c r="D13" s="152" t="inlineStr">
        <is>
          <t>+44 (0) 7498726082</t>
        </is>
      </c>
      <c r="E13" s="338" t="inlineStr">
        <is>
          <t>andrew.bonwick@relminsurance.com</t>
        </is>
      </c>
      <c r="F13" s="152" t="inlineStr">
        <is>
          <t xml:space="preserve">loop in phil- asked for DoW contract options to insure the HVRR vehicle on free flights as part of DoD extension contract. </t>
        </is>
      </c>
      <c r="G13" s="339" t="n">
        <v>46057</v>
      </c>
    </row>
    <row r="14" customFormat="1" s="146">
      <c r="A14" s="146" t="inlineStr">
        <is>
          <t>Lyle Hedgecock</t>
        </is>
      </c>
      <c r="B14" s="146" t="inlineStr">
        <is>
          <t>Legal Counsel</t>
        </is>
      </c>
      <c r="C14" s="146" t="inlineStr">
        <is>
          <t>Miles &amp; Stockbridge</t>
        </is>
      </c>
      <c r="D14" s="146" t="inlineStr">
        <is>
          <t>Office) 202-465-8403 Mobile) 3014124520</t>
        </is>
      </c>
      <c r="E14" s="341" t="inlineStr">
        <is>
          <t>lhedgecock@milesstockbridge.com</t>
        </is>
      </c>
      <c r="F14" s="146" t="inlineStr">
        <is>
          <t xml:space="preserve">M+A support / will refer us to import attorney - Andrew and Denise Shirey better fit </t>
        </is>
      </c>
      <c r="G14" s="343" t="n">
        <v>46057</v>
      </c>
    </row>
    <row r="15" customFormat="1" s="282">
      <c r="A15" s="282" t="inlineStr">
        <is>
          <t>Kuang-Han Ke</t>
        </is>
      </c>
      <c r="B15" s="282" t="inlineStr">
        <is>
          <t>Chairman/CEO</t>
        </is>
      </c>
      <c r="C15" s="282" t="inlineStr">
        <is>
          <t>GranSystems</t>
        </is>
      </c>
      <c r="D15" s="282" t="n">
        <v>14085859948</v>
      </c>
      <c r="E15" s="362" t="inlineStr">
        <is>
          <t>kke@gransystems.com</t>
        </is>
      </c>
      <c r="F15" s="282" t="inlineStr">
        <is>
          <t>Taiwan Tank manufacturing, process automation, houston tx, has space available for tank winding</t>
        </is>
      </c>
      <c r="G15" s="363" t="n">
        <v>46057</v>
      </c>
    </row>
    <row r="16" customFormat="1" s="146">
      <c r="A16" s="146" t="inlineStr">
        <is>
          <t>Isaiah Wonnenberg</t>
        </is>
      </c>
      <c r="B16" s="146" t="inlineStr">
        <is>
          <t>VP of Regulatory Affairs</t>
        </is>
      </c>
      <c r="C16" s="146" t="inlineStr">
        <is>
          <t>Commercial Space Federation</t>
        </is>
      </c>
      <c r="D16" s="146" t="n">
        <v>6056596328</v>
      </c>
      <c r="E16" s="341" t="inlineStr">
        <is>
          <t>isaiah@commercialspace.org</t>
        </is>
      </c>
      <c r="F16" s="146" t="inlineStr">
        <is>
          <t>Join?? Cost Neil M</t>
        </is>
      </c>
      <c r="G16" s="343" t="n">
        <v>46057</v>
      </c>
    </row>
    <row r="17">
      <c r="A17" t="inlineStr">
        <is>
          <t>Kevin Griffith</t>
        </is>
      </c>
      <c r="B17" t="inlineStr">
        <is>
          <t>Lead Project Engineer</t>
        </is>
      </c>
      <c r="C17" t="inlineStr">
        <is>
          <t>Houston Vessel Manufacturing LLC</t>
        </is>
      </c>
      <c r="D17" t="inlineStr">
        <is>
          <t>Cell) 281-460-7071 Office) 713-550-1377</t>
        </is>
      </c>
      <c r="E17" s="111" t="inlineStr">
        <is>
          <t>kgriffith@houstonvessel.com</t>
        </is>
      </c>
      <c r="F17" t="inlineStr">
        <is>
          <t>midland</t>
        </is>
      </c>
      <c r="G17" s="80" t="n">
        <v>46057</v>
      </c>
    </row>
    <row r="18">
      <c r="A18" t="inlineStr">
        <is>
          <t>Gerardo Casco</t>
        </is>
      </c>
      <c r="B18" t="inlineStr">
        <is>
          <t>General Manager</t>
        </is>
      </c>
      <c r="C18" t="inlineStr">
        <is>
          <t>Houston Vessel Manufacturing LLC</t>
        </is>
      </c>
      <c r="D18" t="inlineStr">
        <is>
          <t>Office) 713-550-1374 Cell) 832-465-1663</t>
        </is>
      </c>
      <c r="E18" s="111" t="inlineStr">
        <is>
          <t>gcasco@houstonvessel.com</t>
        </is>
      </c>
      <c r="F18" t="inlineStr">
        <is>
          <t>midland</t>
        </is>
      </c>
      <c r="G18" s="80" t="n">
        <v>46057</v>
      </c>
    </row>
    <row r="19">
      <c r="A19" t="inlineStr">
        <is>
          <t>Michelle Lucas</t>
        </is>
      </c>
      <c r="B19" t="inlineStr">
        <is>
          <t>Founder/CEO</t>
        </is>
      </c>
      <c r="C19" t="inlineStr">
        <is>
          <t>Higher Orbits</t>
        </is>
      </c>
      <c r="D19" t="inlineStr">
        <is>
          <t>281-451-5343</t>
        </is>
      </c>
      <c r="E19" s="111" t="inlineStr">
        <is>
          <t>michelle@higherorbits.org</t>
        </is>
      </c>
      <c r="G19" s="80" t="n">
        <v>46057</v>
      </c>
    </row>
    <row r="20">
      <c r="A20" t="inlineStr">
        <is>
          <t>Jason Wilkins</t>
        </is>
      </c>
      <c r="B20" t="inlineStr">
        <is>
          <t>Sales Engineer</t>
        </is>
      </c>
      <c r="C20" t="inlineStr">
        <is>
          <t>ACME Cryogenics</t>
        </is>
      </c>
      <c r="D20" t="n">
        <v>4708413239</v>
      </c>
      <c r="E20" s="111" t="inlineStr">
        <is>
          <t>jason.wilkins@acmecryo.com</t>
        </is>
      </c>
      <c r="F20" t="inlineStr">
        <is>
          <t>put in email with oscar about cryo for midland</t>
        </is>
      </c>
      <c r="G20" s="80" t="n">
        <v>46057</v>
      </c>
    </row>
    <row r="21">
      <c r="A21" t="inlineStr">
        <is>
          <t>Ryan Fraase</t>
        </is>
      </c>
      <c r="B21" t="inlineStr">
        <is>
          <t>Sr Strategic Partnerships Manager</t>
        </is>
      </c>
      <c r="C21" t="inlineStr">
        <is>
          <t>Oceaneering</t>
        </is>
      </c>
      <c r="E21" s="111" t="inlineStr">
        <is>
          <t>rfraase@oceaneering.net</t>
        </is>
      </c>
      <c r="F21" t="inlineStr">
        <is>
          <t>no real biz connection - just a contact</t>
        </is>
      </c>
      <c r="G21" s="80" t="n">
        <v>46057</v>
      </c>
    </row>
    <row r="22">
      <c r="A22" t="inlineStr">
        <is>
          <t>Selim Istanbullu</t>
        </is>
      </c>
      <c r="B22" t="inlineStr">
        <is>
          <t>Business Development Manager</t>
        </is>
      </c>
      <c r="C22" t="inlineStr">
        <is>
          <t>Goetze</t>
        </is>
      </c>
      <c r="D22" t="n">
        <v>9804745044</v>
      </c>
      <c r="E22" s="111" t="inlineStr">
        <is>
          <t>s.istanbullu@goetze-valves.com</t>
        </is>
      </c>
      <c r="F22" t="inlineStr">
        <is>
          <t>valves</t>
        </is>
      </c>
      <c r="G22" s="80" t="n">
        <v>46057</v>
      </c>
    </row>
    <row r="23" customFormat="1" s="146">
      <c r="A23" s="146" t="inlineStr">
        <is>
          <t>Noah Berg</t>
        </is>
      </c>
      <c r="B23" s="146" t="inlineStr">
        <is>
          <t>Regional Sales Manager</t>
        </is>
      </c>
      <c r="D23" s="146" t="n">
        <v>4752894669</v>
      </c>
      <c r="E23" s="341" t="inlineStr">
        <is>
          <t>nberg@pmc1.com</t>
        </is>
      </c>
      <c r="F23" s="146" t="inlineStr">
        <is>
          <t>precision sensors onsite evaluation with Steve N, Lizi to support</t>
        </is>
      </c>
      <c r="G23" s="146" t="inlineStr">
        <is>
          <t>2/3 - connected on linked in and in person meeting set for 2/12</t>
        </is>
      </c>
    </row>
    <row r="24">
      <c r="A24" t="inlineStr">
        <is>
          <t>Lee Steinke</t>
        </is>
      </c>
      <c r="B24" t="inlineStr">
        <is>
          <t>COO</t>
        </is>
      </c>
      <c r="C24" t="inlineStr">
        <is>
          <t>Cislunar Industries</t>
        </is>
      </c>
      <c r="D24" t="n">
        <v>3034758639</v>
      </c>
      <c r="E24" s="111" t="inlineStr">
        <is>
          <t>lee@cislunarindustries.com</t>
        </is>
      </c>
      <c r="F24" t="inlineStr">
        <is>
          <t>just a contact</t>
        </is>
      </c>
      <c r="G24" s="80" t="n">
        <v>46057</v>
      </c>
    </row>
    <row r="25">
      <c r="A25" t="inlineStr">
        <is>
          <t>Mitchell Hamilton</t>
        </is>
      </c>
      <c r="B25" t="inlineStr">
        <is>
          <t>Sales Manager</t>
        </is>
      </c>
      <c r="C25" t="inlineStr">
        <is>
          <t>JE Technology Solutions</t>
        </is>
      </c>
      <c r="D25" t="n">
        <v>4077529931</v>
      </c>
      <c r="E25" s="111" t="inlineStr">
        <is>
          <t>mitchellh@jetechnologysolutions.com</t>
        </is>
      </c>
      <c r="F25" t="inlineStr">
        <is>
          <t>we don't need their work but nice guys</t>
        </is>
      </c>
      <c r="G25" s="80" t="n">
        <v>46057</v>
      </c>
    </row>
    <row r="26" customFormat="1" s="152">
      <c r="A26" s="152" t="inlineStr">
        <is>
          <t>Bob English</t>
        </is>
      </c>
      <c r="B26" s="152" t="inlineStr">
        <is>
          <t>CEO</t>
        </is>
      </c>
      <c r="C26" s="152" t="inlineStr">
        <is>
          <t>Valiant Products</t>
        </is>
      </c>
      <c r="D26" s="152" t="n">
        <v>8636887998</v>
      </c>
      <c r="E26" s="338" t="inlineStr">
        <is>
          <t>bobenglish@valiantproductsinc.com</t>
        </is>
      </c>
      <c r="F26" s="152" t="inlineStr">
        <is>
          <t xml:space="preserve">interested in the way he runs his company - john wants to connect </t>
        </is>
      </c>
      <c r="G26" s="339" t="n">
        <v>46057</v>
      </c>
      <c r="H26" s="152" t="inlineStr">
        <is>
          <t xml:space="preserve">Amazing Entrepreneur wiht ESOP transition of his company!  We need to visit them durinmg Space Tech Expo 2026 </t>
        </is>
      </c>
    </row>
    <row r="27">
      <c r="A27" t="inlineStr">
        <is>
          <t>Dale Meskimen</t>
        </is>
      </c>
      <c r="B27" t="inlineStr">
        <is>
          <t>General Manager</t>
        </is>
      </c>
      <c r="C27" t="inlineStr">
        <is>
          <t>Valiant Products</t>
        </is>
      </c>
      <c r="D27" t="inlineStr">
        <is>
          <t>8636887998 ext 156</t>
        </is>
      </c>
      <c r="E27" s="111" t="inlineStr">
        <is>
          <t>dmeskimen@valiantproductsinc.com</t>
        </is>
      </c>
      <c r="F27" t="inlineStr">
        <is>
          <t xml:space="preserve">3D printing </t>
        </is>
      </c>
      <c r="G27" s="80" t="n">
        <v>46057</v>
      </c>
    </row>
    <row r="28" customFormat="1" s="282">
      <c r="A28" s="282" t="inlineStr">
        <is>
          <t>Cliff Plowman</t>
        </is>
      </c>
      <c r="B28" s="282" t="inlineStr">
        <is>
          <t>Business Development Manager</t>
        </is>
      </c>
      <c r="C28" s="282" t="inlineStr">
        <is>
          <t>EXOTERRA</t>
        </is>
      </c>
      <c r="D28" s="282" t="n">
        <v>7202542672</v>
      </c>
      <c r="E28" s="283" t="inlineStr">
        <is>
          <t>cplowman@exoterra.com</t>
        </is>
      </c>
      <c r="F28" s="282" t="inlineStr">
        <is>
          <t>sell them tanks??</t>
        </is>
      </c>
      <c r="G28" s="363" t="n">
        <v>46057</v>
      </c>
    </row>
    <row r="29">
      <c r="A29" t="inlineStr">
        <is>
          <t>Brandon Fletcher</t>
        </is>
      </c>
      <c r="B29" t="inlineStr">
        <is>
          <t>Slaes Team Lead</t>
        </is>
      </c>
      <c r="C29" t="inlineStr">
        <is>
          <t>Big Top</t>
        </is>
      </c>
      <c r="D29" t="inlineStr">
        <is>
          <t>8505847786 mobile) 850-295-4509</t>
        </is>
      </c>
      <c r="E29" s="111" t="inlineStr">
        <is>
          <t>brandon.fletcher@bigtopusa.com</t>
        </is>
      </c>
      <c r="F29" t="inlineStr">
        <is>
          <t>outdoor covers/buildings</t>
        </is>
      </c>
      <c r="G29" s="80" t="n">
        <v>46057</v>
      </c>
    </row>
    <row r="30">
      <c r="A30" t="inlineStr">
        <is>
          <t>Paul Theberge</t>
        </is>
      </c>
      <c r="B30" t="inlineStr">
        <is>
          <t>Business Development Manager</t>
        </is>
      </c>
      <c r="C30" t="inlineStr">
        <is>
          <t>OPW Clean Energy/Acme Cryogenics</t>
        </is>
      </c>
      <c r="D30" t="n">
        <v>7226311722</v>
      </c>
      <c r="E30" s="111" t="inlineStr">
        <is>
          <t>paul.theberge@opwces.com</t>
        </is>
      </c>
      <c r="F30" t="inlineStr">
        <is>
          <t>midland</t>
        </is>
      </c>
      <c r="G30" s="80" t="n">
        <v>46057</v>
      </c>
    </row>
    <row r="31">
      <c r="A31" s="282" t="inlineStr">
        <is>
          <t>Dennis Wille</t>
        </is>
      </c>
      <c r="B31" s="282" t="inlineStr">
        <is>
          <t>Business Development Manager</t>
        </is>
      </c>
      <c r="C31" s="282" t="inlineStr">
        <is>
          <t>Astroscale US</t>
        </is>
      </c>
      <c r="D31" s="282" t="n">
        <v>2404708174</v>
      </c>
      <c r="E31" s="283" t="inlineStr">
        <is>
          <t>d.wille@astroscale-us.com</t>
        </is>
      </c>
      <c r="F31" s="282" t="inlineStr">
        <is>
          <t>tanks - need nda asap</t>
        </is>
      </c>
      <c r="G31" s="80" t="n">
        <v>46057</v>
      </c>
    </row>
    <row r="32">
      <c r="A32" s="282" t="inlineStr">
        <is>
          <t>Ian Thomas</t>
        </is>
      </c>
      <c r="B32" s="282" t="inlineStr">
        <is>
          <t>Senior Program Manager</t>
        </is>
      </c>
      <c r="C32" s="282" t="inlineStr">
        <is>
          <t>Astroscale US</t>
        </is>
      </c>
      <c r="D32" s="282" t="inlineStr">
        <is>
          <t>O) 7204379328 M) 2692543008</t>
        </is>
      </c>
      <c r="E32" s="283" t="inlineStr">
        <is>
          <t>i.thomas@astroscale-us.com</t>
        </is>
      </c>
      <c r="F32" s="282" t="inlineStr">
        <is>
          <t>tanks - need nda asap</t>
        </is>
      </c>
      <c r="G32" s="80" t="n">
        <v>46057</v>
      </c>
    </row>
    <row r="33" customFormat="1" s="330">
      <c r="A33" s="330" t="inlineStr">
        <is>
          <t>Jonathan Goff</t>
        </is>
      </c>
      <c r="B33" s="330" t="inlineStr">
        <is>
          <t>Director of Advanced Concepts</t>
        </is>
      </c>
      <c r="C33" s="330" t="inlineStr">
        <is>
          <t>Gravitics</t>
        </is>
      </c>
      <c r="D33" s="330" t="inlineStr">
        <is>
          <t>801-362-2310</t>
        </is>
      </c>
      <c r="E33" s="364" t="inlineStr">
        <is>
          <t>jgoff@gravitics.com</t>
        </is>
      </c>
      <c r="F33" s="330" t="inlineStr">
        <is>
          <t>possibly need tanks, old connection Sell them an Integrted Pressurized Structure</t>
        </is>
      </c>
      <c r="G33" s="365" t="n">
        <v>46057</v>
      </c>
    </row>
    <row r="34">
      <c r="A34" t="inlineStr">
        <is>
          <t>Matt Devoe</t>
        </is>
      </c>
      <c r="B34" t="inlineStr">
        <is>
          <t>Business Development Manager</t>
        </is>
      </c>
      <c r="C34" t="inlineStr">
        <is>
          <t>Phillips Heavy Civil</t>
        </is>
      </c>
      <c r="D34" t="n">
        <v>8658044337</v>
      </c>
      <c r="E34" s="111" t="inlineStr">
        <is>
          <t>mdevoe@phillipsinc.com</t>
        </is>
      </c>
      <c r="F34" t="inlineStr">
        <is>
          <t>midland</t>
        </is>
      </c>
      <c r="G34" s="80" t="n">
        <v>46057</v>
      </c>
    </row>
    <row r="35">
      <c r="A35" t="inlineStr">
        <is>
          <t>Tom Wilson</t>
        </is>
      </c>
      <c r="B35" t="inlineStr">
        <is>
          <t>Business Development Manager</t>
        </is>
      </c>
      <c r="C35" t="inlineStr">
        <is>
          <t>Phillips Heavy Civil</t>
        </is>
      </c>
      <c r="D35" t="n">
        <v>8135390549</v>
      </c>
      <c r="E35" s="111" t="inlineStr">
        <is>
          <t>twilson@phillipsinc.com</t>
        </is>
      </c>
      <c r="F35" t="inlineStr">
        <is>
          <t>midland</t>
        </is>
      </c>
      <c r="G35" s="80" t="n">
        <v>46057</v>
      </c>
    </row>
    <row r="36">
      <c r="A36" t="inlineStr">
        <is>
          <t>Jeff Lints</t>
        </is>
      </c>
      <c r="B36" t="inlineStr">
        <is>
          <t>CCO</t>
        </is>
      </c>
      <c r="C36" t="inlineStr">
        <is>
          <t>Orbit Fab</t>
        </is>
      </c>
      <c r="D36" t="n">
        <v>3039139526</v>
      </c>
      <c r="E36" s="111" t="inlineStr">
        <is>
          <t>jeff.lints@orbitfab.com</t>
        </is>
      </c>
      <c r="F36" t="inlineStr">
        <is>
          <t>tanks</t>
        </is>
      </c>
      <c r="G36" s="80" t="n">
        <v>46057</v>
      </c>
      <c r="H36" t="inlineStr">
        <is>
          <t>said to check back in a couple months</t>
        </is>
      </c>
    </row>
    <row r="37">
      <c r="A37" t="inlineStr">
        <is>
          <t xml:space="preserve">Robert Zielinski </t>
        </is>
      </c>
      <c r="B37" t="inlineStr">
        <is>
          <t xml:space="preserve">C </t>
        </is>
      </c>
      <c r="C37" t="inlineStr">
        <is>
          <t>Novaspaceinc</t>
        </is>
      </c>
      <c r="E37" t="inlineStr">
        <is>
          <t>Robert Zielinski &lt;robert@novaspaceinc.com&gt;</t>
        </is>
      </c>
    </row>
    <row r="38">
      <c r="A38" s="282" t="inlineStr">
        <is>
          <t>Follow up</t>
        </is>
      </c>
    </row>
    <row r="39">
      <c r="A39" s="146" t="inlineStr">
        <is>
          <t>Followed up - updates</t>
        </is>
      </c>
    </row>
    <row r="40">
      <c r="A40" s="152" t="inlineStr">
        <is>
          <t>Followed up - working on follow on work</t>
        </is>
      </c>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2:B6"/>
  <sheetViews>
    <sheetView workbookViewId="0">
      <selection activeCell="A1" sqref="A1"/>
    </sheetView>
  </sheetViews>
  <sheetFormatPr baseColWidth="8" defaultRowHeight="16"/>
  <sheetData>
    <row r="2">
      <c r="A2" t="n">
        <v>1</v>
      </c>
      <c r="B2" t="inlineStr">
        <is>
          <t>Oval Ventures POC Joe Cell number 1 (917) 757 2264 / email address grodkojoseph@gmail.com</t>
        </is>
      </c>
    </row>
    <row r="3">
      <c r="A3" t="n">
        <v>2</v>
      </c>
      <c r="B3" t="inlineStr">
        <is>
          <t>Head of Recourse Factoring POC Leigh ones Cell number is 770-349-5452 Email  llones@rosenthalinc.com</t>
        </is>
      </c>
    </row>
    <row r="4">
      <c r="A4" t="n">
        <v>3</v>
      </c>
      <c r="B4" t="inlineStr">
        <is>
          <t>Fund my contract POC Joe Galluccio jgalluccio@fundmycom</t>
        </is>
      </c>
    </row>
    <row r="5">
      <c r="A5" t="n">
        <v>4</v>
      </c>
      <c r="B5" t="inlineStr">
        <is>
          <t>Bankers Factoring Chris Curtin CEO chris@bankersfactoring.com</t>
        </is>
      </c>
    </row>
    <row r="6">
      <c r="A6" t="n">
        <v>5</v>
      </c>
      <c r="B6" t="inlineStr">
        <is>
          <t>JD Factors POC Brad Millier EMAIL bmiller@jdfactors.com</t>
        </is>
      </c>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B3:O21"/>
  <sheetViews>
    <sheetView workbookViewId="0">
      <selection activeCell="A1" sqref="A1"/>
    </sheetView>
  </sheetViews>
  <sheetFormatPr baseColWidth="8" defaultRowHeight="16"/>
  <sheetData>
    <row r="3">
      <c r="B3" t="inlineStr">
        <is>
          <t>Status</t>
        </is>
      </c>
      <c r="D3" t="inlineStr">
        <is>
          <t>Prospects</t>
        </is>
      </c>
      <c r="E3" t="inlineStr">
        <is>
          <t>Next Action Item</t>
        </is>
      </c>
      <c r="F3" t="inlineStr">
        <is>
          <t>POC</t>
        </is>
      </c>
      <c r="G3" t="inlineStr">
        <is>
          <t>EMAIL</t>
        </is>
      </c>
      <c r="H3" t="inlineStr">
        <is>
          <t>Phone Number</t>
        </is>
      </c>
      <c r="I3" t="inlineStr">
        <is>
          <t>Phone number</t>
        </is>
      </c>
      <c r="J3" t="inlineStr">
        <is>
          <t>LinkedIn Profile</t>
        </is>
      </c>
      <c r="K3" t="inlineStr">
        <is>
          <t>Comment</t>
        </is>
      </c>
    </row>
    <row r="5">
      <c r="B5" t="inlineStr">
        <is>
          <t>Dead</t>
        </is>
      </c>
      <c r="C5" t="n">
        <v>1</v>
      </c>
      <c r="D5" t="inlineStr">
        <is>
          <t>TruSight, LLC</t>
        </is>
      </c>
      <c r="E5" t="inlineStr">
        <is>
          <t>Left Voice mail, Sent email / Not connected on LinkedIn waiting on accept</t>
        </is>
      </c>
      <c r="F5" t="inlineStr">
        <is>
          <t>Joseph Loreto</t>
        </is>
      </c>
      <c r="G5" t="inlineStr">
        <is>
          <t>joe@trusightllc.com</t>
        </is>
      </c>
      <c r="H5" t="inlineStr">
        <is>
          <t>856.563.0909</t>
        </is>
      </c>
      <c r="I5" t="inlineStr">
        <is>
          <t>215.307.0467</t>
        </is>
      </c>
      <c r="J5" t="inlineStr">
        <is>
          <t>https://www.linkedin.com/in/joseph-l-616a4111/</t>
        </is>
      </c>
      <c r="K5" t="inlineStr">
        <is>
          <t>Passed</t>
        </is>
      </c>
    </row>
    <row r="7">
      <c r="B7" t="inlineStr">
        <is>
          <t>Dead</t>
        </is>
      </c>
      <c r="C7" t="n">
        <v>2</v>
      </c>
      <c r="D7" t="inlineStr">
        <is>
          <t>Aero X Ventures, GP</t>
        </is>
      </c>
      <c r="E7" t="inlineStr">
        <is>
          <t>Dead</t>
        </is>
      </c>
      <c r="F7" t="inlineStr">
        <is>
          <t>Aaron Ishikawa</t>
        </is>
      </c>
      <c r="G7" t="inlineStr">
        <is>
          <t>aaronishikawa@aeroxventures.com</t>
        </is>
      </c>
      <c r="H7" t="inlineStr">
        <is>
          <t>Cell | 808.277.6451</t>
        </is>
      </c>
      <c r="J7" t="inlineStr">
        <is>
          <t>https://www.linkedin.com/in/aaron-ishikawa/</t>
        </is>
      </c>
      <c r="K7" t="inlineStr">
        <is>
          <t>Wanted Cash Flow</t>
        </is>
      </c>
    </row>
    <row r="9">
      <c r="B9" t="inlineStr">
        <is>
          <t>Dead</t>
        </is>
      </c>
      <c r="C9" t="n">
        <v>3</v>
      </c>
      <c r="D9" t="inlineStr">
        <is>
          <t>Nexus Commercial Finance / OZ</t>
        </is>
      </c>
      <c r="E9" t="inlineStr">
        <is>
          <t>Left VM &amp; Email and LinkedIn</t>
        </is>
      </c>
      <c r="F9" t="inlineStr">
        <is>
          <t>OZ Josefian</t>
        </is>
      </c>
      <c r="G9" t="inlineStr">
        <is>
          <t>oz.josefian@mynexusfinance.com</t>
        </is>
      </c>
      <c r="H9" t="inlineStr">
        <is>
          <t>408-560-2701</t>
        </is>
      </c>
      <c r="J9" t="inlineStr">
        <is>
          <t>https://www.linkedin.com/in/ozjosefian/</t>
        </is>
      </c>
      <c r="K9" t="inlineStr">
        <is>
          <t>OZ forward to Neil / John correspond</t>
        </is>
      </c>
    </row>
    <row r="11">
      <c r="B11" t="inlineStr">
        <is>
          <t>Dead</t>
        </is>
      </c>
      <c r="C11" t="n">
        <v>4</v>
      </c>
      <c r="D11" t="inlineStr">
        <is>
          <t>Ellis / Mohamed</t>
        </is>
      </c>
      <c r="E11" t="inlineStr">
        <is>
          <t>20 Investors / Need to know from John</t>
        </is>
      </c>
      <c r="F11" t="inlineStr">
        <is>
          <t>Mohamed</t>
        </is>
      </c>
      <c r="G11" t="inlineStr">
        <is>
          <t>?</t>
        </is>
      </c>
      <c r="H11" t="inlineStr">
        <is>
          <t>?</t>
        </is>
      </c>
      <c r="K11" t="inlineStr">
        <is>
          <t>Please give me update</t>
        </is>
      </c>
    </row>
    <row r="13">
      <c r="B13" t="inlineStr">
        <is>
          <t>Dead</t>
        </is>
      </c>
      <c r="C13" t="n">
        <v>5</v>
      </c>
      <c r="D13" t="inlineStr">
        <is>
          <t>Nand</t>
        </is>
      </c>
      <c r="E13" t="inlineStr">
        <is>
          <t>Sent Email to Nand / LinkedIn and VM but sent from my AmpliTech Email / due to closeness of AmpliTech</t>
        </is>
      </c>
      <c r="F13" t="inlineStr">
        <is>
          <t>Nand</t>
        </is>
      </c>
      <c r="G13" t="inlineStr">
        <is>
          <t>nand@newprivateequity.com</t>
        </is>
      </c>
      <c r="H13" t="inlineStr">
        <is>
          <t>303.606.3631</t>
        </is>
      </c>
      <c r="I13" t="inlineStr">
        <is>
          <t>212.403.3500</t>
        </is>
      </c>
      <c r="J13" t="inlineStr">
        <is>
          <t>https://www.linkedin.com/in/nand-sharma-b16a3749/</t>
        </is>
      </c>
      <c r="K13" t="inlineStr">
        <is>
          <t>Wanted Cash flow</t>
        </is>
      </c>
    </row>
    <row r="14">
      <c r="B14" t="inlineStr">
        <is>
          <t>New</t>
        </is>
      </c>
      <c r="C14" t="n">
        <v>6</v>
      </c>
      <c r="D14" t="inlineStr">
        <is>
          <t>Asad Khan</t>
        </is>
      </c>
      <c r="E14" t="inlineStr">
        <is>
          <t>Connected / Looking One Pager</t>
        </is>
      </c>
      <c r="J14" t="inlineStr">
        <is>
          <t>https://www.linkedin.com/in/asad-k-39b33b263/</t>
        </is>
      </c>
    </row>
    <row r="16">
      <c r="C16" t="n">
        <v>7</v>
      </c>
      <c r="D16" t="inlineStr">
        <is>
          <t>Bradley Petty, MBA, FMVA®</t>
        </is>
      </c>
      <c r="E16" t="inlineStr">
        <is>
          <t>Local Invistor / DFW Private Equity had meeting with John through Google</t>
        </is>
      </c>
      <c r="G16" t="inlineStr">
        <is>
          <t>info@bpcfoservices.com</t>
        </is>
      </c>
      <c r="J16" t="inlineStr">
        <is>
          <t>https://www.linkedin.com/in/bradley-petty/</t>
        </is>
      </c>
      <c r="K16" t="inlineStr">
        <is>
          <t>His best friend was into Rockets</t>
        </is>
      </c>
    </row>
    <row r="17">
      <c r="C17" t="n">
        <v>8</v>
      </c>
      <c r="D17" t="inlineStr">
        <is>
          <t>Jeremy Hallett</t>
        </is>
      </c>
      <c r="E17" t="inlineStr">
        <is>
          <t>Requested one pager and intro to John</t>
        </is>
      </c>
      <c r="G17" t="inlineStr">
        <is>
          <t>jeremy.hallett@brindabella.co</t>
        </is>
      </c>
      <c r="J17" t="inlineStr">
        <is>
          <t>https://www.linkedin.com/in/jeremy-hallett/</t>
        </is>
      </c>
      <c r="K17" t="inlineStr">
        <is>
          <t>Chief Executive Officer for Brindabella &amp; Company</t>
        </is>
      </c>
      <c r="O17" t="inlineStr">
        <is>
          <t>STILL PENDING</t>
        </is>
      </c>
    </row>
    <row r="18">
      <c r="B18" t="inlineStr">
        <is>
          <t xml:space="preserve"> </t>
        </is>
      </c>
      <c r="C18" t="n">
        <v>9</v>
      </c>
      <c r="D18" t="inlineStr">
        <is>
          <t>Vimal Dutt</t>
        </is>
      </c>
      <c r="E18" t="inlineStr">
        <is>
          <t>This could be of interest. Please send through information and i will pass to our shareholders. One question. Who do you anticipate having majority ownership?</t>
        </is>
      </c>
      <c r="J18" t="inlineStr">
        <is>
          <t>https://www.linkedin.com/in/vimal-dutt-5b68904/</t>
        </is>
      </c>
    </row>
    <row r="21">
      <c r="B21" t="inlineStr">
        <is>
          <t>Interplay</t>
        </is>
      </c>
      <c r="D21" t="inlineStr">
        <is>
          <t>InterplayEngage@interplay.vc</t>
        </is>
      </c>
      <c r="F21" t="n">
        <v>45778</v>
      </c>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2:B6"/>
  <sheetViews>
    <sheetView workbookViewId="0">
      <selection activeCell="A1" sqref="A1"/>
    </sheetView>
  </sheetViews>
  <sheetFormatPr baseColWidth="8" defaultRowHeight="16"/>
  <sheetData>
    <row r="2">
      <c r="A2" t="n">
        <v>1</v>
      </c>
      <c r="B2" t="inlineStr">
        <is>
          <t>Oval Ventures POC Joe Cell number 1 (917) 757 2264 / email address grodkojoseph@gmail.com</t>
        </is>
      </c>
    </row>
    <row r="3">
      <c r="A3" t="n">
        <v>2</v>
      </c>
      <c r="B3" t="inlineStr">
        <is>
          <t>Head of Recourse Factoring POC Leigh ones Cell number is 770-349-5452 Email  llones@rosenthalinc.com</t>
        </is>
      </c>
    </row>
    <row r="4">
      <c r="A4" t="n">
        <v>3</v>
      </c>
      <c r="B4" t="inlineStr">
        <is>
          <t>Fund my contract POC Joe Galluccio jgalluccio@fundmycom</t>
        </is>
      </c>
    </row>
    <row r="5">
      <c r="A5" t="n">
        <v>4</v>
      </c>
      <c r="B5" t="inlineStr">
        <is>
          <t>Bankers Factoring Chris Curtin CEO chris@bankersfactoring.com</t>
        </is>
      </c>
    </row>
    <row r="6">
      <c r="A6" t="n">
        <v>5</v>
      </c>
      <c r="B6" t="inlineStr">
        <is>
          <t>JD Factors POC Brad Millier EMAIL bmiller@jdfactors.com</t>
        </is>
      </c>
    </row>
  </sheetData>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B3:O21"/>
  <sheetViews>
    <sheetView workbookViewId="0">
      <selection activeCell="A1" sqref="A1"/>
    </sheetView>
  </sheetViews>
  <sheetFormatPr baseColWidth="8" defaultRowHeight="16"/>
  <sheetData>
    <row r="3">
      <c r="B3" t="inlineStr">
        <is>
          <t>Status</t>
        </is>
      </c>
      <c r="D3" t="inlineStr">
        <is>
          <t>Prospects</t>
        </is>
      </c>
      <c r="E3" t="inlineStr">
        <is>
          <t>Next Action Item</t>
        </is>
      </c>
      <c r="F3" t="inlineStr">
        <is>
          <t>POC</t>
        </is>
      </c>
      <c r="G3" t="inlineStr">
        <is>
          <t>EMAIL</t>
        </is>
      </c>
      <c r="H3" t="inlineStr">
        <is>
          <t>Phone Number</t>
        </is>
      </c>
      <c r="I3" t="inlineStr">
        <is>
          <t>Phone number</t>
        </is>
      </c>
      <c r="J3" t="inlineStr">
        <is>
          <t>LinkedIn Profile</t>
        </is>
      </c>
      <c r="K3" t="inlineStr">
        <is>
          <t>Comment</t>
        </is>
      </c>
    </row>
    <row r="5">
      <c r="B5" t="inlineStr">
        <is>
          <t>Dead</t>
        </is>
      </c>
      <c r="C5" t="n">
        <v>1</v>
      </c>
      <c r="D5" t="inlineStr">
        <is>
          <t>TruSight, LLC</t>
        </is>
      </c>
      <c r="E5" t="inlineStr">
        <is>
          <t>Left Voice mail, Sent email / Not connected on LinkedIn waiting on accept</t>
        </is>
      </c>
      <c r="F5" t="inlineStr">
        <is>
          <t>Joseph Loreto</t>
        </is>
      </c>
      <c r="G5" t="inlineStr">
        <is>
          <t>joe@trusightllc.com</t>
        </is>
      </c>
      <c r="H5" t="inlineStr">
        <is>
          <t>856.563.0909</t>
        </is>
      </c>
      <c r="I5" t="inlineStr">
        <is>
          <t>215.307.0467</t>
        </is>
      </c>
      <c r="J5" t="inlineStr">
        <is>
          <t>https://www.linkedin.com/in/joseph-l-616a4111/</t>
        </is>
      </c>
      <c r="K5" t="inlineStr">
        <is>
          <t>Passed</t>
        </is>
      </c>
    </row>
    <row r="7">
      <c r="B7" t="inlineStr">
        <is>
          <t>Dead</t>
        </is>
      </c>
      <c r="C7" t="n">
        <v>2</v>
      </c>
      <c r="D7" t="inlineStr">
        <is>
          <t>Aero X Ventures, GP</t>
        </is>
      </c>
      <c r="E7" t="inlineStr">
        <is>
          <t>Dead</t>
        </is>
      </c>
      <c r="F7" t="inlineStr">
        <is>
          <t>Aaron Ishikawa</t>
        </is>
      </c>
      <c r="G7" t="inlineStr">
        <is>
          <t>aaronishikawa@aeroxventures.com</t>
        </is>
      </c>
      <c r="H7" t="inlineStr">
        <is>
          <t>Cell | 808.277.6451</t>
        </is>
      </c>
      <c r="J7" t="inlineStr">
        <is>
          <t>https://www.linkedin.com/in/aaron-ishikawa/</t>
        </is>
      </c>
      <c r="K7" t="inlineStr">
        <is>
          <t>Wanted Cash Flow</t>
        </is>
      </c>
    </row>
    <row r="9">
      <c r="B9" t="inlineStr">
        <is>
          <t>Dead</t>
        </is>
      </c>
      <c r="C9" t="n">
        <v>3</v>
      </c>
      <c r="D9" t="inlineStr">
        <is>
          <t>Nexus Commercial Finance / OZ</t>
        </is>
      </c>
      <c r="E9" t="inlineStr">
        <is>
          <t>Left VM &amp; Email and LinkedIn</t>
        </is>
      </c>
      <c r="F9" t="inlineStr">
        <is>
          <t>OZ Josefian</t>
        </is>
      </c>
      <c r="G9" t="inlineStr">
        <is>
          <t>oz.josefian@mynexusfinance.com</t>
        </is>
      </c>
      <c r="H9" t="inlineStr">
        <is>
          <t>408-560-2701</t>
        </is>
      </c>
      <c r="J9" t="inlineStr">
        <is>
          <t>https://www.linkedin.com/in/ozjosefian/</t>
        </is>
      </c>
      <c r="K9" t="inlineStr">
        <is>
          <t>OZ forward to Neil / John correspond</t>
        </is>
      </c>
    </row>
    <row r="11">
      <c r="B11" t="inlineStr">
        <is>
          <t>Dead</t>
        </is>
      </c>
      <c r="C11" t="n">
        <v>4</v>
      </c>
      <c r="D11" t="inlineStr">
        <is>
          <t>Ellis / Mohamed</t>
        </is>
      </c>
      <c r="E11" t="inlineStr">
        <is>
          <t>20 Investors / Need to know from John</t>
        </is>
      </c>
      <c r="F11" t="inlineStr">
        <is>
          <t>Mohamed</t>
        </is>
      </c>
      <c r="G11" t="inlineStr">
        <is>
          <t>?</t>
        </is>
      </c>
      <c r="H11" t="inlineStr">
        <is>
          <t>?</t>
        </is>
      </c>
      <c r="K11" t="inlineStr">
        <is>
          <t>Please give me update</t>
        </is>
      </c>
    </row>
    <row r="13">
      <c r="B13" t="inlineStr">
        <is>
          <t>Dead</t>
        </is>
      </c>
      <c r="C13" t="n">
        <v>5</v>
      </c>
      <c r="D13" t="inlineStr">
        <is>
          <t>Nand</t>
        </is>
      </c>
      <c r="E13" t="inlineStr">
        <is>
          <t>Sent Email to Nand / LinkedIn and VM but sent from my AmpliTech Email / due to closeness of AmpliTech</t>
        </is>
      </c>
      <c r="F13" t="inlineStr">
        <is>
          <t>Nand</t>
        </is>
      </c>
      <c r="G13" t="inlineStr">
        <is>
          <t>nand@newprivateequity.com</t>
        </is>
      </c>
      <c r="H13" t="inlineStr">
        <is>
          <t>303.606.3631</t>
        </is>
      </c>
      <c r="I13" t="inlineStr">
        <is>
          <t>212.403.3500</t>
        </is>
      </c>
      <c r="J13" t="inlineStr">
        <is>
          <t>https://www.linkedin.com/in/nand-sharma-b16a3749/</t>
        </is>
      </c>
      <c r="K13" t="inlineStr">
        <is>
          <t>Wanted Cash flow</t>
        </is>
      </c>
    </row>
    <row r="14">
      <c r="B14" t="inlineStr">
        <is>
          <t>New</t>
        </is>
      </c>
      <c r="C14" t="n">
        <v>6</v>
      </c>
      <c r="D14" t="inlineStr">
        <is>
          <t>Asad Khan</t>
        </is>
      </c>
      <c r="E14" t="inlineStr">
        <is>
          <t>Connected / Looking One Pager</t>
        </is>
      </c>
      <c r="J14" t="inlineStr">
        <is>
          <t>https://www.linkedin.com/in/asad-k-39b33b263/</t>
        </is>
      </c>
    </row>
    <row r="16">
      <c r="C16" t="n">
        <v>7</v>
      </c>
      <c r="D16" t="inlineStr">
        <is>
          <t>Bradley Petty, MBA, FMVA®</t>
        </is>
      </c>
      <c r="E16" t="inlineStr">
        <is>
          <t>Local Invistor / DFW Private Equity had meeting with John through Google</t>
        </is>
      </c>
      <c r="G16" t="inlineStr">
        <is>
          <t>info@bpcfoservices.com</t>
        </is>
      </c>
      <c r="J16" t="inlineStr">
        <is>
          <t>https://www.linkedin.com/in/bradley-petty/</t>
        </is>
      </c>
      <c r="K16" t="inlineStr">
        <is>
          <t>His best friend was into Rockets</t>
        </is>
      </c>
    </row>
    <row r="17">
      <c r="C17" t="n">
        <v>8</v>
      </c>
      <c r="D17" t="inlineStr">
        <is>
          <t>Jeremy Hallett</t>
        </is>
      </c>
      <c r="E17" t="inlineStr">
        <is>
          <t>Requested one pager and intro to John</t>
        </is>
      </c>
      <c r="G17" t="inlineStr">
        <is>
          <t>jeremy.hallett@brindabella.co</t>
        </is>
      </c>
      <c r="J17" t="inlineStr">
        <is>
          <t>https://www.linkedin.com/in/jeremy-hallett/</t>
        </is>
      </c>
      <c r="K17" t="inlineStr">
        <is>
          <t>Chief Executive Officer for Brindabella &amp; Company</t>
        </is>
      </c>
      <c r="O17" t="inlineStr">
        <is>
          <t>STILL PENDING</t>
        </is>
      </c>
    </row>
    <row r="18">
      <c r="B18" t="inlineStr">
        <is>
          <t xml:space="preserve"> </t>
        </is>
      </c>
      <c r="C18" t="n">
        <v>9</v>
      </c>
      <c r="D18" t="inlineStr">
        <is>
          <t>Vimal Dutt</t>
        </is>
      </c>
      <c r="E18" t="inlineStr">
        <is>
          <t>This could be of interest. Please send through information and i will pass to our shareholders. One question. Who do you anticipate having majority ownership?</t>
        </is>
      </c>
      <c r="J18" t="inlineStr">
        <is>
          <t>https://www.linkedin.com/in/vimal-dutt-5b68904/</t>
        </is>
      </c>
    </row>
    <row r="21">
      <c r="B21" t="inlineStr">
        <is>
          <t>Interplay</t>
        </is>
      </c>
      <c r="D21" t="inlineStr">
        <is>
          <t>InterplayEngage@interplay.vc</t>
        </is>
      </c>
      <c r="F21" t="n">
        <v>45778</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2026-03-31T12:25:11Z</dcterms:created>
  <dcterms:modified xmlns:dcterms="http://purl.org/dc/terms/" xmlns:xsi="http://www.w3.org/2001/XMLSchema-instance" xsi:type="dcterms:W3CDTF">2026-03-31T12:25:11Z</dcterms:modified>
</cp:coreProperties>
</file>