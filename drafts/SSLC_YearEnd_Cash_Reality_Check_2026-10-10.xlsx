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Weekly Cash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[Red]-$#,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0" borderId="0" applyAlignment="1" pivotButton="0" quotePrefix="0" xfId="0">
      <alignment wrapText="1"/>
    </xf>
    <xf numFmtId="165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SSLC cash path to Dec 31 vs the $850K claim</a:t>
            </a:r>
          </a:p>
        </rich>
      </tx>
    </title>
    <plotArea>
      <lineChart>
        <grouping val="standard"/>
        <ser>
          <idx val="0"/>
          <order val="0"/>
          <tx>
            <strRef>
              <f>'Weekly Cash'!D1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Cash'!$A$2:$A$15</f>
            </numRef>
          </cat>
          <val>
            <numRef>
              <f>'Weekly Cash'!$D$2:$D$15</f>
            </numRef>
          </val>
        </ser>
        <ser>
          <idx val="1"/>
          <order val="1"/>
          <tx>
            <strRef>
              <f>'Weekly Cash'!E1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Cash'!$A$2:$A$15</f>
            </numRef>
          </cat>
          <val>
            <numRef>
              <f>'Weekly Cash'!$E$2:$E$15</f>
            </numRef>
          </val>
        </ser>
        <ser>
          <idx val="2"/>
          <order val="2"/>
          <tx>
            <strRef>
              <f>'Weekly Cash'!F1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Cash'!$A$2:$A$15</f>
            </numRef>
          </cat>
          <val>
            <numRef>
              <f>'Weekly Cash'!$F$2:$F$15</f>
            </numRef>
          </val>
        </ser>
        <ser>
          <idx val="3"/>
          <order val="3"/>
          <tx>
            <strRef>
              <f>'Weekly Cash'!G1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Cash'!$A$2:$A$15</f>
            </numRef>
          </cat>
          <val>
            <numRef>
              <f>'Weekly Cash'!$G$2:$G$15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from Oct 2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70" customWidth="1" min="3" max="3"/>
  </cols>
  <sheetData>
    <row r="1">
      <c r="A1" s="1" t="inlineStr">
        <is>
          <t>SSLC year-end cash reality check: inputs</t>
        </is>
      </c>
    </row>
    <row r="2">
      <c r="A2" s="2" t="inlineStr">
        <is>
          <t>Input</t>
        </is>
      </c>
      <c r="B2" s="2" t="inlineStr">
        <is>
          <t>Value</t>
        </is>
      </c>
      <c r="C2" s="2" t="inlineStr">
        <is>
          <t>Source / basis</t>
        </is>
      </c>
    </row>
    <row r="3">
      <c r="A3" t="inlineStr">
        <is>
          <t>Starting cash (Oct 2, 2026)</t>
        </is>
      </c>
      <c r="B3" s="3" t="n">
        <v>198000</v>
      </c>
      <c r="C3" t="inlineStr">
        <is>
          <t>SSLC QuickBooks pull 10/2/2026</t>
        </is>
      </c>
    </row>
    <row r="4">
      <c r="A4" t="inlineStr">
        <is>
          <t>Year-end target cash (Jim Wertz)</t>
        </is>
      </c>
      <c r="B4" s="3" t="n">
        <v>850000</v>
      </c>
      <c r="C4" t="inlineStr">
        <is>
          <t>Jim Wertz statement</t>
        </is>
      </c>
    </row>
    <row r="5">
      <c r="A5" t="inlineStr">
        <is>
          <t>Weeks Oct 2 → Dec 31</t>
        </is>
      </c>
      <c r="B5" t="n">
        <v>13</v>
      </c>
      <c r="C5" t="inlineStr">
        <is>
          <t>Calendar</t>
        </is>
      </c>
    </row>
    <row r="6">
      <c r="A6" t="inlineStr">
        <is>
          <t>Weeks per tank (Markus Rufer)</t>
        </is>
      </c>
      <c r="B6" t="n">
        <v>3</v>
      </c>
      <c r="C6" t="inlineStr">
        <is>
          <t>Markus Rufer statement</t>
        </is>
      </c>
    </row>
    <row r="7">
      <c r="A7" t="inlineStr">
        <is>
          <t>Price per tank ($)</t>
        </is>
      </c>
      <c r="B7" s="3" t="n">
        <v>250000</v>
      </c>
      <c r="C7" t="inlineStr">
        <is>
          <t>Markus Rufer statement</t>
        </is>
      </c>
    </row>
    <row r="8">
      <c r="A8" t="inlineStr">
        <is>
          <t>Prepaid backlog already collected ($)</t>
        </is>
      </c>
      <c r="B8" s="3" t="n">
        <v>984000</v>
      </c>
      <c r="C8" t="inlineStr">
        <is>
          <t>SSLC QB 10/2: $864K billed ahead + $120K deposits. DISPUTED by John: tank start/billing not captured correctly</t>
        </is>
      </c>
    </row>
    <row r="9">
      <c r="A9" t="inlineStr">
        <is>
          <t>Direct build cost (% of tank price)</t>
        </is>
      </c>
      <c r="B9" s="4" t="n">
        <v>0.52</v>
      </c>
      <c r="C9" t="inlineStr">
        <is>
          <t>Management assumption (actuals-anchored model COGS)</t>
        </is>
      </c>
    </row>
    <row r="10">
      <c r="A10" t="inlineStr">
        <is>
          <t>Annual fixed overhead ($)</t>
        </is>
      </c>
      <c r="B10" s="3" t="n">
        <v>1340000</v>
      </c>
      <c r="C10" t="inlineStr">
        <is>
          <t>Derived: FY26 rev $1.925M × 48% GM + $416K op loss; mgmt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>
      <c r="A1" s="5" t="inlineStr">
        <is>
          <t>Week</t>
        </is>
      </c>
      <c r="B1" s="5" t="inlineStr">
        <is>
          <t>Tank delivered?</t>
        </is>
      </c>
      <c r="C1" s="5" t="inlineStr">
        <is>
          <t>Tank revenue ($)</t>
        </is>
      </c>
      <c r="D1" s="5" t="inlineStr">
        <is>
          <t>Best case: cash balance</t>
        </is>
      </c>
      <c r="E1" s="5" t="inlineStr">
        <is>
          <t>Per SSLC books (disputed): cash balance</t>
        </is>
      </c>
      <c r="F1" s="5" t="inlineStr">
        <is>
          <t>Wertz claim path</t>
        </is>
      </c>
      <c r="G1" s="5" t="inlineStr">
        <is>
          <t>Target $850K</t>
        </is>
      </c>
    </row>
    <row r="2">
      <c r="A2" t="n">
        <v>0</v>
      </c>
      <c r="B2" t="inlineStr"/>
      <c r="C2" s="6" t="n">
        <v>0</v>
      </c>
      <c r="D2" s="6">
        <f>Inputs!B3</f>
        <v/>
      </c>
      <c r="E2" s="6">
        <f>Inputs!B3</f>
        <v/>
      </c>
      <c r="F2" s="6">
        <f>Inputs!B3</f>
        <v/>
      </c>
      <c r="G2" s="6">
        <f>Inputs!B4</f>
        <v/>
      </c>
    </row>
    <row r="3">
      <c r="A3" t="n">
        <v>1</v>
      </c>
      <c r="B3">
        <f>IF(MOD(A3,Inputs!$B$6)=0,"Yes","")</f>
        <v/>
      </c>
      <c r="C3" s="6">
        <f>IF(B3="Yes",Inputs!$B$7,0)</f>
        <v/>
      </c>
      <c r="D3" s="6">
        <f>D2+C3-Inputs!$B$7*Inputs!$B$9/Inputs!$B$6-Inputs!$B$10/52</f>
        <v/>
      </c>
      <c r="E3" s="6">
        <f>E2+MAX(0,SUM($C$3:C3)-Inputs!$B$8)-MAX(0,SUM($C$3:C2)-Inputs!$B$8)-Inputs!$B$7*Inputs!$B$9/Inputs!$B$6-Inputs!$B$10/52</f>
        <v/>
      </c>
      <c r="F3" s="6">
        <f>Inputs!$B$3+(Inputs!$B$4-Inputs!$B$3)*A3/Inputs!$B$5</f>
        <v/>
      </c>
      <c r="G3" s="6">
        <f>Inputs!$B$4</f>
        <v/>
      </c>
    </row>
    <row r="4">
      <c r="A4" t="n">
        <v>2</v>
      </c>
      <c r="B4">
        <f>IF(MOD(A4,Inputs!$B$6)=0,"Yes","")</f>
        <v/>
      </c>
      <c r="C4" s="6">
        <f>IF(B4="Yes",Inputs!$B$7,0)</f>
        <v/>
      </c>
      <c r="D4" s="6">
        <f>D3+C4-Inputs!$B$7*Inputs!$B$9/Inputs!$B$6-Inputs!$B$10/52</f>
        <v/>
      </c>
      <c r="E4" s="6">
        <f>E3+MAX(0,SUM($C$3:C4)-Inputs!$B$8)-MAX(0,SUM($C$3:C3)-Inputs!$B$8)-Inputs!$B$7*Inputs!$B$9/Inputs!$B$6-Inputs!$B$10/52</f>
        <v/>
      </c>
      <c r="F4" s="6">
        <f>Inputs!$B$3+(Inputs!$B$4-Inputs!$B$3)*A4/Inputs!$B$5</f>
        <v/>
      </c>
      <c r="G4" s="6">
        <f>Inputs!$B$4</f>
        <v/>
      </c>
    </row>
    <row r="5">
      <c r="A5" t="n">
        <v>3</v>
      </c>
      <c r="B5">
        <f>IF(MOD(A5,Inputs!$B$6)=0,"Yes","")</f>
        <v/>
      </c>
      <c r="C5" s="6">
        <f>IF(B5="Yes",Inputs!$B$7,0)</f>
        <v/>
      </c>
      <c r="D5" s="6">
        <f>D4+C5-Inputs!$B$7*Inputs!$B$9/Inputs!$B$6-Inputs!$B$10/52</f>
        <v/>
      </c>
      <c r="E5" s="6">
        <f>E4+MAX(0,SUM($C$3:C5)-Inputs!$B$8)-MAX(0,SUM($C$3:C4)-Inputs!$B$8)-Inputs!$B$7*Inputs!$B$9/Inputs!$B$6-Inputs!$B$10/52</f>
        <v/>
      </c>
      <c r="F5" s="6">
        <f>Inputs!$B$3+(Inputs!$B$4-Inputs!$B$3)*A5/Inputs!$B$5</f>
        <v/>
      </c>
      <c r="G5" s="6">
        <f>Inputs!$B$4</f>
        <v/>
      </c>
    </row>
    <row r="6">
      <c r="A6" t="n">
        <v>4</v>
      </c>
      <c r="B6">
        <f>IF(MOD(A6,Inputs!$B$6)=0,"Yes","")</f>
        <v/>
      </c>
      <c r="C6" s="6">
        <f>IF(B6="Yes",Inputs!$B$7,0)</f>
        <v/>
      </c>
      <c r="D6" s="6">
        <f>D5+C6-Inputs!$B$7*Inputs!$B$9/Inputs!$B$6-Inputs!$B$10/52</f>
        <v/>
      </c>
      <c r="E6" s="6">
        <f>E5+MAX(0,SUM($C$3:C6)-Inputs!$B$8)-MAX(0,SUM($C$3:C5)-Inputs!$B$8)-Inputs!$B$7*Inputs!$B$9/Inputs!$B$6-Inputs!$B$10/52</f>
        <v/>
      </c>
      <c r="F6" s="6">
        <f>Inputs!$B$3+(Inputs!$B$4-Inputs!$B$3)*A6/Inputs!$B$5</f>
        <v/>
      </c>
      <c r="G6" s="6">
        <f>Inputs!$B$4</f>
        <v/>
      </c>
    </row>
    <row r="7">
      <c r="A7" t="n">
        <v>5</v>
      </c>
      <c r="B7">
        <f>IF(MOD(A7,Inputs!$B$6)=0,"Yes","")</f>
        <v/>
      </c>
      <c r="C7" s="6">
        <f>IF(B7="Yes",Inputs!$B$7,0)</f>
        <v/>
      </c>
      <c r="D7" s="6">
        <f>D6+C7-Inputs!$B$7*Inputs!$B$9/Inputs!$B$6-Inputs!$B$10/52</f>
        <v/>
      </c>
      <c r="E7" s="6">
        <f>E6+MAX(0,SUM($C$3:C7)-Inputs!$B$8)-MAX(0,SUM($C$3:C6)-Inputs!$B$8)-Inputs!$B$7*Inputs!$B$9/Inputs!$B$6-Inputs!$B$10/52</f>
        <v/>
      </c>
      <c r="F7" s="6">
        <f>Inputs!$B$3+(Inputs!$B$4-Inputs!$B$3)*A7/Inputs!$B$5</f>
        <v/>
      </c>
      <c r="G7" s="6">
        <f>Inputs!$B$4</f>
        <v/>
      </c>
    </row>
    <row r="8">
      <c r="A8" t="n">
        <v>6</v>
      </c>
      <c r="B8">
        <f>IF(MOD(A8,Inputs!$B$6)=0,"Yes","")</f>
        <v/>
      </c>
      <c r="C8" s="6">
        <f>IF(B8="Yes",Inputs!$B$7,0)</f>
        <v/>
      </c>
      <c r="D8" s="6">
        <f>D7+C8-Inputs!$B$7*Inputs!$B$9/Inputs!$B$6-Inputs!$B$10/52</f>
        <v/>
      </c>
      <c r="E8" s="6">
        <f>E7+MAX(0,SUM($C$3:C8)-Inputs!$B$8)-MAX(0,SUM($C$3:C7)-Inputs!$B$8)-Inputs!$B$7*Inputs!$B$9/Inputs!$B$6-Inputs!$B$10/52</f>
        <v/>
      </c>
      <c r="F8" s="6">
        <f>Inputs!$B$3+(Inputs!$B$4-Inputs!$B$3)*A8/Inputs!$B$5</f>
        <v/>
      </c>
      <c r="G8" s="6">
        <f>Inputs!$B$4</f>
        <v/>
      </c>
    </row>
    <row r="9">
      <c r="A9" t="n">
        <v>7</v>
      </c>
      <c r="B9">
        <f>IF(MOD(A9,Inputs!$B$6)=0,"Yes","")</f>
        <v/>
      </c>
      <c r="C9" s="6">
        <f>IF(B9="Yes",Inputs!$B$7,0)</f>
        <v/>
      </c>
      <c r="D9" s="6">
        <f>D8+C9-Inputs!$B$7*Inputs!$B$9/Inputs!$B$6-Inputs!$B$10/52</f>
        <v/>
      </c>
      <c r="E9" s="6">
        <f>E8+MAX(0,SUM($C$3:C9)-Inputs!$B$8)-MAX(0,SUM($C$3:C8)-Inputs!$B$8)-Inputs!$B$7*Inputs!$B$9/Inputs!$B$6-Inputs!$B$10/52</f>
        <v/>
      </c>
      <c r="F9" s="6">
        <f>Inputs!$B$3+(Inputs!$B$4-Inputs!$B$3)*A9/Inputs!$B$5</f>
        <v/>
      </c>
      <c r="G9" s="6">
        <f>Inputs!$B$4</f>
        <v/>
      </c>
    </row>
    <row r="10">
      <c r="A10" t="n">
        <v>8</v>
      </c>
      <c r="B10">
        <f>IF(MOD(A10,Inputs!$B$6)=0,"Yes","")</f>
        <v/>
      </c>
      <c r="C10" s="6">
        <f>IF(B10="Yes",Inputs!$B$7,0)</f>
        <v/>
      </c>
      <c r="D10" s="6">
        <f>D9+C10-Inputs!$B$7*Inputs!$B$9/Inputs!$B$6-Inputs!$B$10/52</f>
        <v/>
      </c>
      <c r="E10" s="6">
        <f>E9+MAX(0,SUM($C$3:C10)-Inputs!$B$8)-MAX(0,SUM($C$3:C9)-Inputs!$B$8)-Inputs!$B$7*Inputs!$B$9/Inputs!$B$6-Inputs!$B$10/52</f>
        <v/>
      </c>
      <c r="F10" s="6">
        <f>Inputs!$B$3+(Inputs!$B$4-Inputs!$B$3)*A10/Inputs!$B$5</f>
        <v/>
      </c>
      <c r="G10" s="6">
        <f>Inputs!$B$4</f>
        <v/>
      </c>
    </row>
    <row r="11">
      <c r="A11" t="n">
        <v>9</v>
      </c>
      <c r="B11">
        <f>IF(MOD(A11,Inputs!$B$6)=0,"Yes","")</f>
        <v/>
      </c>
      <c r="C11" s="6">
        <f>IF(B11="Yes",Inputs!$B$7,0)</f>
        <v/>
      </c>
      <c r="D11" s="6">
        <f>D10+C11-Inputs!$B$7*Inputs!$B$9/Inputs!$B$6-Inputs!$B$10/52</f>
        <v/>
      </c>
      <c r="E11" s="6">
        <f>E10+MAX(0,SUM($C$3:C11)-Inputs!$B$8)-MAX(0,SUM($C$3:C10)-Inputs!$B$8)-Inputs!$B$7*Inputs!$B$9/Inputs!$B$6-Inputs!$B$10/52</f>
        <v/>
      </c>
      <c r="F11" s="6">
        <f>Inputs!$B$3+(Inputs!$B$4-Inputs!$B$3)*A11/Inputs!$B$5</f>
        <v/>
      </c>
      <c r="G11" s="6">
        <f>Inputs!$B$4</f>
        <v/>
      </c>
    </row>
    <row r="12">
      <c r="A12" t="n">
        <v>10</v>
      </c>
      <c r="B12">
        <f>IF(MOD(A12,Inputs!$B$6)=0,"Yes","")</f>
        <v/>
      </c>
      <c r="C12" s="6">
        <f>IF(B12="Yes",Inputs!$B$7,0)</f>
        <v/>
      </c>
      <c r="D12" s="6">
        <f>D11+C12-Inputs!$B$7*Inputs!$B$9/Inputs!$B$6-Inputs!$B$10/52</f>
        <v/>
      </c>
      <c r="E12" s="6">
        <f>E11+MAX(0,SUM($C$3:C12)-Inputs!$B$8)-MAX(0,SUM($C$3:C11)-Inputs!$B$8)-Inputs!$B$7*Inputs!$B$9/Inputs!$B$6-Inputs!$B$10/52</f>
        <v/>
      </c>
      <c r="F12" s="6">
        <f>Inputs!$B$3+(Inputs!$B$4-Inputs!$B$3)*A12/Inputs!$B$5</f>
        <v/>
      </c>
      <c r="G12" s="6">
        <f>Inputs!$B$4</f>
        <v/>
      </c>
    </row>
    <row r="13">
      <c r="A13" t="n">
        <v>11</v>
      </c>
      <c r="B13">
        <f>IF(MOD(A13,Inputs!$B$6)=0,"Yes","")</f>
        <v/>
      </c>
      <c r="C13" s="6">
        <f>IF(B13="Yes",Inputs!$B$7,0)</f>
        <v/>
      </c>
      <c r="D13" s="6">
        <f>D12+C13-Inputs!$B$7*Inputs!$B$9/Inputs!$B$6-Inputs!$B$10/52</f>
        <v/>
      </c>
      <c r="E13" s="6">
        <f>E12+MAX(0,SUM($C$3:C13)-Inputs!$B$8)-MAX(0,SUM($C$3:C12)-Inputs!$B$8)-Inputs!$B$7*Inputs!$B$9/Inputs!$B$6-Inputs!$B$10/52</f>
        <v/>
      </c>
      <c r="F13" s="6">
        <f>Inputs!$B$3+(Inputs!$B$4-Inputs!$B$3)*A13/Inputs!$B$5</f>
        <v/>
      </c>
      <c r="G13" s="6">
        <f>Inputs!$B$4</f>
        <v/>
      </c>
    </row>
    <row r="14">
      <c r="A14" t="n">
        <v>12</v>
      </c>
      <c r="B14">
        <f>IF(MOD(A14,Inputs!$B$6)=0,"Yes","")</f>
        <v/>
      </c>
      <c r="C14" s="6">
        <f>IF(B14="Yes",Inputs!$B$7,0)</f>
        <v/>
      </c>
      <c r="D14" s="6">
        <f>D13+C14-Inputs!$B$7*Inputs!$B$9/Inputs!$B$6-Inputs!$B$10/52</f>
        <v/>
      </c>
      <c r="E14" s="6">
        <f>E13+MAX(0,SUM($C$3:C14)-Inputs!$B$8)-MAX(0,SUM($C$3:C13)-Inputs!$B$8)-Inputs!$B$7*Inputs!$B$9/Inputs!$B$6-Inputs!$B$10/52</f>
        <v/>
      </c>
      <c r="F14" s="6">
        <f>Inputs!$B$3+(Inputs!$B$4-Inputs!$B$3)*A14/Inputs!$B$5</f>
        <v/>
      </c>
      <c r="G14" s="6">
        <f>Inputs!$B$4</f>
        <v/>
      </c>
    </row>
    <row r="15">
      <c r="A15" t="n">
        <v>13</v>
      </c>
      <c r="B15">
        <f>IF(MOD(A15,Inputs!$B$6)=0,"Yes","")</f>
        <v/>
      </c>
      <c r="C15" s="6">
        <f>IF(B15="Yes",Inputs!$B$7,0)</f>
        <v/>
      </c>
      <c r="D15" s="6">
        <f>D14+C15-Inputs!$B$7*Inputs!$B$9/Inputs!$B$6-Inputs!$B$10/52</f>
        <v/>
      </c>
      <c r="E15" s="6">
        <f>E14+MAX(0,SUM($C$3:C15)-Inputs!$B$8)-MAX(0,SUM($C$3:C14)-Inputs!$B$8)-Inputs!$B$7*Inputs!$B$9/Inputs!$B$6-Inputs!$B$10/52</f>
        <v/>
      </c>
      <c r="F15" s="6">
        <f>Inputs!$B$3+(Inputs!$B$4-Inputs!$B$3)*A15/Inputs!$B$5</f>
        <v/>
      </c>
      <c r="G15" s="6">
        <f>Inputs!$B$4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Year-end (Dec 31) result</t>
        </is>
      </c>
    </row>
    <row r="3">
      <c r="A3" t="inlineStr">
        <is>
          <t>Tanks delivered by Dec 31 at 1 per 3 weeks</t>
        </is>
      </c>
      <c r="B3" s="7">
        <f>COUNTIF('Weekly Cash'!B3:B15,"Yes")</f>
        <v/>
      </c>
    </row>
    <row r="4">
      <c r="A4" t="inlineStr">
        <is>
          <t>Tank revenue by Dec 31</t>
        </is>
      </c>
      <c r="B4" s="6">
        <f>SUM('Weekly Cash'!C3:C15)</f>
        <v/>
      </c>
    </row>
    <row r="5">
      <c r="A5" t="inlineStr">
        <is>
          <t>Best case year-end cash (all tanks = new cash)</t>
        </is>
      </c>
      <c r="B5" s="6">
        <f>'Weekly Cash'!D15</f>
        <v/>
      </c>
    </row>
    <row r="6">
      <c r="A6" t="inlineStr">
        <is>
          <t>Per SSLC books, if billed-ahead is accurate (DISPUTED)</t>
        </is>
      </c>
      <c r="B6" s="6">
        <f>'Weekly Cash'!E15</f>
        <v/>
      </c>
    </row>
    <row r="7">
      <c r="A7" t="inlineStr">
        <is>
          <t>Wertz claim</t>
        </is>
      </c>
      <c r="B7" s="6">
        <f>Inputs!B4</f>
        <v/>
      </c>
    </row>
    <row r="8">
      <c r="A8" t="inlineStr">
        <is>
          <t>Shortfall vs claim: best case</t>
        </is>
      </c>
      <c r="B8" s="6">
        <f>Inputs!B4-B5</f>
        <v/>
      </c>
    </row>
    <row r="9">
      <c r="A9" t="inlineStr">
        <is>
          <t>Shortfall vs claim: per SSLC books (disputed)</t>
        </is>
      </c>
      <c r="B9" s="6">
        <f>Inputs!B4-B6</f>
        <v/>
      </c>
    </row>
    <row r="11" ht="60" customHeight="1">
      <c r="A11" s="8" t="inlineStr">
        <is>
          <t>Reading: even if every tank is new cash, SSLC can't reach $850K by year-end from operations. The prepaid backlog means the next ~4 tanks were already paid for. Reaching $850K requires new customer deposits or financing, and each of those adds a delivery or repayment obligation.</t>
        </is>
      </c>
    </row>
    <row r="12">
      <c r="A12" s="9" t="inlineStr">
        <is>
          <t>Management assumptions are marked on Inputs. Projection, not a statement of SSLC's actual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2026-10-10T23:12:42Z</dcterms:created>
  <dcterms:modified xmlns:dcterms="http://purl.org/dc/terms/" xmlns:xsi="http://www.w3.org/2001/XMLSchema-instance" xsi:type="dcterms:W3CDTF">2026-10-10T23:12:42Z</dcterms:modified>
</cp:coreProperties>
</file>