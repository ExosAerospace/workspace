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EAI Lockup &amp; Liquid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25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i val="1"/>
      <color rgb="00C00000"/>
      <sz val="8.5"/>
    </font>
    <font>
      <b val="1"/>
      <color rgb="001F3864"/>
      <sz val="11"/>
    </font>
    <font>
      <i val="1"/>
      <color rgb="00444444"/>
      <sz val="8.5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375623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22" fillId="6" borderId="0" applyAlignment="1" pivotButton="0" quotePrefix="0" xfId="0">
      <alignment horizontal="center" wrapText="1"/>
    </xf>
    <xf numFmtId="0" fontId="23" fillId="0" borderId="0" pivotButton="0" quotePrefix="0" xfId="0"/>
    <xf numFmtId="0" fontId="15" fillId="0" borderId="0" pivotButton="0" quotePrefix="0" xfId="0"/>
    <xf numFmtId="0" fontId="11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10" fillId="15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15" fillId="6" borderId="0" pivotButton="0" quotePrefix="0" xfId="0"/>
    <xf numFmtId="0" fontId="11" fillId="6" borderId="0" applyAlignment="1" pivotButton="0" quotePrefix="0" xfId="0">
      <alignment wrapText="1"/>
    </xf>
    <xf numFmtId="0" fontId="16" fillId="6" borderId="0" applyAlignment="1" pivotButton="0" quotePrefix="0" xfId="0">
      <alignment horizontal="center" wrapText="1"/>
    </xf>
    <xf numFmtId="0" fontId="14" fillId="4" borderId="0" pivotButton="0" quotePrefix="0" xfId="0"/>
    <xf numFmtId="0" fontId="22" fillId="6" borderId="0" applyAlignment="1" pivotButton="0" quotePrefix="0" xfId="0">
      <alignment wrapText="1"/>
    </xf>
    <xf numFmtId="0" fontId="11" fillId="8" borderId="0" applyAlignment="1" pivotButton="0" quotePrefix="0" xfId="0">
      <alignment horizontal="center" wrapText="1"/>
    </xf>
    <xf numFmtId="0" fontId="11" fillId="9" borderId="0" applyAlignment="1" pivotButton="0" quotePrefix="0" xfId="0">
      <alignment horizontal="center" wrapText="1"/>
    </xf>
    <xf numFmtId="0" fontId="11" fillId="16" borderId="0" applyAlignment="1" pivotButton="0" quotePrefix="0" xfId="0">
      <alignment horizontal="center" wrapText="1"/>
    </xf>
    <xf numFmtId="0" fontId="2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(low, earn-out only)</t>
        </is>
      </c>
      <c r="B28" s="9" t="n">
        <v>0</v>
      </c>
      <c r="C28" s="10" t="inlineStr">
        <is>
          <t>0.0% earn-out; total = 1.0% EAI up-front + 0.0% = 1.0%</t>
        </is>
      </c>
    </row>
    <row r="29" ht="22" customHeight="1">
      <c r="A29" s="5" t="inlineStr">
        <is>
          <t>Earn-out ii — Exos stock % of FD shares (base, earn-out only)</t>
        </is>
      </c>
      <c r="B29" s="9" t="n">
        <v>0.0025</v>
      </c>
      <c r="C29" s="10" t="inlineStr">
        <is>
          <t>0.25% earn-out; total = 1.0% EAI up-front + 0.25% = 1.25%</t>
        </is>
      </c>
    </row>
    <row r="30" ht="22" customHeight="1">
      <c r="A30" s="5" t="inlineStr">
        <is>
          <t>Earn-out ii — Exos stock % of FD shares (high, earn-out only)</t>
        </is>
      </c>
      <c r="B30" s="9" t="n">
        <v>0.005</v>
      </c>
      <c r="C30" s="10" t="inlineStr">
        <is>
          <t>0.5% earn-out; total = 1.0% EAI up-front + 0.5% = 1.5%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5" ht="22" customHeight="1">
      <c r="A35" s="5" t="inlineStr">
        <is>
          <t>EAI up-front equity — % FD shares at close</t>
        </is>
      </c>
      <c r="B35" s="9" t="n">
        <v>0.01</v>
      </c>
      <c r="C35" s="10" t="inlineStr">
        <is>
          <t>1.0% EAI units (Rule 504); committed at SSLC board acceptance; issued at financing close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Up-front EAI equity + stock earn-out upside</t>
        </is>
      </c>
      <c r="B111" s="5" t="inlineStr">
        <is>
          <t>$1,697K + $0–$848K</t>
        </is>
      </c>
      <c r="C111" s="7" t="inlineStr">
        <is>
          <t>1.0% EAI (Rule 504) at close; 0.0–0.5% earn-out at listing ($200M–$300M)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(John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TOTAL stock stake at listing (base = 1.0% EAI + 0.25% earn-out)</t>
        </is>
      </c>
      <c r="B121" s="20">
        <f>B35+B29</f>
        <v/>
      </c>
      <c r="C121" s="19" t="inlineStr">
        <is>
          <t>Total stake base = 1.0% up-front EAI (Rule 504) + 0.25% earn-out = 1.25% FD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 (total 0.75%)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 (total 1.0% EAI only)</t>
        </is>
      </c>
      <c r="B125" s="20">
        <f>(B35+B28)*(1-B122)</f>
        <v/>
      </c>
      <c r="C125" s="19" t="inlineStr">
        <is>
          <t>1.0%+0.0% = 1.0% x 0.70 = 0.70%</t>
        </is>
      </c>
    </row>
    <row r="126" ht="28" customHeight="1">
      <c r="A126" s="13" t="inlineStr">
        <is>
          <t>SSLC stake FY31 — high post-dilution (total 1.5%)</t>
        </is>
      </c>
      <c r="B126" s="20">
        <f>(B35+B30)*(1-B122)</f>
        <v/>
      </c>
      <c r="C126" s="19" t="inlineStr">
        <is>
          <t>(1.0%+0.5%) = 1.5% x 0.70 = 1.05%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earn-out at-listing — Old-Model base</t>
        </is>
      </c>
      <c r="B133" s="20">
        <f>B128/(Assumptions!B29*Assumptions!B32)</f>
        <v/>
      </c>
      <c r="C133" s="19" t="inlineStr">
        <is>
          <t>Compares FY31 hold value to earn-out-only at-listing ($625K); multiple reflects earn-out upside only</t>
        </is>
      </c>
    </row>
    <row r="134" ht="28" customHeight="1">
      <c r="A134" s="13" t="inlineStr">
        <is>
          <t>Multiple v earn-out at-listing — AA base</t>
        </is>
      </c>
      <c r="B134" s="20">
        <f>B131/(Assumptions!B29*Assumptions!B32)</f>
        <v/>
      </c>
      <c r="C134" s="19" t="inlineStr">
        <is>
          <t>AA FY31 EV BELOW listing; stock worth less by FY31 in AA case (earn-out portion only)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A14" t="inlineStr"/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5-year term (FY27–FY31)</t>
        </is>
      </c>
      <c r="C23" s="29" t="inlineStr">
        <is>
          <t>Exos common stock at listing (% of FD shares); principals' lockup</t>
        </is>
      </c>
      <c r="D23" s="29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5yr + 0.0% earn-out stock (1.0% EAI up-front only, Rule 504) + milestone 1 only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× 5yr + 0.25% earn-out of $250M listing ($625K) + milestones 1-3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(cap $300K) × 5yr + 0.5% earn-out of $300M listing + all 5 milestones → ~$9.3M</t>
        </is>
      </c>
    </row>
    <row r="27" ht="28" customHeight="1">
      <c r="A27" s="29" t="inlineStr">
        <is>
          <t>Exos dilution (stock earn-out,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0.25% earn-out FD shares (plus 1.0% EAI up-front = 1.25% total);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5 years (FY27–FY31)</t>
        </is>
      </c>
      <c r="C28" s="29" t="inlineStr">
        <is>
          <t>Same lockup terms as Exos principals (modeled ~12 months)</t>
        </is>
      </c>
      <c r="D28" s="29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1" ht="18" customHeight="1">
      <c r="A11" s="58" t="inlineStr">
        <is>
          <t>Exos equity — 1.0% EAI units at 409A (~$170M, Rule 504)</t>
        </is>
      </c>
      <c r="B11" s="31">
        <f>Assumptions!B36</f>
        <v/>
      </c>
      <c r="C11" s="31" t="n">
        <v>0</v>
      </c>
      <c r="D11" s="31" t="n">
        <v>0</v>
      </c>
      <c r="E11" s="31" t="n">
        <v>0</v>
      </c>
      <c r="F11" s="31" t="n">
        <v>0</v>
      </c>
      <c r="G11" s="31">
        <f>SUM(B11:F11)</f>
        <v/>
      </c>
      <c r="H11" s="10" t="inlineStr">
        <is>
          <t>~$1,697K; committed at SSLC board acceptance; issued at financing close (Rule 504)</t>
        </is>
      </c>
    </row>
    <row r="12" ht="18" customHeight="1">
      <c r="A12" s="59" t="inlineStr">
        <is>
          <t>TOTAL FUNDING DELIVERED</t>
        </is>
      </c>
      <c r="B12" s="60">
        <f>SUM(B6:B11)</f>
        <v/>
      </c>
      <c r="C12" s="60">
        <f>SUM(C6:C11)</f>
        <v/>
      </c>
      <c r="D12" s="60">
        <f>SUM(D6:D11)</f>
        <v/>
      </c>
      <c r="E12" s="60">
        <f>SUM(E6:E11)</f>
        <v/>
      </c>
      <c r="F12" s="60">
        <f>SUM(F6:F11)</f>
        <v/>
      </c>
      <c r="G12" s="60">
        <f>SUM(B12:F12)</f>
        <v/>
      </c>
      <c r="H12" s="10" t="inlineStr">
        <is>
          <t>All at close in FY27; includes EAI equity at 409A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cap, 5yr FY27–FY31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>
        <f>MIN(Assumptions!B24*Assumptions!B44,Assumptions!B26)</f>
        <v/>
      </c>
      <c r="F14" s="31">
        <f>MIN(Assumptions!B24*Assumptions!B44,Assumptions!B26)</f>
        <v/>
      </c>
      <c r="G14" s="31">
        <f>SUM(B14:F14)</f>
        <v/>
      </c>
      <c r="H14" s="10" t="inlineStr">
        <is>
          <t>5% × $5M firm IM ramp × 5 years; $300K/yr cap</t>
        </is>
      </c>
    </row>
    <row r="15" ht="18" customHeight="1">
      <c r="A15" s="58" t="inlineStr">
        <is>
          <t>Tank earn-out low (i): 3%/yr × 5yr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>
        <f>MIN(Assumptions!B23*Assumptions!B44,Assumptions!B26)</f>
        <v/>
      </c>
      <c r="F15" s="31">
        <f>MIN(Assumptions!B23*Assumptions!B44,Assumptions!B26)</f>
        <v/>
      </c>
      <c r="G15" s="31">
        <f>SUM(B15:F15)</f>
        <v/>
      </c>
      <c r="H15" s="10" t="inlineStr">
        <is>
          <t>Low scenario × 5yr</t>
        </is>
      </c>
    </row>
    <row r="16" ht="18" customHeight="1">
      <c r="A16" s="58" t="inlineStr">
        <is>
          <t>Tank earn-out high (i): 7%/yr × 5yr (cap $300K)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>
        <f>MIN(Assumptions!B25*Assumptions!B44,Assumptions!B26)</f>
        <v/>
      </c>
      <c r="F16" s="31">
        <f>MIN(Assumptions!B25*Assumptions!B44,Assumptions!B26)</f>
        <v/>
      </c>
      <c r="G16" s="31">
        <f>SUM(B16:F16)</f>
        <v/>
      </c>
      <c r="H16" s="10" t="inlineStr">
        <is>
          <t>High — capped at $300K/yr × 5yr = $1.5M</t>
        </is>
      </c>
    </row>
    <row r="17" ht="18" customHeight="1">
      <c r="A17" s="58" t="inlineStr">
        <is>
          <t>Milestone earn-outs base (3 of 5 triggered)</t>
        </is>
      </c>
      <c r="B17" s="31" t="n">
        <v>200000</v>
      </c>
      <c r="C17" s="31" t="n">
        <v>200000</v>
      </c>
      <c r="D17" s="31" t="n">
        <v>250000</v>
      </c>
      <c r="E17" s="31" t="n">
        <v>0</v>
      </c>
      <c r="F17" s="31" t="n">
        <v>0</v>
      </c>
      <c r="G17" s="31">
        <f>SUM(B17:F17)</f>
        <v/>
      </c>
      <c r="H17" s="10" t="inlineStr">
        <is>
          <t>Base: M1 $5.1M rev FY27 + M2 OTV contract + M3 $10M rev (mgmt assumption)</t>
        </is>
      </c>
    </row>
    <row r="18" ht="18" customHeight="1">
      <c r="A18" s="58" t="inlineStr">
        <is>
          <t>Milestone earn-outs low (M1 only)</t>
        </is>
      </c>
      <c r="B18" s="31" t="n">
        <v>200000</v>
      </c>
      <c r="C18" s="31" t="n">
        <v>0</v>
      </c>
      <c r="D18" s="31" t="n">
        <v>0</v>
      </c>
      <c r="E18" s="31" t="n">
        <v>0</v>
      </c>
      <c r="F18" s="31" t="n">
        <v>0</v>
      </c>
      <c r="G18" s="31">
        <f>SUM(B18:F18)</f>
        <v/>
      </c>
      <c r="H18" s="10" t="inlineStr">
        <is>
          <t>Low: only M1 SSLC FY2026-27 revenue ≥$5.1M — $200K</t>
        </is>
      </c>
    </row>
    <row r="19" ht="18" customHeight="1">
      <c r="A19" s="58" t="inlineStr">
        <is>
          <t>Milestone earn-outs high (all 5 triggered)</t>
        </is>
      </c>
      <c r="B19" s="31" t="n">
        <v>200000</v>
      </c>
      <c r="C19" s="31" t="n">
        <v>200000</v>
      </c>
      <c r="D19" s="31" t="n">
        <v>250000</v>
      </c>
      <c r="E19" s="31" t="n">
        <v>250000</v>
      </c>
      <c r="F19" s="31" t="n">
        <v>200000</v>
      </c>
      <c r="G19" s="31">
        <f>SUM(B19:F19)</f>
        <v/>
      </c>
      <c r="H19" s="10" t="inlineStr">
        <is>
          <t>High: M1 $200K + M2 $200K + M3 $250K + M4 $250K + M5 $200K = $1.1M</t>
        </is>
      </c>
    </row>
    <row r="20" ht="18" customHeight="1">
      <c r="A20" s="58" t="inlineStr">
        <is>
          <t>Stock earn-out base (ii): 0.25% FD @ listing (total 1.25% incl. EAI)</t>
        </is>
      </c>
      <c r="B20" s="31" t="n">
        <v>0</v>
      </c>
      <c r="C20" s="31" t="n">
        <v>0</v>
      </c>
      <c r="D20" s="31">
        <f>Assumptions!B29*Assumptions!B32</f>
        <v/>
      </c>
      <c r="E20" s="31" t="n">
        <v>0</v>
      </c>
      <c r="F20" s="31" t="n">
        <v>0</v>
      </c>
      <c r="G20" s="31">
        <f>SUM(B20:F20)</f>
        <v/>
      </c>
      <c r="H20" s="10" t="inlineStr">
        <is>
          <t>0.25% earn-out at $250M listing = $625K; realized FY29 post principals' lockup. Also = $424K at 409A ($170M).</t>
        </is>
      </c>
    </row>
    <row r="21" ht="18" customHeight="1">
      <c r="A21" s="58" t="inlineStr">
        <is>
          <t>Stock earn-out low (ii): 0.0% earn-out (1.0% EAI up-front only)</t>
        </is>
      </c>
      <c r="B21" s="31" t="n">
        <v>0</v>
      </c>
      <c r="C21" s="31" t="n">
        <v>0</v>
      </c>
      <c r="D21" s="31">
        <f>Assumptions!B28*Assumptions!B31</f>
        <v/>
      </c>
      <c r="E21" s="31" t="n">
        <v>0</v>
      </c>
      <c r="F21" s="31" t="n">
        <v>0</v>
      </c>
      <c r="G21" s="31">
        <f>SUM(B21:F21)</f>
        <v/>
      </c>
      <c r="H21" s="10" t="inlineStr">
        <is>
          <t>0.0% earn-out = $0 at listing; total Exos equity = 1.0% EAI (Rule 504) only. At 409A = $0.</t>
        </is>
      </c>
    </row>
    <row r="22" ht="18" customHeight="1">
      <c r="A22" s="58" t="inlineStr">
        <is>
          <t>Stock earn-out high (ii): 0.5% @ $300M (total 1.5% incl. EAI)</t>
        </is>
      </c>
      <c r="B22" s="31" t="n">
        <v>0</v>
      </c>
      <c r="C22" s="31" t="n">
        <v>0</v>
      </c>
      <c r="D22" s="31">
        <f>Assumptions!B30*Assumptions!B33</f>
        <v/>
      </c>
      <c r="E22" s="31" t="n">
        <v>0</v>
      </c>
      <c r="F22" s="31" t="n">
        <v>0</v>
      </c>
      <c r="G22" s="31">
        <f>SUM(B22:F22)</f>
        <v/>
      </c>
      <c r="H22" s="10" t="inlineStr">
        <is>
          <t>0.5% earn-out at $300M = $1.5M; also = $848K at 409A ($170M). Total Exos equity = 1.5%.</t>
        </is>
      </c>
    </row>
    <row r="25">
      <c r="A25" s="12" t="inlineStr">
        <is>
          <t>TOTAL CONSIDERATION — 5-yr (base price + earn-outs + milestones) | negotiating terms — management assumptions</t>
        </is>
      </c>
    </row>
    <row r="26" ht="20" customHeight="1">
      <c r="A26" s="26" t="inlineStr">
        <is>
          <t>BASE: funding+EAI ($5.21M) + tank base (5yr) + milestones 1-3 + stock earn-out base ≈ $7.74M</t>
        </is>
      </c>
      <c r="B26" s="62">
        <f>B12+B14+B17+B20</f>
        <v/>
      </c>
      <c r="C26" s="62">
        <f>C12+C14+C17+C20</f>
        <v/>
      </c>
      <c r="D26" s="62">
        <f>D12+D14+D17+D20</f>
        <v/>
      </c>
      <c r="E26" s="62">
        <f>E12+E14+E17+E20</f>
        <v/>
      </c>
      <c r="F26" s="62">
        <f>F12+F14+F17+F20</f>
        <v/>
      </c>
      <c r="G26" s="62">
        <f>SUM(B26:F26)</f>
        <v/>
      </c>
    </row>
    <row r="27" ht="20" customHeight="1">
      <c r="A27" s="63" t="inlineStr">
        <is>
          <t>LOW:  funding+EAI ($5.21M) + tank low (5yr) + milestone M1 only + 0% earn-out ≈ $6.16M</t>
        </is>
      </c>
      <c r="B27" s="64">
        <f>B12+B15+B18+B21</f>
        <v/>
      </c>
      <c r="C27" s="64">
        <f>C12+C15+C18+C21</f>
        <v/>
      </c>
      <c r="D27" s="64">
        <f>D12+D15+D18+D21</f>
        <v/>
      </c>
      <c r="E27" s="64">
        <f>E12+E15+E18+E21</f>
        <v/>
      </c>
      <c r="F27" s="64">
        <f>F12+F15+F18+F21</f>
        <v/>
      </c>
      <c r="G27" s="64">
        <f>SUM(B27:F27)</f>
        <v/>
      </c>
    </row>
    <row r="28" ht="20" customHeight="1">
      <c r="A28" s="65" t="inlineStr">
        <is>
          <t>HIGH: funding+EAI ($5.21M) + tank high + all milestones + 0.5% earn-out ≈ $9.31M [HIGH &lt; $10M target — not rebalanced per 10/9 instruction]</t>
        </is>
      </c>
      <c r="B28" s="66">
        <f>B12+B16+B19+B22</f>
        <v/>
      </c>
      <c r="C28" s="66">
        <f>C12+C16+C19+C22</f>
        <v/>
      </c>
      <c r="D28" s="66">
        <f>D12+D16+D19+D22</f>
        <v/>
      </c>
      <c r="E28" s="66">
        <f>E12+E16+E19+E22</f>
        <v/>
      </c>
      <c r="F28" s="66">
        <f>F12+F16+F19+F22</f>
        <v/>
      </c>
      <c r="G28" s="66">
        <f>SUM(B28:F28)</f>
        <v/>
      </c>
    </row>
    <row r="29" ht="20" customHeight="1">
      <c r="A29" s="24" t="inlineStr">
        <is>
          <t>AA SENSITIVITY BASE (same earn-out structure)</t>
        </is>
      </c>
      <c r="B29" s="67">
        <f>B12+B14+B17+B20</f>
        <v/>
      </c>
      <c r="C29" s="67">
        <f>C12+C14+C17+C20</f>
        <v/>
      </c>
      <c r="D29" s="67">
        <f>D12+D14+D17+D20</f>
        <v/>
      </c>
      <c r="E29" s="67">
        <f>E12+E14+E17+E20</f>
        <v/>
      </c>
      <c r="F29" s="67">
        <f>F12+F14+F17+F20</f>
        <v/>
      </c>
      <c r="G29" s="67">
        <f>SUM(B29:F29)</f>
        <v/>
      </c>
    </row>
    <row r="31">
      <c r="A31" s="10" t="inlineStr">
        <is>
          <t>Chart: see drafts/SSLC_OptionB_Total_Compensation_5yr_2026-10-07.png (incl Y5 hold annotation)</t>
        </is>
      </c>
    </row>
    <row r="33">
      <c r="A33" s="12" t="inlineStr">
        <is>
          <t>HOLD TO YEAR 5 — Forward Potential if SSLC Investors Hold Exos Shares to FY31 (John 10/7)</t>
        </is>
      </c>
    </row>
    <row r="34" ht="32" customHeight="1">
      <c r="A34" s="68" t="inlineStr">
        <is>
          <t>Base = Old-Model (v12). Dilution: Series A $25M staged (D1-D4, ~13%) + RTO (~12%) + option pool (~5%) = ~30% flat (MANAGEMENT ASSUMPTION). TOTAL stake at listing: 1.0% EAI up-front (Rule 504) + earn-out % = 1.0/1.25/1.5% low/base/high → 0.70/0.875/1.05% post-dilution. AA case EV ~$176M = BELOW $250M listing — stock worth less in AA case by FY31.</t>
        </is>
      </c>
    </row>
    <row r="35" ht="22" customHeight="1">
      <c r="A35" s="69" t="inlineStr">
        <is>
          <t>Scenario</t>
        </is>
      </c>
      <c r="B35" s="69" t="inlineStr">
        <is>
          <t>FY31 EV</t>
        </is>
      </c>
      <c r="C35" s="69" t="inlineStr">
        <is>
          <t>Post-dil stake</t>
        </is>
      </c>
      <c r="D35" s="69" t="inlineStr">
        <is>
          <t>FY31 share value</t>
        </is>
      </c>
      <c r="E35" s="69" t="inlineStr">
        <is>
          <t>At-listing value</t>
        </is>
      </c>
      <c r="F35" s="69" t="inlineStr">
        <is>
          <t>Multiple vs listing</t>
        </is>
      </c>
      <c r="G35" s="69" t="inlineStr"/>
      <c r="H35" s="69" t="inlineStr">
        <is>
          <t>Notes</t>
        </is>
      </c>
    </row>
    <row r="36" ht="18" customHeight="1">
      <c r="A36" s="29" t="inlineStr">
        <is>
          <t>Old-Model — Low</t>
        </is>
      </c>
      <c r="B36" s="31">
        <f>Assumptions!B118</f>
        <v/>
      </c>
      <c r="C36" s="54">
        <f>Assumptions!B125</f>
        <v/>
      </c>
      <c r="D36" s="31">
        <f>B36*C36</f>
        <v/>
      </c>
      <c r="E36" s="31">
        <f>Assumptions!B28*Assumptions!B31</f>
        <v/>
      </c>
      <c r="F36" s="70">
        <f>D36/E36</f>
        <v/>
      </c>
      <c r="H36" s="71" t="inlineStr">
        <is>
          <t>Total 1.0% (EAI only, 0% earn-out) x 0.70 = 0.70%; EV $1.626B; multiple vs earn-out at listing ($0)</t>
        </is>
      </c>
    </row>
    <row r="37" ht="18" customHeight="1">
      <c r="A37" s="29" t="inlineStr">
        <is>
          <t>Old-Model — Base</t>
        </is>
      </c>
      <c r="B37" s="31">
        <f>Assumptions!B118</f>
        <v/>
      </c>
      <c r="C37" s="54">
        <f>Assumptions!B124</f>
        <v/>
      </c>
      <c r="D37" s="31">
        <f>B37*C37</f>
        <v/>
      </c>
      <c r="E37" s="31">
        <f>Assumptions!B29*Assumptions!B32</f>
        <v/>
      </c>
      <c r="F37" s="70">
        <f>D37/E37</f>
        <v/>
      </c>
      <c r="H37" s="71" t="inlineStr">
        <is>
          <t>Total 1.25% (1.0% EAI + 0.25% earn-out) x 0.70 = 0.875%; EV $1.626B; vs earn-out at listing $625K</t>
        </is>
      </c>
    </row>
    <row r="38" ht="18" customHeight="1">
      <c r="A38" s="29" t="inlineStr">
        <is>
          <t>Old-Model — High</t>
        </is>
      </c>
      <c r="B38" s="31">
        <f>Assumptions!B118</f>
        <v/>
      </c>
      <c r="C38" s="54">
        <f>Assumptions!B126</f>
        <v/>
      </c>
      <c r="D38" s="31">
        <f>B38*C38</f>
        <v/>
      </c>
      <c r="E38" s="31">
        <f>Assumptions!B30*Assumptions!B33</f>
        <v/>
      </c>
      <c r="F38" s="70">
        <f>D38/E38</f>
        <v/>
      </c>
      <c r="H38" s="71" t="inlineStr">
        <is>
          <t>Total 1.5% (1.0% EAI + 0.5% earn-out) x 0.70 = 1.05%; EV $1.626B; vs earn-out at listing $1.5M</t>
        </is>
      </c>
    </row>
    <row r="39" ht="18" customHeight="1">
      <c r="A39" s="72" t="inlineStr">
        <is>
          <t>AA — Low</t>
        </is>
      </c>
      <c r="B39" s="31">
        <f>Assumptions!B120</f>
        <v/>
      </c>
      <c r="C39" s="54">
        <f>Assumptions!B125</f>
        <v/>
      </c>
      <c r="D39" s="31">
        <f>B39*C39</f>
        <v/>
      </c>
      <c r="E39" s="31">
        <f>Assumptions!B28*Assumptions!B31</f>
        <v/>
      </c>
      <c r="F39" s="70">
        <f>D39/E39</f>
        <v/>
      </c>
      <c r="H39" s="71" t="inlineStr">
        <is>
          <t>BELOW listing value — AA FY31 EV ~$176M &lt; $250M MEV; earn-out = $0</t>
        </is>
      </c>
    </row>
    <row r="40" ht="18" customHeight="1">
      <c r="A40" s="72" t="inlineStr">
        <is>
          <t>AA — Base</t>
        </is>
      </c>
      <c r="B40" s="31">
        <f>Assumptions!B120</f>
        <v/>
      </c>
      <c r="C40" s="54">
        <f>Assumptions!B124</f>
        <v/>
      </c>
      <c r="D40" s="31">
        <f>B40*C40</f>
        <v/>
      </c>
      <c r="E40" s="31">
        <f>Assumptions!B29*Assumptions!B32</f>
        <v/>
      </c>
      <c r="F40" s="70">
        <f>D40/E40</f>
        <v/>
      </c>
      <c r="H40" s="71" t="inlineStr">
        <is>
          <t>BELOW listing — ~$924K vs earn-out at listing $625K</t>
        </is>
      </c>
    </row>
    <row r="41" ht="18" customHeight="1">
      <c r="A41" s="72" t="inlineStr">
        <is>
          <t>AA — High</t>
        </is>
      </c>
      <c r="B41" s="31">
        <f>Assumptions!B120</f>
        <v/>
      </c>
      <c r="C41" s="54">
        <f>Assumptions!B126</f>
        <v/>
      </c>
      <c r="D41" s="31">
        <f>B41*C41</f>
        <v/>
      </c>
      <c r="E41" s="31">
        <f>Assumptions!B30*Assumptions!B33</f>
        <v/>
      </c>
      <c r="F41" s="70">
        <f>D41/E41</f>
        <v/>
      </c>
      <c r="H41" s="71" t="inlineStr">
        <is>
          <t>BELOW listing — ~$1.23M vs earn-out at listing $1.5M</t>
        </is>
      </c>
    </row>
    <row r="43" ht="42" customHeight="1">
      <c r="A43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 Model notes: Up-front 1.0% EAI equity (~$1.7M) counts toward Rule 504 $10M rolling 12-month cap; confirm remaining 504 capacity before issuance. Rule 504 reference: https://www.sec.gov/resources-small-businesses/exempt-offerings/exemption-limited-offerings-not-exceeding-10-million-rule-504-regulation-d. Rule 504 is U.S.-only; EAI units used in the separate Reg S Japan round must be tracked under a distinct exemption.</t>
        </is>
      </c>
    </row>
  </sheetData>
  <mergeCells count="9">
    <mergeCell ref="A1:H1"/>
    <mergeCell ref="A25:H25"/>
    <mergeCell ref="A43:H43"/>
    <mergeCell ref="A2:H2"/>
    <mergeCell ref="A13:H13"/>
    <mergeCell ref="A33:H33"/>
    <mergeCell ref="A5:H5"/>
    <mergeCell ref="A31:H31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min="1" max="1"/>
    <col width="72" customWidth="1" min="2" max="2"/>
    <col width="32" customWidth="1" min="3" max="3"/>
  </cols>
  <sheetData>
    <row r="1" ht="24" customHeight="1">
      <c r="A1" s="77" t="inlineStr">
        <is>
          <t>EAI UNIT LOCKUP &amp; LIQUIDITY — DETAIL</t>
        </is>
      </c>
    </row>
    <row r="2" ht="28" customHeight="1">
      <c r="A2" s="78" t="inlineStr">
        <is>
          <t>INTERNAL — NEGOTIATING TERMS — Not a final or binding offer. 2026-10-09 update (John Quinn). Sources: Ainigma_RTO_Board_Brief_2026-09-04.md:16; Ainigma_RTO_Anticipated_Board_Questions_2026-09-08.md:36,44.</t>
        </is>
      </c>
    </row>
    <row r="4" ht="18" customHeight="1">
      <c r="A4" s="79" t="inlineStr">
        <is>
          <t>A.  Legal Status of EAI Units at Issuance</t>
        </is>
      </c>
    </row>
    <row r="5" ht="30" customHeight="1">
      <c r="A5" s="80" t="inlineStr">
        <is>
          <t>Instrument type</t>
        </is>
      </c>
      <c r="B5" s="81" t="inlineStr">
        <is>
          <t>Exos Aerospace Investments LLC (EAI) units.</t>
        </is>
      </c>
      <c r="C5" s="82" t="inlineStr"/>
    </row>
    <row r="6" ht="30" customHeight="1">
      <c r="A6" s="80" t="inlineStr">
        <is>
          <t>Securities law status</t>
        </is>
      </c>
      <c r="B6" s="81" t="inlineStr">
        <is>
          <t>Restricted securities issued under Rule 504, Regulation D. Bear a restrictive legend. Not freely tradeable at issuance.</t>
        </is>
      </c>
      <c r="C6" s="82" t="inlineStr">
        <is>
          <t>Rule 504: https://www.sec.gov/resources-small-businesses/exempt-offerings/exemption-limited-offerings-not-exceeding-10-million-rule-504-regulation-d</t>
        </is>
      </c>
    </row>
    <row r="7" ht="30" customHeight="1">
      <c r="A7" s="80" t="inlineStr">
        <is>
          <t>Offering type</t>
        </is>
      </c>
      <c r="B7" s="81" t="inlineStr">
        <is>
          <t>Rule 504 / Regulation D (U.S. domestic offering). NOT covered by the Reg S exemption used for the Japan round.</t>
        </is>
      </c>
      <c r="C7" s="82" t="inlineStr">
        <is>
          <t>The two offerings must be tracked under distinct exemptions.</t>
        </is>
      </c>
    </row>
    <row r="8" ht="30" customHeight="1">
      <c r="A8" s="80" t="inlineStr">
        <is>
          <t>409A value at issuance</t>
        </is>
      </c>
      <c r="B8" s="81" t="inlineStr">
        <is>
          <t>1.0% × $169.7M (Eqvista 409A, valuation date 3/31/2026) = $1,697,000 (~$1.7M)</t>
        </is>
      </c>
      <c r="C8" s="82" t="inlineStr">
        <is>
          <t>Issued at financing close, committed at SSLC board acceptance.</t>
        </is>
      </c>
    </row>
    <row r="9" ht="30" customHeight="1">
      <c r="A9" s="80" t="inlineStr">
        <is>
          <t>Lockup — mirrors principals</t>
        </is>
      </c>
      <c r="B9" s="81" t="inlineStr">
        <is>
          <t>Same lockup terms as Exos Aerospace principals under the RTO transaction documents. Specific lock periods in the RTO definitive agreement govern.</t>
        </is>
      </c>
      <c r="C9" s="82" t="inlineStr">
        <is>
          <t>Ainigma mandate per Board Brief 2026-09-04.</t>
        </is>
      </c>
    </row>
    <row r="11" ht="18" customHeight="1">
      <c r="A11" s="79" t="inlineStr">
        <is>
          <t>B.  Rule 144 Resale Requirements  (17 CFR 230.144(d))</t>
        </is>
      </c>
    </row>
    <row r="12" ht="42" customHeight="1">
      <c r="A12" s="80" t="inlineStr">
        <is>
          <t>Rule 144 reference</t>
        </is>
      </c>
      <c r="B12" s="81" t="inlineStr">
        <is>
          <t>17 CFR 230.144(d) — Holding period requirement. URL: https://www.ecfr.gov/current/title-17/chapter-II/part-230/section-230.144</t>
        </is>
      </c>
      <c r="C12" s="82" t="inlineStr">
        <is>
          <t>Verified 2026-10-09.</t>
        </is>
      </c>
    </row>
    <row r="13" ht="42" customHeight="1">
      <c r="A13" s="80" t="inlineStr">
        <is>
          <t>Holding period — reporting issuer</t>
        </is>
      </c>
      <c r="B13" s="81" t="inlineStr">
        <is>
          <t>6 months from issuance date. Applies ONLY after the issuer (or successor) is an SEC-reporting company with current public information available.</t>
        </is>
      </c>
      <c r="C13" s="82" t="inlineStr">
        <is>
          <t>17 CFR 230.144(d)(1)(i).</t>
        </is>
      </c>
    </row>
    <row r="14" ht="42" customHeight="1">
      <c r="A14" s="80" t="inlineStr">
        <is>
          <t>Holding period — non-reporting issuer</t>
        </is>
      </c>
      <c r="B14" s="81" t="inlineStr">
        <is>
          <t>1 year from issuance date. Exos Aerospace Systems &amp; Technologies, Inc. is NOT currently an SEC reporting company. Until the RTO makes the successor entity reporting, the 1-year path applies.</t>
        </is>
      </c>
      <c r="C14" s="82" t="inlineStr">
        <is>
          <t>17 CFR 230.144(d)(1)(ii).</t>
        </is>
      </c>
    </row>
    <row r="15" ht="42" customHeight="1">
      <c r="A15" s="80" t="inlineStr">
        <is>
          <t>6-month clock start</t>
        </is>
      </c>
      <c r="B15" s="81" t="inlineStr">
        <is>
          <t>The 6-month clock begins only AFTER the RTO close makes the issuer/successor a reporting company. With a targeted RTO close ~6 months after financing close, the earliest Rule 144 window under the 6-month path is ~12 months post-issuance (close + 6 months). Actual timing depends on RTO completion and the conversion/resale registration schedule.</t>
        </is>
      </c>
      <c r="C15" s="82" t="inlineStr">
        <is>
          <t>Targeted, not assured.</t>
        </is>
      </c>
    </row>
    <row r="17" ht="18" customHeight="1">
      <c r="A17" s="79" t="inlineStr">
        <is>
          <t>C.  RTO Structure — Preferred-at-Close / Conversion Path</t>
        </is>
      </c>
    </row>
    <row r="18" ht="48" customHeight="1">
      <c r="A18" s="80" t="inlineStr">
        <is>
          <t>RTO mechanics</t>
        </is>
      </c>
      <c r="B18" s="81" t="inlineStr">
        <is>
          <t>Merger closes BEFORE the public stockholder vote using non-voting, non-convertible preferred stock (avoids NASDAQ Rule 5635 early-stage trigger). A proxy is filed within ~30 days of RTO close.</t>
        </is>
      </c>
      <c r="C18" s="82" t="inlineStr">
        <is>
          <t>Source: Ainigma_RTO_Board_Brief_2026-09-04.md:16.</t>
        </is>
      </c>
    </row>
    <row r="19" ht="48" customHeight="1">
      <c r="A19" s="80" t="inlineStr">
        <is>
          <t>Preferred → common</t>
        </is>
      </c>
      <c r="B19" s="81" t="inlineStr">
        <is>
          <t>Preferred converts to common and becomes liquid ONLY after: (i) post-close public-shareholder vote (that founders do not control at the moment of close), AND (ii) effective resale registration (S-1/S-3).</t>
        </is>
      </c>
      <c r="C19" s="82" t="inlineStr">
        <is>
          <t>Sources: Board Brief 2026-09-04.md:16; Board Questions 2026-09-08.md:36,44.</t>
        </is>
      </c>
    </row>
    <row r="20" ht="48" customHeight="1">
      <c r="A20" s="80" t="inlineStr">
        <is>
          <t>EAI units follow same path</t>
        </is>
      </c>
      <c r="B20" s="81" t="inlineStr">
        <is>
          <t>The EAI units' liquidity follows the identical path: committed at board acceptance → issued at financing close → held as restricted/non-trading until RTO close → preferred conversion vote → resale registration effective → Rule 144 / free-trading eligibility.</t>
        </is>
      </c>
      <c r="C20" s="82" t="inlineStr">
        <is>
          <t>See timeline table below.</t>
        </is>
      </c>
    </row>
    <row r="21" ht="48" customHeight="1">
      <c r="A21" s="80" t="inlineStr">
        <is>
          <t>Risk if vote fails / reg stalls</t>
        </is>
      </c>
      <c r="B21" s="81" t="inlineStr">
        <is>
          <t>If the conversion vote fails or the resale registration stalls, holders of the EAI units (like founders) hold restricted, non-voting paper with no near-term liquidity. This is a known RTO structure, not disqualifying, but must be understood.</t>
        </is>
      </c>
      <c r="C21" s="82" t="inlineStr">
        <is>
          <t>Source: Board Brief:44; Board Questions:62.</t>
        </is>
      </c>
    </row>
    <row r="23" ht="18" customHeight="1">
      <c r="A23" s="79" t="inlineStr">
        <is>
          <t>D.  Liquidity Timeline  (Targeted — Not Assured)</t>
        </is>
      </c>
    </row>
    <row r="24" ht="18" customHeight="1">
      <c r="A24" s="83" t="inlineStr">
        <is>
          <t>Milestone</t>
        </is>
      </c>
      <c r="B24" s="83" t="inlineStr">
        <is>
          <t>Target / Detail</t>
        </is>
      </c>
      <c r="C24" s="83" t="inlineStr">
        <is>
          <t>Status</t>
        </is>
      </c>
    </row>
    <row r="25" ht="36" customHeight="1">
      <c r="A25" s="80" t="inlineStr">
        <is>
          <t>Board acceptance</t>
        </is>
      </c>
      <c r="B25" s="81" t="inlineStr">
        <is>
          <t>D+0. EAI units committed; not yet issued. SSLC board confirms Option B.</t>
        </is>
      </c>
      <c r="C25" s="84" t="inlineStr">
        <is>
          <t>Targeted</t>
        </is>
      </c>
    </row>
    <row r="26" ht="36" customHeight="1">
      <c r="A26" s="80" t="inlineStr">
        <is>
          <t>Financing close — units issued</t>
        </is>
      </c>
      <c r="B26" s="81" t="inlineStr">
        <is>
          <t>Targeted Q1 FY27 (~2026-Q4/Q1 2027). EAI units formally issued. Rule 144 holding period (1-year, non-reporting) clock starts.</t>
        </is>
      </c>
      <c r="C26" s="84" t="inlineStr">
        <is>
          <t>Targeted, not assured</t>
        </is>
      </c>
    </row>
    <row r="27" ht="36" customHeight="1">
      <c r="A27" s="80" t="inlineStr">
        <is>
          <t>Targeted RTO close</t>
        </is>
      </c>
      <c r="B27" s="81" t="inlineStr">
        <is>
          <t>~6 months post-financing close. Exos/NewCo merger closes using non-voting preferred. NOT the liquidity event — preferred not yet tradeable.</t>
        </is>
      </c>
      <c r="C27" s="84" t="inlineStr">
        <is>
          <t>Targeted, not assured</t>
        </is>
      </c>
    </row>
    <row r="28" ht="36" customHeight="1">
      <c r="A28" s="80" t="inlineStr">
        <is>
          <t>Proxy filed / shareholder vote</t>
        </is>
      </c>
      <c r="B28" s="81" t="inlineStr">
        <is>
          <t>~30 days post-RTO close. Public stockholder vote on preferred → common conversion.</t>
        </is>
      </c>
      <c r="C28" s="84" t="inlineStr">
        <is>
          <t>Targeted, not assured</t>
        </is>
      </c>
    </row>
    <row r="29" ht="36" customHeight="1">
      <c r="A29" s="80" t="inlineStr">
        <is>
          <t>Resale registration effective (S-1/S-3)</t>
        </is>
      </c>
      <c r="B29" s="81" t="inlineStr">
        <is>
          <t>~30–90 days post-RTO close (concurrent with or following vote). Registration must go effective before preferred converts to tradeable common.</t>
        </is>
      </c>
      <c r="C29" s="84" t="inlineStr">
        <is>
          <t>Targeted, not assured</t>
        </is>
      </c>
    </row>
    <row r="30" ht="36" customHeight="1">
      <c r="A30" s="80" t="inlineStr">
        <is>
          <t>Rule 144 eligibility — 6-month path</t>
        </is>
      </c>
      <c r="B30" s="81" t="inlineStr">
        <is>
          <t>AFTER reporting status is established AND ≥6 months from issuance date. Earliest: ~12 months post-issuance (close + RTO ~6 mo + holding). Requires current public information available.</t>
        </is>
      </c>
      <c r="C30" s="84" t="inlineStr">
        <is>
          <t>Targeted, not assured</t>
        </is>
      </c>
    </row>
    <row r="31" ht="36" customHeight="1">
      <c r="A31" s="80" t="inlineStr">
        <is>
          <t>Rule 144 eligibility — 1-year path</t>
        </is>
      </c>
      <c r="B31" s="81" t="inlineStr">
        <is>
          <t>1 year from issuance date (non-reporting issuer path). If RTO does not close by 1-year mark, this is the available resale window.</t>
        </is>
      </c>
      <c r="C31" s="84" t="inlineStr">
        <is>
          <t>Fallback if 6-mo path unavailable</t>
        </is>
      </c>
    </row>
    <row r="32" ht="36" customHeight="1">
      <c r="A32" s="85" t="inlineStr">
        <is>
          <t>ALL DATES</t>
        </is>
      </c>
      <c r="B32" s="86" t="inlineStr">
        <is>
          <t>TARGETED, NOT ASSURED. The RTO may not close.</t>
        </is>
      </c>
      <c r="C32" s="87" t="inlineStr">
        <is>
          <t>Risk</t>
        </is>
      </c>
    </row>
    <row r="34" ht="18" customHeight="1">
      <c r="A34" s="88" t="inlineStr">
        <is>
          <t>E.  Projected Post-RTO Value  —  PROJECTION, NOT A PROMISE</t>
        </is>
      </c>
    </row>
    <row r="35" ht="60" customHeight="1">
      <c r="A35" s="89" t="inlineStr">
        <is>
          <t>CAUTIONARY STATEMENT: Forward-looking projection based on management assumptions (RTO completion, listing valuation, ~30% dilution). Not a guarantee or promise of value; actual results may differ materially. The RTO may not close. SEC Rule 10b-5 (17 CFR 240.10b-5; https://www.ecfr.gov/current/title-17/chapter-II/part-240/section-240.10b-5) antifraud rules apply to projections. Projections must have a reasonable basis; do not rely on this section as an offer to sell or inducement beyond the framing above.</t>
        </is>
      </c>
    </row>
    <row r="36" ht="28" customHeight="1">
      <c r="A36" s="69" t="inlineStr">
        <is>
          <t>Scenario</t>
        </is>
      </c>
      <c r="B36" s="69" t="inlineStr">
        <is>
          <t>RTO MEV</t>
        </is>
      </c>
      <c r="C36" s="69" t="inlineStr">
        <is>
          <t>1.0% pre-dilution</t>
        </is>
      </c>
      <c r="D36" s="69" t="inlineStr">
        <is>
          <t>~30% dilution</t>
        </is>
      </c>
      <c r="E36" s="69" t="inlineStr">
        <is>
          <t>1.0% post-dilution (up-front only)</t>
        </is>
      </c>
      <c r="F36" s="69" t="inlineStr">
        <is>
          <t>409A at issuance</t>
        </is>
      </c>
      <c r="G36" s="69" t="inlineStr">
        <is>
          <t>Additional: earn-out at listing</t>
        </is>
      </c>
    </row>
    <row r="37" ht="22" customHeight="1">
      <c r="A37" s="90" t="inlineStr">
        <is>
          <t>Low (floor)</t>
        </is>
      </c>
      <c r="B37" s="90" t="inlineStr">
        <is>
          <t>$200M</t>
        </is>
      </c>
      <c r="C37" s="90" t="inlineStr">
        <is>
          <t>$2.00M</t>
        </is>
      </c>
      <c r="D37" s="90" t="inlineStr">
        <is>
          <t>−$0.60M</t>
        </is>
      </c>
      <c r="E37" s="90" t="inlineStr">
        <is>
          <t>$1.40M</t>
        </is>
      </c>
      <c r="F37" s="90" t="inlineStr">
        <is>
          <t>~$1.70M (409A)</t>
        </is>
      </c>
      <c r="G37" s="90" t="inlineStr">
        <is>
          <t>$0  (0.0% earn-out)</t>
        </is>
      </c>
    </row>
    <row r="38" ht="22" customHeight="1">
      <c r="A38" s="91" t="inlineStr">
        <is>
          <t>Base</t>
        </is>
      </c>
      <c r="B38" s="91" t="inlineStr">
        <is>
          <t>$250M</t>
        </is>
      </c>
      <c r="C38" s="91" t="inlineStr">
        <is>
          <t>$2.50M</t>
        </is>
      </c>
      <c r="D38" s="91" t="inlineStr">
        <is>
          <t>−$0.75M</t>
        </is>
      </c>
      <c r="E38" s="91" t="inlineStr">
        <is>
          <t>$1.75M</t>
        </is>
      </c>
      <c r="F38" s="91" t="inlineStr">
        <is>
          <t>~$1.70M (409A)</t>
        </is>
      </c>
      <c r="G38" s="91" t="inlineStr">
        <is>
          <t>+$424K  (0.25%)</t>
        </is>
      </c>
    </row>
    <row r="39" ht="22" customHeight="1">
      <c r="A39" s="92" t="inlineStr">
        <is>
          <t>High</t>
        </is>
      </c>
      <c r="B39" s="92" t="inlineStr">
        <is>
          <t>$300M</t>
        </is>
      </c>
      <c r="C39" s="92" t="inlineStr">
        <is>
          <t>$3.00M</t>
        </is>
      </c>
      <c r="D39" s="92" t="inlineStr">
        <is>
          <t>−$0.90M</t>
        </is>
      </c>
      <c r="E39" s="92" t="inlineStr">
        <is>
          <t>$2.10M</t>
        </is>
      </c>
      <c r="F39" s="92" t="inlineStr">
        <is>
          <t>~$1.70M (409A)</t>
        </is>
      </c>
      <c r="G39" s="92" t="inlineStr">
        <is>
          <t>+$848K  (0.50%)</t>
        </is>
      </c>
    </row>
    <row r="41" ht="60" customHeight="1">
      <c r="A41" s="93" t="inlineStr">
        <is>
          <t>Notes: MEV per Ainigma mandate ($250M min, $300M stretch). Dilution ~30% (Series A D1–D4 ~13% + RTO ~12% + option pool ~5%) — management assumption. Post-dil = (1.0%) × (1 − 0.30) × MEV. Earn-out column is ADDITIONAL at listing price; not additive to 409A value. Full Y5 hold analysis (16× EV/EBITDA): model 'Total Compensation' sheet. Rule 10b-5 reference: https://www.ecfr.gov/current/title-17/chapter-II/part-240/section-240.10b-5. Rule 144 reference: https://www.ecfr.gov/current/title-17/chapter-II/part-230/section-230.144. Rule 504 reference: https://www.sec.gov/resources-small-businesses/exempt-offerings/exemption-limited-offerings-not-exceeding-10-million-rule-504-regulation-d.</t>
        </is>
      </c>
    </row>
  </sheetData>
  <mergeCells count="9">
    <mergeCell ref="A41:C41"/>
    <mergeCell ref="A11:C11"/>
    <mergeCell ref="A1:C1"/>
    <mergeCell ref="A23:C23"/>
    <mergeCell ref="A17:C17"/>
    <mergeCell ref="A34:C34"/>
    <mergeCell ref="A35:C35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2026-10-09T19:40:35Z</dcterms:created>
  <dcterms:modified xmlns:dcterms="http://purl.org/dc/terms/" xmlns:xsi="http://www.w3.org/2001/XMLSchema-instance" xsi:type="dcterms:W3CDTF">2026-10-09T19:40:35Z</dcterms:modified>
</cp:coreProperties>
</file>