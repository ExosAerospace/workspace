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ssumptions" sheetId="1" state="visible" r:id="rId1"/>
    <sheet xmlns:r="http://schemas.openxmlformats.org/officeDocument/2006/relationships" name="Deal Structure" sheetId="2" state="visible" r:id="rId2"/>
    <sheet xmlns:r="http://schemas.openxmlformats.org/officeDocument/2006/relationships" name="PL and Cash Flow" sheetId="3" state="visible" r:id="rId3"/>
    <sheet xmlns:r="http://schemas.openxmlformats.org/officeDocument/2006/relationships" name="Returns and Dilution" sheetId="4" state="visible" r:id="rId4"/>
    <sheet xmlns:r="http://schemas.openxmlformats.org/officeDocument/2006/relationships" name="Funding" sheetId="5" state="visible" r:id="rId5"/>
    <sheet xmlns:r="http://schemas.openxmlformats.org/officeDocument/2006/relationships" name="Total Compensation" sheetId="6" state="visible" r:id="rId6"/>
    <sheet xmlns:r="http://schemas.openxmlformats.org/officeDocument/2006/relationships" name="Reconciliation" sheetId="7" state="visible" r:id="rId7"/>
    <sheet xmlns:r="http://schemas.openxmlformats.org/officeDocument/2006/relationships" name="EAI Lockup &amp; Liquidity" sheetId="8" state="visible" r:id="rId8"/>
    <sheet xmlns:r="http://schemas.openxmlformats.org/officeDocument/2006/relationships" name="With vs Without Exos Capital" sheetId="9" state="visible" r:id="rId9"/>
  </sheets>
  <definedNames/>
  <calcPr calcId="124519" fullCalcOnLoad="1"/>
</workbook>
</file>

<file path=xl/styles.xml><?xml version="1.0" encoding="utf-8"?>
<styleSheet xmlns="http://schemas.openxmlformats.org/spreadsheetml/2006/main">
  <numFmts count="5">
    <numFmt numFmtId="164" formatCode="$#,##0"/>
    <numFmt numFmtId="165" formatCode="0.0%"/>
    <numFmt numFmtId="166" formatCode="$#,##0;($#,##0)"/>
    <numFmt numFmtId="167" formatCode="0.0x"/>
    <numFmt numFmtId="168" formatCode="0.00x"/>
  </numFmts>
  <fonts count="40">
    <font>
      <name val="Calibri"/>
      <family val="2"/>
      <color theme="1"/>
      <sz val="11"/>
      <scheme val="minor"/>
    </font>
    <font>
      <b val="1"/>
      <color rgb="00FFFFFF"/>
      <sz val="13"/>
    </font>
    <font>
      <i val="1"/>
      <color rgb="00666666"/>
      <sz val="9"/>
    </font>
    <font>
      <b val="1"/>
      <color rgb="00FFFFFF"/>
    </font>
    <font>
      <b val="1"/>
      <color rgb="00FFFFFF"/>
      <sz val="10"/>
    </font>
    <font>
      <sz val="10"/>
    </font>
    <font>
      <b val="1"/>
      <sz val="10"/>
    </font>
    <font>
      <i val="1"/>
      <color rgb="00444444"/>
      <sz val="9"/>
    </font>
    <font>
      <b val="1"/>
      <color rgb="00C00000"/>
      <sz val="9"/>
    </font>
    <font>
      <b val="1"/>
      <color rgb="00FFFFFF"/>
      <sz val="12"/>
    </font>
    <font>
      <b val="1"/>
      <color rgb="00FFFFFF"/>
      <sz val="9"/>
    </font>
    <font>
      <sz val="9"/>
    </font>
    <font>
      <i val="1"/>
      <sz val="9"/>
    </font>
    <font>
      <b val="1"/>
    </font>
    <font>
      <b val="1"/>
      <color rgb="00FFFFFF"/>
      <sz val="11"/>
    </font>
    <font>
      <b val="1"/>
      <sz val="9"/>
    </font>
    <font>
      <i val="1"/>
      <color rgb="00C00000"/>
      <sz val="9"/>
    </font>
    <font>
      <b val="1"/>
      <color rgb="00FF0000"/>
    </font>
    <font>
      <b val="1"/>
      <color rgb="00FF8C00"/>
    </font>
    <font>
      <i val="1"/>
      <color rgb="00C00000"/>
      <sz val="8"/>
    </font>
    <font>
      <i val="1"/>
      <color rgb="00444444"/>
      <sz val="8"/>
    </font>
    <font>
      <b val="1"/>
      <color rgb="00C00000"/>
      <sz val="8"/>
    </font>
    <font>
      <i val="1"/>
      <color rgb="00C00000"/>
      <sz val="8.5"/>
    </font>
    <font>
      <b val="1"/>
      <color rgb="001F3864"/>
      <sz val="11"/>
    </font>
    <font>
      <i val="1"/>
      <color rgb="00444444"/>
      <sz val="8.5"/>
    </font>
    <font>
      <b val="1"/>
      <color rgb="00FFFFFF"/>
      <sz val="14"/>
    </font>
    <font>
      <i val="1"/>
      <color rgb="00555555"/>
      <sz val="9"/>
    </font>
    <font>
      <b val="1"/>
      <color rgb="00000000"/>
      <sz val="11"/>
    </font>
    <font>
      <i val="1"/>
      <color rgb="009B1C1C"/>
      <sz val="9"/>
    </font>
    <font>
      <color rgb="00000000"/>
      <sz val="10"/>
    </font>
    <font>
      <color rgb="009B1C1C"/>
      <sz val="10"/>
    </font>
    <font>
      <i val="1"/>
      <color rgb="00375623"/>
      <sz val="9"/>
    </font>
    <font>
      <b val="1"/>
      <color rgb="00000000"/>
      <sz val="10"/>
    </font>
    <font>
      <sz val="9.5"/>
    </font>
    <font/>
    <font>
      <name val="Calibri"/>
      <b val="1"/>
      <color rgb="001F3A68"/>
      <sz val="11"/>
    </font>
    <font>
      <name val="Calibri"/>
      <i val="1"/>
      <color rgb="00606060"/>
      <sz val="9"/>
    </font>
    <font>
      <name val="Calibri"/>
      <b val="1"/>
      <sz val="10"/>
    </font>
    <font>
      <name val="Calibri"/>
      <sz val="10"/>
    </font>
    <font>
      <name val="Calibri"/>
      <b val="1"/>
      <color rgb="00FFFFFF"/>
      <sz val="10"/>
    </font>
  </fonts>
  <fills count="22">
    <fill>
      <patternFill/>
    </fill>
    <fill>
      <patternFill patternType="gray125"/>
    </fill>
    <fill>
      <patternFill patternType="solid">
        <fgColor rgb="001F3864"/>
      </patternFill>
    </fill>
    <fill>
      <patternFill patternType="solid">
        <fgColor rgb="002E75B6"/>
      </patternFill>
    </fill>
    <fill>
      <patternFill patternType="solid">
        <fgColor rgb="007030A0"/>
      </patternFill>
    </fill>
    <fill>
      <patternFill patternType="solid">
        <fgColor rgb="00EAD8F7"/>
      </patternFill>
    </fill>
    <fill>
      <patternFill patternType="solid">
        <fgColor rgb="00FFE0E0"/>
      </patternFill>
    </fill>
    <fill>
      <patternFill patternType="solid">
        <fgColor rgb="00D6E4F0"/>
      </patternFill>
    </fill>
    <fill>
      <patternFill patternType="solid">
        <fgColor rgb="00FFF2CC"/>
      </patternFill>
    </fill>
    <fill>
      <patternFill patternType="solid">
        <fgColor rgb="00E2EFDA"/>
      </patternFill>
    </fill>
    <fill>
      <patternFill patternType="solid">
        <fgColor rgb="00FCE4D6"/>
      </patternFill>
    </fill>
    <fill>
      <patternFill patternType="solid">
        <fgColor rgb="00444444"/>
      </patternFill>
    </fill>
    <fill>
      <patternFill patternType="solid">
        <fgColor rgb="00F2F2F2"/>
      </patternFill>
    </fill>
    <fill>
      <patternFill patternType="solid">
        <fgColor rgb="00666666"/>
      </patternFill>
    </fill>
    <fill>
      <patternFill patternType="solid">
        <fgColor rgb="00E26A21"/>
      </patternFill>
    </fill>
    <fill>
      <patternFill patternType="solid">
        <fgColor rgb="00375623"/>
      </patternFill>
    </fill>
    <fill>
      <patternFill patternType="solid">
        <fgColor rgb="00D1FAE5"/>
      </patternFill>
    </fill>
    <fill>
      <patternFill patternType="solid">
        <fgColor rgb="009B1C1C"/>
      </patternFill>
    </fill>
    <fill>
      <patternFill patternType="solid">
        <fgColor rgb="00FFFFFF"/>
      </patternFill>
    </fill>
    <fill>
      <patternFill patternType="solid">
        <fgColor rgb="00BF8F00"/>
      </patternFill>
    </fill>
    <fill>
      <patternFill patternType="solid">
        <fgColor rgb="001F3A68"/>
      </patternFill>
    </fill>
    <fill>
      <patternFill patternType="solid">
        <fgColor rgb="00FEF3C7"/>
      </patternFill>
    </fill>
  </fills>
  <borders count="14">
    <border>
      <left/>
      <right/>
      <top/>
      <bottom/>
      <diagonal/>
    </border>
    <border>
      <left style="medium">
        <color rgb="00BF8F00"/>
      </left>
      <right style="medium">
        <color rgb="00BF8F00"/>
      </right>
      <top style="medium">
        <color rgb="00BF8F00"/>
      </top>
      <bottom style="medium">
        <color rgb="00BF8F00"/>
      </bottom>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
      <left/>
      <right/>
      <top style="medium">
        <color rgb="00BF8F00"/>
      </top>
      <bottom/>
      <diagonal/>
    </border>
    <border>
      <left style="medium">
        <color rgb="00BF8F00"/>
      </left>
      <right/>
      <top/>
      <bottom/>
      <diagonal/>
    </border>
    <border>
      <left/>
      <right style="medium">
        <color rgb="00BF8F00"/>
      </right>
      <top style="medium">
        <color rgb="00BF8F00"/>
      </top>
      <bottom/>
      <diagonal/>
    </border>
    <border>
      <left/>
      <right style="medium">
        <color rgb="00BF8F00"/>
      </right>
      <top/>
      <bottom/>
      <diagonal/>
    </border>
    <border>
      <left style="medium">
        <color rgb="00BF8F00"/>
      </left>
      <right/>
      <top/>
      <bottom style="medium">
        <color rgb="00BF8F00"/>
      </bottom>
      <diagonal/>
    </border>
    <border>
      <left/>
      <right/>
      <top/>
      <bottom style="medium">
        <color rgb="00BF8F00"/>
      </bottom>
      <diagonal/>
    </border>
    <border>
      <left/>
      <right style="medium">
        <color rgb="00BF8F00"/>
      </right>
      <top/>
      <bottom style="medium">
        <color rgb="00BF8F00"/>
      </bottom>
      <diagonal/>
    </border>
  </borders>
  <cellStyleXfs count="1">
    <xf numFmtId="0" fontId="0" fillId="0" borderId="0"/>
  </cellStyleXfs>
  <cellXfs count="144">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3" borderId="0" applyAlignment="1" pivotButton="0" quotePrefix="0" xfId="0">
      <alignment horizontal="center"/>
    </xf>
    <xf numFmtId="0" fontId="4" fillId="2" borderId="0" pivotButton="0" quotePrefix="0" xfId="0"/>
    <xf numFmtId="0" fontId="5" fillId="0" borderId="0" pivotButton="0" quotePrefix="0" xfId="0"/>
    <xf numFmtId="0" fontId="6" fillId="0" borderId="0" pivotButton="0" quotePrefix="0" xfId="0"/>
    <xf numFmtId="0" fontId="7" fillId="0" borderId="0" applyAlignment="1" pivotButton="0" quotePrefix="0" xfId="0">
      <alignment wrapText="1"/>
    </xf>
    <xf numFmtId="164" fontId="6" fillId="0" borderId="0" pivotButton="0" quotePrefix="0" xfId="0"/>
    <xf numFmtId="10" fontId="6" fillId="0" borderId="0" pivotButton="0" quotePrefix="0" xfId="0"/>
    <xf numFmtId="0" fontId="7" fillId="0" borderId="0" pivotButton="0" quotePrefix="0" xfId="0"/>
    <xf numFmtId="0" fontId="4" fillId="3" borderId="0" pivotButton="0" quotePrefix="0" xfId="0"/>
    <xf numFmtId="165" fontId="6" fillId="0" borderId="0" pivotButton="0" quotePrefix="0" xfId="0"/>
    <xf numFmtId="0" fontId="4" fillId="4" borderId="0" pivotButton="0" quotePrefix="0" xfId="0"/>
    <xf numFmtId="0" fontId="5" fillId="5" borderId="0" pivotButton="0" quotePrefix="0" xfId="0"/>
    <xf numFmtId="164" fontId="6" fillId="5" borderId="0" pivotButton="0" quotePrefix="0" xfId="0"/>
    <xf numFmtId="0" fontId="7" fillId="5" borderId="0" pivotButton="0" quotePrefix="0" xfId="0"/>
    <xf numFmtId="165" fontId="6" fillId="5" borderId="0" pivotButton="0" quotePrefix="0" xfId="0"/>
    <xf numFmtId="0" fontId="8" fillId="6" borderId="0" applyAlignment="1" pivotButton="0" quotePrefix="0" xfId="0">
      <alignment wrapText="1"/>
    </xf>
    <xf numFmtId="0" fontId="6" fillId="5" borderId="0" pivotButton="0" quotePrefix="0" xfId="0"/>
    <xf numFmtId="0" fontId="7" fillId="5" borderId="0" applyAlignment="1" pivotButton="0" quotePrefix="0" xfId="0">
      <alignment wrapText="1"/>
    </xf>
    <xf numFmtId="10" fontId="6" fillId="5" borderId="0" pivotButton="0" quotePrefix="0" xfId="0"/>
    <xf numFmtId="0" fontId="9" fillId="2" borderId="0" applyAlignment="1" pivotButton="0" quotePrefix="0" xfId="0">
      <alignment horizontal="center" vertical="center"/>
    </xf>
    <xf numFmtId="0" fontId="3" fillId="2" borderId="0" pivotButton="0" quotePrefix="0" xfId="0"/>
    <xf numFmtId="0" fontId="3" fillId="3" borderId="0" pivotButton="0" quotePrefix="0" xfId="0"/>
    <xf numFmtId="0" fontId="6" fillId="7" borderId="0" pivotButton="0" quotePrefix="0" xfId="0"/>
    <xf numFmtId="166" fontId="0" fillId="0" borderId="0" pivotButton="0" quotePrefix="0" xfId="0"/>
    <xf numFmtId="0" fontId="6" fillId="8" borderId="0" pivotButton="0" quotePrefix="0" xfId="0"/>
    <xf numFmtId="166" fontId="6" fillId="8" borderId="0" pivotButton="0" quotePrefix="0" xfId="0"/>
    <xf numFmtId="0" fontId="10" fillId="3" borderId="0" applyAlignment="1" pivotButton="0" quotePrefix="0" xfId="0">
      <alignment horizontal="center" wrapText="1"/>
    </xf>
    <xf numFmtId="0" fontId="11" fillId="0" borderId="0" pivotButton="0" quotePrefix="0" xfId="0"/>
    <xf numFmtId="164" fontId="11" fillId="0" borderId="0" pivotButton="0" quotePrefix="0" xfId="0"/>
    <xf numFmtId="164" fontId="0" fillId="0" borderId="0" pivotButton="0" quotePrefix="0" xfId="0"/>
    <xf numFmtId="0" fontId="12" fillId="0" borderId="0" pivotButton="0" quotePrefix="0" xfId="0"/>
    <xf numFmtId="0" fontId="13" fillId="8" borderId="0" pivotButton="0" quotePrefix="0" xfId="0"/>
    <xf numFmtId="164" fontId="13" fillId="8" borderId="0" pivotButton="0" quotePrefix="0" xfId="0"/>
    <xf numFmtId="167" fontId="0" fillId="0" borderId="0" pivotButton="0" quotePrefix="0" xfId="0"/>
    <xf numFmtId="166" fontId="13" fillId="8" borderId="0" pivotButton="0" quotePrefix="0" xfId="0"/>
    <xf numFmtId="165" fontId="0" fillId="0" borderId="0" pivotButton="0" quotePrefix="0" xfId="0"/>
    <xf numFmtId="0" fontId="13" fillId="9" borderId="0" pivotButton="0" quotePrefix="0" xfId="0"/>
    <xf numFmtId="166" fontId="13" fillId="9" borderId="0" pivotButton="0" quotePrefix="0" xfId="0"/>
    <xf numFmtId="0" fontId="13" fillId="10" borderId="0" pivotButton="0" quotePrefix="0" xfId="0"/>
    <xf numFmtId="166" fontId="13" fillId="10" borderId="0" pivotButton="0" quotePrefix="0" xfId="0"/>
    <xf numFmtId="0" fontId="14" fillId="2" borderId="0" applyAlignment="1" pivotButton="0" quotePrefix="0" xfId="0">
      <alignment horizontal="center"/>
    </xf>
    <xf numFmtId="0" fontId="4" fillId="3" borderId="0" applyAlignment="1" pivotButton="0" quotePrefix="0" xfId="0">
      <alignment horizontal="center"/>
    </xf>
    <xf numFmtId="0" fontId="4" fillId="4" borderId="0" applyAlignment="1" pivotButton="0" quotePrefix="0" xfId="0">
      <alignment horizontal="center"/>
    </xf>
    <xf numFmtId="0" fontId="3" fillId="4" borderId="0" applyAlignment="1" pivotButton="0" quotePrefix="0" xfId="0">
      <alignment horizontal="center"/>
    </xf>
    <xf numFmtId="0" fontId="15" fillId="7" borderId="0" pivotButton="0" quotePrefix="0" xfId="0"/>
    <xf numFmtId="0" fontId="15" fillId="5" borderId="0" pivotButton="0" quotePrefix="0" xfId="0"/>
    <xf numFmtId="0" fontId="16" fillId="0" borderId="0" pivotButton="0" quotePrefix="0" xfId="0"/>
    <xf numFmtId="0" fontId="8" fillId="6" borderId="0" pivotButton="0" quotePrefix="0" xfId="0"/>
    <xf numFmtId="0" fontId="9" fillId="2" borderId="0" applyAlignment="1" pivotButton="0" quotePrefix="0" xfId="0">
      <alignment horizontal="center"/>
    </xf>
    <xf numFmtId="0" fontId="3" fillId="3" borderId="0" applyAlignment="1" pivotButton="0" quotePrefix="0" xfId="0">
      <alignment horizontal="center" wrapText="1"/>
    </xf>
    <xf numFmtId="0" fontId="3" fillId="4" borderId="0" applyAlignment="1" pivotButton="0" quotePrefix="0" xfId="0">
      <alignment horizontal="center" wrapText="1"/>
    </xf>
    <xf numFmtId="0" fontId="3" fillId="2" borderId="0" applyAlignment="1" pivotButton="0" quotePrefix="0" xfId="0">
      <alignment horizontal="center" wrapText="1"/>
    </xf>
    <xf numFmtId="10" fontId="0" fillId="0" borderId="0" pivotButton="0" quotePrefix="0" xfId="0"/>
    <xf numFmtId="0" fontId="17" fillId="0" borderId="0" pivotButton="0" quotePrefix="0" xfId="0"/>
    <xf numFmtId="0" fontId="18" fillId="0" borderId="0" pivotButton="0" quotePrefix="0" xfId="0"/>
    <xf numFmtId="0" fontId="4" fillId="11" borderId="0" pivotButton="0" quotePrefix="0" xfId="0"/>
    <xf numFmtId="0" fontId="5" fillId="12" borderId="0" pivotButton="0" quotePrefix="0" xfId="0"/>
    <xf numFmtId="0" fontId="6" fillId="13" borderId="0" pivotButton="0" quotePrefix="0" xfId="0"/>
    <xf numFmtId="164" fontId="4" fillId="13" borderId="0" pivotButton="0" quotePrefix="0" xfId="0"/>
    <xf numFmtId="0" fontId="4" fillId="14" borderId="0" pivotButton="0" quotePrefix="0" xfId="0"/>
    <xf numFmtId="164" fontId="6" fillId="8" borderId="0" pivotButton="0" quotePrefix="0" xfId="0"/>
    <xf numFmtId="0" fontId="6" fillId="9" borderId="0" pivotButton="0" quotePrefix="0" xfId="0"/>
    <xf numFmtId="164" fontId="6" fillId="9" borderId="0" pivotButton="0" quotePrefix="0" xfId="0"/>
    <xf numFmtId="0" fontId="6" fillId="10" borderId="0" pivotButton="0" quotePrefix="0" xfId="0"/>
    <xf numFmtId="164" fontId="6" fillId="10" borderId="0" pivotButton="0" quotePrefix="0" xfId="0"/>
    <xf numFmtId="164" fontId="6" fillId="7" borderId="0" pivotButton="0" quotePrefix="0" xfId="0"/>
    <xf numFmtId="0" fontId="19" fillId="0" borderId="0" applyAlignment="1" pivotButton="0" quotePrefix="0" xfId="0">
      <alignment wrapText="1"/>
    </xf>
    <xf numFmtId="0" fontId="10" fillId="4" borderId="0" applyAlignment="1" pivotButton="0" quotePrefix="0" xfId="0">
      <alignment horizontal="center" wrapText="1"/>
    </xf>
    <xf numFmtId="168" fontId="0" fillId="0" borderId="0" pivotButton="0" quotePrefix="0" xfId="0"/>
    <xf numFmtId="0" fontId="20" fillId="0" borderId="0" pivotButton="0" quotePrefix="0" xfId="0"/>
    <xf numFmtId="0" fontId="11" fillId="6" borderId="0" pivotButton="0" quotePrefix="0" xfId="0"/>
    <xf numFmtId="0" fontId="21" fillId="6" borderId="0" applyAlignment="1" pivotButton="0" quotePrefix="0" xfId="0">
      <alignment wrapText="1"/>
    </xf>
    <xf numFmtId="0" fontId="5" fillId="10" borderId="0" pivotButton="0" quotePrefix="0" xfId="0"/>
    <xf numFmtId="166" fontId="0" fillId="10" borderId="0" pivotButton="0" quotePrefix="0" xfId="0"/>
    <xf numFmtId="0" fontId="7" fillId="10" borderId="0" applyAlignment="1" pivotButton="0" quotePrefix="0" xfId="0">
      <alignment wrapText="1"/>
    </xf>
    <xf numFmtId="0" fontId="1" fillId="2" borderId="0" applyAlignment="1" pivotButton="0" quotePrefix="0" xfId="0">
      <alignment horizontal="center"/>
    </xf>
    <xf numFmtId="0" fontId="22" fillId="6" borderId="0" applyAlignment="1" pivotButton="0" quotePrefix="0" xfId="0">
      <alignment horizontal="center" wrapText="1"/>
    </xf>
    <xf numFmtId="0" fontId="23" fillId="0" borderId="0" pivotButton="0" quotePrefix="0" xfId="0"/>
    <xf numFmtId="0" fontId="15" fillId="0" borderId="0" pivotButton="0" quotePrefix="0" xfId="0"/>
    <xf numFmtId="0" fontId="11" fillId="0" borderId="0" applyAlignment="1" pivotButton="0" quotePrefix="0" xfId="0">
      <alignment wrapText="1"/>
    </xf>
    <xf numFmtId="0" fontId="24" fillId="0" borderId="0" applyAlignment="1" pivotButton="0" quotePrefix="0" xfId="0">
      <alignment wrapText="1"/>
    </xf>
    <xf numFmtId="0" fontId="10" fillId="15" borderId="0" applyAlignment="1" pivotButton="0" quotePrefix="0" xfId="0">
      <alignment horizontal="center" wrapText="1"/>
    </xf>
    <xf numFmtId="0" fontId="16" fillId="0" borderId="0" applyAlignment="1" pivotButton="0" quotePrefix="0" xfId="0">
      <alignment horizontal="center" wrapText="1"/>
    </xf>
    <xf numFmtId="0" fontId="15" fillId="6" borderId="0" pivotButton="0" quotePrefix="0" xfId="0"/>
    <xf numFmtId="0" fontId="11" fillId="6" borderId="0" applyAlignment="1" pivotButton="0" quotePrefix="0" xfId="0">
      <alignment wrapText="1"/>
    </xf>
    <xf numFmtId="0" fontId="16" fillId="6" borderId="0" applyAlignment="1" pivotButton="0" quotePrefix="0" xfId="0">
      <alignment horizontal="center" wrapText="1"/>
    </xf>
    <xf numFmtId="0" fontId="14" fillId="4" borderId="0" pivotButton="0" quotePrefix="0" xfId="0"/>
    <xf numFmtId="0" fontId="22" fillId="6" borderId="0" applyAlignment="1" pivotButton="0" quotePrefix="0" xfId="0">
      <alignment wrapText="1"/>
    </xf>
    <xf numFmtId="0" fontId="11" fillId="8" borderId="0" applyAlignment="1" pivotButton="0" quotePrefix="0" xfId="0">
      <alignment horizontal="center" wrapText="1"/>
    </xf>
    <xf numFmtId="0" fontId="11" fillId="9" borderId="0" applyAlignment="1" pivotButton="0" quotePrefix="0" xfId="0">
      <alignment horizontal="center" wrapText="1"/>
    </xf>
    <xf numFmtId="0" fontId="11" fillId="16" borderId="0" applyAlignment="1" pivotButton="0" quotePrefix="0" xfId="0">
      <alignment horizontal="center" wrapText="1"/>
    </xf>
    <xf numFmtId="0" fontId="20" fillId="0" borderId="0" applyAlignment="1" pivotButton="0" quotePrefix="0" xfId="0">
      <alignment wrapText="1"/>
    </xf>
    <xf numFmtId="0" fontId="25" fillId="2" borderId="0" applyAlignment="1" pivotButton="0" quotePrefix="0" xfId="0">
      <alignment horizontal="center" vertical="center"/>
    </xf>
    <xf numFmtId="0" fontId="26" fillId="0" borderId="0" applyAlignment="1" pivotButton="0" quotePrefix="0" xfId="0">
      <alignment horizontal="center" wrapText="1"/>
    </xf>
    <xf numFmtId="0" fontId="27" fillId="8" borderId="1" applyAlignment="1" pivotButton="0" quotePrefix="0" xfId="0">
      <alignment horizontal="left" vertical="center" wrapText="1"/>
    </xf>
    <xf numFmtId="0" fontId="14" fillId="17" borderId="0" applyAlignment="1" pivotButton="0" quotePrefix="0" xfId="0">
      <alignment horizontal="center" vertical="center"/>
    </xf>
    <xf numFmtId="0" fontId="14" fillId="2" borderId="0" applyAlignment="1" pivotButton="0" quotePrefix="0" xfId="0">
      <alignment horizontal="center" vertical="center"/>
    </xf>
    <xf numFmtId="0" fontId="28" fillId="0" borderId="0" applyAlignment="1" pivotButton="0" quotePrefix="0" xfId="0">
      <alignment horizontal="left" wrapText="1"/>
    </xf>
    <xf numFmtId="0" fontId="4" fillId="17" borderId="0" applyAlignment="1" pivotButton="0" quotePrefix="0" xfId="0">
      <alignment horizontal="left" vertical="center"/>
    </xf>
    <xf numFmtId="0" fontId="4" fillId="3" borderId="2" applyAlignment="1" pivotButton="0" quotePrefix="0" xfId="0">
      <alignment horizontal="center"/>
    </xf>
    <xf numFmtId="0" fontId="33" fillId="0" borderId="2" applyAlignment="1" pivotButton="0" quotePrefix="0" xfId="0">
      <alignment horizontal="left" vertical="center"/>
    </xf>
    <xf numFmtId="0" fontId="29" fillId="0" borderId="2" applyAlignment="1" pivotButton="0" quotePrefix="0" xfId="0">
      <alignment horizontal="left"/>
    </xf>
    <xf numFmtId="164" fontId="29" fillId="6" borderId="2" applyAlignment="1" pivotButton="0" quotePrefix="0" xfId="0">
      <alignment horizontal="right"/>
    </xf>
    <xf numFmtId="165" fontId="29" fillId="12" borderId="2" applyAlignment="1" pivotButton="0" quotePrefix="0" xfId="0">
      <alignment horizontal="right"/>
    </xf>
    <xf numFmtId="165" fontId="29" fillId="18" borderId="2" applyAlignment="1" pivotButton="0" quotePrefix="0" xfId="0">
      <alignment horizontal="right"/>
    </xf>
    <xf numFmtId="164" fontId="30" fillId="12" borderId="2" applyAlignment="1" pivotButton="0" quotePrefix="0" xfId="0">
      <alignment horizontal="right"/>
    </xf>
    <xf numFmtId="164" fontId="30" fillId="18" borderId="2" applyAlignment="1" pivotButton="0" quotePrefix="0" xfId="0">
      <alignment horizontal="right"/>
    </xf>
    <xf numFmtId="164" fontId="29" fillId="12" borderId="2" applyAlignment="1" pivotButton="0" quotePrefix="0" xfId="0">
      <alignment horizontal="right"/>
    </xf>
    <xf numFmtId="164" fontId="29" fillId="18" borderId="2" applyAlignment="1" pivotButton="0" quotePrefix="0" xfId="0">
      <alignment horizontal="right"/>
    </xf>
    <xf numFmtId="0" fontId="28" fillId="6" borderId="0" applyAlignment="1" pivotButton="0" quotePrefix="0" xfId="0">
      <alignment horizontal="left" wrapText="1"/>
    </xf>
    <xf numFmtId="0" fontId="14" fillId="15" borderId="0" applyAlignment="1" pivotButton="0" quotePrefix="0" xfId="0">
      <alignment horizontal="center" vertical="center"/>
    </xf>
    <xf numFmtId="0" fontId="31" fillId="0" borderId="0" applyAlignment="1" pivotButton="0" quotePrefix="0" xfId="0">
      <alignment horizontal="left" wrapText="1"/>
    </xf>
    <xf numFmtId="164" fontId="32" fillId="9" borderId="2" applyAlignment="1" pivotButton="0" quotePrefix="0" xfId="0">
      <alignment horizontal="right"/>
    </xf>
    <xf numFmtId="0" fontId="4" fillId="15" borderId="0" applyAlignment="1" pivotButton="0" quotePrefix="0" xfId="0">
      <alignment horizontal="left" vertical="center"/>
    </xf>
    <xf numFmtId="0" fontId="4" fillId="17" borderId="2" applyAlignment="1" pivotButton="0" quotePrefix="0" xfId="0">
      <alignment horizontal="center"/>
    </xf>
    <xf numFmtId="0" fontId="4" fillId="15" borderId="2" applyAlignment="1" pivotButton="0" quotePrefix="0" xfId="0">
      <alignment horizontal="center"/>
    </xf>
    <xf numFmtId="0" fontId="6" fillId="0" borderId="2" pivotButton="0" quotePrefix="0" xfId="0"/>
    <xf numFmtId="164" fontId="0" fillId="6" borderId="2" applyAlignment="1" pivotButton="0" quotePrefix="0" xfId="0">
      <alignment horizontal="right"/>
    </xf>
    <xf numFmtId="164" fontId="6" fillId="9" borderId="2" applyAlignment="1" pivotButton="0" quotePrefix="0" xfId="0">
      <alignment horizontal="right"/>
    </xf>
    <xf numFmtId="165" fontId="0" fillId="6" borderId="2" applyAlignment="1" pivotButton="0" quotePrefix="0" xfId="0">
      <alignment horizontal="right"/>
    </xf>
    <xf numFmtId="165" fontId="6" fillId="9" borderId="2" applyAlignment="1" pivotButton="0" quotePrefix="0" xfId="0">
      <alignment horizontal="right"/>
    </xf>
    <xf numFmtId="0" fontId="0" fillId="6" borderId="2" applyAlignment="1" pivotButton="0" quotePrefix="0" xfId="0">
      <alignment horizontal="right"/>
    </xf>
    <xf numFmtId="0" fontId="4" fillId="19" borderId="0" applyAlignment="1" pivotButton="0" quotePrefix="0" xfId="0">
      <alignment horizontal="left" vertical="center"/>
    </xf>
    <xf numFmtId="0" fontId="2" fillId="0" borderId="0" applyAlignment="1" pivotButton="0" quotePrefix="0" xfId="0">
      <alignment horizontal="left" wrapText="1"/>
    </xf>
    <xf numFmtId="0" fontId="35" fillId="0" borderId="0" applyAlignment="1" pivotButton="0" quotePrefix="0" xfId="0">
      <alignment vertical="top" wrapText="1"/>
    </xf>
    <xf numFmtId="0" fontId="34" fillId="0" borderId="0" pivotButton="0" quotePrefix="0" xfId="0"/>
    <xf numFmtId="0" fontId="36"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vertical="top" wrapText="1"/>
    </xf>
    <xf numFmtId="0" fontId="39" fillId="20" borderId="0" applyAlignment="1" pivotButton="0" quotePrefix="0" xfId="0">
      <alignment vertical="top" wrapText="1"/>
    </xf>
    <xf numFmtId="0" fontId="37" fillId="21" borderId="0" applyAlignment="1" pivotButton="0" quotePrefix="0" xfId="0">
      <alignment vertical="top" wrapText="1"/>
    </xf>
    <xf numFmtId="0" fontId="39" fillId="15" borderId="0" applyAlignment="1" pivotButton="0" quotePrefix="0" xfId="0">
      <alignment vertical="top" wrapText="1"/>
    </xf>
    <xf numFmtId="0" fontId="0" fillId="0" borderId="7" pivotButton="0" quotePrefix="0" xfId="0"/>
    <xf numFmtId="0" fontId="0" fillId="0" borderId="9" pivotButton="0" quotePrefix="0" xfId="0"/>
    <xf numFmtId="0" fontId="0" fillId="0" borderId="8" pivotButton="0" quotePrefix="0" xfId="0"/>
    <xf numFmtId="0" fontId="0" fillId="0" borderId="10" pivotButton="0" quotePrefix="0" xfId="0"/>
    <xf numFmtId="0" fontId="0" fillId="0" borderId="11" pivotButton="0" quotePrefix="0" xfId="0"/>
    <xf numFmtId="0" fontId="0" fillId="0" borderId="12" pivotButton="0" quotePrefix="0" xfId="0"/>
    <xf numFmtId="0" fontId="0" fillId="0" borderId="13" pivotButton="0" quotePrefix="0" xfId="0"/>
    <xf numFmtId="0" fontId="0" fillId="0" borderId="5" pivotButton="0" quotePrefix="0" xfId="0"/>
    <xf numFmtId="0"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36"/>
  <sheetViews>
    <sheetView workbookViewId="0">
      <selection activeCell="A1" sqref="A1"/>
    </sheetView>
  </sheetViews>
  <sheetFormatPr baseColWidth="8" defaultRowHeight="15"/>
  <cols>
    <col width="46" customWidth="1" min="1" max="1"/>
    <col width="18" customWidth="1" min="2" max="2"/>
    <col width="36" customWidth="1" min="3" max="3"/>
  </cols>
  <sheetData>
    <row r="1" ht="24" customHeight="1">
      <c r="A1" s="1" t="inlineStr">
        <is>
          <t>EXOS Aerospace / SSLC Option B Acquisition — Assumptions</t>
        </is>
      </c>
    </row>
    <row r="2">
      <c r="A2" s="2" t="inlineStr">
        <is>
          <t>Prepared: 2026-10-07 | DRAFT — NEGOTIATING TERMS | INTERNAL — Exo/CEO only | Two cases: Actuals-Anchored and Old-Model (v12 drivers)</t>
        </is>
      </c>
    </row>
    <row r="4">
      <c r="A4" s="3" t="inlineStr">
        <is>
          <t>Assumption</t>
        </is>
      </c>
      <c r="B4" s="3" t="inlineStr">
        <is>
          <t>Value</t>
        </is>
      </c>
      <c r="C4" s="3" t="inlineStr">
        <is>
          <t>Source / Notes</t>
        </is>
      </c>
    </row>
    <row r="5" ht="20" customHeight="1">
      <c r="A5" s="4" t="inlineStr">
        <is>
          <t>DEAL STRUCTURE — Option B</t>
        </is>
      </c>
    </row>
    <row r="6" ht="28" customHeight="1">
      <c r="A6" s="5" t="inlineStr">
        <is>
          <t>Agreement date (Asset Acquisition Agreement)</t>
        </is>
      </c>
      <c r="B6" s="6" t="inlineStr">
        <is>
          <t>2025-05-13</t>
        </is>
      </c>
      <c r="C6" s="7" t="inlineStr">
        <is>
          <t>Executed — John Quinn &amp; Jim Wertz</t>
        </is>
      </c>
    </row>
    <row r="7" ht="28" customHeight="1">
      <c r="A7" s="5" t="inlineStr">
        <is>
          <t>§3 exclusivity trigger: financing agreement</t>
        </is>
      </c>
      <c r="B7" s="6" t="inlineStr">
        <is>
          <t>Ainigma/FNEX executed mandate</t>
        </is>
      </c>
      <c r="C7" s="7" t="inlineStr">
        <is>
          <t>FNEX advisory agreement; strengthen with investor/sponsor use-of-proceeds letter</t>
        </is>
      </c>
    </row>
    <row r="8" ht="28" customHeight="1">
      <c r="A8" s="5" t="inlineStr">
        <is>
          <t>Exclusivity period (days)</t>
        </is>
      </c>
      <c r="B8" s="8" t="n">
        <v>90</v>
      </c>
      <c r="C8" s="7" t="inlineStr">
        <is>
          <t>§3 of the 2025 Agreement</t>
        </is>
      </c>
    </row>
    <row r="9" ht="28" customHeight="1">
      <c r="A9" s="5" t="inlineStr">
        <is>
          <t>Deal price — total commitment ($)</t>
        </is>
      </c>
      <c r="B9" s="8" t="n">
        <v>3360000</v>
      </c>
      <c r="C9" s="7" t="inlineStr">
        <is>
          <t>§3 / §1: $2.51M cash + $60K costs + $790K stake credit</t>
        </is>
      </c>
    </row>
    <row r="10" ht="28" customHeight="1">
      <c r="A10" s="5" t="inlineStr">
        <is>
          <t xml:space="preserve">  Cash at close ($)</t>
        </is>
      </c>
      <c r="B10" s="8" t="n">
        <v>2510000</v>
      </c>
      <c r="C10" s="7" t="inlineStr">
        <is>
          <t>Stated deal price — cash component</t>
        </is>
      </c>
    </row>
    <row r="11" ht="28" customHeight="1">
      <c r="A11" s="5" t="inlineStr">
        <is>
          <t xml:space="preserve">  SSLC closing costs ($)</t>
        </is>
      </c>
      <c r="B11" s="8" t="n">
        <v>60000</v>
      </c>
      <c r="C11" s="7" t="inlineStr">
        <is>
          <t>Seller's costs; included in total</t>
        </is>
      </c>
    </row>
    <row r="12" ht="28" customHeight="1">
      <c r="A12" s="5" t="inlineStr">
        <is>
          <t xml:space="preserve">  Exos existing-stake credit ($)</t>
        </is>
      </c>
      <c r="B12" s="8" t="n">
        <v>790000</v>
      </c>
      <c r="C12" s="7" t="inlineStr">
        <is>
          <t>18% equity at 2021 basis (~$4.39M total × 18%)</t>
        </is>
      </c>
    </row>
    <row r="13" ht="28" customHeight="1">
      <c r="A13" s="5" t="inlineStr">
        <is>
          <t xml:space="preserve">  Escrowed holdback (§7) — 5% for 12 months ($)</t>
        </is>
      </c>
      <c r="B13" s="6">
        <f>B9*0.05</f>
        <v/>
      </c>
      <c r="C13" s="7" t="inlineStr">
        <is>
          <t>§7; released at 12-month anniversary</t>
        </is>
      </c>
    </row>
    <row r="14" ht="28" customHeight="1">
      <c r="A14" s="5" t="inlineStr">
        <is>
          <t>SSLC debts assumed at face ($)</t>
        </is>
      </c>
      <c r="B14" s="8" t="n">
        <v>500000</v>
      </c>
      <c r="C14" s="7" t="inlineStr">
        <is>
          <t>MANAGEMENT ASSUMPTION — UNVERIFIED. QB session expired 10/7. Microcosm loan + Wertz notes + AP.</t>
        </is>
      </c>
    </row>
    <row r="15" ht="28" customHeight="1">
      <c r="A15" s="5" t="inlineStr">
        <is>
          <t>Exos loan to SSLC — waived as license consideration ($)</t>
        </is>
      </c>
      <c r="B15" s="8" t="n">
        <v>38000</v>
      </c>
      <c r="C15" s="7" t="inlineStr">
        <is>
          <t>John decision 10/2; not re-proposed</t>
        </is>
      </c>
    </row>
    <row r="16" ht="28" customHeight="1">
      <c r="A16" s="5" t="inlineStr">
        <is>
          <t>Working capital bridge needed (mid-point) ($)</t>
        </is>
      </c>
      <c r="B16" s="8" t="n">
        <v>500000</v>
      </c>
      <c r="C16" s="7" t="inlineStr">
        <is>
          <t>SSLC needs $0.3–0.7M to finish paid-for work. Mid=$500K.</t>
        </is>
      </c>
    </row>
    <row r="17" ht="28" customHeight="1">
      <c r="A17" s="5" t="inlineStr">
        <is>
          <t>Series A raise — first close ($)</t>
        </is>
      </c>
      <c r="B17" s="8" t="n">
        <v>10000000</v>
      </c>
      <c r="C17" s="7" t="inlineStr">
        <is>
          <t>D1 of record, 2026-08-13</t>
        </is>
      </c>
    </row>
    <row r="18" ht="28" customHeight="1">
      <c r="A18" s="5" t="inlineStr">
        <is>
          <t>Pre-money valuation (Eqvista 409A) ($)</t>
        </is>
      </c>
      <c r="B18" s="8" t="n">
        <v>169700000</v>
      </c>
      <c r="C18" s="7" t="inlineStr">
        <is>
          <t>Eqvista 03/31/26; $8.66/sh; DLOM 36.51%</t>
        </is>
      </c>
    </row>
    <row r="19" ht="28" customHeight="1">
      <c r="A19" s="5" t="inlineStr">
        <is>
          <t>RTO minimum enterprise value ($)</t>
        </is>
      </c>
      <c r="B19" s="8" t="n">
        <v>250000000</v>
      </c>
      <c r="C19" s="7" t="inlineStr">
        <is>
          <t>FNEX/Ainigma term — $250M min MEV</t>
        </is>
      </c>
    </row>
    <row r="20" ht="28" customHeight="1">
      <c r="A20" s="5" t="inlineStr">
        <is>
          <t>Pre-RTO note size ($)</t>
        </is>
      </c>
      <c r="B20" s="8" t="n">
        <v>15000000</v>
      </c>
      <c r="C20" s="7" t="inlineStr">
        <is>
          <t>FNEX/Ainigma convertible note</t>
        </is>
      </c>
    </row>
    <row r="22" ht="20" customHeight="1">
      <c r="A22" s="4" t="inlineStr">
        <is>
          <t>EARN-OUT PARAMETERS</t>
        </is>
      </c>
    </row>
    <row r="23" ht="22" customHeight="1">
      <c r="A23" s="5" t="inlineStr">
        <is>
          <t>Earn-out i — IM tank revenue % (low)</t>
        </is>
      </c>
      <c r="B23" s="9" t="n">
        <v>0.03</v>
      </c>
      <c r="C23" s="10" t="inlineStr">
        <is>
          <t>Management assumption — unverified</t>
        </is>
      </c>
    </row>
    <row r="24" ht="22" customHeight="1">
      <c r="A24" s="5" t="inlineStr">
        <is>
          <t>Earn-out i — IM tank revenue % (base)</t>
        </is>
      </c>
      <c r="B24" s="9" t="n">
        <v>0.05</v>
      </c>
      <c r="C24" s="10" t="inlineStr">
        <is>
          <t>Management assumption — unverified</t>
        </is>
      </c>
    </row>
    <row r="25" ht="22" customHeight="1">
      <c r="A25" s="5" t="inlineStr">
        <is>
          <t>Earn-out i — IM tank revenue % (high)</t>
        </is>
      </c>
      <c r="B25" s="9" t="n">
        <v>0.07000000000000001</v>
      </c>
      <c r="C25" s="10" t="inlineStr">
        <is>
          <t>Management assumption — unverified</t>
        </is>
      </c>
    </row>
    <row r="26" ht="22" customHeight="1">
      <c r="A26" s="5" t="inlineStr">
        <is>
          <t>Earn-out i — annual cap ($)</t>
        </is>
      </c>
      <c r="B26" s="8" t="n">
        <v>300000</v>
      </c>
      <c r="C26" s="10" t="inlineStr">
        <is>
          <t>Management assumption — unverified</t>
        </is>
      </c>
    </row>
    <row r="27" ht="22" customHeight="1">
      <c r="A27" s="5" t="inlineStr">
        <is>
          <t>Earn-out i — duration (years)</t>
        </is>
      </c>
      <c r="B27" s="6" t="n">
        <v>5</v>
      </c>
      <c r="C27" s="10" t="inlineStr">
        <is>
          <t>Management assumption — unverified; FY27–FY31</t>
        </is>
      </c>
    </row>
    <row r="28" ht="22" customHeight="1">
      <c r="A28" s="5" t="inlineStr">
        <is>
          <t>Earn-out ii — Exos stock % of FD shares (low, earn-out only)</t>
        </is>
      </c>
      <c r="B28" s="9" t="n">
        <v>0</v>
      </c>
      <c r="C28" s="10" t="inlineStr">
        <is>
          <t>0.0% earn-out; total = ~0.59% EAI up-front + 0.0% = ~0.59%</t>
        </is>
      </c>
    </row>
    <row r="29" ht="22" customHeight="1">
      <c r="A29" s="5" t="inlineStr">
        <is>
          <t>Earn-out ii — Exos stock % of FD shares (base, earn-out only)</t>
        </is>
      </c>
      <c r="B29" s="9" t="n">
        <v>0.0025</v>
      </c>
      <c r="C29" s="10" t="inlineStr">
        <is>
          <t>0.25% earn-out; total = ~0.59% EAI up-front + 0.25% = ~0.84%</t>
        </is>
      </c>
    </row>
    <row r="30" ht="22" customHeight="1">
      <c r="A30" s="5" t="inlineStr">
        <is>
          <t>Earn-out ii — Exos stock % of FD shares (high, earn-out only)</t>
        </is>
      </c>
      <c r="B30" s="9" t="n">
        <v>0.005</v>
      </c>
      <c r="C30" s="10" t="inlineStr">
        <is>
          <t>0.5% earn-out; total = ~0.59% EAI up-front + 0.5% = ~1.09%</t>
        </is>
      </c>
    </row>
    <row r="31" ht="22" customHeight="1">
      <c r="A31" s="5" t="inlineStr">
        <is>
          <t>Earn-out ii — assumed listing price (low) ($)</t>
        </is>
      </c>
      <c r="B31" s="8" t="n">
        <v>200000000</v>
      </c>
      <c r="C31" s="10" t="inlineStr">
        <is>
          <t>FNEX RTO min $250M MEV; low scenario</t>
        </is>
      </c>
    </row>
    <row r="32" ht="22" customHeight="1">
      <c r="A32" s="5" t="inlineStr">
        <is>
          <t>Earn-out ii — assumed listing price (base) ($)</t>
        </is>
      </c>
      <c r="B32" s="8" t="n">
        <v>250000000</v>
      </c>
      <c r="C32" s="10" t="inlineStr">
        <is>
          <t>FNEX RTO minimum MEV</t>
        </is>
      </c>
    </row>
    <row r="33" ht="22" customHeight="1">
      <c r="A33" s="5" t="inlineStr">
        <is>
          <t>Earn-out ii — assumed listing price (high) ($)</t>
        </is>
      </c>
      <c r="B33" s="8" t="n">
        <v>300000000</v>
      </c>
      <c r="C33" s="10" t="inlineStr">
        <is>
          <t>Management assumption — unverified</t>
        </is>
      </c>
    </row>
    <row r="34" ht="22" customHeight="1">
      <c r="A34" s="5" t="inlineStr">
        <is>
          <t>Earn-out ii — lockup (principals' terms)</t>
        </is>
      </c>
      <c r="B34" s="6" t="n">
        <v>12</v>
      </c>
      <c r="C34" s="10" t="inlineStr">
        <is>
          <t>Same lockup terms as Exos principals (modeled ~12 months)</t>
        </is>
      </c>
    </row>
    <row r="35" ht="22" customHeight="1">
      <c r="A35" s="5" t="inlineStr">
        <is>
          <t>EAI up-front equity — % FD shares at close</t>
        </is>
      </c>
      <c r="B35" s="9" t="n">
        <v>0.005893</v>
      </c>
      <c r="C35" s="10" t="inlineStr">
        <is>
          <t>~0.59% EAI units (Rule 504); $1,000,000 / $169.7M Eqvista 409A = ~0.589%; committed at SSLC board acceptance; issued at financing close</t>
        </is>
      </c>
    </row>
    <row r="36" ht="20" customHeight="1">
      <c r="A36" s="11" t="inlineStr">
        <is>
          <t>ACTUALS-ANCHORED CASE — SSLC HISTORICAL &amp; PROJECTED FINANCIALS</t>
        </is>
      </c>
    </row>
    <row r="37" ht="22" customHeight="1">
      <c r="A37" s="5" t="inlineStr">
        <is>
          <t>SSLC FY26 actual revenue ($)</t>
        </is>
      </c>
      <c r="B37" s="8" t="n">
        <v>1925000</v>
      </c>
      <c r="C37" s="7" t="inlineStr">
        <is>
          <t>SSLC QB FY26 actuals (John 10/2 QB pull)</t>
        </is>
      </c>
    </row>
    <row r="38" ht="22" customHeight="1">
      <c r="A38" s="5" t="inlineStr">
        <is>
          <t>SSLC FY26 operating loss ($)</t>
        </is>
      </c>
      <c r="B38" s="8" t="n">
        <v>-416000</v>
      </c>
      <c r="C38" s="7" t="inlineStr">
        <is>
          <t>SSLC QB FY26 actuals</t>
        </is>
      </c>
    </row>
    <row r="39" ht="22" customHeight="1">
      <c r="A39" s="5" t="inlineStr">
        <is>
          <t>SSLC FY26 net income ($)</t>
        </is>
      </c>
      <c r="B39" s="8" t="n">
        <v>-78000</v>
      </c>
      <c r="C39" s="7" t="inlineStr">
        <is>
          <t>Net of one-time $287K ERC credit</t>
        </is>
      </c>
    </row>
    <row r="40" ht="22" customHeight="1">
      <c r="A40" s="5" t="inlineStr">
        <is>
          <t>SSLC FY27 Q1 actual revenue ($)</t>
        </is>
      </c>
      <c r="B40" s="8" t="n">
        <v>713000</v>
      </c>
      <c r="C40" s="7" t="inlineStr">
        <is>
          <t>SSLC QB FY27 Q1 (Sep not yet closed, John 10/2)</t>
        </is>
      </c>
    </row>
    <row r="41" ht="22" customHeight="1">
      <c r="A41" s="5" t="inlineStr">
        <is>
          <t>SSLC FY27 billed-ahead + deposits ($)</t>
        </is>
      </c>
      <c r="B41" s="8" t="n">
        <v>984000</v>
      </c>
      <c r="C41" s="7" t="inlineStr">
        <is>
          <t>FY27 Q1 QB: $864K billed-ahead + $120K deposits</t>
        </is>
      </c>
    </row>
    <row r="42" ht="22" customHeight="1">
      <c r="A42" s="5" t="inlineStr">
        <is>
          <t>SSLC cash at QB date ($)</t>
        </is>
      </c>
      <c r="B42" s="8" t="n">
        <v>198000</v>
      </c>
      <c r="C42" s="7" t="inlineStr">
        <is>
          <t>SSLC QB FY27 Q1 (10/2/2026)</t>
        </is>
      </c>
    </row>
    <row r="43" ht="22" customHeight="1">
      <c r="A43" s="5" t="inlineStr">
        <is>
          <t>Exos % of SSLC revenue (FY26)</t>
        </is>
      </c>
      <c r="B43" s="12" t="n">
        <v>0.236</v>
      </c>
      <c r="C43" s="7" t="inlineStr">
        <is>
          <t>23.6% per John 10/2 board meeting</t>
        </is>
      </c>
    </row>
    <row r="44" ht="22" customHeight="1">
      <c r="A44" s="5" t="inlineStr">
        <is>
          <t>Markus: IM tank revenue FY27 firm ($)</t>
        </is>
      </c>
      <c r="B44" s="8" t="n">
        <v>5000000</v>
      </c>
      <c r="C44" s="7" t="inlineStr">
        <is>
          <t>Markus Rufer confirmed ~$5M firm for 2027, 14–16 tanks (John 10/2)</t>
        </is>
      </c>
    </row>
    <row r="45" ht="22" customHeight="1">
      <c r="A45" s="5" t="inlineStr">
        <is>
          <t>SSLC assumed COGS % (FY27+, actuals-anchored)</t>
        </is>
      </c>
      <c r="B45" s="12" t="n">
        <v>0.52</v>
      </c>
      <c r="C45" s="7" t="inlineStr">
        <is>
          <t>Derived from FY26 implied P&amp;L</t>
        </is>
      </c>
    </row>
    <row r="46" ht="22" customHeight="1">
      <c r="A46" s="5" t="inlineStr">
        <is>
          <t>SSLC assumed OpEx base FY27 ($)</t>
        </is>
      </c>
      <c r="B46" s="8" t="n">
        <v>1400000</v>
      </c>
      <c r="C46" s="7" t="inlineStr">
        <is>
          <t>Small team (~10-12 people, Torrance)</t>
        </is>
      </c>
    </row>
    <row r="47" ht="22" customHeight="1">
      <c r="A47" s="5" t="inlineStr">
        <is>
          <t>SSLC OpEx annual growth rate (FY28+)</t>
        </is>
      </c>
      <c r="B47" s="12" t="n">
        <v>0.08</v>
      </c>
      <c r="C47" s="7" t="inlineStr">
        <is>
          <t>Management assumption</t>
        </is>
      </c>
    </row>
    <row r="48" ht="22" customHeight="1">
      <c r="A48" s="5" t="inlineStr">
        <is>
          <t>SSLC FY27 projected annual revenue, actuals-anchored ($)</t>
        </is>
      </c>
      <c r="B48" s="8" t="n">
        <v>5500000</v>
      </c>
      <c r="C48" s="7" t="inlineStr">
        <is>
          <t>FIX 10/7: quarterly total = Q1 $713K + Q2-Q4 $4,787K = $5.5M. Prior annual formula used FY26 actual ($1.925M) + IM tanks ($5M) = $6.925M — inconsistent. Correct basis is Q1 actuals + Q2-Q4 distribution of $5M firm IM ramp.</t>
        </is>
      </c>
    </row>
    <row r="49" ht="22" customHeight="1">
      <c r="A49" s="5" t="inlineStr">
        <is>
          <t>SSLC revenue FY28 ($)</t>
        </is>
      </c>
      <c r="B49" s="8" t="n">
        <v>7500000</v>
      </c>
      <c r="C49" s="7" t="inlineStr">
        <is>
          <t>IM Nebula OTV ramp</t>
        </is>
      </c>
    </row>
    <row r="50" ht="22" customHeight="1">
      <c r="A50" s="5" t="inlineStr">
        <is>
          <t>SSLC revenue FY29 ($)</t>
        </is>
      </c>
      <c r="B50" s="8" t="n">
        <v>10000000</v>
      </c>
      <c r="C50" s="7" t="inlineStr">
        <is>
          <t>IM scaling + new contracts</t>
        </is>
      </c>
    </row>
    <row r="51" ht="22" customHeight="1">
      <c r="A51" s="5" t="inlineStr">
        <is>
          <t>SSLC revenue FY30 ($)</t>
        </is>
      </c>
      <c r="B51" s="8" t="n">
        <v>13000000</v>
      </c>
      <c r="C51" s="7" t="inlineStr">
        <is>
          <t>Management assumption</t>
        </is>
      </c>
    </row>
    <row r="52" ht="22" customHeight="1">
      <c r="A52" s="5" t="inlineStr">
        <is>
          <t>SSLC revenue FY31 ($)</t>
        </is>
      </c>
      <c r="B52" s="8" t="n">
        <v>16500000</v>
      </c>
      <c r="C52" s="7" t="inlineStr">
        <is>
          <t>Management assumption</t>
        </is>
      </c>
    </row>
    <row r="53" ht="22" customHeight="1">
      <c r="A53" s="5" t="inlineStr">
        <is>
          <t>v15 benchmark — SSLC acq revenue Y1 ($)</t>
        </is>
      </c>
      <c r="B53" s="8" t="n">
        <v>900000</v>
      </c>
      <c r="C53" s="7" t="inlineStr">
        <is>
          <t>Old acquisition model (pre-commission, pre-IM-tank); Option B exceeds</t>
        </is>
      </c>
    </row>
    <row r="54" ht="22" customHeight="1">
      <c r="A54" s="5" t="inlineStr">
        <is>
          <t>v15 benchmark — SSLC acq revenue Y5 ($)</t>
        </is>
      </c>
      <c r="B54" s="8" t="n">
        <v>21000000</v>
      </c>
      <c r="C54" s="7" t="inlineStr">
        <is>
          <t>Old acquisition model v15 benchmark</t>
        </is>
      </c>
    </row>
    <row r="56" ht="20" customHeight="1">
      <c r="A56" s="11" t="inlineStr">
        <is>
          <t>ACTUALS-ANCHORED CASE — EXOS STANDALONE (excl. SSLC commission post-close)</t>
        </is>
      </c>
    </row>
    <row r="57" ht="22" customHeight="1">
      <c r="A57" s="5" t="inlineStr">
        <is>
          <t>Exos standalone revenue FY27 ($)</t>
        </is>
      </c>
      <c r="B57" s="8" t="n">
        <v>2600000</v>
      </c>
      <c r="C57" s="10" t="inlineStr">
        <is>
          <t>entX $1.6M + TACFI $0.8M + other $0.2M (v15 baseline excl. SSLC commission)</t>
        </is>
      </c>
    </row>
    <row r="58" ht="22" customHeight="1">
      <c r="A58" s="5" t="inlineStr">
        <is>
          <t>Exos standalone revenue FY28 ($)</t>
        </is>
      </c>
      <c r="B58" s="8" t="n">
        <v>4500000</v>
      </c>
      <c r="C58" s="10" t="inlineStr">
        <is>
          <t>BLK3 first flight + TACFI scale</t>
        </is>
      </c>
    </row>
    <row r="59" ht="22" customHeight="1">
      <c r="A59" s="5" t="inlineStr">
        <is>
          <t>Exos standalone revenue FY29 ($)</t>
        </is>
      </c>
      <c r="B59" s="8" t="n">
        <v>7000000</v>
      </c>
      <c r="C59" s="10" t="inlineStr">
        <is>
          <t>Management assumption</t>
        </is>
      </c>
    </row>
    <row r="60" ht="22" customHeight="1">
      <c r="A60" s="5" t="inlineStr">
        <is>
          <t>Exos standalone revenue FY30 ($)</t>
        </is>
      </c>
      <c r="B60" s="8" t="n">
        <v>11000000</v>
      </c>
      <c r="C60" s="10" t="inlineStr">
        <is>
          <t>Management assumption</t>
        </is>
      </c>
    </row>
    <row r="61" ht="22" customHeight="1">
      <c r="A61" s="5" t="inlineStr">
        <is>
          <t>Exos standalone revenue FY31 ($)</t>
        </is>
      </c>
      <c r="B61" s="8" t="n">
        <v>16000000</v>
      </c>
      <c r="C61" s="10" t="inlineStr">
        <is>
          <t>Management assumption</t>
        </is>
      </c>
    </row>
    <row r="62" ht="22" customHeight="1">
      <c r="A62" s="5" t="inlineStr">
        <is>
          <t>Exos standalone EBITDA FY27 ($)</t>
        </is>
      </c>
      <c r="B62" s="8" t="n">
        <v>-4000000</v>
      </c>
      <c r="C62" s="10" t="inlineStr">
        <is>
          <t>Pre-BLK3 flight investment phase</t>
        </is>
      </c>
    </row>
    <row r="63" ht="22" customHeight="1">
      <c r="A63" s="5" t="inlineStr">
        <is>
          <t>Exos standalone EBITDA FY28 ($)</t>
        </is>
      </c>
      <c r="B63" s="8" t="n">
        <v>-1500000</v>
      </c>
      <c r="C63" s="10" t="inlineStr">
        <is>
          <t>BLK3 flying, BLK4 dev</t>
        </is>
      </c>
    </row>
    <row r="64" ht="22" customHeight="1">
      <c r="A64" s="5" t="inlineStr">
        <is>
          <t>Exos standalone EBITDA FY29 ($)</t>
        </is>
      </c>
      <c r="B64" s="8" t="n">
        <v>500000</v>
      </c>
      <c r="C64" s="10" t="inlineStr">
        <is>
          <t>Approaching breakeven</t>
        </is>
      </c>
    </row>
    <row r="65" ht="22" customHeight="1">
      <c r="A65" s="5" t="inlineStr">
        <is>
          <t>Exos standalone EBITDA FY30 ($)</t>
        </is>
      </c>
      <c r="B65" s="8" t="n">
        <v>2500000</v>
      </c>
      <c r="C65" s="10" t="inlineStr">
        <is>
          <t>Management assumption</t>
        </is>
      </c>
    </row>
    <row r="66" ht="22" customHeight="1">
      <c r="A66" s="5" t="inlineStr">
        <is>
          <t>Exos standalone EBITDA FY31 ($)</t>
        </is>
      </c>
      <c r="B66" s="8" t="n">
        <v>5000000</v>
      </c>
      <c r="C66" s="10" t="inlineStr">
        <is>
          <t>Management assumption</t>
        </is>
      </c>
    </row>
    <row r="67" ht="22" customHeight="1">
      <c r="A67" s="5" t="inlineStr">
        <is>
          <t>Intercompany Exos purchases from SSLC FY27 ($)</t>
        </is>
      </c>
      <c r="B67" s="8" t="n">
        <v>500000</v>
      </c>
      <c r="C67" s="10" t="inlineStr">
        <is>
          <t>Exos BLK3 tank purchases from SSLC; eliminated on consolidation</t>
        </is>
      </c>
    </row>
    <row r="68" ht="22" customHeight="1">
      <c r="A68" s="5" t="inlineStr">
        <is>
          <t>Intercompany growth rate FY28+ (%)</t>
        </is>
      </c>
      <c r="B68" s="12" t="n">
        <v>0.15</v>
      </c>
      <c r="C68" s="10" t="inlineStr">
        <is>
          <t>Management assumption</t>
        </is>
      </c>
    </row>
    <row r="70" ht="20" customHeight="1">
      <c r="A70" s="13" t="inlineStr">
        <is>
          <t>OLD-MODEL CASE (v12 DRIVERS) — source: v12 Annual P&amp;L, recalculated 10/7</t>
        </is>
      </c>
    </row>
    <row r="71" ht="40" customHeight="1">
      <c r="A71" s="7" t="inlineStr">
        <is>
          <t>NOTE: v12 Month 1 = July 2026; Y1=FY27, Y2=FY28, …Y5=FY31. Scorpius tank drivers: units 1.5→9/month ramp; ASP $183K Y1 +50% Y2 +25%/yr Y3-Y5 → ~$536K Y5; COGS 35% Y1-Y2, 30% Y3-Y5. Exos standalone derived = total − Scorpius tanks.</t>
        </is>
      </c>
    </row>
    <row r="72" ht="22" customHeight="1">
      <c r="A72" s="14" t="inlineStr">
        <is>
          <t>— v12 Scorpius tank ASP Y1 ($)</t>
        </is>
      </c>
      <c r="B72" s="15" t="n">
        <v>183000</v>
      </c>
      <c r="C72" s="16" t="inlineStr">
        <is>
          <t>Controls!B31 — confirmed in model</t>
        </is>
      </c>
    </row>
    <row r="73" ht="22" customHeight="1">
      <c r="A73" s="14" t="inlineStr">
        <is>
          <t>— v12 Scorpius tank ASP Y5 ($, approx)</t>
        </is>
      </c>
      <c r="B73" s="15" t="n">
        <v>536000</v>
      </c>
      <c r="C73" s="16" t="inlineStr">
        <is>
          <t>$183K × 1.50 × 1.25 × 1.25 × 1.25 ≈ $536K</t>
        </is>
      </c>
    </row>
    <row r="74" ht="22" customHeight="1">
      <c r="A74" s="14" t="inlineStr">
        <is>
          <t>— v12 Scorpius COGS Y1-Y2 (%)</t>
        </is>
      </c>
      <c r="B74" s="17" t="n">
        <v>0.35</v>
      </c>
      <c r="C74" s="16" t="inlineStr">
        <is>
          <t>Controls!B54 = 35%</t>
        </is>
      </c>
    </row>
    <row r="75" ht="22" customHeight="1">
      <c r="A75" s="14" t="inlineStr">
        <is>
          <t>— v12 Scorpius COGS Y3-Y5 (%)</t>
        </is>
      </c>
      <c r="B75" s="17" t="n">
        <v>0.3</v>
      </c>
      <c r="C75" s="16" t="inlineStr">
        <is>
          <t>Controls!E54 = 30%</t>
        </is>
      </c>
    </row>
    <row r="76" ht="22" customHeight="1">
      <c r="A76" s="14" t="inlineStr">
        <is>
          <t>— v12 SSLC/Scorpius revenue Y1 FY27 ($)</t>
        </is>
      </c>
      <c r="B76" s="15" t="n">
        <v>4120000</v>
      </c>
      <c r="C76" s="16" t="inlineStr">
        <is>
          <t>v12 Annual P&amp;L 'Revenue from Scorpius Space Tank Sales' Y1, recalculated 10/7</t>
        </is>
      </c>
    </row>
    <row r="77" ht="22" customHeight="1">
      <c r="A77" s="14" t="inlineStr">
        <is>
          <t>— v12 SSLC/Scorpius revenue Y2 FY28 ($)</t>
        </is>
      </c>
      <c r="B77" s="15" t="n">
        <v>8680000</v>
      </c>
      <c r="C77" s="16" t="inlineStr">
        <is>
          <t>v12 Annual P&amp;L Y2</t>
        </is>
      </c>
    </row>
    <row r="78" ht="22" customHeight="1">
      <c r="A78" s="14" t="inlineStr">
        <is>
          <t>— v12 SSLC/Scorpius revenue Y3 FY29 ($)</t>
        </is>
      </c>
      <c r="B78" s="15" t="n">
        <v>19220000</v>
      </c>
      <c r="C78" s="16" t="inlineStr">
        <is>
          <t>v12 Annual P&amp;L Y3</t>
        </is>
      </c>
    </row>
    <row r="79" ht="22" customHeight="1">
      <c r="A79" s="14" t="inlineStr">
        <is>
          <t>— v12 SSLC/Scorpius revenue Y4 FY30 ($)</t>
        </is>
      </c>
      <c r="B79" s="15" t="n">
        <v>33880000</v>
      </c>
      <c r="C79" s="16" t="inlineStr">
        <is>
          <t>v12 Annual P&amp;L Y4</t>
        </is>
      </c>
    </row>
    <row r="80" ht="22" customHeight="1">
      <c r="A80" s="14" t="inlineStr">
        <is>
          <t>— v12 SSLC/Scorpius revenue Y5 FY31 ($)</t>
        </is>
      </c>
      <c r="B80" s="15" t="n">
        <v>54690000</v>
      </c>
      <c r="C80" s="16" t="inlineStr">
        <is>
          <t>v12 Annual P&amp;L Y5</t>
        </is>
      </c>
    </row>
    <row r="81" ht="22" customHeight="1">
      <c r="A81" s="14" t="inlineStr">
        <is>
          <t>— v12 Total consolidated revenue Y1 ($)</t>
        </is>
      </c>
      <c r="B81" s="15" t="n">
        <v>8880000</v>
      </c>
      <c r="C81" s="16" t="inlineStr">
        <is>
          <t>v12 Annual P&amp;L 'Total Revenue' Y1</t>
        </is>
      </c>
    </row>
    <row r="82" ht="22" customHeight="1">
      <c r="A82" s="14" t="inlineStr">
        <is>
          <t>— v12 Total consolidated revenue Y2 ($)</t>
        </is>
      </c>
      <c r="B82" s="15" t="n">
        <v>21350000</v>
      </c>
      <c r="C82" s="16" t="inlineStr">
        <is>
          <t>v12 Annual P&amp;L Y2</t>
        </is>
      </c>
    </row>
    <row r="83" ht="22" customHeight="1">
      <c r="A83" s="14" t="inlineStr">
        <is>
          <t>— v12 Total consolidated revenue Y3 ($)</t>
        </is>
      </c>
      <c r="B83" s="15" t="n">
        <v>48590000</v>
      </c>
      <c r="C83" s="16" t="inlineStr">
        <is>
          <t>v12 Annual P&amp;L Y3</t>
        </is>
      </c>
    </row>
    <row r="84" ht="22" customHeight="1">
      <c r="A84" s="14" t="inlineStr">
        <is>
          <t>— v12 Total consolidated revenue Y4 ($)</t>
        </is>
      </c>
      <c r="B84" s="15" t="n">
        <v>95920000</v>
      </c>
      <c r="C84" s="16" t="inlineStr">
        <is>
          <t>v12 Annual P&amp;L Y4</t>
        </is>
      </c>
    </row>
    <row r="85" ht="22" customHeight="1">
      <c r="A85" s="14" t="inlineStr">
        <is>
          <t>— v12 Total consolidated revenue Y5 ($)</t>
        </is>
      </c>
      <c r="B85" s="15" t="n">
        <v>179190000</v>
      </c>
      <c r="C85" s="16" t="inlineStr">
        <is>
          <t>v12 Annual P&amp;L Y5</t>
        </is>
      </c>
    </row>
    <row r="86" ht="22" customHeight="1">
      <c r="A86" s="14" t="inlineStr">
        <is>
          <t>— v12 Exos standalone revenue Y1 ($)</t>
        </is>
      </c>
      <c r="B86" s="15">
        <f>B81-B76</f>
        <v/>
      </c>
      <c r="C86" s="16" t="inlineStr">
        <is>
          <t>Derived: v12 total − Scorpius</t>
        </is>
      </c>
    </row>
    <row r="87" ht="22" customHeight="1">
      <c r="A87" s="14" t="inlineStr">
        <is>
          <t>— v12 Exos standalone revenue Y2 ($)</t>
        </is>
      </c>
      <c r="B87" s="15">
        <f>B82-B77</f>
        <v/>
      </c>
      <c r="C87" s="16" t="inlineStr">
        <is>
          <t>Derived</t>
        </is>
      </c>
    </row>
    <row r="88" ht="22" customHeight="1">
      <c r="A88" s="14" t="inlineStr">
        <is>
          <t>— v12 Exos standalone revenue Y3 ($)</t>
        </is>
      </c>
      <c r="B88" s="15">
        <f>B83-B78</f>
        <v/>
      </c>
      <c r="C88" s="16" t="inlineStr">
        <is>
          <t>Derived</t>
        </is>
      </c>
    </row>
    <row r="89" ht="22" customHeight="1">
      <c r="A89" s="14" t="inlineStr">
        <is>
          <t>— v12 Exos standalone revenue Y4 ($)</t>
        </is>
      </c>
      <c r="B89" s="15">
        <f>B84-B79</f>
        <v/>
      </c>
      <c r="C89" s="16" t="inlineStr">
        <is>
          <t>Derived</t>
        </is>
      </c>
    </row>
    <row r="90" ht="22" customHeight="1">
      <c r="A90" s="14" t="inlineStr">
        <is>
          <t>— v12 Exos standalone revenue Y5 ($)</t>
        </is>
      </c>
      <c r="B90" s="15">
        <f>B85-B80</f>
        <v/>
      </c>
      <c r="C90" s="16" t="inlineStr">
        <is>
          <t>Derived</t>
        </is>
      </c>
    </row>
    <row r="91" ht="22" customHeight="1">
      <c r="A91" s="14" t="inlineStr">
        <is>
          <t>— v12 Total EBITDA Y1 ($)</t>
        </is>
      </c>
      <c r="B91" s="15" t="n">
        <v>1120000</v>
      </c>
      <c r="C91" s="16" t="inlineStr">
        <is>
          <t>v12 Annual P&amp;L 'EBITDA' Y1, recalculated 10/7</t>
        </is>
      </c>
    </row>
    <row r="92" ht="22" customHeight="1">
      <c r="A92" s="14" t="inlineStr">
        <is>
          <t>— v12 Total EBITDA Y2 ($)</t>
        </is>
      </c>
      <c r="B92" s="15" t="n">
        <v>4120000</v>
      </c>
      <c r="C92" s="16" t="inlineStr">
        <is>
          <t>v12 Annual P&amp;L Y2</t>
        </is>
      </c>
    </row>
    <row r="93" ht="22" customHeight="1">
      <c r="A93" s="14" t="inlineStr">
        <is>
          <t>— v12 Total EBITDA Y3 ($)</t>
        </is>
      </c>
      <c r="B93" s="15" t="n">
        <v>17240000</v>
      </c>
      <c r="C93" s="16" t="inlineStr">
        <is>
          <t>v12 Annual P&amp;L Y3</t>
        </is>
      </c>
    </row>
    <row r="94" ht="22" customHeight="1">
      <c r="A94" s="14" t="inlineStr">
        <is>
          <t>— v12 Total EBITDA Y4 ($)</t>
        </is>
      </c>
      <c r="B94" s="15" t="n">
        <v>42160000</v>
      </c>
      <c r="C94" s="16" t="inlineStr">
        <is>
          <t>v12 Annual P&amp;L Y4</t>
        </is>
      </c>
    </row>
    <row r="95" ht="22" customHeight="1">
      <c r="A95" s="14" t="inlineStr">
        <is>
          <t>— v12 Total EBITDA Y5 ($)</t>
        </is>
      </c>
      <c r="B95" s="15" t="n">
        <v>101610000</v>
      </c>
      <c r="C95" s="16" t="inlineStr">
        <is>
          <t>v12 Annual P&amp;L Y5</t>
        </is>
      </c>
    </row>
    <row r="97" ht="52" customHeight="1">
      <c r="A97" s="18" t="inlineStr">
        <is>
          <t>⚠  v15 UNDERSTATEMENT NOTE: The v15 'Scorpius acquisition benchmark' shows $0.9M→$21M over 5 years. v12's own Scorpius line is $4.1M→$54.7M — 13× larger at Y5. The actuals-anchored case ($5.5M→$16.5M SSLC line) also substantially exceeds v15. Do NOT edit v15; this note records the discrepancy for the board summary.</t>
        </is>
      </c>
    </row>
    <row r="105" ht="20" customHeight="1">
      <c r="A105" s="4" t="inlineStr">
        <is>
          <t>BENEFITS TO SSLC INVESTORS (John 10/7)</t>
        </is>
      </c>
    </row>
    <row r="106" ht="20" customHeight="1">
      <c r="A106" s="5" t="inlineStr">
        <is>
          <t>1. Debt relief at face</t>
        </is>
      </c>
      <c r="B106" s="5" t="inlineStr">
        <is>
          <t>~$500K TBV</t>
        </is>
      </c>
      <c r="C106" s="7" t="inlineStr">
        <is>
          <t>Microcosm/Wertz notes + AP paid; personal path for Jim</t>
        </is>
      </c>
    </row>
    <row r="107" ht="20" customHeight="1">
      <c r="A107" s="5" t="inlineStr">
        <is>
          <t>2. No further capital calls</t>
        </is>
      </c>
      <c r="B107" s="5" t="inlineStr">
        <is>
          <t>Structural</t>
        </is>
      </c>
      <c r="C107" s="7" t="inlineStr">
        <is>
          <t>Investors stop funding a cash-negative entity</t>
        </is>
      </c>
    </row>
    <row r="108" ht="20" customHeight="1">
      <c r="A108" s="5" t="inlineStr">
        <is>
          <t>3. Cash at close</t>
        </is>
      </c>
      <c r="B108" s="5" t="inlineStr">
        <is>
          <t>$2,510,000</t>
        </is>
      </c>
      <c r="C108" s="7" t="inlineStr">
        <is>
          <t>Section 3 deal price cash component</t>
        </is>
      </c>
    </row>
    <row r="109" ht="20" customHeight="1">
      <c r="A109" s="5" t="inlineStr">
        <is>
          <t>4. Earn-out upside — IM tank revenue (5 yrs, FY27–FY31)</t>
        </is>
      </c>
      <c r="B109" s="5" t="inlineStr">
        <is>
          <t>Up to $1.5M</t>
        </is>
      </c>
      <c r="C109" s="7" t="inlineStr">
        <is>
          <t>5%/yr x $5M IM firm; $300K cap; 5-year term</t>
        </is>
      </c>
    </row>
    <row r="110" ht="20" customHeight="1">
      <c r="A110" s="5" t="inlineStr">
        <is>
          <t>5. Milestone earn-outs (up to 5 goals)</t>
        </is>
      </c>
      <c r="B110" s="5" t="inlineStr">
        <is>
          <t>Up to $1.1M</t>
        </is>
      </c>
      <c r="C110" s="7" t="inlineStr">
        <is>
          <t>Goal-based: $5.1M rev, OTV contract, $10M/$20M rev, BLK3 qual</t>
        </is>
      </c>
    </row>
    <row r="111" ht="20" customHeight="1">
      <c r="A111" s="5" t="inlineStr">
        <is>
          <t>6. Up-front EAI equity + stock earn-out upside</t>
        </is>
      </c>
      <c r="B111" s="5" t="inlineStr">
        <is>
          <t>$1,000K + $0–$1,500K at listing</t>
        </is>
      </c>
      <c r="C111" s="7" t="inlineStr">
        <is>
          <t>~0.59% EAI (Rule 504; $1M fixed) at close; 0.0–0.5% earn-out at listing ($200M–$300M)</t>
        </is>
      </c>
    </row>
    <row r="112" ht="20" customHeight="1">
      <c r="A112" s="5" t="inlineStr">
        <is>
          <t>7. Liquidity via listed Exos stock</t>
        </is>
      </c>
      <c r="B112" s="5" t="inlineStr">
        <is>
          <t>Post-RTO ~FY28</t>
        </is>
      </c>
      <c r="C112" s="7" t="inlineStr">
        <is>
          <t>Principals' lockup terms; publicly tradeable thereafter</t>
        </is>
      </c>
    </row>
    <row r="113" ht="20" customHeight="1">
      <c r="A113" s="5" t="inlineStr">
        <is>
          <t>8. IM program continuity</t>
        </is>
      </c>
      <c r="B113" s="5" t="inlineStr">
        <is>
          <t>Operational</t>
        </is>
      </c>
      <c r="C113" s="7" t="inlineStr">
        <is>
          <t>No customer disruption; Exos-SSLC entity delivers</t>
        </is>
      </c>
    </row>
    <row r="115" ht="20" customHeight="1">
      <c r="A115" s="13" t="inlineStr">
        <is>
          <t>HOLD TO YEAR 5 — ASSUMPTIONS (John 10/7)</t>
        </is>
      </c>
    </row>
    <row r="116" ht="28" customHeight="1">
      <c r="A116" s="14" t="inlineStr">
        <is>
          <t>EV/EBITDA multiple (Market Approach, Eqvista 409A 3/31/2026)</t>
        </is>
      </c>
      <c r="B116" s="19" t="n">
        <v>16</v>
      </c>
      <c r="C116" s="20" t="inlineStr">
        <is>
          <t>EV/EBITDA 16x — Eqvista 409A; Market Approach</t>
        </is>
      </c>
    </row>
    <row r="117" ht="28" customHeight="1">
      <c r="A117" s="14" t="inlineStr">
        <is>
          <t>Old-Model (v12) FY31 EBITDA ($)</t>
        </is>
      </c>
      <c r="B117" s="15" t="n">
        <v>101610000</v>
      </c>
      <c r="C117" s="20" t="inlineStr">
        <is>
          <t>v12 Annual P&amp;L Y5 total EBITDA; recalculated 10/7</t>
        </is>
      </c>
    </row>
    <row r="118" ht="28" customHeight="1">
      <c r="A118" s="14" t="inlineStr">
        <is>
          <t>Old-Model FY31 implied EV ($)</t>
        </is>
      </c>
      <c r="B118" s="15">
        <f>B117*B116</f>
        <v/>
      </c>
      <c r="C118" s="20" t="inlineStr">
        <is>
          <t>FY31 EBITDA x 16x = ~$1.626B</t>
        </is>
      </c>
    </row>
    <row r="119" ht="28" customHeight="1">
      <c r="A119" s="14" t="inlineStr">
        <is>
          <t>Actuals-Anchored FY31 EBITDA (est.) ($)</t>
        </is>
      </c>
      <c r="B119" s="15" t="n">
        <v>11000000</v>
      </c>
      <c r="C119" s="20" t="inlineStr">
        <is>
          <t>AA consolidated FY31 (SSLC ~$6.0M + Exos $5.0M); derived from PL sheet</t>
        </is>
      </c>
    </row>
    <row r="120" ht="28" customHeight="1">
      <c r="A120" s="14" t="inlineStr">
        <is>
          <t>Actuals-Anchored FY31 implied EV ($)</t>
        </is>
      </c>
      <c r="B120" s="15">
        <f>B119*B116</f>
        <v/>
      </c>
      <c r="C120" s="20" t="inlineStr">
        <is>
          <t>~$176M — BELOW $250M RTO listing value; see warning row 136</t>
        </is>
      </c>
    </row>
    <row r="121" ht="28" customHeight="1">
      <c r="A121" s="14" t="inlineStr">
        <is>
          <t>SSLC TOTAL stock stake at listing (base = ~0.59% EAI + 0.25% earn-out)</t>
        </is>
      </c>
      <c r="B121" s="21">
        <f>B35+B29</f>
        <v/>
      </c>
      <c r="C121" s="20" t="inlineStr">
        <is>
          <t>Total stake base = ~0.59% up-front EAI (Rule 504; $1M/409A) + 0.25% earn-out = ~0.84% FD</t>
        </is>
      </c>
    </row>
    <row r="122" ht="28" customHeight="1">
      <c r="A122" s="14" t="inlineStr">
        <is>
          <t>Post-listing dilution assumption (flat, mgmt)</t>
        </is>
      </c>
      <c r="B122" s="21" t="n">
        <v>0.3</v>
      </c>
      <c r="C122" s="20" t="inlineStr">
        <is>
          <t>MANAGEMENT ASSUMPTION: Series A $25M staged (D1-D4, ~13%) + RTO issuance (~12%) + option pool (~5%) = ~30% dilution total</t>
        </is>
      </c>
    </row>
    <row r="123" ht="28" customHeight="1">
      <c r="A123" s="14" t="inlineStr">
        <is>
          <t>Dilution factor (1 minus dilution)</t>
        </is>
      </c>
      <c r="B123" s="21">
        <f>1-B122</f>
        <v/>
      </c>
      <c r="C123" s="20" t="inlineStr">
        <is>
          <t>0.70</t>
        </is>
      </c>
    </row>
    <row r="124" ht="28" customHeight="1">
      <c r="A124" s="14" t="inlineStr">
        <is>
          <t>SSLC stake FY31 — base post-dilution (~0.59%+0.25%=~0.84%)</t>
        </is>
      </c>
      <c r="B124" s="21">
        <f>B121*B123</f>
        <v/>
      </c>
      <c r="C124" s="20" t="inlineStr">
        <is>
          <t>~0.84% x 0.70 = ~0.588%</t>
        </is>
      </c>
    </row>
    <row r="125" ht="28" customHeight="1">
      <c r="A125" s="14" t="inlineStr">
        <is>
          <t>SSLC stake FY31 — low post-dilution (~0.59% EAI only)</t>
        </is>
      </c>
      <c r="B125" s="21">
        <f>(B35+B28)*(1-B122)</f>
        <v/>
      </c>
      <c r="C125" s="20" t="inlineStr">
        <is>
          <t>~0.59%+0.0% = ~0.59% x 0.70 = ~0.4125%</t>
        </is>
      </c>
    </row>
    <row r="126" ht="28" customHeight="1">
      <c r="A126" s="14" t="inlineStr">
        <is>
          <t>SSLC stake FY31 — high post-dilution (~0.59%+0.5%=~1.09%)</t>
        </is>
      </c>
      <c r="B126" s="21">
        <f>(B35+B30)*(1-B122)</f>
        <v/>
      </c>
      <c r="C126" s="20" t="inlineStr">
        <is>
          <t>(~0.59%+0.5%) = ~1.09% x 0.70 = ~0.7625%</t>
        </is>
      </c>
    </row>
    <row r="127" ht="28" customHeight="1">
      <c r="A127" s="14" t="inlineStr">
        <is>
          <t>Old-Model FY31 share value — low ($)</t>
        </is>
      </c>
      <c r="B127" s="21">
        <f>B118*B125</f>
        <v/>
      </c>
      <c r="C127" s="20" t="inlineStr">
        <is>
          <t>~$6.7M</t>
        </is>
      </c>
    </row>
    <row r="128" ht="28" customHeight="1">
      <c r="A128" s="14" t="inlineStr">
        <is>
          <t>Old-Model FY31 share value — base ($)</t>
        </is>
      </c>
      <c r="B128" s="21">
        <f>B118*B124</f>
        <v/>
      </c>
      <c r="C128" s="20" t="inlineStr">
        <is>
          <t>~$9.6M</t>
        </is>
      </c>
    </row>
    <row r="129" ht="28" customHeight="1">
      <c r="A129" s="14" t="inlineStr">
        <is>
          <t>Old-Model FY31 share value — high ($)</t>
        </is>
      </c>
      <c r="B129" s="21">
        <f>B118*B126</f>
        <v/>
      </c>
      <c r="C129" s="20" t="inlineStr">
        <is>
          <t>~$12.4M</t>
        </is>
      </c>
    </row>
    <row r="130" ht="28" customHeight="1">
      <c r="A130" s="14" t="inlineStr">
        <is>
          <t>AA FY31 share value — low ($)</t>
        </is>
      </c>
      <c r="B130" s="21">
        <f>B120*B125</f>
        <v/>
      </c>
      <c r="C130" s="20" t="inlineStr">
        <is>
          <t>~$616K</t>
        </is>
      </c>
    </row>
    <row r="131" ht="28" customHeight="1">
      <c r="A131" s="14" t="inlineStr">
        <is>
          <t>AA FY31 share value — base ($)</t>
        </is>
      </c>
      <c r="B131" s="21">
        <f>B120*B124</f>
        <v/>
      </c>
      <c r="C131" s="20" t="inlineStr">
        <is>
          <t>~$924K</t>
        </is>
      </c>
    </row>
    <row r="132" ht="28" customHeight="1">
      <c r="A132" s="14" t="inlineStr">
        <is>
          <t>AA FY31 share value — high ($)</t>
        </is>
      </c>
      <c r="B132" s="21">
        <f>B120*B126</f>
        <v/>
      </c>
      <c r="C132" s="20" t="inlineStr">
        <is>
          <t>~$1.23M</t>
        </is>
      </c>
    </row>
    <row r="133" ht="28" customHeight="1">
      <c r="A133" s="14" t="inlineStr">
        <is>
          <t>Multiple v earn-out at-listing — Old-Model base</t>
        </is>
      </c>
      <c r="B133" s="21">
        <f>B128/(Assumptions!B29*Assumptions!B32)</f>
        <v/>
      </c>
      <c r="C133" s="20" t="inlineStr">
        <is>
          <t>Compares FY31 hold value to earn-out-only at-listing ($625K); multiple reflects earn-out upside only</t>
        </is>
      </c>
    </row>
    <row r="134" ht="28" customHeight="1">
      <c r="A134" s="14" t="inlineStr">
        <is>
          <t>Multiple v earn-out at-listing — AA base</t>
        </is>
      </c>
      <c r="B134" s="21">
        <f>B131/(Assumptions!B29*Assumptions!B32)</f>
        <v/>
      </c>
      <c r="C134" s="20" t="inlineStr">
        <is>
          <t>AA FY31 EV BELOW listing; stock worth less by FY31 in AA case (earn-out portion only)</t>
        </is>
      </c>
    </row>
    <row r="136" ht="42" customHeight="1">
      <c r="A136" s="18" t="inlineStr">
        <is>
          <t>WARNING: AA CASE Y5 HOLD — Actuals-Anchored FY31 EV (~$176M) is BELOW the $250M RTO listing value. In the AA case, holding to FY31 yields LESS than the at-listing earn-out. This reflects conservative actuals-based projections, not a flaw in the deal. Old-Model (v12) FY31 EV ~$1.63B yields ~4.6x the at-listing stock value.</t>
        </is>
      </c>
    </row>
  </sheetData>
  <mergeCells count="12">
    <mergeCell ref="A115:C115"/>
    <mergeCell ref="A36:C36"/>
    <mergeCell ref="A71:C71"/>
    <mergeCell ref="A1:C1"/>
    <mergeCell ref="A5:C5"/>
    <mergeCell ref="A22:C22"/>
    <mergeCell ref="A97:C97"/>
    <mergeCell ref="A56:C56"/>
    <mergeCell ref="A70:C70"/>
    <mergeCell ref="A136:C136"/>
    <mergeCell ref="A105:C105"/>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38" customWidth="1" min="1" max="1"/>
    <col width="16" customWidth="1" min="2" max="2"/>
    <col width="16" customWidth="1" min="3" max="3"/>
    <col width="16" customWidth="1" min="4" max="4"/>
    <col width="28" customWidth="1" min="5" max="5"/>
  </cols>
  <sheetData>
    <row r="1" ht="22" customHeight="1">
      <c r="A1" s="22" t="inlineStr">
        <is>
          <t>SSLC Option B — Deal Structure, Sources &amp; Uses, Earn-Out Analysis</t>
        </is>
      </c>
    </row>
    <row r="2" ht="30" customHeight="1">
      <c r="A2" s="10" t="inlineStr">
        <is>
          <t>Option B: invoke §3 exclusivity at $3.36M base + earn-out (IM tank revenue and/or Exos stock post-listing). SSLC debts paid at face. DRAFT — negotiation-stage terms.</t>
        </is>
      </c>
    </row>
    <row r="4">
      <c r="A4" s="23" t="inlineStr">
        <is>
          <t>SOURCES &amp; USES AT CLOSE</t>
        </is>
      </c>
    </row>
    <row r="5">
      <c r="A5" s="24" t="inlineStr">
        <is>
          <t>Line Item</t>
        </is>
      </c>
      <c r="B5" s="24" t="inlineStr">
        <is>
          <t>Amount ($)</t>
        </is>
      </c>
      <c r="C5" s="24" t="inlineStr"/>
      <c r="D5" s="24" t="inlineStr"/>
      <c r="E5" s="24" t="inlineStr">
        <is>
          <t>Notes</t>
        </is>
      </c>
    </row>
    <row r="6" ht="18" customHeight="1">
      <c r="A6" s="25" t="inlineStr">
        <is>
          <t>USES</t>
        </is>
      </c>
    </row>
    <row r="7" ht="18" customHeight="1">
      <c r="A7" t="inlineStr">
        <is>
          <t xml:space="preserve">  Cash to SSLC sellers at close</t>
        </is>
      </c>
      <c r="B7" s="26">
        <f>Assumptions!B10</f>
        <v/>
      </c>
      <c r="E7" s="10" t="inlineStr">
        <is>
          <t>§3 deal price — cash component</t>
        </is>
      </c>
    </row>
    <row r="8" ht="18" customHeight="1">
      <c r="A8" t="inlineStr">
        <is>
          <t xml:space="preserve">  SSLC closing costs (sellers)</t>
        </is>
      </c>
      <c r="B8" s="26">
        <f>Assumptions!B11</f>
        <v/>
      </c>
      <c r="E8" s="10" t="inlineStr">
        <is>
          <t>Per §3 deal price</t>
        </is>
      </c>
    </row>
    <row r="9" ht="18" customHeight="1">
      <c r="A9" t="inlineStr">
        <is>
          <t xml:space="preserve">  SSLC debts assumed at face</t>
        </is>
      </c>
      <c r="B9" s="26">
        <f>Assumptions!B14</f>
        <v/>
      </c>
      <c r="E9" s="10" t="inlineStr">
        <is>
          <t>Microcosm/Wertz notes + AP — TO VERIFY IN SSLC QB</t>
        </is>
      </c>
    </row>
    <row r="10" ht="18" customHeight="1">
      <c r="A10" t="inlineStr">
        <is>
          <t xml:space="preserve">  Working capital bridge (mid-point)</t>
        </is>
      </c>
      <c r="B10" s="26">
        <f>Assumptions!B16</f>
        <v/>
      </c>
      <c r="E10" s="10" t="inlineStr">
        <is>
          <t>SSLC needs $0.3–0.7M to finish paid-for work</t>
        </is>
      </c>
    </row>
    <row r="11" ht="18" customHeight="1">
      <c r="A11" t="inlineStr">
        <is>
          <t xml:space="preserve">  Less: Exos stake credit (18%)</t>
        </is>
      </c>
      <c r="B11" s="26">
        <f>-Assumptions!B12</f>
        <v/>
      </c>
      <c r="E11" s="10" t="inlineStr">
        <is>
          <t>18% equity at 2021 basis — reduces net cash</t>
        </is>
      </c>
    </row>
    <row r="12" ht="18" customHeight="1">
      <c r="A12" t="inlineStr">
        <is>
          <t xml:space="preserve">  5% escrow holdback (§7, 12 mo.)</t>
        </is>
      </c>
      <c r="B12" s="26">
        <f>Assumptions!B13</f>
        <v/>
      </c>
      <c r="E12" s="10" t="inlineStr">
        <is>
          <t>Released at 12-month anniversary</t>
        </is>
      </c>
    </row>
    <row r="13" ht="18" customHeight="1">
      <c r="A13" s="27" t="inlineStr">
        <is>
          <t>TOTAL USES</t>
        </is>
      </c>
      <c r="B13" s="28">
        <f>SUM(B7:B12)</f>
        <v/>
      </c>
      <c r="C13" s="27" t="n"/>
      <c r="D13" s="27" t="n"/>
      <c r="E13" s="27" t="inlineStr">
        <is>
          <t>Net cash out-of-pocket at close + escrow</t>
        </is>
      </c>
    </row>
    <row r="14" ht="18" customHeight="1">
      <c r="E14" s="10" t="inlineStr"/>
    </row>
    <row r="15" ht="18" customHeight="1">
      <c r="A15" s="25" t="inlineStr">
        <is>
          <t>SOURCES</t>
        </is>
      </c>
    </row>
    <row r="16" ht="18" customHeight="1">
      <c r="A16" t="inlineStr">
        <is>
          <t xml:space="preserve">  Series A first close (allocated to SSLC)</t>
        </is>
      </c>
      <c r="B16" s="26">
        <f>Assumptions!B10+Assumptions!B16</f>
        <v/>
      </c>
      <c r="E16" s="10" t="inlineStr">
        <is>
          <t>SSLC acquisition + WC bridge from Series A</t>
        </is>
      </c>
    </row>
    <row r="17" ht="18" customHeight="1">
      <c r="A17" t="inlineStr">
        <is>
          <t xml:space="preserve">  Exos stake credit (non-cash)</t>
        </is>
      </c>
      <c r="B17" s="26">
        <f>Assumptions!B12</f>
        <v/>
      </c>
      <c r="E17" s="10" t="inlineStr">
        <is>
          <t>Existing 18% stake reduces cash required</t>
        </is>
      </c>
    </row>
    <row r="18" ht="18" customHeight="1">
      <c r="A18" s="27" t="inlineStr">
        <is>
          <t>TOTAL SOURCES</t>
        </is>
      </c>
      <c r="B18" s="28">
        <f>B16+B17</f>
        <v/>
      </c>
      <c r="C18" s="27" t="n"/>
      <c r="D18" s="27" t="n"/>
      <c r="E18" s="27" t="inlineStr"/>
    </row>
    <row r="19" ht="18" customHeight="1">
      <c r="A19" s="27" t="inlineStr">
        <is>
          <t>Check (Sources − Uses)</t>
        </is>
      </c>
      <c r="B19" s="28">
        <f>B18-B13</f>
        <v/>
      </c>
      <c r="C19" s="27" t="n"/>
      <c r="D19" s="27" t="n"/>
      <c r="E19" s="27" t="inlineStr">
        <is>
          <t>Should = 0; debt payoff from SSLC operating cash</t>
        </is>
      </c>
    </row>
    <row r="21" ht="20" customHeight="1">
      <c r="A21" s="23" t="inlineStr">
        <is>
          <t>EARN-OUT MECHANICS (two variants shown side by side; combined option in Col D)</t>
        </is>
      </c>
    </row>
    <row r="22">
      <c r="A22" s="29" t="inlineStr">
        <is>
          <t>Metric</t>
        </is>
      </c>
      <c r="B22" s="29" t="inlineStr">
        <is>
          <t>Earn-Out i: IM Tank Revenue %</t>
        </is>
      </c>
      <c r="C22" s="29" t="inlineStr">
        <is>
          <t>Earn-Out ii: Exos Stock post-RTO</t>
        </is>
      </c>
      <c r="D22" s="29" t="inlineStr">
        <is>
          <t>Combined (i + ii)</t>
        </is>
      </c>
      <c r="E22" s="29" t="inlineStr">
        <is>
          <t>Notes</t>
        </is>
      </c>
    </row>
    <row r="23" ht="28" customHeight="1">
      <c r="A23" s="30" t="inlineStr">
        <is>
          <t>Structure</t>
        </is>
      </c>
      <c r="B23" s="30" t="inlineStr">
        <is>
          <t>% of SSLC IM tank revenue, annual cap, 5-year term (FY27–FY31)</t>
        </is>
      </c>
      <c r="C23" s="30" t="inlineStr">
        <is>
          <t>Exos common stock at listing (% of FD shares); principals' lockup</t>
        </is>
      </c>
      <c r="D23" s="30" t="inlineStr">
        <is>
          <t>Both i + ii + milestone earn-outs</t>
        </is>
      </c>
      <c r="E23" s="10" t="inlineStr">
        <is>
          <t>Gives SSLC sellers upside from IM growth AND Exos growth AND milestones</t>
        </is>
      </c>
    </row>
    <row r="24" ht="28" customHeight="1">
      <c r="A24" s="30" t="inlineStr">
        <is>
          <t>Low scenario</t>
        </is>
      </c>
      <c r="B24" s="31">
        <f>MIN(Assumptions!B23*Assumptions!B44,Assumptions!B26)*Assumptions!B27</f>
        <v/>
      </c>
      <c r="C24" s="31">
        <f>Assumptions!B28*Assumptions!B31</f>
        <v/>
      </c>
      <c r="D24" s="31">
        <f>D24+C24</f>
        <v/>
      </c>
      <c r="E24" s="10" t="inlineStr">
        <is>
          <t>Low: 3% tank rev (cap $300K) × 5yr + 0.0% earn-out stock (~0.59% EAI up-front only, Rule 504) + milestone 1 only</t>
        </is>
      </c>
    </row>
    <row r="25" ht="28" customHeight="1">
      <c r="A25" s="30" t="inlineStr">
        <is>
          <t>Base scenario</t>
        </is>
      </c>
      <c r="B25" s="31">
        <f>MIN(Assumptions!B24*Assumptions!B44,Assumptions!B26)*Assumptions!B27</f>
        <v/>
      </c>
      <c r="C25" s="31">
        <f>Assumptions!B29*Assumptions!B32</f>
        <v/>
      </c>
      <c r="D25" s="31">
        <f>B25+C25</f>
        <v/>
      </c>
      <c r="E25" s="10" t="inlineStr">
        <is>
          <t>Base: 5% × $5M firm × 5yr + 0.25% earn-out of $250M listing ($625K) + milestones 1-3</t>
        </is>
      </c>
    </row>
    <row r="26" ht="28" customHeight="1">
      <c r="A26" s="30" t="inlineStr">
        <is>
          <t>High scenario</t>
        </is>
      </c>
      <c r="B26" s="31">
        <f>MIN(Assumptions!B25*Assumptions!B44,Assumptions!B26)*Assumptions!B27</f>
        <v/>
      </c>
      <c r="C26" s="31">
        <f>Assumptions!B30*Assumptions!B33</f>
        <v/>
      </c>
      <c r="D26" s="31">
        <f>B26+C26</f>
        <v/>
      </c>
      <c r="E26" s="10" t="inlineStr">
        <is>
          <t>High: 7% × $5M (cap $300K) × 5yr + 0.5% earn-out of $300M listing + all 5 milestones → ~$9.3M</t>
        </is>
      </c>
    </row>
    <row r="27" ht="28" customHeight="1">
      <c r="A27" s="30" t="inlineStr">
        <is>
          <t>Exos dilution (stock earn-out, base)</t>
        </is>
      </c>
      <c r="B27" s="30" t="inlineStr">
        <is>
          <t>n/a</t>
        </is>
      </c>
      <c r="C27" s="31">
        <f>Assumptions!B29</f>
        <v/>
      </c>
      <c r="D27" s="31">
        <f>Assumptions!B29</f>
        <v/>
      </c>
      <c r="E27" s="10" t="inlineStr">
        <is>
          <t>0.25% earn-out FD shares (plus ~0.59% EAI up-front = ~0.84% total); non-material at Series A scale</t>
        </is>
      </c>
    </row>
    <row r="28" ht="28" customHeight="1">
      <c r="A28" s="30" t="inlineStr">
        <is>
          <t>Lockup / vesting</t>
        </is>
      </c>
      <c r="B28" s="30" t="inlineStr">
        <is>
          <t>Annual payments, 5 years (FY27–FY31)</t>
        </is>
      </c>
      <c r="C28" s="30" t="inlineStr">
        <is>
          <t>Same lockup terms as Exos principals (modeled ~12 months)</t>
        </is>
      </c>
      <c r="D28" s="30" t="inlineStr">
        <is>
          <t>Each tranche per its own schedule</t>
        </is>
      </c>
      <c r="E28" s="10" t="inlineStr">
        <is>
          <t>Principals' lockup; realization timing modeled ~12 months post-listing</t>
        </is>
      </c>
    </row>
    <row r="30">
      <c r="A30" s="23" t="inlineStr">
        <is>
          <t>TOTAL CONSIDERATION SUMMARY (Base price + earn-out)</t>
        </is>
      </c>
    </row>
    <row r="31">
      <c r="A31" s="24" t="inlineStr">
        <is>
          <t>Component</t>
        </is>
      </c>
      <c r="B31" s="24" t="inlineStr">
        <is>
          <t>Low</t>
        </is>
      </c>
      <c r="C31" s="24" t="inlineStr">
        <is>
          <t>Base</t>
        </is>
      </c>
      <c r="D31" s="24" t="inlineStr">
        <is>
          <t>High</t>
        </is>
      </c>
      <c r="E31" s="24" t="inlineStr">
        <is>
          <t>Notes</t>
        </is>
      </c>
    </row>
    <row r="32" ht="18" customHeight="1">
      <c r="A32" t="inlineStr">
        <is>
          <t>Base acquisition price</t>
        </is>
      </c>
      <c r="B32" s="32">
        <f>Assumptions!B9</f>
        <v/>
      </c>
      <c r="C32" s="32">
        <f>Assumptions!B9</f>
        <v/>
      </c>
      <c r="D32" s="32">
        <f>Assumptions!B9</f>
        <v/>
      </c>
      <c r="E32" s="33" t="inlineStr">
        <is>
          <t>§3 deal price; incl. stake credit</t>
        </is>
      </c>
    </row>
    <row r="33" ht="18" customHeight="1">
      <c r="A33" t="inlineStr">
        <is>
          <t>SSLC debts assumed (TBV)</t>
        </is>
      </c>
      <c r="B33" s="32">
        <f>Assumptions!B14</f>
        <v/>
      </c>
      <c r="C33" s="32">
        <f>Assumptions!B14</f>
        <v/>
      </c>
      <c r="D33" s="32">
        <f>Assumptions!B14</f>
        <v/>
      </c>
      <c r="E33" s="33" t="inlineStr">
        <is>
          <t>To verify in SSLC QB</t>
        </is>
      </c>
    </row>
    <row r="34" ht="18" customHeight="1">
      <c r="A34" t="inlineStr">
        <is>
          <t>Earn-out (combined)</t>
        </is>
      </c>
      <c r="B34" s="32">
        <f>D24</f>
        <v/>
      </c>
      <c r="C34" s="32">
        <f>D25</f>
        <v/>
      </c>
      <c r="D34" s="32">
        <f>D26</f>
        <v/>
      </c>
      <c r="E34" s="33" t="inlineStr">
        <is>
          <t>Earn-out i + ii combined</t>
        </is>
      </c>
    </row>
    <row r="35" ht="18" customHeight="1">
      <c r="A35" s="34" t="inlineStr">
        <is>
          <t>TOTAL CONSIDERATION</t>
        </is>
      </c>
      <c r="B35" s="35">
        <f>B32+B33+B34</f>
        <v/>
      </c>
      <c r="C35" s="35">
        <f>C32+C33+C34</f>
        <v/>
      </c>
      <c r="D35" s="35">
        <f>D32+D33+D34</f>
        <v/>
      </c>
      <c r="E35" s="34" t="inlineStr">
        <is>
          <t>All-in for 82% of SSLC</t>
        </is>
      </c>
    </row>
    <row r="36" ht="18" customHeight="1">
      <c r="A36" t="inlineStr">
        <is>
          <t>Implied 100% SSLC value</t>
        </is>
      </c>
      <c r="B36" s="32">
        <f>B35/0.82</f>
        <v/>
      </c>
      <c r="C36" s="32">
        <f>C35/0.82</f>
        <v/>
      </c>
      <c r="D36" s="32">
        <f>D35/0.82</f>
        <v/>
      </c>
      <c r="E36" s="33" t="inlineStr">
        <is>
          <t>At 82% acquisition; Exos holds 18%</t>
        </is>
      </c>
    </row>
    <row r="37" ht="18" customHeight="1">
      <c r="A37" t="inlineStr">
        <is>
          <t>Payback (yrs at base EBITDA)</t>
        </is>
      </c>
      <c r="B37" s="36">
        <f>B35/1240000</f>
        <v/>
      </c>
      <c r="C37" s="36">
        <f>C35/1240000</f>
        <v/>
      </c>
      <c r="D37" s="36">
        <f>D35/1240000</f>
        <v/>
      </c>
      <c r="E37" s="33" t="inlineStr">
        <is>
          <t>FY27 SSLC EBITDA est. $1.24M</t>
        </is>
      </c>
    </row>
  </sheetData>
  <mergeCells count="7">
    <mergeCell ref="A21:E21"/>
    <mergeCell ref="A30:E30"/>
    <mergeCell ref="A4:E4"/>
    <mergeCell ref="A2:E2"/>
    <mergeCell ref="A15:E15"/>
    <mergeCell ref="A1:E1"/>
    <mergeCell ref="A6:E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51"/>
  <sheetViews>
    <sheetView workbookViewId="0">
      <selection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14" customWidth="1" min="7" max="7"/>
    <col width="3" customWidth="1" min="8" max="8"/>
    <col width="4" customWidth="1" min="9" max="9"/>
    <col width="14" customWidth="1" min="10" max="10"/>
    <col width="14" customWidth="1" min="11" max="11"/>
    <col width="14" customWidth="1" min="12" max="12"/>
    <col width="14" customWidth="1" min="13" max="13"/>
    <col width="14" customWidth="1" min="14" max="14"/>
    <col width="14" customWidth="1" min="15" max="15"/>
    <col width="22" customWidth="1" min="16" max="16"/>
  </cols>
  <sheetData>
    <row r="1" ht="22" customHeight="1">
      <c r="A1" s="22" t="inlineStr">
        <is>
          <t>EXOS + SSLC Consolidated P&amp;L — Option B Acquisition | TWO CASES</t>
        </is>
      </c>
    </row>
    <row r="2" ht="28" customHeight="1">
      <c r="A2" s="10" t="inlineStr">
        <is>
          <t>Actuals-Anchored Case: uses Q1 FY27 actuals and actuals-derived projections. Old-Model Case (v12 drivers): uses v12 Scorpius unit/ASP/COGS ramp + v12 Exos standalone. FY27 SSLC fixed: $5.5M (quarterly basis) — prior annual formula ($6.925M) was inconsistent.</t>
        </is>
      </c>
    </row>
    <row r="4">
      <c r="A4" s="24" t="inlineStr">
        <is>
          <t>FY27 QUARTERLY — Actuals-Anchored Case — Exos+SSLC Consolidated (acquisition assumed closed Q1)</t>
        </is>
      </c>
    </row>
    <row r="5">
      <c r="A5" s="3" t="inlineStr">
        <is>
          <t>Line Item</t>
        </is>
      </c>
      <c r="B5" s="3" t="inlineStr">
        <is>
          <t>FY27 Q1</t>
        </is>
      </c>
      <c r="C5" s="3" t="inlineStr">
        <is>
          <t>FY27 Q2</t>
        </is>
      </c>
      <c r="D5" s="3" t="inlineStr">
        <is>
          <t>FY27 Q3</t>
        </is>
      </c>
      <c r="E5" s="3" t="inlineStr">
        <is>
          <t>FY27 Q4</t>
        </is>
      </c>
      <c r="F5" s="3" t="inlineStr">
        <is>
          <t>FY27 Total</t>
        </is>
      </c>
      <c r="G5" s="3" t="inlineStr"/>
      <c r="H5" s="3" t="inlineStr">
        <is>
          <t>Notes</t>
        </is>
      </c>
    </row>
    <row r="6" ht="18" customHeight="1">
      <c r="A6" t="inlineStr">
        <is>
          <t>SSLC Revenue (post-consolidation)</t>
        </is>
      </c>
      <c r="B6" s="26" t="n">
        <v>713000</v>
      </c>
      <c r="C6" s="26" t="n">
        <v>1387000</v>
      </c>
      <c r="D6" s="26" t="n">
        <v>1400000</v>
      </c>
      <c r="E6" s="26" t="n">
        <v>2000000</v>
      </c>
      <c r="F6" s="26">
        <f>SUM(B6:E6)</f>
        <v/>
      </c>
      <c r="H6" s="10" t="inlineStr">
        <is>
          <t>Q1 actual $713K; Q2-Q4 distributes $5M IM firm ramp → FY27 total $5.5M</t>
        </is>
      </c>
    </row>
    <row r="7" ht="18" customHeight="1">
      <c r="A7" t="inlineStr">
        <is>
          <t>Exos Standalone Revenue</t>
        </is>
      </c>
      <c r="B7" s="26" t="n">
        <v>550000</v>
      </c>
      <c r="C7" s="26" t="n">
        <v>700000</v>
      </c>
      <c r="D7" s="26" t="n">
        <v>700000</v>
      </c>
      <c r="E7" s="26" t="n">
        <v>650000</v>
      </c>
      <c r="F7" s="26">
        <f>SUM(B7:E7)</f>
        <v/>
      </c>
      <c r="H7" s="10" t="inlineStr">
        <is>
          <t>v15 baseline; $2.6M FY27 total excl. SSLC commission</t>
        </is>
      </c>
    </row>
    <row r="8" ht="18" customHeight="1">
      <c r="A8" t="inlineStr">
        <is>
          <t>Less: Intercompany Eliminations</t>
        </is>
      </c>
      <c r="B8" s="26" t="n">
        <v>-125000</v>
      </c>
      <c r="C8" s="26" t="n">
        <v>-125000</v>
      </c>
      <c r="D8" s="26" t="n">
        <v>-125000</v>
      </c>
      <c r="E8" s="26" t="n">
        <v>-125000</v>
      </c>
      <c r="F8" s="26">
        <f>SUM(B8:E8)</f>
        <v/>
      </c>
      <c r="H8" s="10" t="inlineStr">
        <is>
          <t>Exos purchases from SSLC; $500K/yr eliminated</t>
        </is>
      </c>
    </row>
    <row r="9" ht="18" customHeight="1">
      <c r="A9" s="34" t="inlineStr">
        <is>
          <t>NET CONSOLIDATED REVENUE</t>
        </is>
      </c>
      <c r="B9" s="37">
        <f>B6+B7+B8</f>
        <v/>
      </c>
      <c r="C9" s="37">
        <f>C6+C7+C8</f>
        <v/>
      </c>
      <c r="D9" s="37">
        <f>D6+D7+D8</f>
        <v/>
      </c>
      <c r="E9" s="37">
        <f>E6+E7+E8</f>
        <v/>
      </c>
      <c r="F9" s="37">
        <f>SUM(B9:E9)</f>
        <v/>
      </c>
      <c r="G9" s="34" t="n"/>
      <c r="H9" s="34" t="inlineStr"/>
    </row>
    <row r="11">
      <c r="A11" s="24" t="inlineStr">
        <is>
          <t>COST OF GOODS SOLD</t>
        </is>
      </c>
    </row>
    <row r="12" ht="18" customHeight="1">
      <c r="A12" t="inlineStr">
        <is>
          <t>SSLC COGS (52%)</t>
        </is>
      </c>
      <c r="B12" s="38">
        <f>B6*Assumptions!B45</f>
        <v/>
      </c>
      <c r="C12" s="38">
        <f>C6*Assumptions!B45</f>
        <v/>
      </c>
      <c r="D12" s="38">
        <f>D6*Assumptions!B45</f>
        <v/>
      </c>
      <c r="E12" s="38">
        <f>E6*Assumptions!B45</f>
        <v/>
      </c>
      <c r="F12" s="38">
        <f>SUM(B12:E12)</f>
        <v/>
      </c>
      <c r="H12" s="33" t="inlineStr">
        <is>
          <t>52%; derived from FY26</t>
        </is>
      </c>
    </row>
    <row r="13" ht="18" customHeight="1">
      <c r="A13" t="inlineStr">
        <is>
          <t>Exos COGS (45%)</t>
        </is>
      </c>
      <c r="B13" s="38">
        <f>B7*0.45</f>
        <v/>
      </c>
      <c r="C13" s="38">
        <f>C7*0.45</f>
        <v/>
      </c>
      <c r="D13" s="38">
        <f>D7*0.45</f>
        <v/>
      </c>
      <c r="E13" s="38">
        <f>E7*0.45</f>
        <v/>
      </c>
      <c r="F13" s="38">
        <f>SUM(B13:E13)</f>
        <v/>
      </c>
      <c r="H13" s="33" t="inlineStr">
        <is>
          <t>45% COGS</t>
        </is>
      </c>
    </row>
    <row r="14" ht="18" customHeight="1">
      <c r="A14" s="39" t="inlineStr">
        <is>
          <t>TOTAL COGS</t>
        </is>
      </c>
      <c r="B14" s="40">
        <f>B12+B13</f>
        <v/>
      </c>
      <c r="C14" s="40">
        <f>C12+C13</f>
        <v/>
      </c>
      <c r="D14" s="40">
        <f>D12+D13</f>
        <v/>
      </c>
      <c r="E14" s="40">
        <f>E12+E13</f>
        <v/>
      </c>
      <c r="F14" s="40">
        <f>SUM(B14:E14)</f>
        <v/>
      </c>
      <c r="H14" s="33" t="inlineStr"/>
    </row>
    <row r="15" ht="18" customHeight="1">
      <c r="A15" s="39" t="inlineStr">
        <is>
          <t>GROSS PROFIT</t>
        </is>
      </c>
      <c r="B15" s="40">
        <f>B9-B14</f>
        <v/>
      </c>
      <c r="C15" s="40">
        <f>C9-C14</f>
        <v/>
      </c>
      <c r="D15" s="40">
        <f>D9-D14</f>
        <v/>
      </c>
      <c r="E15" s="40">
        <f>E9-E14</f>
        <v/>
      </c>
      <c r="F15" s="40">
        <f>SUM(B15:E15)</f>
        <v/>
      </c>
      <c r="H15" s="33" t="inlineStr"/>
    </row>
    <row r="16" ht="18" customHeight="1">
      <c r="A16" t="inlineStr">
        <is>
          <t>Gross Margin %</t>
        </is>
      </c>
      <c r="B16" s="38">
        <f>IF(B9&lt;&gt;0,B15/B9,0)</f>
        <v/>
      </c>
      <c r="C16" s="38">
        <f>IF(C9&lt;&gt;0,C15/C9,0)</f>
        <v/>
      </c>
      <c r="D16" s="38">
        <f>IF(D9&lt;&gt;0,D15/D9,0)</f>
        <v/>
      </c>
      <c r="E16" s="38">
        <f>IF(E9&lt;&gt;0,E15/E9,0)</f>
        <v/>
      </c>
      <c r="F16" s="38">
        <f>SUM(B16:E16)</f>
        <v/>
      </c>
      <c r="H16" s="33" t="inlineStr"/>
    </row>
    <row r="18">
      <c r="A18" s="24" t="inlineStr">
        <is>
          <t>OPERATING EXPENSES</t>
        </is>
      </c>
    </row>
    <row r="19" ht="18" customHeight="1">
      <c r="A19" t="inlineStr">
        <is>
          <t>SSLC OpEx</t>
        </is>
      </c>
      <c r="B19" s="26" t="n">
        <v>350000</v>
      </c>
      <c r="C19" s="26" t="n">
        <v>350000</v>
      </c>
      <c r="D19" s="26" t="n">
        <v>350000</v>
      </c>
      <c r="E19" s="26" t="n">
        <v>350000</v>
      </c>
      <c r="F19" s="26">
        <f>SUM(B19:E19)</f>
        <v/>
      </c>
      <c r="H19" s="33" t="inlineStr">
        <is>
          <t>FY27 $1.4M / 4Q</t>
        </is>
      </c>
    </row>
    <row r="20" ht="18" customHeight="1">
      <c r="A20" t="inlineStr">
        <is>
          <t>Exos OpEx (excl. R&amp;D)</t>
        </is>
      </c>
      <c r="B20" s="26" t="n">
        <v>650000</v>
      </c>
      <c r="C20" s="26" t="n">
        <v>650000</v>
      </c>
      <c r="D20" s="26" t="n">
        <v>650000</v>
      </c>
      <c r="E20" s="26" t="n">
        <v>650000</v>
      </c>
      <c r="F20" s="26">
        <f>SUM(B20:E20)</f>
        <v/>
      </c>
      <c r="H20" s="33" t="inlineStr">
        <is>
          <t>Exos G&amp;A / payroll</t>
        </is>
      </c>
    </row>
    <row r="21" ht="18" customHeight="1">
      <c r="A21" t="inlineStr">
        <is>
          <t>Exos R&amp;D / BLK3 dev</t>
        </is>
      </c>
      <c r="B21" s="26" t="n">
        <v>500000</v>
      </c>
      <c r="C21" s="26" t="n">
        <v>500000</v>
      </c>
      <c r="D21" s="26" t="n">
        <v>500000</v>
      </c>
      <c r="E21" s="26" t="n">
        <v>500000</v>
      </c>
      <c r="F21" s="26">
        <f>SUM(B21:E21)</f>
        <v/>
      </c>
      <c r="H21" s="33" t="inlineStr">
        <is>
          <t>BLK3 development</t>
        </is>
      </c>
    </row>
    <row r="22" ht="18" customHeight="1">
      <c r="A22" s="41" t="inlineStr">
        <is>
          <t>TOTAL OPEX</t>
        </is>
      </c>
      <c r="B22" s="42">
        <f>SUM(B19:B21)</f>
        <v/>
      </c>
      <c r="C22" s="42">
        <f>SUM(C19:C21)</f>
        <v/>
      </c>
      <c r="D22" s="42">
        <f>SUM(D19:D21)</f>
        <v/>
      </c>
      <c r="E22" s="42">
        <f>SUM(E19:E21)</f>
        <v/>
      </c>
      <c r="F22" s="42">
        <f>SUM(B22:E22)</f>
        <v/>
      </c>
      <c r="H22" s="33" t="inlineStr"/>
    </row>
    <row r="24" ht="18" customHeight="1">
      <c r="A24" s="34" t="inlineStr">
        <is>
          <t>EBITDA</t>
        </is>
      </c>
      <c r="B24" s="37">
        <f>B15-B22</f>
        <v/>
      </c>
      <c r="C24" s="37">
        <f>C15-C22</f>
        <v/>
      </c>
      <c r="D24" s="37">
        <f>D15-D22</f>
        <v/>
      </c>
      <c r="E24" s="37">
        <f>E15-E22</f>
        <v/>
      </c>
      <c r="F24" s="37">
        <f>SUM(B24:E24)</f>
        <v/>
      </c>
      <c r="H24" s="33" t="inlineStr"/>
    </row>
    <row r="25" ht="18" customHeight="1">
      <c r="A25" t="inlineStr">
        <is>
          <t>EBITDA Margin %</t>
        </is>
      </c>
      <c r="B25" s="38">
        <f>IF(B9&lt;&gt;0,B24/B9,0)</f>
        <v/>
      </c>
      <c r="C25" s="38">
        <f>IF(C9&lt;&gt;0,C24/C9,0)</f>
        <v/>
      </c>
      <c r="D25" s="38">
        <f>IF(D9&lt;&gt;0,D24/D9,0)</f>
        <v/>
      </c>
      <c r="E25" s="38">
        <f>IF(E9&lt;&gt;0,E24/E9,0)</f>
        <v/>
      </c>
      <c r="F25" s="38">
        <f>SUM(B25:E25)</f>
        <v/>
      </c>
      <c r="H25" s="33" t="inlineStr"/>
    </row>
    <row r="26" ht="18" customHeight="1">
      <c r="A26" t="inlineStr">
        <is>
          <t>D&amp;A (est.)</t>
        </is>
      </c>
      <c r="B26" s="26" t="n">
        <v>-40000</v>
      </c>
      <c r="C26" s="26" t="n">
        <v>-40000</v>
      </c>
      <c r="D26" s="26" t="n">
        <v>-40000</v>
      </c>
      <c r="E26" s="26" t="n">
        <v>-40000</v>
      </c>
      <c r="F26" s="26">
        <f>SUM(B26:E26)</f>
        <v/>
      </c>
      <c r="H26" s="33" t="inlineStr">
        <is>
          <t>$160K FY27 combined</t>
        </is>
      </c>
    </row>
    <row r="27" ht="18" customHeight="1">
      <c r="A27" s="34" t="inlineStr">
        <is>
          <t>EBIT</t>
        </is>
      </c>
      <c r="B27" s="37">
        <f>B24+B26</f>
        <v/>
      </c>
      <c r="C27" s="37">
        <f>C24+C26</f>
        <v/>
      </c>
      <c r="D27" s="37">
        <f>D24+D26</f>
        <v/>
      </c>
      <c r="E27" s="37">
        <f>E24+E26</f>
        <v/>
      </c>
      <c r="F27" s="37">
        <f>SUM(B27:E27)</f>
        <v/>
      </c>
      <c r="H27" s="33" t="inlineStr"/>
    </row>
    <row r="28" ht="18" customHeight="1">
      <c r="A28" t="inlineStr">
        <is>
          <t>Interest / one-time</t>
        </is>
      </c>
      <c r="B28" s="26" t="inlineStr">
        <is>
          <t>0</t>
        </is>
      </c>
      <c r="C28" s="26" t="inlineStr">
        <is>
          <t>0</t>
        </is>
      </c>
      <c r="D28" s="26" t="inlineStr">
        <is>
          <t>0</t>
        </is>
      </c>
      <c r="E28" s="26" t="inlineStr">
        <is>
          <t>0</t>
        </is>
      </c>
      <c r="F28" s="26">
        <f>SUM(B28:E28)</f>
        <v/>
      </c>
      <c r="H28" s="33" t="inlineStr"/>
    </row>
    <row r="29" ht="18" customHeight="1">
      <c r="A29" s="34" t="inlineStr">
        <is>
          <t>Pre-Tax Income</t>
        </is>
      </c>
      <c r="B29" s="37">
        <f>B27+B28</f>
        <v/>
      </c>
      <c r="C29" s="37">
        <f>C27+C28</f>
        <v/>
      </c>
      <c r="D29" s="37">
        <f>D27+D28</f>
        <v/>
      </c>
      <c r="E29" s="37">
        <f>E27+E28</f>
        <v/>
      </c>
      <c r="F29" s="37">
        <f>SUM(B29:E29)</f>
        <v/>
      </c>
      <c r="H29" s="33" t="inlineStr"/>
    </row>
    <row r="32" ht="22" customHeight="1">
      <c r="A32" s="43" t="inlineStr">
        <is>
          <t>5-YEAR ANNUAL P&amp;L — FY27–FY31 | LEFT: Actuals-Anchored Case | RIGHT: Old-Model Case (v12 Drivers)</t>
        </is>
      </c>
    </row>
    <row r="33">
      <c r="A33" s="44" t="inlineStr">
        <is>
          <t>ACTUALS-ANCHORED CASE</t>
        </is>
      </c>
      <c r="J33" s="45" t="inlineStr">
        <is>
          <t>OLD-MODEL CASE (v12 DRIVERS) — source: v12 Annual P&amp;L, recalculated 10/7</t>
        </is>
      </c>
    </row>
    <row r="34" ht="18" customHeight="1">
      <c r="A34" s="3" t="inlineStr">
        <is>
          <t>Line Item</t>
        </is>
      </c>
      <c r="B34" s="3" t="inlineStr">
        <is>
          <t>FY27</t>
        </is>
      </c>
      <c r="C34" s="3" t="inlineStr">
        <is>
          <t>FY28</t>
        </is>
      </c>
      <c r="D34" s="3" t="inlineStr">
        <is>
          <t>FY29</t>
        </is>
      </c>
      <c r="E34" s="3" t="inlineStr">
        <is>
          <t>FY30</t>
        </is>
      </c>
      <c r="F34" s="3" t="inlineStr">
        <is>
          <t>FY31</t>
        </is>
      </c>
      <c r="G34" s="3" t="inlineStr">
        <is>
          <t>CAGR</t>
        </is>
      </c>
      <c r="J34" s="46" t="inlineStr">
        <is>
          <t>FY27</t>
        </is>
      </c>
      <c r="K34" s="46" t="inlineStr">
        <is>
          <t>FY28</t>
        </is>
      </c>
      <c r="L34" s="46" t="inlineStr">
        <is>
          <t>FY29</t>
        </is>
      </c>
      <c r="M34" s="46" t="inlineStr">
        <is>
          <t>FY30</t>
        </is>
      </c>
      <c r="N34" s="46" t="inlineStr">
        <is>
          <t>FY31</t>
        </is>
      </c>
      <c r="O34" s="46" t="inlineStr">
        <is>
          <t>CAGR</t>
        </is>
      </c>
      <c r="P34" s="46" t="inlineStr">
        <is>
          <t>Notes</t>
        </is>
      </c>
    </row>
    <row r="36" ht="16" customHeight="1">
      <c r="A36" s="47" t="inlineStr">
        <is>
          <t>REVENUE</t>
        </is>
      </c>
      <c r="J36" s="48" t="inlineStr">
        <is>
          <t>REVENUE</t>
        </is>
      </c>
    </row>
    <row r="37" ht="18" customHeight="1">
      <c r="A37" s="5" t="inlineStr">
        <is>
          <t>SSLC Revenue</t>
        </is>
      </c>
      <c r="B37" s="26">
        <f>Assumptions!B48</f>
        <v/>
      </c>
      <c r="C37" s="26">
        <f>Assumptions!B49</f>
        <v/>
      </c>
      <c r="D37" s="26">
        <f>Assumptions!B50</f>
        <v/>
      </c>
      <c r="E37" s="26">
        <f>Assumptions!B51</f>
        <v/>
      </c>
      <c r="F37" s="26">
        <f>Assumptions!B52</f>
        <v/>
      </c>
      <c r="G37" s="38">
        <f>IFERROR((F37/B37)^(1/4)-1,0)</f>
        <v/>
      </c>
      <c r="J37" s="26">
        <f>Assumptions!B76</f>
        <v/>
      </c>
      <c r="K37" s="26">
        <f>Assumptions!B77</f>
        <v/>
      </c>
      <c r="L37" s="26">
        <f>Assumptions!B78</f>
        <v/>
      </c>
      <c r="M37" s="26">
        <f>Assumptions!B79</f>
        <v/>
      </c>
      <c r="N37" s="26">
        <f>Assumptions!B80</f>
        <v/>
      </c>
      <c r="O37" s="38">
        <f>IFERROR((N37/J37)^(1/4)-1,0)</f>
        <v/>
      </c>
      <c r="P37" s="7" t="inlineStr">
        <is>
          <t>AA: $5.5M (fixed, quarterly basis); v12: tank unit/ASP ramp model</t>
        </is>
      </c>
    </row>
    <row r="38" ht="18" customHeight="1">
      <c r="A38" s="5" t="inlineStr">
        <is>
          <t>Exos Standalone Revenue</t>
        </is>
      </c>
      <c r="B38" s="26">
        <f>Assumptions!B57</f>
        <v/>
      </c>
      <c r="C38" s="26">
        <f>Assumptions!B58</f>
        <v/>
      </c>
      <c r="D38" s="26">
        <f>Assumptions!B59</f>
        <v/>
      </c>
      <c r="E38" s="26">
        <f>Assumptions!B60</f>
        <v/>
      </c>
      <c r="F38" s="26">
        <f>Assumptions!B61</f>
        <v/>
      </c>
      <c r="G38" s="38">
        <f>IFERROR((F38/B38)^(1/4)-1,0)</f>
        <v/>
      </c>
      <c r="J38" s="26">
        <f>Assumptions!B86</f>
        <v/>
      </c>
      <c r="K38" s="26">
        <f>Assumptions!B87</f>
        <v/>
      </c>
      <c r="L38" s="26">
        <f>Assumptions!B88</f>
        <v/>
      </c>
      <c r="M38" s="26">
        <f>Assumptions!B89</f>
        <v/>
      </c>
      <c r="N38" s="26">
        <f>Assumptions!B90</f>
        <v/>
      </c>
      <c r="O38" s="38">
        <f>IFERROR((N38/J38)^(1/4)-1,0)</f>
        <v/>
      </c>
      <c r="P38" s="7" t="inlineStr">
        <is>
          <t>AA: v15 commission-only basis; v12: includes BLK4/propulsion/wet-lease ramp</t>
        </is>
      </c>
    </row>
    <row r="39" ht="18" customHeight="1">
      <c r="A39" s="5" t="inlineStr">
        <is>
          <t>Less: Intercompany</t>
        </is>
      </c>
      <c r="B39" s="26" t="n">
        <v>-500000</v>
      </c>
      <c r="C39" s="26" t="n">
        <v>-575000</v>
      </c>
      <c r="D39" s="26" t="n">
        <v>-661000</v>
      </c>
      <c r="E39" s="26" t="n">
        <v>-760000</v>
      </c>
      <c r="F39" s="26" t="n">
        <v>-874000</v>
      </c>
      <c r="G39" s="38">
        <f>IFERROR((F39/B39)^(1/4)-1,0)</f>
        <v/>
      </c>
      <c r="J39" s="26" t="n">
        <v>-500000</v>
      </c>
      <c r="K39" s="26" t="n">
        <v>-575000</v>
      </c>
      <c r="L39" s="26" t="n">
        <v>-661000</v>
      </c>
      <c r="M39" s="26" t="n">
        <v>-760000</v>
      </c>
      <c r="N39" s="26" t="n">
        <v>-874000</v>
      </c>
      <c r="O39" s="38">
        <f>IFERROR((N39/J39)^(1/4)-1,0)</f>
        <v/>
      </c>
      <c r="P39" s="7" t="inlineStr">
        <is>
          <t>Same in both cases</t>
        </is>
      </c>
    </row>
    <row r="40" ht="18" customHeight="1">
      <c r="A40" s="6" t="inlineStr">
        <is>
          <t>NET CONSOLIDATED REVENUE</t>
        </is>
      </c>
      <c r="B40" s="28">
        <f>B37+B38+B39</f>
        <v/>
      </c>
      <c r="C40" s="28">
        <f>C37+C38+C39</f>
        <v/>
      </c>
      <c r="D40" s="28">
        <f>D37+D38+D39</f>
        <v/>
      </c>
      <c r="E40" s="28">
        <f>E37+E38+E39</f>
        <v/>
      </c>
      <c r="F40" s="28">
        <f>F37+F38+F39</f>
        <v/>
      </c>
      <c r="G40" s="38">
        <f>IFERROR((F40/B40)^(1/4)-1,0)</f>
        <v/>
      </c>
      <c r="J40" s="28">
        <f>Assumptions!B81</f>
        <v/>
      </c>
      <c r="K40" s="28">
        <f>Assumptions!B82</f>
        <v/>
      </c>
      <c r="L40" s="28">
        <f>Assumptions!B83</f>
        <v/>
      </c>
      <c r="M40" s="28">
        <f>Assumptions!B84</f>
        <v/>
      </c>
      <c r="N40" s="28">
        <f>Assumptions!B85</f>
        <v/>
      </c>
      <c r="O40" s="38">
        <f>IFERROR((N40/J40)^(1/4)-1,0)</f>
        <v/>
      </c>
      <c r="P40" s="7" t="inlineStr"/>
    </row>
    <row r="42" ht="16" customHeight="1">
      <c r="A42" s="47" t="inlineStr">
        <is>
          <t>EBITDA</t>
        </is>
      </c>
      <c r="J42" s="48" t="inlineStr">
        <is>
          <t>EBITDA</t>
        </is>
      </c>
    </row>
    <row r="43" ht="18" customHeight="1">
      <c r="A43" s="5" t="inlineStr">
        <is>
          <t>SSLC EBITDA</t>
        </is>
      </c>
      <c r="B43" s="26">
        <f>Assumptions!B48*(1-Assumptions!B45)-Assumptions!B46</f>
        <v/>
      </c>
      <c r="C43" s="26">
        <f>Assumptions!B49*(1-Assumptions!B45)-Assumptions!B46*(1+Assumptions!B47)</f>
        <v/>
      </c>
      <c r="D43" s="26">
        <f>Assumptions!B50*(1-Assumptions!B45)-Assumptions!B46*(1+Assumptions!B47)^2</f>
        <v/>
      </c>
      <c r="E43" s="26">
        <f>Assumptions!B51*(1-Assumptions!B45)-Assumptions!B46*(1+Assumptions!B47)^3</f>
        <v/>
      </c>
      <c r="F43" s="26">
        <f>Assumptions!B52*(1-Assumptions!B45)-Assumptions!B46*(1+Assumptions!B47)^4</f>
        <v/>
      </c>
      <c r="G43" s="38">
        <f>IFERROR((F43/B43)^(1/4)-1,0)</f>
        <v/>
      </c>
      <c r="J43" s="26">
        <f>Assumptions!B76*(1-Assumptions!B74)-Assumptions!B46</f>
        <v/>
      </c>
      <c r="K43" s="26">
        <f>Assumptions!B77*(1-Assumptions!B74)-Assumptions!B46*(1+Assumptions!B47)</f>
        <v/>
      </c>
      <c r="L43" s="26">
        <f>Assumptions!B78*(1-Assumptions!B75)-Assumptions!B46*(1+Assumptions!B47)^2</f>
        <v/>
      </c>
      <c r="M43" s="26">
        <f>Assumptions!B79*(1-Assumptions!B75)-Assumptions!B46*(1+Assumptions!B47)^3</f>
        <v/>
      </c>
      <c r="N43" s="26">
        <f>Assumptions!B80*(1-Assumptions!B75)-Assumptions!B46*(1+Assumptions!B47)^4</f>
        <v/>
      </c>
      <c r="O43" s="38">
        <f>IFERROR((N43/J43)^(1/4)-1,0)</f>
        <v/>
      </c>
      <c r="P43" s="7" t="inlineStr">
        <is>
          <t>AA: 48% gross margin − OpEx; v12: 65%/70% GM − OpEx (35%/30% COGS)</t>
        </is>
      </c>
    </row>
    <row r="44" ht="18" customHeight="1">
      <c r="A44" s="5" t="inlineStr">
        <is>
          <t>Exos Standalone EBITDA</t>
        </is>
      </c>
      <c r="B44" s="26">
        <f>Assumptions!B62</f>
        <v/>
      </c>
      <c r="C44" s="26">
        <f>Assumptions!B63</f>
        <v/>
      </c>
      <c r="D44" s="26">
        <f>Assumptions!B64</f>
        <v/>
      </c>
      <c r="E44" s="26">
        <f>Assumptions!B65</f>
        <v/>
      </c>
      <c r="F44" s="26">
        <f>Assumptions!B66</f>
        <v/>
      </c>
      <c r="G44" s="38">
        <f>IFERROR((F44/B44)^(1/4)-1,0)</f>
        <v/>
      </c>
      <c r="J44" s="26">
        <f>Assumptions!B91-J43</f>
        <v/>
      </c>
      <c r="K44" s="26">
        <f>Assumptions!B92-K43</f>
        <v/>
      </c>
      <c r="L44" s="26">
        <f>Assumptions!B93-L43</f>
        <v/>
      </c>
      <c r="M44" s="26">
        <f>Assumptions!B94-M43</f>
        <v/>
      </c>
      <c r="N44" s="26">
        <f>Assumptions!B95-N43</f>
        <v/>
      </c>
      <c r="O44" s="38">
        <f>IFERROR((N44/J44)^(1/4)-1,0)</f>
        <v/>
      </c>
      <c r="P44" s="7" t="inlineStr">
        <is>
          <t>AA: v15 management assumption; v12: derived from v12 total EBITDA − v12 SSLC EBITDA</t>
        </is>
      </c>
    </row>
    <row r="45" ht="18" customHeight="1">
      <c r="A45" s="6" t="inlineStr">
        <is>
          <t>CONSOLIDATED EBITDA</t>
        </is>
      </c>
      <c r="B45" s="28">
        <f>B43+B44</f>
        <v/>
      </c>
      <c r="C45" s="28">
        <f>C43+C44</f>
        <v/>
      </c>
      <c r="D45" s="28">
        <f>D43+D44</f>
        <v/>
      </c>
      <c r="E45" s="28">
        <f>E43+E44</f>
        <v/>
      </c>
      <c r="F45" s="28">
        <f>F43+F44</f>
        <v/>
      </c>
      <c r="G45" s="38">
        <f>IFERROR((F45/B45)^(1/4)-1,0)</f>
        <v/>
      </c>
      <c r="J45" s="28">
        <f>Assumptions!B91</f>
        <v/>
      </c>
      <c r="K45" s="28">
        <f>Assumptions!B92</f>
        <v/>
      </c>
      <c r="L45" s="28">
        <f>Assumptions!B93</f>
        <v/>
      </c>
      <c r="M45" s="28">
        <f>Assumptions!B94</f>
        <v/>
      </c>
      <c r="N45" s="28">
        <f>Assumptions!B95</f>
        <v/>
      </c>
      <c r="O45" s="38">
        <f>IFERROR((N45/J45)^(1/4)-1,0)</f>
        <v/>
      </c>
      <c r="P45" s="7" t="inlineStr">
        <is>
          <t>v12 total EBITDA taken directly from v12 Annual P&amp;L</t>
        </is>
      </c>
    </row>
    <row r="46" ht="18" customHeight="1">
      <c r="A46" s="5" t="inlineStr">
        <is>
          <t>EBITDA Margin %</t>
        </is>
      </c>
      <c r="B46" s="38">
        <f>IF(B40&lt;&gt;0,B45/B40,0)</f>
        <v/>
      </c>
      <c r="C46" s="38">
        <f>IF(C40&lt;&gt;0,C45/C40,0)</f>
        <v/>
      </c>
      <c r="D46" s="38">
        <f>IF(D40&lt;&gt;0,D45/D40,0)</f>
        <v/>
      </c>
      <c r="E46" s="38">
        <f>IF(E40&lt;&gt;0,E45/E40,0)</f>
        <v/>
      </c>
      <c r="F46" s="38">
        <f>IF(F40&lt;&gt;0,F45/F40,0)</f>
        <v/>
      </c>
      <c r="G46" s="38">
        <f>IFERROR((F46/B46)^(1/4)-1,0)</f>
        <v/>
      </c>
      <c r="J46" s="38">
        <f>IF(J40&lt;&gt;0,J45/J40,0)</f>
        <v/>
      </c>
      <c r="K46" s="38">
        <f>IF(K40&lt;&gt;0,K45/K40,0)</f>
        <v/>
      </c>
      <c r="L46" s="38">
        <f>IF(L40&lt;&gt;0,L45/L40,0)</f>
        <v/>
      </c>
      <c r="M46" s="38">
        <f>IF(M40&lt;&gt;0,M45/M40,0)</f>
        <v/>
      </c>
      <c r="N46" s="38">
        <f>IF(N40&lt;&gt;0,N45/N40,0)</f>
        <v/>
      </c>
      <c r="O46" s="38">
        <f>IFERROR((N46/J46)^(1/4)-1,0)</f>
        <v/>
      </c>
      <c r="P46" s="7" t="inlineStr"/>
    </row>
    <row r="48" ht="16" customHeight="1">
      <c r="A48" s="47" t="inlineStr">
        <is>
          <t>BENCHMARK COMPARISON (Option B / both cases vs v15 old acquisition model)</t>
        </is>
      </c>
    </row>
    <row r="49" ht="18" customHeight="1">
      <c r="A49" s="33" t="inlineStr">
        <is>
          <t>v15 benchmark SSLC acq rev Y1</t>
        </is>
      </c>
      <c r="B49" s="32">
        <f>Assumptions!B53</f>
        <v/>
      </c>
      <c r="F49" s="32">
        <f>Assumptions!B54</f>
        <v/>
      </c>
      <c r="P49" s="49" t="inlineStr">
        <is>
          <t>v15 Y1=$0.9M, Y5=$21M — understates both cases</t>
        </is>
      </c>
    </row>
    <row r="50" ht="18" customHeight="1">
      <c r="A50" t="inlineStr">
        <is>
          <t>AA Case SSLC rev vs v15 benchmark</t>
        </is>
      </c>
      <c r="B50" s="32">
        <f>B37-B49</f>
        <v/>
      </c>
      <c r="F50" s="32">
        <f>F37-F49</f>
        <v/>
      </c>
      <c r="J50" s="33" t="inlineStr">
        <is>
          <t>v12 SSLC rev vs v15 benchmark</t>
        </is>
      </c>
      <c r="K50" s="32">
        <f>J37-B49</f>
        <v/>
      </c>
      <c r="N50" s="32">
        <f>N37-F49</f>
        <v/>
      </c>
      <c r="P50" s="49" t="inlineStr">
        <is>
          <t>Positive = exceeds v15; v12 exceeds v15 by 4.6x at Y1 and 2.6x at Y5</t>
        </is>
      </c>
    </row>
    <row r="51" ht="22" customHeight="1">
      <c r="A51" s="50" t="inlineStr">
        <is>
          <t>⚠ v15 'Scorpius acquisition benchmark' ($0.9M→$21M) understates v12's own Scorpius line ($4.1M→$54.7M) by 13× at Y5. See Assumptions!A97 for full note.</t>
        </is>
      </c>
    </row>
  </sheetData>
  <mergeCells count="14">
    <mergeCell ref="A18:H18"/>
    <mergeCell ref="A4:H4"/>
    <mergeCell ref="J33:P33"/>
    <mergeCell ref="A36:G36"/>
    <mergeCell ref="A51:P51"/>
    <mergeCell ref="A32:P32"/>
    <mergeCell ref="J36:P36"/>
    <mergeCell ref="A2:H2"/>
    <mergeCell ref="J42:P42"/>
    <mergeCell ref="A48:G48"/>
    <mergeCell ref="A11:H11"/>
    <mergeCell ref="A1:H1"/>
    <mergeCell ref="A33:G33"/>
    <mergeCell ref="A42:G4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 width="15" customWidth="1" min="7" max="7"/>
    <col width="22" customWidth="1" min="8" max="8"/>
  </cols>
  <sheetData>
    <row r="1" ht="22" customHeight="1">
      <c r="A1" s="51" t="inlineStr">
        <is>
          <t>SSLC Option B — Returns, Dilution &amp; Benchmark Comparison | TWO CASES</t>
        </is>
      </c>
    </row>
    <row r="3" ht="22" customHeight="1">
      <c r="A3" s="52" t="inlineStr">
        <is>
          <t>Metric</t>
        </is>
      </c>
      <c r="B3" s="52" t="inlineStr">
        <is>
          <t>AA — Low</t>
        </is>
      </c>
      <c r="C3" s="52" t="inlineStr">
        <is>
          <t>AA — Base</t>
        </is>
      </c>
      <c r="D3" s="52" t="inlineStr">
        <is>
          <t>AA — High</t>
        </is>
      </c>
      <c r="E3" s="53" t="inlineStr">
        <is>
          <t>v12 Old-Model</t>
        </is>
      </c>
      <c r="F3" s="54" t="inlineStr">
        <is>
          <t>v15 Benchmark</t>
        </is>
      </c>
      <c r="G3" s="54" t="inlineStr"/>
      <c r="H3" s="54" t="inlineStr">
        <is>
          <t>Notes</t>
        </is>
      </c>
    </row>
    <row r="4" ht="18" customHeight="1">
      <c r="A4" t="inlineStr">
        <is>
          <t>FY27 (Y1) SSLC revenue</t>
        </is>
      </c>
      <c r="B4" s="32">
        <f>'PL and Cash Flow'!B37</f>
        <v/>
      </c>
      <c r="C4" s="32">
        <f>'PL and Cash Flow'!B37</f>
        <v/>
      </c>
      <c r="D4" s="32">
        <f>'PL and Cash Flow'!B37</f>
        <v/>
      </c>
      <c r="E4" s="32">
        <f>'PL and Cash Flow'!J37</f>
        <v/>
      </c>
      <c r="F4" s="32">
        <f>Assumptions!B53</f>
        <v/>
      </c>
      <c r="H4" s="10" t="inlineStr"/>
    </row>
    <row r="5" ht="18" customHeight="1">
      <c r="A5" t="inlineStr">
        <is>
          <t>FY31 (Y5) SSLC revenue</t>
        </is>
      </c>
      <c r="B5" s="32">
        <f>'PL and Cash Flow'!F37</f>
        <v/>
      </c>
      <c r="C5" s="32">
        <f>'PL and Cash Flow'!F37</f>
        <v/>
      </c>
      <c r="D5" s="32">
        <f>'PL and Cash Flow'!F37</f>
        <v/>
      </c>
      <c r="E5" s="32">
        <f>'PL and Cash Flow'!N37</f>
        <v/>
      </c>
      <c r="F5" s="32">
        <f>Assumptions!B54</f>
        <v/>
      </c>
      <c r="H5" s="10" t="inlineStr"/>
    </row>
    <row r="6" ht="18" customHeight="1">
      <c r="A6" t="inlineStr">
        <is>
          <t>FY27 total revenue</t>
        </is>
      </c>
      <c r="B6" s="32">
        <f>'PL and Cash Flow'!B40</f>
        <v/>
      </c>
      <c r="C6" s="32">
        <f>'PL and Cash Flow'!B40</f>
        <v/>
      </c>
      <c r="D6" s="32">
        <f>'PL and Cash Flow'!B40</f>
        <v/>
      </c>
      <c r="E6" s="32">
        <f>'PL and Cash Flow'!J40</f>
        <v/>
      </c>
      <c r="F6" s="32" t="inlineStr">
        <is>
          <t>n/a</t>
        </is>
      </c>
      <c r="H6" s="10" t="inlineStr"/>
    </row>
    <row r="7" ht="18" customHeight="1">
      <c r="A7" t="inlineStr">
        <is>
          <t>FY31 total revenue</t>
        </is>
      </c>
      <c r="B7" s="32">
        <f>'PL and Cash Flow'!F40</f>
        <v/>
      </c>
      <c r="C7" s="32">
        <f>'PL and Cash Flow'!F40</f>
        <v/>
      </c>
      <c r="D7" s="32">
        <f>'PL and Cash Flow'!F40</f>
        <v/>
      </c>
      <c r="E7" s="32">
        <f>'PL and Cash Flow'!N40</f>
        <v/>
      </c>
      <c r="F7" s="32" t="inlineStr">
        <is>
          <t>n/a</t>
        </is>
      </c>
      <c r="H7" s="10" t="inlineStr"/>
    </row>
    <row r="8" ht="18" customHeight="1">
      <c r="A8" t="inlineStr">
        <is>
          <t>FY27 EBITDA</t>
        </is>
      </c>
      <c r="B8" s="32">
        <f>'PL and Cash Flow'!B45</f>
        <v/>
      </c>
      <c r="C8" s="32">
        <f>'PL and Cash Flow'!B45</f>
        <v/>
      </c>
      <c r="D8" s="32">
        <f>'PL and Cash Flow'!B45</f>
        <v/>
      </c>
      <c r="E8" s="32">
        <f>'PL and Cash Flow'!J45</f>
        <v/>
      </c>
      <c r="F8" s="32" t="inlineStr">
        <is>
          <t>n/a</t>
        </is>
      </c>
      <c r="H8" s="10" t="inlineStr"/>
    </row>
    <row r="9" ht="18" customHeight="1">
      <c r="A9" t="inlineStr">
        <is>
          <t>FY31 EBITDA</t>
        </is>
      </c>
      <c r="B9" s="32">
        <f>'PL and Cash Flow'!F45</f>
        <v/>
      </c>
      <c r="C9" s="32">
        <f>'PL and Cash Flow'!F45</f>
        <v/>
      </c>
      <c r="D9" s="32">
        <f>'PL and Cash Flow'!F45</f>
        <v/>
      </c>
      <c r="E9" s="32">
        <f>'PL and Cash Flow'!N45</f>
        <v/>
      </c>
      <c r="F9" s="32" t="inlineStr">
        <is>
          <t>n/a</t>
        </is>
      </c>
      <c r="H9" s="10" t="inlineStr"/>
    </row>
    <row r="10" ht="18" customHeight="1">
      <c r="A10" s="25" t="inlineStr">
        <is>
          <t>RETURNS ANALYSIS</t>
        </is>
      </c>
    </row>
    <row r="11" ht="18" customHeight="1">
      <c r="A11" t="inlineStr">
        <is>
          <t>Total consideration (all-in)</t>
        </is>
      </c>
      <c r="B11" s="32">
        <f>'Deal Structure'!B35</f>
        <v/>
      </c>
      <c r="C11" s="32">
        <f>'Deal Structure'!C35</f>
        <v/>
      </c>
      <c r="D11" s="32">
        <f>'Deal Structure'!D35</f>
        <v/>
      </c>
      <c r="E11" s="32" t="inlineStr">
        <is>
          <t>same</t>
        </is>
      </c>
      <c r="F11" s="32" t="inlineStr">
        <is>
          <t>n/a</t>
        </is>
      </c>
      <c r="H11" s="10" t="inlineStr"/>
    </row>
    <row r="12" ht="18" customHeight="1">
      <c r="A12" t="inlineStr">
        <is>
          <t>FY31 SSLC EBITDA × 10x (exit value)</t>
        </is>
      </c>
      <c r="B12" s="32">
        <f>'PL and Cash Flow'!F43*10</f>
        <v/>
      </c>
      <c r="C12" s="32">
        <f>'PL and Cash Flow'!F43*10</f>
        <v/>
      </c>
      <c r="D12" s="32">
        <f>'PL and Cash Flow'!F43*10</f>
        <v/>
      </c>
      <c r="E12" s="32">
        <f>'PL and Cash Flow'!N43*10</f>
        <v/>
      </c>
      <c r="F12" s="32" t="inlineStr">
        <is>
          <t>n/a</t>
        </is>
      </c>
      <c r="H12" s="10" t="inlineStr">
        <is>
          <t>Indicative only</t>
        </is>
      </c>
    </row>
    <row r="13" ht="18" customHeight="1">
      <c r="A13" t="inlineStr">
        <is>
          <t>Acquisition ROI (FY31 val / cost)</t>
        </is>
      </c>
      <c r="B13" s="36">
        <f>B12/B11</f>
        <v/>
      </c>
      <c r="C13" s="36">
        <f>C12/C11</f>
        <v/>
      </c>
      <c r="D13" s="36">
        <f>D12/D11</f>
        <v/>
      </c>
      <c r="E13" s="36">
        <f>'PL and Cash Flow'!N43*10/'Deal Structure'!C35</f>
        <v/>
      </c>
      <c r="F13" s="36" t="inlineStr">
        <is>
          <t>n/a</t>
        </is>
      </c>
      <c r="H13" s="10" t="inlineStr"/>
    </row>
    <row r="14" ht="18" customHeight="1">
      <c r="A14" s="25" t="inlineStr">
        <is>
          <t>DILUTION</t>
        </is>
      </c>
    </row>
    <row r="15" ht="18" customHeight="1">
      <c r="A15" t="inlineStr">
        <is>
          <t>Earn-out ii stock dilution (low/base/high)</t>
        </is>
      </c>
      <c r="B15" s="55">
        <f>Assumptions!B28</f>
        <v/>
      </c>
      <c r="C15" s="55">
        <f>Assumptions!B29</f>
        <v/>
      </c>
      <c r="D15" s="55">
        <f>Assumptions!B30</f>
        <v/>
      </c>
      <c r="E15" s="55" t="inlineStr">
        <is>
          <t>same</t>
        </is>
      </c>
      <c r="F15" s="55" t="inlineStr">
        <is>
          <t>n/a</t>
        </is>
      </c>
      <c r="H15" s="10" t="inlineStr">
        <is>
          <t>% FD shares</t>
        </is>
      </c>
    </row>
    <row r="16" ht="18" customHeight="1">
      <c r="A16" s="25" t="inlineStr">
        <is>
          <t>CASH DEPLOYMENT</t>
        </is>
      </c>
    </row>
    <row r="17" ht="18" customHeight="1">
      <c r="A17" t="inlineStr">
        <is>
          <t>FY27 net cash deployment</t>
        </is>
      </c>
      <c r="B17" s="32">
        <f>Assumptions!B10+Assumptions!B16</f>
        <v/>
      </c>
      <c r="C17" s="32">
        <f>Assumptions!B10+Assumptions!B16</f>
        <v/>
      </c>
      <c r="D17" s="32">
        <f>Assumptions!B10+Assumptions!B16</f>
        <v/>
      </c>
      <c r="E17" s="32" t="inlineStr">
        <is>
          <t>same</t>
        </is>
      </c>
      <c r="F17" s="32" t="inlineStr">
        <is>
          <t>n/a</t>
        </is>
      </c>
      <c r="H17" s="10" t="inlineStr">
        <is>
          <t>Acq + WC from Series A</t>
        </is>
      </c>
    </row>
    <row r="18" ht="18" customHeight="1">
      <c r="A18" t="inlineStr">
        <is>
          <t>Series A first close</t>
        </is>
      </c>
      <c r="B18" s="32">
        <f>Assumptions!B17</f>
        <v/>
      </c>
      <c r="C18" s="32">
        <f>Assumptions!B17</f>
        <v/>
      </c>
      <c r="D18" s="32">
        <f>Assumptions!B17</f>
        <v/>
      </c>
      <c r="E18" s="32" t="inlineStr">
        <is>
          <t>same</t>
        </is>
      </c>
      <c r="F18" s="32" t="inlineStr">
        <is>
          <t>n/a</t>
        </is>
      </c>
      <c r="H18" s="10" t="inlineStr"/>
    </row>
    <row r="19" ht="18" customHeight="1">
      <c r="A19" t="inlineStr">
        <is>
          <t>Remaining for Exos ops post-acq</t>
        </is>
      </c>
      <c r="B19" s="32">
        <f>B18-B17</f>
        <v/>
      </c>
      <c r="C19" s="32">
        <f>C18-C17</f>
        <v/>
      </c>
      <c r="D19" s="32">
        <f>D18-D17</f>
        <v/>
      </c>
      <c r="E19" s="32" t="inlineStr">
        <is>
          <t>same</t>
        </is>
      </c>
      <c r="F19" s="32" t="inlineStr">
        <is>
          <t>n/a</t>
        </is>
      </c>
      <c r="H19" s="10" t="inlineStr"/>
    </row>
  </sheetData>
  <mergeCells count="4">
    <mergeCell ref="A16:H16"/>
    <mergeCell ref="A14:H14"/>
    <mergeCell ref="A10:H10"/>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37"/>
  <sheetViews>
    <sheetView workbookViewId="0">
      <selection activeCell="A1" sqref="A1"/>
    </sheetView>
  </sheetViews>
  <sheetFormatPr baseColWidth="8" defaultRowHeight="15"/>
  <cols>
    <col width="40" customWidth="1" min="1" max="1"/>
    <col width="18" customWidth="1" min="2" max="2"/>
    <col width="30" customWidth="1" min="3" max="3"/>
  </cols>
  <sheetData>
    <row r="1" ht="22" customHeight="1">
      <c r="A1" s="51" t="inlineStr">
        <is>
          <t>SSLC Option B — Funding Structure &amp; Risks</t>
        </is>
      </c>
    </row>
    <row r="3" ht="28" customHeight="1">
      <c r="A3" s="23" t="inlineStr">
        <is>
          <t>FUNDING OVERVIEW</t>
        </is>
      </c>
    </row>
    <row r="4" ht="28" customHeight="1">
      <c r="A4" s="5" t="inlineStr">
        <is>
          <t>Acquisition is funded from Exos-only post-RTO proceeds</t>
        </is>
      </c>
      <c r="B4" t="inlineStr">
        <is>
          <t>Investor requirement</t>
        </is>
      </c>
      <c r="C4" s="7" t="inlineStr">
        <is>
          <t>SSLC stays OUT of RTO perimeter (John 10/2)</t>
        </is>
      </c>
    </row>
    <row r="5" ht="28" customHeight="1">
      <c r="A5" s="5" t="inlineStr">
        <is>
          <t>Series A first close ($)</t>
        </is>
      </c>
      <c r="B5" s="8">
        <f>Assumptions!B17</f>
        <v/>
      </c>
      <c r="C5" s="7" t="inlineStr">
        <is>
          <t>D1 of record; $10M</t>
        </is>
      </c>
    </row>
    <row r="6" ht="28" customHeight="1">
      <c r="A6" s="5" t="inlineStr">
        <is>
          <t xml:space="preserve">  Allocated to SSLC acquisition</t>
        </is>
      </c>
      <c r="B6" s="8">
        <f>Assumptions!B10</f>
        <v/>
      </c>
      <c r="C6" s="7" t="inlineStr">
        <is>
          <t>Cash deal price</t>
        </is>
      </c>
    </row>
    <row r="7" ht="28" customHeight="1">
      <c r="A7" s="5" t="inlineStr">
        <is>
          <t xml:space="preserve">  Allocated to SSLC WC bridge</t>
        </is>
      </c>
      <c r="B7" s="8">
        <f>Assumptions!B16</f>
        <v/>
      </c>
      <c r="C7" s="7" t="inlineStr">
        <is>
          <t>$0.3–0.7M; mid=$500K</t>
        </is>
      </c>
    </row>
    <row r="8" ht="28" customHeight="1">
      <c r="A8" s="5" t="inlineStr">
        <is>
          <t xml:space="preserve">  Remaining for Exos operations</t>
        </is>
      </c>
      <c r="B8" s="8">
        <f>B5-B6-B7</f>
        <v/>
      </c>
      <c r="C8" s="7" t="inlineStr"/>
    </row>
    <row r="9" ht="28" customHeight="1">
      <c r="A9" s="5" t="inlineStr">
        <is>
          <t>Pre-RTO convertible note ($)</t>
        </is>
      </c>
      <c r="B9" s="8">
        <f>Assumptions!B20</f>
        <v/>
      </c>
      <c r="C9" s="7" t="inlineStr">
        <is>
          <t>FNEX/Ainigma; primary Exos development capital</t>
        </is>
      </c>
    </row>
    <row r="10" ht="28" customHeight="1">
      <c r="A10" s="5" t="inlineStr">
        <is>
          <t>TOTAL FINANCING AT CLOSE</t>
        </is>
      </c>
      <c r="B10" s="8">
        <f>B5</f>
        <v/>
      </c>
      <c r="C10" s="7" t="inlineStr">
        <is>
          <t>Series A covers acquisition + WC bridge</t>
        </is>
      </c>
    </row>
    <row r="12" ht="28" customHeight="1">
      <c r="A12" s="23" t="inlineStr">
        <is>
          <t>§3 FINANCING TRIGGER GAP (CRITICAL RISK)</t>
        </is>
      </c>
    </row>
    <row r="13" ht="28" customHeight="1">
      <c r="A13" s="5" t="inlineStr">
        <is>
          <t>FNEX/Ainigma role</t>
        </is>
      </c>
      <c r="B13" t="inlineStr">
        <is>
          <t>Advisor / broker-dealer</t>
        </is>
      </c>
      <c r="C13" s="7" t="inlineStr">
        <is>
          <t>FNEX is NOT itself the 'investor or lender' under §3</t>
        </is>
      </c>
    </row>
    <row r="14" ht="28" customHeight="1">
      <c r="A14" s="5" t="inlineStr">
        <is>
          <t>Risk: SSLC counsel challenges trigger</t>
        </is>
      </c>
      <c r="B14" s="56" t="inlineStr">
        <is>
          <t>HIGH</t>
        </is>
      </c>
      <c r="C14" s="7" t="inlineStr">
        <is>
          <t>§3 requires 'investor or lender capable of financing'; advisory mandate may not qualify</t>
        </is>
      </c>
    </row>
    <row r="15" ht="28" customHeight="1">
      <c r="A15" s="5" t="inlineStr">
        <is>
          <t>Mitigation required</t>
        </is>
      </c>
      <c r="B15" t="inlineStr">
        <is>
          <t>FNEX countersigned + investor/sponsor use-of-proceeds letter naming SSLC asset purchase</t>
        </is>
      </c>
      <c r="C15" s="7" t="inlineStr">
        <is>
          <t>[Confirm FNEX agreement countersigned per D-7281974 10/6]</t>
        </is>
      </c>
    </row>
    <row r="16" ht="28" customHeight="1">
      <c r="A16" s="5" t="inlineStr">
        <is>
          <t>§3 extension right</t>
        </is>
      </c>
      <c r="B16" t="inlineStr">
        <is>
          <t>SSLC shall not unreasonably withhold</t>
        </is>
      </c>
      <c r="C16" s="7" t="inlineStr">
        <is>
          <t>90-day window; request extension proactively</t>
        </is>
      </c>
    </row>
    <row r="17" ht="28" customHeight="1">
      <c r="A17" s="5" t="inlineStr">
        <is>
          <t>Timing: 90-day exclusivity ends</t>
        </is>
      </c>
      <c r="B17" t="inlineStr">
        <is>
          <t>~Jan 6, 2027</t>
        </is>
      </c>
      <c r="C17" s="7" t="inlineStr">
        <is>
          <t>From ~Oct 8 grant; RTO is 4-5 months; need extension</t>
        </is>
      </c>
    </row>
    <row r="19" ht="28" customHeight="1">
      <c r="A19" s="23" t="inlineStr">
        <is>
          <t>RELATED-PARTY DISCLOSURES</t>
        </is>
      </c>
    </row>
    <row r="20" ht="28" customHeight="1">
      <c r="A20" s="5" t="inlineStr">
        <is>
          <t>John sits on BOTH boards</t>
        </is>
      </c>
      <c r="B20" t="inlineStr">
        <is>
          <t>Conflict of interest</t>
        </is>
      </c>
      <c r="C20" s="7" t="inlineStr">
        <is>
          <t>John must RECUSE from SSLC vote; send as Exos CEO only</t>
        </is>
      </c>
    </row>
    <row r="21" ht="28" customHeight="1">
      <c r="A21" s="5" t="inlineStr">
        <is>
          <t>Fairness opinion</t>
        </is>
      </c>
      <c r="B21" t="inlineStr">
        <is>
          <t>Required (Eqvista 8/14/2026)</t>
        </is>
      </c>
      <c r="C21" s="7" t="inlineStr">
        <is>
          <t>Agreement still unsigned (held ~1 month)</t>
        </is>
      </c>
    </row>
    <row r="22" ht="28" customHeight="1">
      <c r="A22" s="5" t="inlineStr">
        <is>
          <t>Disinterested director approval</t>
        </is>
      </c>
      <c r="B22" t="inlineStr">
        <is>
          <t>Required (SSLC side)</t>
        </is>
      </c>
      <c r="C22" s="7" t="inlineStr">
        <is>
          <t>Markus Rufer and Bob; John abstains</t>
        </is>
      </c>
    </row>
    <row r="23" ht="28" customHeight="1">
      <c r="A23" s="5" t="inlineStr">
        <is>
          <t>Legal review</t>
        </is>
      </c>
      <c r="B23" t="inlineStr">
        <is>
          <t>Deferred (John 10/7)</t>
        </is>
      </c>
      <c r="C23" s="7" t="inlineStr">
        <is>
          <t>Negotiation stage; no legal review until John calls it</t>
        </is>
      </c>
    </row>
    <row r="25" ht="28" customHeight="1">
      <c r="A25" s="23" t="inlineStr">
        <is>
          <t>HE-TANK DISPUTE RISK</t>
        </is>
      </c>
    </row>
    <row r="26" ht="28" customHeight="1">
      <c r="A26" s="5" t="inlineStr">
        <is>
          <t>Rev3 tank leaks at boss post-Hysol</t>
        </is>
      </c>
      <c r="B26" t="inlineStr">
        <is>
          <t>RISK</t>
        </is>
      </c>
      <c r="C26" s="7" t="inlineStr">
        <is>
          <t>10/1 hydro fail; Plan B: qualified COPV ≤$250K (MC #3056)</t>
        </is>
      </c>
    </row>
    <row r="27" ht="28" customHeight="1">
      <c r="A27" s="5" t="inlineStr">
        <is>
          <t>Impact on acquisition</t>
        </is>
      </c>
      <c r="B27" t="inlineStr">
        <is>
          <t>SSLC demonstrably can't deliver BLK3 flight article</t>
        </is>
      </c>
      <c r="C27" s="7" t="inlineStr">
        <is>
          <t>Customer-hat PO default kept in reserve</t>
        </is>
      </c>
    </row>
    <row r="29" ht="28" customHeight="1">
      <c r="A29" s="23" t="inlineStr">
        <is>
          <t>SSLC CASH RISK</t>
        </is>
      </c>
    </row>
    <row r="30" ht="28" customHeight="1">
      <c r="A30" s="5" t="inlineStr">
        <is>
          <t>SSLC cash at close (est.)</t>
        </is>
      </c>
      <c r="B30" s="8">
        <f>Assumptions!B42+Assumptions!B41-Assumptions!B16</f>
        <v/>
      </c>
      <c r="C30" s="7" t="inlineStr">
        <is>
          <t>FY27 Q1 cash + billed-ahead minus WC need</t>
        </is>
      </c>
    </row>
    <row r="31" ht="28" customHeight="1">
      <c r="A31" s="5" t="inlineStr">
        <is>
          <t>Risk: SSLC runs out before close</t>
        </is>
      </c>
      <c r="B31" s="57" t="inlineStr">
        <is>
          <t>MEDIUM</t>
        </is>
      </c>
      <c r="C31" s="7" t="inlineStr">
        <is>
          <t>Cash $198K + collections on billed-ahead work; ~1 month burn</t>
        </is>
      </c>
    </row>
    <row r="32" ht="28" customHeight="1">
      <c r="A32" s="5" t="inlineStr">
        <is>
          <t>Mitigation: Option C pre-cliff bridge</t>
        </is>
      </c>
      <c r="B32" t="inlineStr">
        <is>
          <t>Secured prepaid BLK3 tank PO $300-700K</t>
        </is>
      </c>
      <c r="C32" s="7" t="inlineStr">
        <is>
          <t>Option C held for follow-up</t>
        </is>
      </c>
    </row>
    <row r="34" ht="28" customHeight="1">
      <c r="A34" s="23" t="inlineStr">
        <is>
          <t>DATA NOT VERIFIED IN SSLC QB (CRITICAL)</t>
        </is>
      </c>
    </row>
    <row r="35" ht="28" customHeight="1">
      <c r="A35" s="5" t="inlineStr">
        <is>
          <t>SSLC total liabilities / AP</t>
        </is>
      </c>
      <c r="B35" t="inlineStr">
        <is>
          <t>~$500K est. — TO VERIFY</t>
        </is>
      </c>
      <c r="C35" s="7" t="inlineStr">
        <is>
          <t>QB session expired 10/7; cannot confirm Microcosm/Wertz amounts</t>
        </is>
      </c>
    </row>
    <row r="36" ht="28" customHeight="1">
      <c r="A36" s="5" t="inlineStr">
        <is>
          <t>SSLC total debt assumed at face</t>
        </is>
      </c>
      <c r="B36" t="inlineStr">
        <is>
          <t>TO VERIFY IN SSLC QB</t>
        </is>
      </c>
      <c r="C36" s="7" t="inlineStr">
        <is>
          <t>Critical for Bob/Jim: personal path depends on debt payoff</t>
        </is>
      </c>
    </row>
    <row r="37" ht="28" customHeight="1">
      <c r="A37" s="5" t="inlineStr">
        <is>
          <t>Exos loan to SSLC status in QB</t>
        </is>
      </c>
      <c r="B37" t="inlineStr">
        <is>
          <t>~$38K — cancelled 10/2</t>
        </is>
      </c>
      <c r="C37" s="7" t="inlineStr">
        <is>
          <t>Verify cancellation documented in QB</t>
        </is>
      </c>
    </row>
  </sheetData>
  <mergeCells count="7">
    <mergeCell ref="A25:C25"/>
    <mergeCell ref="A19:C19"/>
    <mergeCell ref="A1:C1"/>
    <mergeCell ref="A3:C3"/>
    <mergeCell ref="A34:C34"/>
    <mergeCell ref="A12:C12"/>
    <mergeCell ref="A29:C2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43"/>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2" customHeight="1">
      <c r="A1" s="22" t="inlineStr">
        <is>
          <t>SSLC Option B — Total Compensation to SSLC Shareholders/Stakeholders | TWO CASES</t>
        </is>
      </c>
    </row>
    <row r="2">
      <c r="A2" s="49" t="inlineStr">
        <is>
          <t>BASE = Old-Model Case (v12 drivers), as requested. Actuals-Anchored shown as sensitivity. Funding at close identical in both; chart shows Old-Model base.</t>
        </is>
      </c>
    </row>
    <row r="4">
      <c r="A4" s="54" t="inlineStr">
        <is>
          <t>Component</t>
        </is>
      </c>
      <c r="B4" s="54" t="inlineStr">
        <is>
          <t>FY27 (Close)</t>
        </is>
      </c>
      <c r="C4" s="54" t="inlineStr">
        <is>
          <t>FY28</t>
        </is>
      </c>
      <c r="D4" s="54" t="inlineStr">
        <is>
          <t>FY29</t>
        </is>
      </c>
      <c r="E4" s="54" t="inlineStr">
        <is>
          <t>FY30</t>
        </is>
      </c>
      <c r="F4" s="54" t="inlineStr">
        <is>
          <t>FY31</t>
        </is>
      </c>
      <c r="G4" s="54" t="inlineStr">
        <is>
          <t>5-Yr Total</t>
        </is>
      </c>
      <c r="H4" s="54" t="inlineStr">
        <is>
          <t>Notes</t>
        </is>
      </c>
    </row>
    <row r="5">
      <c r="A5" s="58" t="inlineStr">
        <is>
          <t>FUNDING DELIVERED AT CLOSE (FY27) — identical in both cases</t>
        </is>
      </c>
    </row>
    <row r="6" ht="18" customHeight="1">
      <c r="A6" s="59" t="inlineStr">
        <is>
          <t>Cash at close</t>
        </is>
      </c>
      <c r="B6" s="32">
        <f>Assumptions!B10</f>
        <v/>
      </c>
      <c r="C6" s="32" t="n">
        <v>0</v>
      </c>
      <c r="D6" s="32" t="n">
        <v>0</v>
      </c>
      <c r="E6" s="32" t="n">
        <v>0</v>
      </c>
      <c r="F6" s="32" t="n">
        <v>0</v>
      </c>
      <c r="G6" s="32">
        <f>SUM(B6:F6)</f>
        <v/>
      </c>
      <c r="H6" s="10" t="inlineStr">
        <is>
          <t>§3 deal price</t>
        </is>
      </c>
    </row>
    <row r="7" ht="18" customHeight="1">
      <c r="A7" s="59" t="inlineStr">
        <is>
          <t>SSLC closing costs</t>
        </is>
      </c>
      <c r="B7" s="32">
        <f>Assumptions!B11</f>
        <v/>
      </c>
      <c r="C7" s="32" t="n">
        <v>0</v>
      </c>
      <c r="D7" s="32" t="n">
        <v>0</v>
      </c>
      <c r="E7" s="32" t="n">
        <v>0</v>
      </c>
      <c r="F7" s="32" t="n">
        <v>0</v>
      </c>
      <c r="G7" s="32">
        <f>SUM(B7:F7)</f>
        <v/>
      </c>
      <c r="H7" s="10" t="inlineStr">
        <is>
          <t>Seller's costs</t>
        </is>
      </c>
    </row>
    <row r="8" ht="18" customHeight="1">
      <c r="A8" s="59" t="inlineStr">
        <is>
          <t>Exos stake credit (non-cash)</t>
        </is>
      </c>
      <c r="B8" s="32">
        <f>Assumptions!B12</f>
        <v/>
      </c>
      <c r="C8" s="32" t="n">
        <v>0</v>
      </c>
      <c r="D8" s="32" t="n">
        <v>0</v>
      </c>
      <c r="E8" s="32" t="n">
        <v>0</v>
      </c>
      <c r="F8" s="32" t="n">
        <v>0</v>
      </c>
      <c r="G8" s="32">
        <f>SUM(B8:F8)</f>
        <v/>
      </c>
      <c r="H8" s="10" t="inlineStr">
        <is>
          <t>18% equity at 2021 basis</t>
        </is>
      </c>
    </row>
    <row r="9" ht="18" customHeight="1">
      <c r="A9" s="59" t="inlineStr">
        <is>
          <t>SSLC debts assumed at face (TBV)</t>
        </is>
      </c>
      <c r="B9" s="32">
        <f>Assumptions!B14</f>
        <v/>
      </c>
      <c r="C9" s="32" t="n">
        <v>0</v>
      </c>
      <c r="D9" s="32" t="n">
        <v>0</v>
      </c>
      <c r="E9" s="32" t="n">
        <v>0</v>
      </c>
      <c r="F9" s="32" t="n">
        <v>0</v>
      </c>
      <c r="G9" s="32">
        <f>SUM(B9:F9)</f>
        <v/>
      </c>
      <c r="H9" s="10" t="inlineStr">
        <is>
          <t>per 10/2 SSLC QB pull; verify</t>
        </is>
      </c>
    </row>
    <row r="10" ht="18" customHeight="1">
      <c r="A10" s="59" t="inlineStr">
        <is>
          <t>Working-capital bridge (completion cost)</t>
        </is>
      </c>
      <c r="B10" s="32">
        <f>Assumptions!B16</f>
        <v/>
      </c>
      <c r="C10" s="32" t="n">
        <v>0</v>
      </c>
      <c r="D10" s="32" t="n">
        <v>0</v>
      </c>
      <c r="E10" s="32" t="n">
        <v>0</v>
      </c>
      <c r="F10" s="32" t="n">
        <v>0</v>
      </c>
      <c r="G10" s="32">
        <f>SUM(B10:F10)</f>
        <v/>
      </c>
      <c r="H10" s="10" t="inlineStr">
        <is>
          <t>Mid=$500K; funds completion of in-flight IM work</t>
        </is>
      </c>
    </row>
    <row r="11" ht="18" customHeight="1">
      <c r="A11" s="59" t="inlineStr">
        <is>
          <t>Exos equity — $1.0M fixed / ~0.59% EAI units at 409A (Rule 504)</t>
        </is>
      </c>
      <c r="B11" s="32" t="n">
        <v>1000000</v>
      </c>
      <c r="C11" s="32" t="n">
        <v>0</v>
      </c>
      <c r="D11" s="32" t="n">
        <v>0</v>
      </c>
      <c r="E11" s="32" t="n">
        <v>0</v>
      </c>
      <c r="F11" s="32" t="n">
        <v>0</v>
      </c>
      <c r="G11" s="32">
        <f>SUM(B11:F11)</f>
        <v/>
      </c>
      <c r="H11" s="10" t="inlineStr">
        <is>
          <t>$1,000K fixed; ~0.589% of $169.7M Eqvista 409A; committed at SSLC board acceptance; issued at financing close (Rule 504)</t>
        </is>
      </c>
    </row>
    <row r="12" ht="18" customHeight="1">
      <c r="A12" s="60" t="inlineStr">
        <is>
          <t>TOTAL FUNDING DELIVERED</t>
        </is>
      </c>
      <c r="B12" s="61">
        <f>SUM(B6:B11)</f>
        <v/>
      </c>
      <c r="C12" s="61">
        <f>SUM(C6:C11)</f>
        <v/>
      </c>
      <c r="D12" s="61">
        <f>SUM(D6:D11)</f>
        <v/>
      </c>
      <c r="E12" s="61">
        <f>SUM(E6:E11)</f>
        <v/>
      </c>
      <c r="F12" s="61">
        <f>SUM(F6:F11)</f>
        <v/>
      </c>
      <c r="G12" s="61">
        <f>SUM(B12:F12)</f>
        <v/>
      </c>
      <c r="H12" s="10" t="inlineStr">
        <is>
          <t>All at close in FY27; includes $1.0M EAI equity at 409A (Rule 504); total ②=$5,360K</t>
        </is>
      </c>
    </row>
    <row r="13">
      <c r="A13" s="62" t="inlineStr">
        <is>
          <t>FORWARD POTENTIAL — EARN-OUTS (same in both cases; driven by IM firm revenue)</t>
        </is>
      </c>
    </row>
    <row r="14" ht="18" customHeight="1">
      <c r="A14" s="59" t="inlineStr">
        <is>
          <t>Tank earn-out base (i): 5%/yr, $300K cap, 5yr FY27–FY31</t>
        </is>
      </c>
      <c r="B14" s="32">
        <f>MIN(Assumptions!B24*Assumptions!B44,Assumptions!B26)</f>
        <v/>
      </c>
      <c r="C14" s="32">
        <f>MIN(Assumptions!B24*Assumptions!B44,Assumptions!B26)</f>
        <v/>
      </c>
      <c r="D14" s="32">
        <f>MIN(Assumptions!B24*Assumptions!B44,Assumptions!B26)</f>
        <v/>
      </c>
      <c r="E14" s="32">
        <f>MIN(Assumptions!B24*Assumptions!B44,Assumptions!B26)</f>
        <v/>
      </c>
      <c r="F14" s="32">
        <f>MIN(Assumptions!B24*Assumptions!B44,Assumptions!B26)</f>
        <v/>
      </c>
      <c r="G14" s="32">
        <f>SUM(B14:F14)</f>
        <v/>
      </c>
      <c r="H14" s="10" t="inlineStr">
        <is>
          <t>5% × $5M firm IM ramp × 5 years; $300K/yr cap</t>
        </is>
      </c>
    </row>
    <row r="15" ht="18" customHeight="1">
      <c r="A15" s="59" t="inlineStr">
        <is>
          <t>Tank earn-out low (i): 3%/yr × 5yr</t>
        </is>
      </c>
      <c r="B15" s="32">
        <f>MIN(Assumptions!B23*Assumptions!B44,Assumptions!B26)</f>
        <v/>
      </c>
      <c r="C15" s="32">
        <f>MIN(Assumptions!B23*Assumptions!B44,Assumptions!B26)</f>
        <v/>
      </c>
      <c r="D15" s="32">
        <f>MIN(Assumptions!B23*Assumptions!B44,Assumptions!B26)</f>
        <v/>
      </c>
      <c r="E15" s="32">
        <f>MIN(Assumptions!B23*Assumptions!B44,Assumptions!B26)</f>
        <v/>
      </c>
      <c r="F15" s="32">
        <f>MIN(Assumptions!B23*Assumptions!B44,Assumptions!B26)</f>
        <v/>
      </c>
      <c r="G15" s="32">
        <f>SUM(B15:F15)</f>
        <v/>
      </c>
      <c r="H15" s="10" t="inlineStr">
        <is>
          <t>Low scenario × 5yr</t>
        </is>
      </c>
    </row>
    <row r="16" ht="18" customHeight="1">
      <c r="A16" s="59" t="inlineStr">
        <is>
          <t>Tank earn-out high (i): 7%/yr × 5yr (cap $300K)</t>
        </is>
      </c>
      <c r="B16" s="32">
        <f>MIN(Assumptions!B25*Assumptions!B44,Assumptions!B26)</f>
        <v/>
      </c>
      <c r="C16" s="32">
        <f>MIN(Assumptions!B25*Assumptions!B44,Assumptions!B26)</f>
        <v/>
      </c>
      <c r="D16" s="32">
        <f>MIN(Assumptions!B25*Assumptions!B44,Assumptions!B26)</f>
        <v/>
      </c>
      <c r="E16" s="32">
        <f>MIN(Assumptions!B25*Assumptions!B44,Assumptions!B26)</f>
        <v/>
      </c>
      <c r="F16" s="32">
        <f>MIN(Assumptions!B25*Assumptions!B44,Assumptions!B26)</f>
        <v/>
      </c>
      <c r="G16" s="32">
        <f>SUM(B16:F16)</f>
        <v/>
      </c>
      <c r="H16" s="10" t="inlineStr">
        <is>
          <t>High — capped at $300K/yr × 5yr = $1.5M</t>
        </is>
      </c>
    </row>
    <row r="17" ht="18" customHeight="1">
      <c r="A17" s="59" t="inlineStr">
        <is>
          <t>Milestone earn-outs base (3 of 5 triggered)</t>
        </is>
      </c>
      <c r="B17" s="32" t="n">
        <v>200000</v>
      </c>
      <c r="C17" s="32" t="n">
        <v>200000</v>
      </c>
      <c r="D17" s="32" t="n">
        <v>250000</v>
      </c>
      <c r="E17" s="32" t="n">
        <v>0</v>
      </c>
      <c r="F17" s="32" t="n">
        <v>0</v>
      </c>
      <c r="G17" s="32">
        <f>SUM(B17:F17)</f>
        <v/>
      </c>
      <c r="H17" s="10" t="inlineStr">
        <is>
          <t>Base: M1 $5.1M rev FY27 + M2 OTV contract + M3 $10M rev (mgmt assumption)</t>
        </is>
      </c>
    </row>
    <row r="18" ht="18" customHeight="1">
      <c r="A18" s="59" t="inlineStr">
        <is>
          <t>Milestone earn-outs low (M1 only)</t>
        </is>
      </c>
      <c r="B18" s="32" t="n">
        <v>200000</v>
      </c>
      <c r="C18" s="32" t="n">
        <v>0</v>
      </c>
      <c r="D18" s="32" t="n">
        <v>0</v>
      </c>
      <c r="E18" s="32" t="n">
        <v>0</v>
      </c>
      <c r="F18" s="32" t="n">
        <v>0</v>
      </c>
      <c r="G18" s="32">
        <f>SUM(B18:F18)</f>
        <v/>
      </c>
      <c r="H18" s="10" t="inlineStr">
        <is>
          <t>Low: only M1 SSLC FY2026-27 revenue ≥$5.1M — $200K</t>
        </is>
      </c>
    </row>
    <row r="19" ht="18" customHeight="1">
      <c r="A19" s="59" t="inlineStr">
        <is>
          <t>Milestone earn-outs high (all 5 triggered)</t>
        </is>
      </c>
      <c r="B19" s="32" t="n">
        <v>200000</v>
      </c>
      <c r="C19" s="32" t="n">
        <v>200000</v>
      </c>
      <c r="D19" s="32" t="n">
        <v>250000</v>
      </c>
      <c r="E19" s="32" t="n">
        <v>250000</v>
      </c>
      <c r="F19" s="32" t="n">
        <v>200000</v>
      </c>
      <c r="G19" s="32">
        <f>SUM(B19:F19)</f>
        <v/>
      </c>
      <c r="H19" s="10" t="inlineStr">
        <is>
          <t>High: M1 $200K + M2 $200K + M3 $250K + M4 $250K + M5 $200K = $1.1M</t>
        </is>
      </c>
    </row>
    <row r="20" ht="18" customHeight="1">
      <c r="A20" s="59" t="inlineStr">
        <is>
          <t>Stock earn-out base (ii): 0.25% FD @ listing (total ~0.84% incl. EAI)</t>
        </is>
      </c>
      <c r="B20" s="32" t="n">
        <v>0</v>
      </c>
      <c r="C20" s="32" t="n">
        <v>0</v>
      </c>
      <c r="D20" s="32">
        <f>Assumptions!B29*Assumptions!B32</f>
        <v/>
      </c>
      <c r="E20" s="32" t="n">
        <v>0</v>
      </c>
      <c r="F20" s="32" t="n">
        <v>0</v>
      </c>
      <c r="G20" s="32">
        <f>SUM(B20:F20)</f>
        <v/>
      </c>
      <c r="H20" s="10" t="inlineStr">
        <is>
          <t>0.25% earn-out at $250M listing = $625K; realized FY29 post principals' lockup. At 409A = $424K. Total Exos equity = ~0.84%.</t>
        </is>
      </c>
    </row>
    <row r="21" ht="18" customHeight="1">
      <c r="A21" s="59" t="inlineStr">
        <is>
          <t>Stock earn-out low (ii): 0.0% earn-out (~0.59% EAI up-front only)</t>
        </is>
      </c>
      <c r="B21" s="32" t="n">
        <v>0</v>
      </c>
      <c r="C21" s="32" t="n">
        <v>0</v>
      </c>
      <c r="D21" s="32">
        <f>Assumptions!B28*Assumptions!B31</f>
        <v/>
      </c>
      <c r="E21" s="32" t="n">
        <v>0</v>
      </c>
      <c r="F21" s="32" t="n">
        <v>0</v>
      </c>
      <c r="G21" s="32">
        <f>SUM(B21:F21)</f>
        <v/>
      </c>
      <c r="H21" s="10" t="inlineStr">
        <is>
          <t>0.0% earn-out = $0 at listing; total Exos equity = ~0.59% EAI (Rule 504) only. At 409A = $0.</t>
        </is>
      </c>
    </row>
    <row r="22" ht="18" customHeight="1">
      <c r="A22" s="59" t="inlineStr">
        <is>
          <t>Stock earn-out high (ii): 0.5% @ $300M (total ~1.09% incl. EAI)</t>
        </is>
      </c>
      <c r="B22" s="32" t="n">
        <v>0</v>
      </c>
      <c r="C22" s="32" t="n">
        <v>0</v>
      </c>
      <c r="D22" s="32">
        <f>Assumptions!B30*Assumptions!B33</f>
        <v/>
      </c>
      <c r="E22" s="32" t="n">
        <v>0</v>
      </c>
      <c r="F22" s="32" t="n">
        <v>0</v>
      </c>
      <c r="G22" s="32">
        <f>SUM(B22:F22)</f>
        <v/>
      </c>
      <c r="H22" s="10" t="inlineStr">
        <is>
          <t>0.5% earn-out at $300M = $1.5M; at 409A = $848K. Total Exos equity = ~1.09%.</t>
        </is>
      </c>
    </row>
    <row r="25">
      <c r="A25" s="13" t="inlineStr">
        <is>
          <t>TOTAL CONSIDERATION — 5-yr (base price + earn-outs + milestones) | negotiating terms — management assumptions</t>
        </is>
      </c>
    </row>
    <row r="26" ht="20" customHeight="1">
      <c r="A26" s="27" t="inlineStr">
        <is>
          <t>BASE: funding+$1M EAI ($5.36M) + tank base (5yr) + milestones 1-3 + stock earn-out base ≈ $7.885M</t>
        </is>
      </c>
      <c r="B26" s="63">
        <f>B12+B14+B17+B20</f>
        <v/>
      </c>
      <c r="C26" s="63">
        <f>C12+C14+C17+C20</f>
        <v/>
      </c>
      <c r="D26" s="63">
        <f>D12+D14+D17+D20</f>
        <v/>
      </c>
      <c r="E26" s="63">
        <f>E12+E14+E17+E20</f>
        <v/>
      </c>
      <c r="F26" s="63">
        <f>F12+F14+F17+F20</f>
        <v/>
      </c>
      <c r="G26" s="63">
        <f>SUM(B26:F26)</f>
        <v/>
      </c>
    </row>
    <row r="27" ht="20" customHeight="1">
      <c r="A27" s="64" t="inlineStr">
        <is>
          <t>LOW:  funding+$1M EAI ($5.36M) + tank low (5yr) + milestone M1 only + 0% earn-out ≈ $6.31M</t>
        </is>
      </c>
      <c r="B27" s="65">
        <f>B12+B15+B18+B21</f>
        <v/>
      </c>
      <c r="C27" s="65">
        <f>C12+C15+C18+C21</f>
        <v/>
      </c>
      <c r="D27" s="65">
        <f>D12+D15+D18+D21</f>
        <v/>
      </c>
      <c r="E27" s="65">
        <f>E12+E15+E18+E21</f>
        <v/>
      </c>
      <c r="F27" s="65">
        <f>F12+F15+F18+F21</f>
        <v/>
      </c>
      <c r="G27" s="65">
        <f>SUM(B27:F27)</f>
        <v/>
      </c>
    </row>
    <row r="28" ht="20" customHeight="1">
      <c r="A28" s="66" t="inlineStr">
        <is>
          <t>HIGH: funding+$1M EAI ($5.36M) + tank high + all milestones + 0.5% earn-out ≈ $9.46M [HIGH &lt; $10M target — not rebalanced per 10/9 instruction]</t>
        </is>
      </c>
      <c r="B28" s="67">
        <f>B12+B16+B19+B22</f>
        <v/>
      </c>
      <c r="C28" s="67">
        <f>C12+C16+C19+C22</f>
        <v/>
      </c>
      <c r="D28" s="67">
        <f>D12+D16+D19+D22</f>
        <v/>
      </c>
      <c r="E28" s="67">
        <f>E12+E16+E19+E22</f>
        <v/>
      </c>
      <c r="F28" s="67">
        <f>F12+F16+F19+F22</f>
        <v/>
      </c>
      <c r="G28" s="67">
        <f>SUM(B28:F28)</f>
        <v/>
      </c>
    </row>
    <row r="29" ht="20" customHeight="1">
      <c r="A29" s="25" t="inlineStr">
        <is>
          <t>AA SENSITIVITY BASE (same earn-out structure)</t>
        </is>
      </c>
      <c r="B29" s="68">
        <f>B12+B14+B17+B20</f>
        <v/>
      </c>
      <c r="C29" s="68">
        <f>C12+C14+C17+C20</f>
        <v/>
      </c>
      <c r="D29" s="68">
        <f>D12+D14+D17+D20</f>
        <v/>
      </c>
      <c r="E29" s="68">
        <f>E12+E14+E17+E20</f>
        <v/>
      </c>
      <c r="F29" s="68">
        <f>F12+F14+F17+F20</f>
        <v/>
      </c>
      <c r="G29" s="68">
        <f>SUM(B29:F29)</f>
        <v/>
      </c>
    </row>
    <row r="31">
      <c r="A31" s="10" t="inlineStr">
        <is>
          <t>Chart: see drafts/SSLC_OptionB_Total_Compensation_5yr_2026-10-07.png (incl Y5 hold annotation)</t>
        </is>
      </c>
    </row>
    <row r="33">
      <c r="A33" s="13" t="inlineStr">
        <is>
          <t>HOLD TO YEAR 5 — Forward Potential if SSLC Investors Hold Exos Shares to FY31 (John 10/7)</t>
        </is>
      </c>
    </row>
    <row r="34" ht="32" customHeight="1">
      <c r="A34" s="69" t="inlineStr">
        <is>
          <t>Base = Old-Model (v12). Dilution: Series A $25M staged (D1-D4, ~13%) + RTO (~12%) + option pool (~5%) = ~30% flat (MANAGEMENT ASSUMPTION). TOTAL stake at listing: ~0.59% EAI up-front (Rule 504; $1M fixed) + earn-out % = ~0.59/0.84/1.09% low/base/high → ~0.4125/0.5875/0.7625% post-dilution. AA case EV ~$176M = BELOW $250M listing — stock worth less in AA case by FY31.</t>
        </is>
      </c>
    </row>
    <row r="35" ht="22" customHeight="1">
      <c r="A35" s="70" t="inlineStr">
        <is>
          <t>Scenario</t>
        </is>
      </c>
      <c r="B35" s="70" t="inlineStr">
        <is>
          <t>FY31 EV</t>
        </is>
      </c>
      <c r="C35" s="70" t="inlineStr">
        <is>
          <t>Post-dil stake</t>
        </is>
      </c>
      <c r="D35" s="70" t="inlineStr">
        <is>
          <t>FY31 share value</t>
        </is>
      </c>
      <c r="E35" s="70" t="inlineStr">
        <is>
          <t>At-listing value</t>
        </is>
      </c>
      <c r="F35" s="70" t="inlineStr">
        <is>
          <t>Multiple vs listing</t>
        </is>
      </c>
      <c r="G35" s="70" t="inlineStr"/>
      <c r="H35" s="70" t="inlineStr">
        <is>
          <t>Notes</t>
        </is>
      </c>
    </row>
    <row r="36" ht="18" customHeight="1">
      <c r="A36" s="30" t="inlineStr">
        <is>
          <t>Old-Model — Low</t>
        </is>
      </c>
      <c r="B36" s="32">
        <f>Assumptions!B118</f>
        <v/>
      </c>
      <c r="C36" s="55">
        <f>Assumptions!B125</f>
        <v/>
      </c>
      <c r="D36" s="32">
        <f>B36*C36</f>
        <v/>
      </c>
      <c r="E36" s="32">
        <f>Assumptions!B28*Assumptions!B31</f>
        <v/>
      </c>
      <c r="F36" s="71">
        <f>IFERROR(D36/E36,"n/a")</f>
        <v/>
      </c>
      <c r="H36" s="72" t="inlineStr">
        <is>
          <t>~0.59% EAI only (0% earn-out) x 0.70 = ~0.4125%; EV $1.626B; ~$6.7M; multiple vs earn-out at listing ($0)</t>
        </is>
      </c>
    </row>
    <row r="37" ht="18" customHeight="1">
      <c r="A37" s="30" t="inlineStr">
        <is>
          <t>Old-Model — Base</t>
        </is>
      </c>
      <c r="B37" s="32">
        <f>Assumptions!B118</f>
        <v/>
      </c>
      <c r="C37" s="55">
        <f>Assumptions!B124</f>
        <v/>
      </c>
      <c r="D37" s="32">
        <f>B37*C37</f>
        <v/>
      </c>
      <c r="E37" s="32">
        <f>Assumptions!B29*Assumptions!B32</f>
        <v/>
      </c>
      <c r="F37" s="71">
        <f>D37/E37</f>
        <v/>
      </c>
      <c r="H37" s="72" t="inlineStr">
        <is>
          <t>~0.59% EAI + 0.25% earn-out = ~0.84% x 0.70 = ~0.5875%; EV $1.626B; ~$9.6M; vs earn-out at listing $625K</t>
        </is>
      </c>
    </row>
    <row r="38" ht="18" customHeight="1">
      <c r="A38" s="30" t="inlineStr">
        <is>
          <t>Old-Model — High</t>
        </is>
      </c>
      <c r="B38" s="32">
        <f>Assumptions!B118</f>
        <v/>
      </c>
      <c r="C38" s="55">
        <f>Assumptions!B126</f>
        <v/>
      </c>
      <c r="D38" s="32">
        <f>B38*C38</f>
        <v/>
      </c>
      <c r="E38" s="32">
        <f>Assumptions!B30*Assumptions!B33</f>
        <v/>
      </c>
      <c r="F38" s="71">
        <f>D38/E38</f>
        <v/>
      </c>
      <c r="H38" s="72" t="inlineStr">
        <is>
          <t>~0.59% EAI + 0.5% earn-out = ~1.09% x 0.70 = ~0.7625%; EV $1.626B; ~$12.4M; vs earn-out at listing $1.5M</t>
        </is>
      </c>
    </row>
    <row r="39" ht="18" customHeight="1">
      <c r="A39" s="73" t="inlineStr">
        <is>
          <t>AA — Low</t>
        </is>
      </c>
      <c r="B39" s="32">
        <f>Assumptions!B120</f>
        <v/>
      </c>
      <c r="C39" s="55">
        <f>Assumptions!B125</f>
        <v/>
      </c>
      <c r="D39" s="32">
        <f>B39*C39</f>
        <v/>
      </c>
      <c r="E39" s="32">
        <f>Assumptions!B28*Assumptions!B31</f>
        <v/>
      </c>
      <c r="F39" s="71">
        <f>IFERROR(D39/E39,"n/a")</f>
        <v/>
      </c>
      <c r="H39" s="72" t="inlineStr">
        <is>
          <t>BELOW listing value — AA FY31 EV ~$176M &lt; $250M MEV; earn-out = $0</t>
        </is>
      </c>
    </row>
    <row r="40" ht="18" customHeight="1">
      <c r="A40" s="73" t="inlineStr">
        <is>
          <t>AA — Base</t>
        </is>
      </c>
      <c r="B40" s="32">
        <f>Assumptions!B120</f>
        <v/>
      </c>
      <c r="C40" s="55">
        <f>Assumptions!B124</f>
        <v/>
      </c>
      <c r="D40" s="32">
        <f>B40*C40</f>
        <v/>
      </c>
      <c r="E40" s="32">
        <f>Assumptions!B29*Assumptions!B32</f>
        <v/>
      </c>
      <c r="F40" s="71">
        <f>D40/E40</f>
        <v/>
      </c>
      <c r="H40" s="72" t="inlineStr">
        <is>
          <t>BELOW listing — ~$924K vs earn-out at listing $625K</t>
        </is>
      </c>
    </row>
    <row r="41" ht="18" customHeight="1">
      <c r="A41" s="73" t="inlineStr">
        <is>
          <t>AA — High</t>
        </is>
      </c>
      <c r="B41" s="32">
        <f>Assumptions!B120</f>
        <v/>
      </c>
      <c r="C41" s="55">
        <f>Assumptions!B126</f>
        <v/>
      </c>
      <c r="D41" s="32">
        <f>B41*C41</f>
        <v/>
      </c>
      <c r="E41" s="32">
        <f>Assumptions!B30*Assumptions!B33</f>
        <v/>
      </c>
      <c r="F41" s="71">
        <f>D41/E41</f>
        <v/>
      </c>
      <c r="H41" s="72" t="inlineStr">
        <is>
          <t>BELOW listing — ~$1.23M vs earn-out at listing $1.5M</t>
        </is>
      </c>
    </row>
    <row r="43" ht="42" customHeight="1">
      <c r="A43" s="74" t="inlineStr">
        <is>
          <t>NOTE: Y5 hold values are NOT additive to at-listing earn-out. Investors choose to hold OR sell at listing. Old-Model base: hold to FY31 = ~$9.6M vs sell at listing = $1.875M (5.1x). AA base: hold to FY31 = ~$0.7–1.3M (BELOW listing in actuals case). Model notes: $1.0M up-front EAI equity counts toward Rule 504 $10M rolling 12-month cap; confirm remaining 504 capacity before issuance. Rule 504 reference: https://www.sec.gov/resources-small-businesses/exempt-offerings/exemption-limited-offerings-not-exceeding-10-million-rule-504-regulation-d. Rule 504 is U.S.-only; EAI units used in the separate Reg S Japan round must be tracked under a distinct exemption.</t>
        </is>
      </c>
    </row>
  </sheetData>
  <mergeCells count="9">
    <mergeCell ref="A1:H1"/>
    <mergeCell ref="A25:H25"/>
    <mergeCell ref="A43:H43"/>
    <mergeCell ref="A2:H2"/>
    <mergeCell ref="A13:H13"/>
    <mergeCell ref="A33:H33"/>
    <mergeCell ref="A5:H5"/>
    <mergeCell ref="A31:H31"/>
    <mergeCell ref="A34:H3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44" customWidth="1" min="7" max="7"/>
  </cols>
  <sheetData>
    <row r="1" ht="22" customHeight="1">
      <c r="A1" s="51" t="inlineStr">
        <is>
          <t>RECONCILIATION: v12 Old-Model vs Actuals-Anchored Case</t>
        </is>
      </c>
    </row>
    <row r="2" ht="52" customHeight="1">
      <c r="A2" s="7" t="inlineStr">
        <is>
          <t>Explains why Old-Model (v12) projections are higher than the Actuals-Anchored case. Primary drivers: (1) SSLC FY26 actual $1.925M and FY27 Q1 $713K far below v12 Y1 $4.12M; (2) unit ramp and ASP escalation not in actuals-anchored; (3) Exos standalone in actuals-anchored used commission-only v15 baseline, not v12 BLK4/propulsion ramp.</t>
        </is>
      </c>
    </row>
    <row r="4" ht="22" customHeight="1">
      <c r="A4" s="54" t="inlineStr">
        <is>
          <t>Line Item</t>
        </is>
      </c>
      <c r="B4" s="54" t="inlineStr">
        <is>
          <t>FY27 (Y1)</t>
        </is>
      </c>
      <c r="C4" s="54" t="inlineStr">
        <is>
          <t>FY28 (Y2)</t>
        </is>
      </c>
      <c r="D4" s="54" t="inlineStr">
        <is>
          <t>FY29 (Y3)</t>
        </is>
      </c>
      <c r="E4" s="54" t="inlineStr">
        <is>
          <t>FY30 (Y4)</t>
        </is>
      </c>
      <c r="F4" s="54" t="inlineStr">
        <is>
          <t>FY31 (Y5)</t>
        </is>
      </c>
      <c r="G4" s="54" t="inlineStr">
        <is>
          <t>Reconciliation Reason</t>
        </is>
      </c>
    </row>
    <row r="5" ht="16" customHeight="1">
      <c r="A5" s="47" t="inlineStr">
        <is>
          <t>SSLC REVENUE</t>
        </is>
      </c>
    </row>
    <row r="6" ht="28" customHeight="1">
      <c r="A6" s="5" t="inlineStr">
        <is>
          <t>v12 SSLC/Scorpius revenue</t>
        </is>
      </c>
      <c r="B6" s="26" t="n">
        <v>4120000</v>
      </c>
      <c r="C6" s="26" t="n">
        <v>8680000</v>
      </c>
      <c r="D6" s="26" t="n">
        <v>19220000</v>
      </c>
      <c r="E6" s="26" t="n">
        <v>33880000</v>
      </c>
      <c r="F6" s="26" t="n">
        <v>54690000</v>
      </c>
      <c r="G6" s="7" t="inlineStr">
        <is>
          <t>v12 uses tank unit ramp (1.5→9/month) × ASP ($183K Y1, +50% Y2, +25%/yr Y3-5). 14 tanks/month × $536K Y5 ASP drives $54.7M.</t>
        </is>
      </c>
    </row>
    <row r="7" ht="28" customHeight="1">
      <c r="A7" s="5" t="inlineStr">
        <is>
          <t>Actuals-Anchored SSLC revenue</t>
        </is>
      </c>
      <c r="B7" s="26" t="n">
        <v>5500000</v>
      </c>
      <c r="C7" s="26" t="n">
        <v>7500000</v>
      </c>
      <c r="D7" s="26" t="n">
        <v>10000000</v>
      </c>
      <c r="E7" s="26" t="n">
        <v>13000000</v>
      </c>
      <c r="F7" s="26" t="n">
        <v>16500000</v>
      </c>
      <c r="G7" s="7" t="inlineStr">
        <is>
          <t>Anchored to Q1 actual $713K + distribution of Markus-confirmed $5M IM ramp. FY28+ is conservative management assumption without unit-ramp escalation.</t>
        </is>
      </c>
    </row>
    <row r="8" ht="28" customHeight="1">
      <c r="A8" s="75" t="inlineStr">
        <is>
          <t>Δ (v12 − AA)</t>
        </is>
      </c>
      <c r="B8" s="76">
        <f>B6-B7</f>
        <v/>
      </c>
      <c r="C8" s="76">
        <f>C6-C7</f>
        <v/>
      </c>
      <c r="D8" s="76">
        <f>D6-D7</f>
        <v/>
      </c>
      <c r="E8" s="76">
        <f>E6-E7</f>
        <v/>
      </c>
      <c r="F8" s="76">
        <f>F6-F7</f>
        <v/>
      </c>
      <c r="G8" s="77" t="inlineStr">
        <is>
          <t>v12 exceeds AA by $8.7M at Y5 → driven entirely by ASP escalation + unit ramp not reflected in actuals.</t>
        </is>
      </c>
    </row>
    <row r="9" ht="28" customHeight="1">
      <c r="A9" s="5" t="inlineStr">
        <is>
          <t>v12 Scorpius Y1 vs FY26 actual ($1.925M)</t>
        </is>
      </c>
      <c r="B9" s="33" t="inlineStr">
        <is>
          <t>gap</t>
        </is>
      </c>
      <c r="C9" s="33" t="n"/>
      <c r="D9" s="33" t="n"/>
      <c r="E9" s="33" t="n"/>
      <c r="F9" s="33" t="n"/>
      <c r="G9" s="7" t="inlineStr">
        <is>
          <t>SSLC FY26 actual revenue was only $1.925M (all programs) vs v12 Y1 SSLC-only $4.12M. FY27 Q1 was $713K ($2.85M annualized) vs v12 Y1 $4.12M. Gap = unit ramp hadn't started at model build date.</t>
        </is>
      </c>
    </row>
    <row r="11" ht="16" customHeight="1">
      <c r="A11" s="47" t="inlineStr">
        <is>
          <t>TOTAL CONSOLIDATED REVENUE</t>
        </is>
      </c>
    </row>
    <row r="12" ht="28" customHeight="1">
      <c r="A12" s="5" t="inlineStr">
        <is>
          <t>v12 total revenue</t>
        </is>
      </c>
      <c r="B12" s="26" t="n">
        <v>8880000</v>
      </c>
      <c r="C12" s="26" t="n">
        <v>21350000</v>
      </c>
      <c r="D12" s="26" t="n">
        <v>48590000</v>
      </c>
      <c r="E12" s="26" t="n">
        <v>95920000</v>
      </c>
      <c r="F12" s="26" t="n">
        <v>179190000</v>
      </c>
      <c r="G12" s="7" t="inlineStr">
        <is>
          <t>v12 consolidates all revenue lines: BLK4, propulsion/wet-lease, Scorpius tanks, Sarge.</t>
        </is>
      </c>
    </row>
    <row r="13" ht="28" customHeight="1">
      <c r="A13" s="5" t="inlineStr">
        <is>
          <t>AA total revenue</t>
        </is>
      </c>
      <c r="B13" s="26">
        <f>'PL and Cash Flow'!B40</f>
        <v/>
      </c>
      <c r="C13" s="26">
        <f>'PL and Cash Flow'!C40</f>
        <v/>
      </c>
      <c r="D13" s="26">
        <f>'PL and Cash Flow'!D40</f>
        <v/>
      </c>
      <c r="E13" s="26">
        <f>'PL and Cash Flow'!E40</f>
        <v/>
      </c>
      <c r="F13" s="26">
        <f>'PL and Cash Flow'!F40</f>
        <v/>
      </c>
      <c r="G13" s="7" t="inlineStr">
        <is>
          <t>AA: Exos v15 standalone ($2.6M→$16M) + SSLC actuals-anchored ($5.5M→$16.5M) − interco.</t>
        </is>
      </c>
    </row>
    <row r="14" ht="28" customHeight="1">
      <c r="A14" s="75" t="inlineStr">
        <is>
          <t>Δ (v12 − AA)</t>
        </is>
      </c>
      <c r="B14" s="76">
        <f>B12-B13</f>
        <v/>
      </c>
      <c r="C14" s="76">
        <f>C12-C13</f>
        <v/>
      </c>
      <c r="D14" s="76">
        <f>D12-D13</f>
        <v/>
      </c>
      <c r="E14" s="76">
        <f>E12-E13</f>
        <v/>
      </c>
      <c r="F14" s="76">
        <f>F12-F13</f>
        <v/>
      </c>
      <c r="G14" s="7" t="inlineStr">
        <is>
          <t>Two main drivers: (a) v12 Exos standalone includes BLK4 revenue ramp absent from v15; (b) v12 Scorpius ASP/unit escalation vs actuals-anchored flat-ish growth.</t>
        </is>
      </c>
    </row>
    <row r="15" ht="28" customHeight="1">
      <c r="A15" s="5" t="inlineStr">
        <is>
          <t>Exos standalone v12 vs v15</t>
        </is>
      </c>
      <c r="B15" s="26">
        <f>Assumptions!B86-Assumptions!B57</f>
        <v/>
      </c>
      <c r="C15" s="26">
        <f>Assumptions!B87-Assumptions!B58</f>
        <v/>
      </c>
      <c r="D15" s="26">
        <f>Assumptions!B88-Assumptions!B59</f>
        <v/>
      </c>
      <c r="E15" s="26">
        <f>Assumptions!B89-Assumptions!B60</f>
        <v/>
      </c>
      <c r="F15" s="26">
        <f>Assumptions!B90-Assumptions!B61</f>
        <v/>
      </c>
      <c r="G15" s="7" t="inlineStr">
        <is>
          <t>v12 Exos standalone uses BLK4 launch/wet-lease/propulsion ramp. v15 (commission-only) = entX + TACFI + other only; no BLK4 commercial revenue.</t>
        </is>
      </c>
    </row>
    <row r="17" ht="16" customHeight="1">
      <c r="A17" s="47" t="inlineStr">
        <is>
          <t>EBITDA</t>
        </is>
      </c>
    </row>
    <row r="18" ht="36" customHeight="1">
      <c r="A18" s="5" t="inlineStr">
        <is>
          <t>v12 total EBITDA</t>
        </is>
      </c>
      <c r="B18" s="26" t="n">
        <v>1120000</v>
      </c>
      <c r="C18" s="26" t="n">
        <v>4120000</v>
      </c>
      <c r="D18" s="26" t="n">
        <v>17240000</v>
      </c>
      <c r="E18" s="26" t="n">
        <v>42160000</v>
      </c>
      <c r="F18" s="26" t="n">
        <v>101610000</v>
      </c>
      <c r="G18" s="7" t="inlineStr">
        <is>
          <t>v12 Y1 EBITDA positive ($1.12M) despite ramp — Scorpius tanks are high-margin at 65% GP. Y5 $101.6M driven by Scorpius scale + BLK4 operational leverage.</t>
        </is>
      </c>
    </row>
    <row r="19" ht="36" customHeight="1">
      <c r="A19" s="5" t="inlineStr">
        <is>
          <t>AA total EBITDA</t>
        </is>
      </c>
      <c r="B19" s="26">
        <f>'PL and Cash Flow'!B45</f>
        <v/>
      </c>
      <c r="C19" s="26">
        <f>'PL and Cash Flow'!C45</f>
        <v/>
      </c>
      <c r="D19" s="26">
        <f>'PL and Cash Flow'!D45</f>
        <v/>
      </c>
      <c r="E19" s="26">
        <f>'PL and Cash Flow'!E45</f>
        <v/>
      </c>
      <c r="F19" s="26">
        <f>'PL and Cash Flow'!F45</f>
        <v/>
      </c>
      <c r="G19" s="7" t="inlineStr">
        <is>
          <t>AA Y1 negative: Exos standalone EBITDA −$4M (pre-BLK3 investment) offsets SSLC $1.24M. AA Y5 lower: no BLK4 commercial ramp, lower Scorpius scale.</t>
        </is>
      </c>
    </row>
    <row r="20" ht="36" customHeight="1">
      <c r="A20" s="75" t="inlineStr">
        <is>
          <t>Δ (v12 − AA)</t>
        </is>
      </c>
      <c r="B20" s="76">
        <f>B18-B19</f>
        <v/>
      </c>
      <c r="C20" s="76">
        <f>C18-C19</f>
        <v/>
      </c>
      <c r="D20" s="76">
        <f>D18-D19</f>
        <v/>
      </c>
      <c r="E20" s="76">
        <f>E18-E19</f>
        <v/>
      </c>
      <c r="F20" s="76">
        <f>F18-F19</f>
        <v/>
      </c>
      <c r="G20" s="7" t="inlineStr">
        <is>
          <t>Divergence widened by Y5 because v12 Exos standalone (BLK4/propulsion) vastly exceeds v15 baseline AND v12 Scorpius COGS drops to 30% vs AA constant 52%.</t>
        </is>
      </c>
    </row>
    <row r="22" ht="52" customHeight="1">
      <c r="A22" s="18" t="inlineStr">
        <is>
          <t>FY27 SSLC INCONSISTENCY FIX (10/7): Prior annual P&amp;L formula = FY26 actual ($1.925M) + IM tanks ($5M) = $6.925M. Corrected to $5.5M (quarterly total: Q1 actual $713K + Q2-Q4 distributing $5M firm IM ramp). The formula mixed a completed-year revenue figure with a forward booking — not additive.</t>
        </is>
      </c>
    </row>
    <row r="24" ht="52" customHeight="1">
      <c r="A24" s="18" t="inlineStr">
        <is>
          <t>v15 BENCHMARK UNDERSTATEMENT: v15 'Scorpius acquisition benchmark' $0.9M→$21M over 5 years. v12's own Scorpius/SSLC line is $4.1M Y1→$54.7M Y5 (13× v15 at Y5). Actuals-Anchored SSLC is $5.5M Y1→$16.5M Y5 (also exceeds v15 by 6×-8×). Do NOT edit v15 — it is a pre-IM-tank confirmation legacy model.</t>
        </is>
      </c>
    </row>
  </sheetData>
  <mergeCells count="7">
    <mergeCell ref="A1:G1"/>
    <mergeCell ref="A17:G17"/>
    <mergeCell ref="A22:G22"/>
    <mergeCell ref="A24:G24"/>
    <mergeCell ref="A2:G2"/>
    <mergeCell ref="A11:G11"/>
    <mergeCell ref="A5:G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28" customWidth="1" min="1" max="1"/>
    <col width="60" customWidth="1" min="2" max="2"/>
    <col width="32" customWidth="1" min="3" max="3"/>
    <col width="16" customWidth="1" min="4" max="4"/>
    <col width="22" customWidth="1" min="5" max="5"/>
    <col width="16" customWidth="1" min="6" max="6"/>
    <col width="22" customWidth="1" min="7" max="7"/>
  </cols>
  <sheetData>
    <row r="1" ht="24" customHeight="1">
      <c r="A1" s="127" t="inlineStr">
        <is>
          <t>EAI UNIT LOCKUP &amp; LIQUIDITY — DETAIL</t>
        </is>
      </c>
      <c r="B1" s="128" t="n"/>
      <c r="C1" s="128" t="n"/>
      <c r="D1" s="128" t="n"/>
      <c r="E1" s="128" t="n"/>
      <c r="F1" s="128" t="n"/>
      <c r="G1" s="128" t="n"/>
    </row>
    <row r="2" ht="28" customHeight="1">
      <c r="A2" s="129" t="inlineStr">
        <is>
          <t>INTERNAL — NEGOTIATING TERMS — Not a final or binding offer. 2026-10-09 update (John Quinn).</t>
        </is>
      </c>
      <c r="B2" s="128" t="n"/>
      <c r="C2" s="128" t="n"/>
      <c r="D2" s="128" t="n"/>
      <c r="E2" s="128" t="n"/>
      <c r="F2" s="128" t="n"/>
      <c r="G2" s="128" t="n"/>
    </row>
    <row r="3">
      <c r="A3" s="128" t="n"/>
      <c r="B3" s="128" t="n"/>
      <c r="C3" s="128" t="n"/>
      <c r="D3" s="128" t="n"/>
      <c r="E3" s="128" t="n"/>
      <c r="F3" s="128" t="n"/>
      <c r="G3" s="128" t="n"/>
    </row>
    <row r="4" ht="18" customHeight="1">
      <c r="A4" s="127" t="inlineStr">
        <is>
          <t>A.  Legal Status of EAI Units at Issuance</t>
        </is>
      </c>
      <c r="B4" s="128" t="n"/>
      <c r="C4" s="128" t="n"/>
      <c r="D4" s="128" t="n"/>
      <c r="E4" s="128" t="n"/>
      <c r="F4" s="128" t="n"/>
      <c r="G4" s="128" t="n"/>
    </row>
    <row r="5" ht="30" customHeight="1">
      <c r="A5" s="130" t="inlineStr">
        <is>
          <t>Instrument type</t>
        </is>
      </c>
      <c r="B5" s="131" t="inlineStr">
        <is>
          <t>Exos Aerospace Investments LLC (EAI) units.</t>
        </is>
      </c>
      <c r="C5" s="128" t="n"/>
      <c r="D5" s="128" t="n"/>
      <c r="E5" s="128" t="n"/>
      <c r="F5" s="128" t="n"/>
      <c r="G5" s="128" t="n"/>
    </row>
    <row r="6" ht="30" customHeight="1">
      <c r="A6" s="130" t="inlineStr">
        <is>
          <t>Securities law status</t>
        </is>
      </c>
      <c r="B6" s="131" t="inlineStr">
        <is>
          <t>Restricted securities issued under Rule 504, Regulation D. Bear a restrictive legend. Not freely tradeable at issuance.</t>
        </is>
      </c>
      <c r="C6" s="129" t="inlineStr">
        <is>
          <t>Rule 504: https://www.sec.gov/resources-small-businesses/exempt-offerings/exemption-limited-offerings-not-exceeding-10-million-rule-504-regulation-d</t>
        </is>
      </c>
      <c r="D6" s="128" t="n"/>
      <c r="E6" s="128" t="n"/>
      <c r="F6" s="128" t="n"/>
      <c r="G6" s="128" t="n"/>
    </row>
    <row r="7" ht="30" customHeight="1">
      <c r="A7" s="130" t="inlineStr">
        <is>
          <t>Offering type</t>
        </is>
      </c>
      <c r="B7" s="131" t="inlineStr">
        <is>
          <t>Rule 504 / Regulation D (U.S. domestic offering). NOT covered by the Reg S exemption used for the Japan round.</t>
        </is>
      </c>
      <c r="C7" s="129" t="inlineStr">
        <is>
          <t>The two offerings must be tracked under distinct exemptions.</t>
        </is>
      </c>
      <c r="D7" s="128" t="n"/>
      <c r="E7" s="128" t="n"/>
      <c r="F7" s="128" t="n"/>
      <c r="G7" s="128" t="n"/>
    </row>
    <row r="8" ht="30" customHeight="1">
      <c r="A8" s="130" t="inlineStr">
        <is>
          <t>409A value at issuance</t>
        </is>
      </c>
      <c r="B8" s="131" t="inlineStr">
        <is>
          <t>$1,000,000 fixed (= ~0.589% × $169.7M Eqvista 409A, valuation date 3/31/2026). ~0.59% of FD shares at close.</t>
        </is>
      </c>
      <c r="C8" s="129" t="inlineStr">
        <is>
          <t>Issued at financing close, committed at SSLC board acceptance.</t>
        </is>
      </c>
      <c r="D8" s="128" t="n"/>
      <c r="E8" s="128" t="n"/>
      <c r="F8" s="128" t="n"/>
      <c r="G8" s="128" t="n"/>
    </row>
    <row r="9" ht="30" customHeight="1">
      <c r="A9" s="130" t="inlineStr">
        <is>
          <t>Lockup — mirrors principals</t>
        </is>
      </c>
      <c r="B9" s="131" t="inlineStr">
        <is>
          <t>Same lockup terms as Exos Aerospace principals under the RTO transaction documents. Specific lock periods in the RTO definitive agreement govern.</t>
        </is>
      </c>
      <c r="C9" s="129" t="inlineStr">
        <is>
          <t>Ainigma mandate per Board Brief 2026-09-04.</t>
        </is>
      </c>
      <c r="D9" s="128" t="n"/>
      <c r="E9" s="128" t="n"/>
      <c r="F9" s="128" t="n"/>
      <c r="G9" s="128" t="n"/>
    </row>
    <row r="10">
      <c r="A10" s="130" t="inlineStr">
        <is>
          <t>Float at RTO listing</t>
        </is>
      </c>
      <c r="B10" s="131" t="inlineStr">
        <is>
          <t>The EAI units are structured to provide part of the public float for the Exos RTO and become tradeable at going public (the RTO listing), subject to the same lockup as Exos principals. Resale at listing assumes the units are included in the RTO's resale registration.</t>
        </is>
      </c>
      <c r="C10" s="128" t="n"/>
      <c r="D10" s="128" t="n"/>
      <c r="E10" s="128" t="n"/>
      <c r="F10" s="128" t="n"/>
      <c r="G10" s="128" t="n"/>
    </row>
    <row r="11" ht="18" customHeight="1">
      <c r="A11" s="128" t="n"/>
      <c r="B11" s="128" t="n"/>
      <c r="C11" s="128" t="n"/>
      <c r="D11" s="128" t="n"/>
      <c r="E11" s="128" t="n"/>
      <c r="F11" s="128" t="n"/>
      <c r="G11" s="128" t="n"/>
    </row>
    <row r="12" ht="42" customHeight="1">
      <c r="A12" s="127" t="inlineStr">
        <is>
          <t>B.  Liquidity Timeline  (Targeted — Not Assured)</t>
        </is>
      </c>
      <c r="B12" s="128" t="n"/>
      <c r="C12" s="128" t="n"/>
      <c r="D12" s="128" t="n"/>
      <c r="E12" s="128" t="n"/>
      <c r="F12" s="128" t="n"/>
      <c r="G12" s="128" t="n"/>
    </row>
    <row r="13" ht="42" customHeight="1">
      <c r="A13" s="132" t="inlineStr">
        <is>
          <t>Milestone</t>
        </is>
      </c>
      <c r="B13" s="132" t="inlineStr">
        <is>
          <t>Target / Detail</t>
        </is>
      </c>
      <c r="C13" s="132" t="inlineStr">
        <is>
          <t>Status</t>
        </is>
      </c>
      <c r="D13" s="128" t="n"/>
      <c r="E13" s="128" t="n"/>
      <c r="F13" s="128" t="n"/>
      <c r="G13" s="128" t="n"/>
    </row>
    <row r="14" ht="42" customHeight="1">
      <c r="A14" s="131" t="inlineStr">
        <is>
          <t>Board acceptance</t>
        </is>
      </c>
      <c r="B14" s="131" t="inlineStr">
        <is>
          <t>D+0. EAI units committed; not yet issued. SSLC board confirms Option B.</t>
        </is>
      </c>
      <c r="C14" s="131" t="inlineStr">
        <is>
          <t>Targeted</t>
        </is>
      </c>
      <c r="D14" s="128" t="n"/>
      <c r="E14" s="128" t="n"/>
      <c r="F14" s="128" t="n"/>
      <c r="G14" s="128" t="n"/>
    </row>
    <row r="15" ht="42" customHeight="1">
      <c r="A15" s="131" t="inlineStr">
        <is>
          <t>Financing close — units issued</t>
        </is>
      </c>
      <c r="B15" s="131" t="inlineStr">
        <is>
          <t>Targeted Q1 FY27. EAI units formally issued as restricted/legended securities (Rule 504 Reg D).</t>
        </is>
      </c>
      <c r="C15" s="131" t="inlineStr">
        <is>
          <t>Targeted, not assured</t>
        </is>
      </c>
      <c r="D15" s="128" t="n"/>
      <c r="E15" s="128" t="n"/>
      <c r="F15" s="128" t="n"/>
      <c r="G15" s="128" t="n"/>
    </row>
    <row r="16">
      <c r="A16" s="131" t="inlineStr">
        <is>
          <t>Targeted RTO close</t>
        </is>
      </c>
      <c r="B16" s="131" t="inlineStr">
        <is>
          <t>~6 months post-financing close. RTO listing occurs; EAI units become part of the public float and are tradeable at going public, subject to the principals' lockup.</t>
        </is>
      </c>
      <c r="C16" s="131" t="inlineStr">
        <is>
          <t>Targeted, not assured</t>
        </is>
      </c>
      <c r="D16" s="128" t="n"/>
      <c r="E16" s="128" t="n"/>
      <c r="F16" s="128" t="n"/>
      <c r="G16" s="128" t="n"/>
    </row>
    <row r="17" ht="18" customHeight="1">
      <c r="A17" s="133" t="inlineStr">
        <is>
          <t>ALL DATES</t>
        </is>
      </c>
      <c r="B17" s="133" t="inlineStr">
        <is>
          <t>TARGETED, NOT ASSURED. The RTO may not close.</t>
        </is>
      </c>
      <c r="C17" s="133" t="inlineStr">
        <is>
          <t>Risk</t>
        </is>
      </c>
      <c r="D17" s="128" t="n"/>
      <c r="E17" s="128" t="n"/>
      <c r="F17" s="128" t="n"/>
      <c r="G17" s="128" t="n"/>
    </row>
    <row r="18" ht="48" customHeight="1">
      <c r="A18" s="128" t="n"/>
      <c r="B18" s="128" t="n"/>
      <c r="C18" s="128" t="n"/>
      <c r="D18" s="128" t="n"/>
      <c r="E18" s="128" t="n"/>
      <c r="F18" s="128" t="n"/>
      <c r="G18" s="128" t="n"/>
    </row>
    <row r="19" ht="48" customHeight="1">
      <c r="A19" s="127" t="inlineStr">
        <is>
          <t>C.  Projected Post-RTO Value  —  PROJECTION, NOT A PROMISE</t>
        </is>
      </c>
      <c r="B19" s="128" t="n"/>
      <c r="C19" s="128" t="n"/>
      <c r="D19" s="128" t="n"/>
      <c r="E19" s="128" t="n"/>
      <c r="F19" s="128" t="n"/>
      <c r="G19" s="128" t="n"/>
    </row>
    <row r="20" ht="48" customHeight="1">
      <c r="A20" s="129" t="inlineStr">
        <is>
          <t>CAUTIONARY STATEMENT: Forward-looking projection — management assumptions (RTO completion, listing valuation, ~30% dilution). Not a guarantee; actual results may differ. RTO may not close. SEC Rule 10b-5 (https://www.ecfr.gov/current/title-17/chapter-II/part-240/section-240.10b-5) antifraud rules apply.</t>
        </is>
      </c>
      <c r="B20" s="128" t="n"/>
      <c r="C20" s="128" t="n"/>
      <c r="D20" s="128" t="n"/>
      <c r="E20" s="128" t="n"/>
      <c r="F20" s="128" t="n"/>
      <c r="G20" s="128" t="n"/>
    </row>
    <row r="21" ht="48" customHeight="1">
      <c r="A21" s="134" t="inlineStr">
        <is>
          <t>Scenario</t>
        </is>
      </c>
      <c r="B21" s="134" t="inlineStr">
        <is>
          <t>RTO MEV</t>
        </is>
      </c>
      <c r="C21" s="134" t="inlineStr">
        <is>
          <t>~0.59% pre-dil</t>
        </is>
      </c>
      <c r="D21" s="134" t="inlineStr">
        <is>
          <t>~30% dilution</t>
        </is>
      </c>
      <c r="E21" s="134" t="inlineStr">
        <is>
          <t>~0.59% post-dil</t>
        </is>
      </c>
      <c r="F21" s="134" t="inlineStr">
        <is>
          <t>409A at issuance</t>
        </is>
      </c>
      <c r="G21" s="134" t="inlineStr">
        <is>
          <t>+ earn-out at listing</t>
        </is>
      </c>
    </row>
    <row r="22">
      <c r="A22" s="131" t="inlineStr">
        <is>
          <t>Low (floor)</t>
        </is>
      </c>
      <c r="B22" s="131" t="inlineStr">
        <is>
          <t>$200M</t>
        </is>
      </c>
      <c r="C22" s="131" t="inlineStr">
        <is>
          <t>$1.18M</t>
        </is>
      </c>
      <c r="D22" s="131" t="inlineStr">
        <is>
          <t>−$0.35M</t>
        </is>
      </c>
      <c r="E22" s="131" t="inlineStr">
        <is>
          <t>$0.83M</t>
        </is>
      </c>
      <c r="F22" s="131" t="inlineStr">
        <is>
          <t>$1.0M (409A)</t>
        </is>
      </c>
      <c r="G22" s="131" t="inlineStr">
        <is>
          <t>$0  (0.0%)</t>
        </is>
      </c>
    </row>
    <row r="23" ht="18" customHeight="1">
      <c r="A23" s="131" t="inlineStr">
        <is>
          <t>Base</t>
        </is>
      </c>
      <c r="B23" s="131" t="inlineStr">
        <is>
          <t>$250M</t>
        </is>
      </c>
      <c r="C23" s="131" t="inlineStr">
        <is>
          <t>$1.47M</t>
        </is>
      </c>
      <c r="D23" s="131" t="inlineStr">
        <is>
          <t>−$0.44M</t>
        </is>
      </c>
      <c r="E23" s="131" t="inlineStr">
        <is>
          <t>$1.03M</t>
        </is>
      </c>
      <c r="F23" s="131" t="inlineStr">
        <is>
          <t>$1.0M (409A)</t>
        </is>
      </c>
      <c r="G23" s="131" t="inlineStr">
        <is>
          <t>+$625K  (0.25%)</t>
        </is>
      </c>
    </row>
    <row r="24" ht="18" customHeight="1">
      <c r="A24" s="131" t="inlineStr">
        <is>
          <t>High</t>
        </is>
      </c>
      <c r="B24" s="131" t="inlineStr">
        <is>
          <t>$300M</t>
        </is>
      </c>
      <c r="C24" s="131" t="inlineStr">
        <is>
          <t>$1.77M</t>
        </is>
      </c>
      <c r="D24" s="131" t="inlineStr">
        <is>
          <t>−$0.53M</t>
        </is>
      </c>
      <c r="E24" s="131" t="inlineStr">
        <is>
          <t>$1.24M</t>
        </is>
      </c>
      <c r="F24" s="131" t="inlineStr">
        <is>
          <t>$1.0M (409A)</t>
        </is>
      </c>
      <c r="G24" s="131" t="inlineStr">
        <is>
          <t>+$1,500K  (0.50%)</t>
        </is>
      </c>
    </row>
    <row r="25" ht="36" customHeight="1">
      <c r="A25" s="129" t="inlineStr">
        <is>
          <t>Notes: MEV per Ainigma mandate. Dilution ~30% (Series A D1–D4 ~13% + RTO ~12% + pool ~5%). Post-dil = (~0.589%) × (1−0.30) × MEV. $1.0M counts toward Rule 504 $10M rolling cap. Earn-out column is ADDITIONAL at listing. Full Y5 hold: 'Total Compensation' sheet. Rule 10b-5: https://www.ecfr.gov/current/title-17/chapter-II/part-240/section-240.10b-5. Rule 504: https://www.sec.gov/resources-small-businesses/exempt-offerings/exemption-limited-offerings-not-exceeding-10-million-rule-504-regulation-d.</t>
        </is>
      </c>
      <c r="B25" s="128" t="n"/>
      <c r="C25" s="128" t="n"/>
      <c r="D25" s="128" t="n"/>
      <c r="E25" s="128" t="n"/>
      <c r="F25" s="128" t="n"/>
      <c r="G25" s="128" t="n"/>
    </row>
    <row r="26" ht="36" customHeight="1">
      <c r="A26" s="128" t="n"/>
      <c r="B26" s="128" t="n"/>
      <c r="C26" s="128" t="n"/>
      <c r="D26" s="128" t="n"/>
      <c r="E26" s="128" t="n"/>
      <c r="F26" s="128" t="n"/>
      <c r="G26" s="128" t="n"/>
    </row>
    <row r="27" ht="36" customHeight="1">
      <c r="A27" s="128" t="n"/>
      <c r="B27" s="128" t="n"/>
      <c r="C27" s="128" t="n"/>
      <c r="D27" s="128" t="n"/>
      <c r="E27" s="128" t="n"/>
      <c r="F27" s="128" t="n"/>
      <c r="G27" s="128" t="n"/>
    </row>
    <row r="28" ht="36" customHeight="1">
      <c r="A28" s="128" t="n"/>
      <c r="B28" s="128" t="n"/>
      <c r="C28" s="128" t="n"/>
      <c r="D28" s="128" t="n"/>
      <c r="E28" s="128" t="n"/>
      <c r="F28" s="128" t="n"/>
      <c r="G28" s="128" t="n"/>
    </row>
    <row r="29" ht="36" customHeight="1">
      <c r="A29" s="128" t="n"/>
      <c r="B29" s="128" t="n"/>
      <c r="C29" s="128" t="n"/>
      <c r="D29" s="128" t="n"/>
      <c r="E29" s="128" t="n"/>
      <c r="F29" s="128" t="n"/>
      <c r="G29" s="128" t="n"/>
    </row>
    <row r="30" ht="36" customHeight="1">
      <c r="A30" s="128" t="n"/>
      <c r="B30" s="128" t="n"/>
      <c r="C30" s="128" t="n"/>
      <c r="D30" s="128" t="n"/>
      <c r="E30" s="128" t="n"/>
      <c r="F30" s="128" t="n"/>
      <c r="G30" s="128" t="n"/>
    </row>
    <row r="31" ht="36" customHeight="1">
      <c r="A31" s="128" t="n"/>
      <c r="B31" s="128" t="n"/>
      <c r="C31" s="128" t="n"/>
      <c r="D31" s="128" t="n"/>
      <c r="E31" s="128" t="n"/>
      <c r="F31" s="128" t="n"/>
      <c r="G31" s="128" t="n"/>
    </row>
    <row r="32" ht="36" customHeight="1">
      <c r="A32" s="128" t="n"/>
      <c r="B32" s="128" t="n"/>
      <c r="C32" s="128" t="n"/>
      <c r="D32" s="128" t="n"/>
      <c r="E32" s="128" t="n"/>
      <c r="F32" s="128" t="n"/>
      <c r="G32" s="128" t="n"/>
    </row>
    <row r="33">
      <c r="A33" s="128" t="n"/>
      <c r="B33" s="128" t="n"/>
      <c r="C33" s="128" t="n"/>
      <c r="D33" s="128" t="n"/>
      <c r="E33" s="128" t="n"/>
      <c r="F33" s="128" t="n"/>
      <c r="G33" s="128" t="n"/>
    </row>
    <row r="34" ht="18" customHeight="1">
      <c r="A34" s="128" t="n"/>
      <c r="B34" s="128" t="n"/>
      <c r="C34" s="128" t="n"/>
      <c r="D34" s="128" t="n"/>
      <c r="E34" s="128" t="n"/>
      <c r="F34" s="128" t="n"/>
      <c r="G34" s="128" t="n"/>
    </row>
    <row r="35" ht="60" customHeight="1">
      <c r="A35" s="128" t="n"/>
      <c r="B35" s="128" t="n"/>
      <c r="C35" s="128" t="n"/>
      <c r="D35" s="128" t="n"/>
      <c r="E35" s="128" t="n"/>
      <c r="F35" s="128" t="n"/>
      <c r="G35" s="128" t="n"/>
    </row>
    <row r="36" ht="28" customHeight="1">
      <c r="A36" s="128" t="n"/>
      <c r="B36" s="128" t="n"/>
      <c r="C36" s="128" t="n"/>
      <c r="D36" s="128" t="n"/>
      <c r="E36" s="128" t="n"/>
      <c r="F36" s="128" t="n"/>
      <c r="G36" s="128" t="n"/>
    </row>
    <row r="37" ht="22" customHeight="1">
      <c r="A37" s="128" t="n"/>
      <c r="B37" s="128" t="n"/>
      <c r="C37" s="128" t="n"/>
      <c r="D37" s="128" t="n"/>
      <c r="E37" s="128" t="n"/>
      <c r="F37" s="128" t="n"/>
      <c r="G37" s="128" t="n"/>
    </row>
    <row r="38" ht="22" customHeight="1">
      <c r="A38" s="128" t="n"/>
      <c r="B38" s="128" t="n"/>
      <c r="C38" s="128" t="n"/>
      <c r="D38" s="128" t="n"/>
      <c r="E38" s="128" t="n"/>
      <c r="F38" s="128" t="n"/>
      <c r="G38" s="128" t="n"/>
    </row>
    <row r="39" ht="22" customHeight="1">
      <c r="A39" s="128" t="n"/>
      <c r="B39" s="128" t="n"/>
      <c r="C39" s="128" t="n"/>
      <c r="D39" s="128" t="n"/>
      <c r="E39" s="128" t="n"/>
      <c r="F39" s="128" t="n"/>
      <c r="G39" s="128" t="n"/>
    </row>
    <row r="40">
      <c r="A40" s="128" t="n"/>
      <c r="B40" s="128" t="n"/>
      <c r="C40" s="128" t="n"/>
      <c r="D40" s="128" t="n"/>
      <c r="E40" s="128" t="n"/>
      <c r="F40" s="128" t="n"/>
      <c r="G40" s="128" t="n"/>
    </row>
    <row r="41" ht="60" customHeight="1">
      <c r="A41" s="128" t="n"/>
      <c r="B41" s="128" t="n"/>
      <c r="C41" s="128" t="n"/>
      <c r="D41" s="128" t="n"/>
      <c r="E41" s="128" t="n"/>
      <c r="F41" s="128" t="n"/>
      <c r="G41" s="128"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40"/>
  <sheetViews>
    <sheetView workbookViewId="0">
      <pane xSplit="1" ySplit="10" topLeftCell="B11"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2" customWidth="1" min="7" max="7"/>
    <col width="14" customWidth="1" min="8" max="8"/>
    <col width="14" customWidth="1" min="9" max="9"/>
    <col width="14" customWidth="1" min="10" max="10"/>
    <col width="14" customWidth="1" min="11" max="11"/>
    <col width="14" customWidth="1" min="12" max="12"/>
  </cols>
  <sheetData>
    <row r="1" ht="28" customHeight="1">
      <c r="A1" s="95" t="inlineStr">
        <is>
          <t>SSLC: WITH vs WITHOUT EXOS CAPITAL — 5-Year Growth Comparison</t>
        </is>
      </c>
    </row>
    <row r="2" ht="28" customHeight="1">
      <c r="A2" s="96" t="inlineStr">
        <is>
          <t>Prepared 2026-10-07  |  DRAFT — MANAGEMENT ASSUMPTIONS  |  INTERNAL — Exo/CEO only  |  Without-Exos trajectory derived from FY27 Q1 actual $713K run-rate; With-Exos uses v12 SSLC revenue drivers. All figures management assumptions unless labeled 'Actual'.</t>
        </is>
      </c>
    </row>
    <row r="4" ht="22" customHeight="1">
      <c r="A4" s="97" t="inlineStr">
        <is>
          <t>KEY FACT:  Reaching $5.1M in FY27 requires averaging $1.46M/quarter for Q2–Q4  ($5,100K − $713K Q1 actual ÷ 3 quarters = $1,462K/qtr)  —  approximately 2.05× the most recent quarter's $713K  —  starting immediately.  Without Exos capital to fund working capital and IM ramp, that doubling is not achievable on SSLC's $198K cash position.</t>
        </is>
      </c>
      <c r="B4" s="135" t="n"/>
      <c r="C4" s="135" t="n"/>
      <c r="D4" s="135" t="n"/>
      <c r="E4" s="135" t="n"/>
      <c r="F4" s="135" t="n"/>
      <c r="G4" s="135" t="n"/>
      <c r="H4" s="135" t="n"/>
      <c r="I4" s="135" t="n"/>
      <c r="J4" s="135" t="n"/>
      <c r="K4" s="135" t="n"/>
      <c r="L4" s="136" t="n"/>
    </row>
    <row r="5" ht="22" customHeight="1">
      <c r="A5" s="137" t="n"/>
      <c r="L5" s="138" t="n"/>
    </row>
    <row r="6" ht="22" customHeight="1">
      <c r="A6" s="139" t="n"/>
      <c r="B6" s="140" t="n"/>
      <c r="C6" s="140" t="n"/>
      <c r="D6" s="140" t="n"/>
      <c r="E6" s="140" t="n"/>
      <c r="F6" s="140" t="n"/>
      <c r="G6" s="140" t="n"/>
      <c r="H6" s="140" t="n"/>
      <c r="I6" s="140" t="n"/>
      <c r="J6" s="140" t="n"/>
      <c r="K6" s="140" t="n"/>
      <c r="L6" s="141" t="n"/>
    </row>
    <row r="8" ht="22" customHeight="1">
      <c r="A8" s="98" t="inlineStr">
        <is>
          <t>WITHOUT EXOS CAPITAL — Status-Quo Standalone Trajectory</t>
        </is>
      </c>
      <c r="H8" s="99" t="inlineStr">
        <is>
          <t>NARRATIVE — The Capital Gap Story</t>
        </is>
      </c>
    </row>
    <row r="9" ht="20" customHeight="1">
      <c r="A9" s="100" t="inlineStr">
        <is>
          <t>Constraints: Cash $198K | ~1 month burn | WC bridge $300–700K needed | FY26 op loss −$416K | He-tank rework unresolved | No capex | No IM ramp capital → growth capped by self-funded working capital</t>
        </is>
      </c>
      <c r="H9" s="101" t="inlineStr">
        <is>
          <t>Without Exos: Status-Quo Constraints</t>
        </is>
      </c>
    </row>
    <row r="10" ht="16" customHeight="1">
      <c r="A10" s="102" t="inlineStr"/>
      <c r="B10" s="102" t="inlineStr">
        <is>
          <t>FY27</t>
        </is>
      </c>
      <c r="C10" s="102" t="inlineStr">
        <is>
          <t>FY28</t>
        </is>
      </c>
      <c r="D10" s="102" t="inlineStr">
        <is>
          <t>FY29</t>
        </is>
      </c>
      <c r="E10" s="102" t="inlineStr">
        <is>
          <t>FY30</t>
        </is>
      </c>
      <c r="F10" s="102" t="inlineStr">
        <is>
          <t>FY31</t>
        </is>
      </c>
      <c r="H10" s="103" t="inlineStr">
        <is>
          <t xml:space="preserve">  Cash on hand (10/2/26):  $198K</t>
        </is>
      </c>
      <c r="I10" s="142" t="n"/>
      <c r="J10" s="142" t="n"/>
      <c r="K10" s="142" t="n"/>
      <c r="L10" s="143" t="n"/>
    </row>
    <row r="11" ht="16" customHeight="1">
      <c r="A11" s="104" t="inlineStr">
        <is>
          <t>SSLC Revenue (standalone)</t>
        </is>
      </c>
      <c r="B11" s="105" t="n">
        <v>2850000</v>
      </c>
      <c r="C11" s="105" t="n">
        <v>3136000</v>
      </c>
      <c r="D11" s="105" t="n">
        <v>3449000</v>
      </c>
      <c r="E11" s="105" t="n">
        <v>3794000</v>
      </c>
      <c r="F11" s="105" t="n">
        <v>4174000</v>
      </c>
      <c r="H11" s="103" t="inlineStr">
        <is>
          <t xml:space="preserve">  Working capital needed to maintain deliveries:  $300K–$700K</t>
        </is>
      </c>
      <c r="I11" s="142" t="n"/>
      <c r="J11" s="142" t="n"/>
      <c r="K11" s="142" t="n"/>
      <c r="L11" s="143" t="n"/>
    </row>
    <row r="12" ht="16" customHeight="1">
      <c r="A12" s="104" t="inlineStr">
        <is>
          <t xml:space="preserve">  YoY Revenue Growth</t>
        </is>
      </c>
      <c r="B12" s="106" t="n"/>
      <c r="C12" s="107" t="n">
        <v>0.1</v>
      </c>
      <c r="D12" s="106" t="n">
        <v>0.1</v>
      </c>
      <c r="E12" s="107" t="n">
        <v>0.1</v>
      </c>
      <c r="F12" s="106" t="n">
        <v>0.1</v>
      </c>
      <c r="H12" s="103" t="inlineStr">
        <is>
          <t xml:space="preserve">  FY26 operating loss:  −$416K</t>
        </is>
      </c>
      <c r="I12" s="142" t="n"/>
      <c r="J12" s="142" t="n"/>
      <c r="K12" s="142" t="n"/>
      <c r="L12" s="143" t="n"/>
    </row>
    <row r="13" ht="16" customHeight="1">
      <c r="A13" s="104" t="inlineStr">
        <is>
          <t>SSLC Est. EBITDA (standalone)</t>
        </is>
      </c>
      <c r="B13" s="108" t="n">
        <v>-416000</v>
      </c>
      <c r="C13" s="109" t="n">
        <v>-200000</v>
      </c>
      <c r="D13" s="110" t="n">
        <v>50000</v>
      </c>
      <c r="E13" s="111" t="n">
        <v>200000</v>
      </c>
      <c r="F13" s="110" t="n">
        <v>350000</v>
      </c>
      <c r="H13" s="103" t="inlineStr">
        <is>
          <t xml:space="preserve">  He-tank rework unresolved — no resolution path without new owner</t>
        </is>
      </c>
      <c r="I13" s="142" t="n"/>
      <c r="J13" s="142" t="n"/>
      <c r="K13" s="142" t="n"/>
      <c r="L13" s="143" t="n"/>
    </row>
    <row r="14" ht="16" customHeight="1">
      <c r="A14" s="104" t="inlineStr">
        <is>
          <t>Cumulative Revenue (FY27–year)</t>
        </is>
      </c>
      <c r="B14" s="110" t="n">
        <v>2850000</v>
      </c>
      <c r="C14" s="111" t="n">
        <v>5986000</v>
      </c>
      <c r="D14" s="110" t="n">
        <v>9435000</v>
      </c>
      <c r="E14" s="111" t="n">
        <v>13229000</v>
      </c>
      <c r="F14" s="110" t="n">
        <v>17403000</v>
      </c>
      <c r="H14" s="103" t="inlineStr">
        <is>
          <t xml:space="preserve">  No capex capacity → headcount/equipment frozen</t>
        </is>
      </c>
      <c r="I14" s="142" t="n"/>
      <c r="J14" s="142" t="n"/>
      <c r="K14" s="142" t="n"/>
      <c r="L14" s="143" t="n"/>
    </row>
    <row r="15" ht="16" customHeight="1">
      <c r="A15" s="112" t="inlineStr">
        <is>
          <t>⚠  Stall Risk: SSLC needs $300–700K in working capital to maintain delivery commitments. On $198K cash, a working-capital crunch could interrupt deliveries in Q2–Q3 FY27, reducing FY27 below the $2.85M run-rate. The 10% CAGR assumes the crunch is survived.</t>
        </is>
      </c>
      <c r="H15" s="103" t="inlineStr">
        <is>
          <t xml:space="preserve">  Growth capped by self-funded working capital</t>
        </is>
      </c>
      <c r="I15" s="142" t="n"/>
      <c r="J15" s="142" t="n"/>
      <c r="K15" s="142" t="n"/>
      <c r="L15" s="143" t="n"/>
    </row>
    <row r="16" ht="16" customHeight="1">
      <c r="H16" s="103" t="inlineStr">
        <is>
          <t xml:space="preserve">  FY27 achievable at run-rate:  ~$2.85M</t>
        </is>
      </c>
      <c r="I16" s="142" t="n"/>
      <c r="J16" s="142" t="n"/>
      <c r="K16" s="142" t="n"/>
      <c r="L16" s="143" t="n"/>
    </row>
    <row r="17" ht="16" customHeight="1">
      <c r="A17" s="113" t="inlineStr">
        <is>
          <t>WITH EXOS CAPITAL — v12 SSLC Revenue Trajectory (→ $54.7M by FY31)</t>
        </is>
      </c>
      <c r="H17" s="103" t="inlineStr">
        <is>
          <t xml:space="preserve">  FY31 best-case (10% CAGR, no stall):  ~$4.2M</t>
        </is>
      </c>
      <c r="I17" s="142" t="n"/>
      <c r="J17" s="142" t="n"/>
      <c r="K17" s="142" t="n"/>
      <c r="L17" s="143" t="n"/>
    </row>
    <row r="18" ht="16" customHeight="1">
      <c r="A18" s="114" t="inlineStr">
        <is>
          <t>Exos offer provides: Cash at close $2.51M | Debts paid at face | WC bridge ($300–700K) | Exos channel + IM ramp capex | v12 tank-unit/ASP ramp model. Figures: v12 Annual P&amp;L, recalculated 2026-10-07.</t>
        </is>
      </c>
      <c r="H18" s="103" t="inlineStr">
        <is>
          <t xml:space="preserve">  5-yr CAGR (status quo):  ~10.0%</t>
        </is>
      </c>
      <c r="I18" s="142" t="n"/>
      <c r="J18" s="142" t="n"/>
      <c r="K18" s="142" t="n"/>
      <c r="L18" s="143" t="n"/>
    </row>
    <row r="19" ht="18" customHeight="1">
      <c r="A19" s="102" t="inlineStr"/>
      <c r="B19" s="102" t="inlineStr">
        <is>
          <t>FY27</t>
        </is>
      </c>
      <c r="C19" s="102" t="inlineStr">
        <is>
          <t>FY28</t>
        </is>
      </c>
      <c r="D19" s="102" t="inlineStr">
        <is>
          <t>FY29</t>
        </is>
      </c>
      <c r="E19" s="102" t="inlineStr">
        <is>
          <t>FY30</t>
        </is>
      </c>
      <c r="F19" s="102" t="inlineStr">
        <is>
          <t>FY31</t>
        </is>
      </c>
    </row>
    <row r="20" ht="20" customHeight="1">
      <c r="A20" s="104" t="inlineStr">
        <is>
          <t>SSLC Revenue (with Exos, v12)</t>
        </is>
      </c>
      <c r="B20" s="115" t="n">
        <v>4120000</v>
      </c>
      <c r="C20" s="115" t="n">
        <v>8680000</v>
      </c>
      <c r="D20" s="115" t="n">
        <v>19220000</v>
      </c>
      <c r="E20" s="115" t="n">
        <v>33880000</v>
      </c>
      <c r="F20" s="115" t="n">
        <v>54690000</v>
      </c>
      <c r="H20" s="116" t="inlineStr">
        <is>
          <t>With Exos: What Capital Unlocks</t>
        </is>
      </c>
    </row>
    <row r="21" ht="16" customHeight="1">
      <c r="A21" s="104" t="inlineStr">
        <is>
          <t xml:space="preserve">  YoY Revenue Growth</t>
        </is>
      </c>
      <c r="B21" s="106" t="n"/>
      <c r="C21" s="107" t="n">
        <v>1.108</v>
      </c>
      <c r="D21" s="106" t="n">
        <v>1.214</v>
      </c>
      <c r="E21" s="107" t="n">
        <v>0.763</v>
      </c>
      <c r="F21" s="106" t="n">
        <v>0.614</v>
      </c>
      <c r="H21" s="103" t="inlineStr">
        <is>
          <t xml:space="preserve">  Cash at close:  $2.51M</t>
        </is>
      </c>
      <c r="I21" s="142" t="n"/>
      <c r="J21" s="142" t="n"/>
      <c r="K21" s="142" t="n"/>
      <c r="L21" s="143" t="n"/>
    </row>
    <row r="22" ht="16" customHeight="1">
      <c r="A22" s="104" t="inlineStr">
        <is>
          <t>SSLC Est. EBITDA (v12 drivers)</t>
        </is>
      </c>
      <c r="B22" s="110" t="n">
        <v>1278000</v>
      </c>
      <c r="C22" s="111" t="n">
        <v>4130000</v>
      </c>
      <c r="D22" s="110" t="n">
        <v>11821000</v>
      </c>
      <c r="E22" s="111" t="n">
        <v>21953000</v>
      </c>
      <c r="F22" s="110" t="n">
        <v>36379000</v>
      </c>
      <c r="H22" s="103" t="inlineStr">
        <is>
          <t xml:space="preserve">  SSLC debts paid at face (est. ~$500K TBV)</t>
        </is>
      </c>
      <c r="I22" s="142" t="n"/>
      <c r="J22" s="142" t="n"/>
      <c r="K22" s="142" t="n"/>
      <c r="L22" s="143" t="n"/>
    </row>
    <row r="23" ht="16" customHeight="1">
      <c r="A23" s="104" t="inlineStr">
        <is>
          <t>Cumulative Revenue (FY27–year)</t>
        </is>
      </c>
      <c r="B23" s="110" t="n">
        <v>4120000</v>
      </c>
      <c r="C23" s="111" t="n">
        <v>12800000</v>
      </c>
      <c r="D23" s="110" t="n">
        <v>32020000</v>
      </c>
      <c r="E23" s="111" t="n">
        <v>65900000</v>
      </c>
      <c r="F23" s="110" t="n">
        <v>120590000</v>
      </c>
      <c r="H23" s="103" t="inlineStr">
        <is>
          <t xml:space="preserve">  Prepaid-work delivery funded (cost $500K)</t>
        </is>
      </c>
      <c r="I23" s="142" t="n"/>
      <c r="J23" s="142" t="n"/>
      <c r="K23" s="142" t="n"/>
      <c r="L23" s="143" t="n"/>
    </row>
    <row r="24" ht="16" customHeight="1">
      <c r="H24" s="103" t="inlineStr">
        <is>
          <t xml:space="preserve">  WC bridge removes Q2–Q3 stall risk</t>
        </is>
      </c>
      <c r="I24" s="142" t="n"/>
      <c r="J24" s="142" t="n"/>
      <c r="K24" s="142" t="n"/>
      <c r="L24" s="143" t="n"/>
    </row>
    <row r="25" ht="16" customHeight="1">
      <c r="A25" s="99" t="inlineStr">
        <is>
          <t>GROWTH-RATE (CAGR) AND CUMULATIVE-GAP COMPARISON — FY27 to FY31</t>
        </is>
      </c>
      <c r="H25" s="103" t="inlineStr">
        <is>
          <t xml:space="preserve">  Exos procurement channel:  immediate BLK3 tank POs</t>
        </is>
      </c>
      <c r="I25" s="142" t="n"/>
      <c r="J25" s="142" t="n"/>
      <c r="K25" s="142" t="n"/>
      <c r="L25" s="143" t="n"/>
    </row>
    <row r="26" ht="16" customHeight="1">
      <c r="A26" s="102" t="inlineStr">
        <is>
          <t>Metric</t>
        </is>
      </c>
      <c r="B26" s="117" t="inlineStr">
        <is>
          <t>Without Exos Capital</t>
        </is>
      </c>
      <c r="C26" s="118" t="inlineStr">
        <is>
          <t>With Exos Capital</t>
        </is>
      </c>
      <c r="D26" s="117" t="inlineStr">
        <is>
          <t>Without Exos Capital</t>
        </is>
      </c>
      <c r="E26" s="118" t="inlineStr">
        <is>
          <t>With Exos Capital</t>
        </is>
      </c>
      <c r="H26" s="103" t="inlineStr">
        <is>
          <t xml:space="preserve">  Intuitive Machines ramp:  14–16 tanks firm FY27</t>
        </is>
      </c>
      <c r="I26" s="142" t="n"/>
      <c r="J26" s="142" t="n"/>
      <c r="K26" s="142" t="n"/>
      <c r="L26" s="143" t="n"/>
    </row>
    <row r="27" ht="16" customHeight="1">
      <c r="A27" s="119" t="inlineStr">
        <is>
          <t>FY27 SSLC Revenue</t>
        </is>
      </c>
      <c r="B27" s="120" t="n">
        <v>2850000</v>
      </c>
      <c r="C27" s="121" t="n">
        <v>4120000</v>
      </c>
      <c r="H27" s="103" t="inlineStr">
        <is>
          <t xml:space="preserve">  Capex for production scale-up enabled</t>
        </is>
      </c>
      <c r="I27" s="142" t="n"/>
      <c r="J27" s="142" t="n"/>
      <c r="K27" s="142" t="n"/>
      <c r="L27" s="143" t="n"/>
    </row>
    <row r="28" ht="16" customHeight="1">
      <c r="A28" s="119" t="inlineStr">
        <is>
          <t>FY31 SSLC Revenue</t>
        </is>
      </c>
      <c r="B28" s="120" t="n">
        <v>4174000</v>
      </c>
      <c r="C28" s="121" t="n">
        <v>54690000</v>
      </c>
      <c r="H28" s="103" t="inlineStr">
        <is>
          <t xml:space="preserve">  FY27 target (IM firm + ramp):  $4.1M–$5.5M</t>
        </is>
      </c>
      <c r="I28" s="142" t="n"/>
      <c r="J28" s="142" t="n"/>
      <c r="K28" s="142" t="n"/>
      <c r="L28" s="143" t="n"/>
    </row>
    <row r="29" ht="16" customHeight="1">
      <c r="A29" s="119" t="inlineStr">
        <is>
          <t>FY27–FY31 CAGR (SSLC Revenue)</t>
        </is>
      </c>
      <c r="B29" s="122" t="n">
        <v>0.1000866545812265</v>
      </c>
      <c r="C29" s="123" t="n">
        <v>0.9087659399397092</v>
      </c>
      <c r="H29" s="103" t="inlineStr">
        <is>
          <t xml:space="preserve">  FY31 (v12 trajectory):  $54.7M</t>
        </is>
      </c>
      <c r="I29" s="142" t="n"/>
      <c r="J29" s="142" t="n"/>
      <c r="K29" s="142" t="n"/>
      <c r="L29" s="143" t="n"/>
    </row>
    <row r="30" ht="16" customHeight="1">
      <c r="A30" s="119" t="inlineStr">
        <is>
          <t>Cumulative 5-yr SSLC Revenue</t>
        </is>
      </c>
      <c r="B30" s="120" t="n">
        <v>17403000</v>
      </c>
      <c r="C30" s="121" t="n">
        <v>120590000</v>
      </c>
      <c r="H30" s="103" t="inlineStr">
        <is>
          <t xml:space="preserve">  5-yr CAGR (with Exos, v12):  ~90.9%</t>
        </is>
      </c>
      <c r="I30" s="142" t="n"/>
      <c r="J30" s="142" t="n"/>
      <c r="K30" s="142" t="n"/>
      <c r="L30" s="143" t="n"/>
    </row>
    <row r="31">
      <c r="A31" s="119" t="inlineStr">
        <is>
          <t>Y5 Annual Revenue Gap (With − W/O)</t>
        </is>
      </c>
      <c r="B31" s="124" t="n"/>
      <c r="C31" s="121" t="n">
        <v>50516000</v>
      </c>
    </row>
    <row r="32" ht="20" customHeight="1">
      <c r="A32" s="119" t="inlineStr">
        <is>
          <t>Cumulative 5-yr Gap (With − W/O)</t>
        </is>
      </c>
      <c r="B32" s="124" t="n"/>
      <c r="C32" s="121" t="n">
        <v>103187000</v>
      </c>
      <c r="H32" s="125" t="inlineStr">
        <is>
          <t>The Doubling Requirement</t>
        </is>
      </c>
    </row>
    <row r="33" ht="16" customHeight="1">
      <c r="H33" s="103" t="inlineStr">
        <is>
          <t xml:space="preserve">  FY27 $5.1M target − Q1 $713K actual = $4,387K remaining</t>
        </is>
      </c>
      <c r="I33" s="142" t="n"/>
      <c r="J33" s="142" t="n"/>
      <c r="K33" s="142" t="n"/>
      <c r="L33" s="143" t="n"/>
    </row>
    <row r="34" ht="16" customHeight="1">
      <c r="H34" s="103" t="inlineStr">
        <is>
          <t xml:space="preserve">  Over 3 quarters (Q2–Q4) = $1,462K/qtr required</t>
        </is>
      </c>
      <c r="I34" s="142" t="n"/>
      <c r="J34" s="142" t="n"/>
      <c r="K34" s="142" t="n"/>
      <c r="L34" s="143" t="n"/>
    </row>
    <row r="35" ht="16" customHeight="1">
      <c r="H35" s="103" t="inlineStr">
        <is>
          <t xml:space="preserve">  vs. Q1 $713K actual = 2.05× immediate ramp</t>
        </is>
      </c>
      <c r="I35" s="142" t="n"/>
      <c r="J35" s="142" t="n"/>
      <c r="K35" s="142" t="n"/>
      <c r="L35" s="143" t="n"/>
    </row>
    <row r="36" ht="16" customHeight="1">
      <c r="H36" s="103" t="inlineStr">
        <is>
          <t xml:space="preserve">  Only funded if Exos capital bridges the working-capital gap</t>
        </is>
      </c>
      <c r="I36" s="142" t="n"/>
      <c r="J36" s="142" t="n"/>
      <c r="K36" s="142" t="n"/>
      <c r="L36" s="143" t="n"/>
    </row>
    <row r="37" ht="16" customHeight="1">
      <c r="H37" s="103" t="inlineStr">
        <is>
          <t xml:space="preserve">  Without capital → Q2–Q4 stays ≈ $713K/qtr = $2.85M FY27</t>
        </is>
      </c>
      <c r="I37" s="142" t="n"/>
      <c r="J37" s="142" t="n"/>
      <c r="K37" s="142" t="n"/>
      <c r="L37" s="143" t="n"/>
    </row>
    <row r="40" ht="28" customHeight="1">
      <c r="A40" s="126" t="inlineStr">
        <is>
          <t>Management Assumptions — all projections forward of FY27 Q1 actual ($713K) are management estimates, not independently audited. Without-Exos CAGR assumes no working-capital stall; stall scenarios produce lower figures. With-Exos CAGR uses v12 SSLC tank-unit/ASP/COGS drivers, not independently audited. DRAFT, 2026-10-07.</t>
        </is>
      </c>
    </row>
  </sheetData>
  <mergeCells count="38">
    <mergeCell ref="H30:L30"/>
    <mergeCell ref="H26:L26"/>
    <mergeCell ref="H29:L29"/>
    <mergeCell ref="H35:L35"/>
    <mergeCell ref="H20:L20"/>
    <mergeCell ref="H10:L10"/>
    <mergeCell ref="A18:F18"/>
    <mergeCell ref="H34:L34"/>
    <mergeCell ref="H9:L9"/>
    <mergeCell ref="A2:L2"/>
    <mergeCell ref="H25:L25"/>
    <mergeCell ref="H21:L21"/>
    <mergeCell ref="A8:F8"/>
    <mergeCell ref="H36:L36"/>
    <mergeCell ref="A17:F17"/>
    <mergeCell ref="H17:L17"/>
    <mergeCell ref="H11:L11"/>
    <mergeCell ref="H16:L16"/>
    <mergeCell ref="A9:F9"/>
    <mergeCell ref="H32:L32"/>
    <mergeCell ref="H28:L28"/>
    <mergeCell ref="A4:L6"/>
    <mergeCell ref="A40:L40"/>
    <mergeCell ref="H13:L13"/>
    <mergeCell ref="H37:L37"/>
    <mergeCell ref="H22:L22"/>
    <mergeCell ref="A15:F15"/>
    <mergeCell ref="H27:L27"/>
    <mergeCell ref="H12:L12"/>
    <mergeCell ref="H15:L15"/>
    <mergeCell ref="A1:L1"/>
    <mergeCell ref="H24:L24"/>
    <mergeCell ref="H18:L18"/>
    <mergeCell ref="H33:L33"/>
    <mergeCell ref="H14:L14"/>
    <mergeCell ref="H23:L23"/>
    <mergeCell ref="H8:L8"/>
    <mergeCell ref="A25:F2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2026-10-09T22:46:07Z</dcterms:created>
  <dcterms:modified xmlns:dcterms="http://purl.org/dc/terms/" xmlns:xsi="http://www.w3.org/2001/XMLSchema-instance" xsi:type="dcterms:W3CDTF">2026-10-09T22:53:15Z</dcterms:modified>
</cp:coreProperties>
</file>