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With vs Without Exos Capit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0.0%"/>
    <numFmt numFmtId="166" formatCode="$#,##0;($#,##0)"/>
    <numFmt numFmtId="167" formatCode="0.0x"/>
    <numFmt numFmtId="168" formatCode="0.00x"/>
    <numFmt numFmtId="169" formatCode="&quot;$&quot;#,##0"/>
  </numFmts>
  <fonts count="35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  <font>
      <b val="1"/>
      <color rgb="00FFFFFF"/>
      <sz val="14"/>
    </font>
    <font>
      <i val="1"/>
      <color rgb="00555555"/>
      <sz val="9"/>
    </font>
    <font>
      <b val="1"/>
      <color rgb="00000000"/>
      <sz val="11"/>
    </font>
    <font>
      <i val="1"/>
      <color rgb="009B1C1C"/>
      <sz val="9"/>
    </font>
    <font>
      <color rgb="00000000"/>
      <sz val="10"/>
    </font>
    <font>
      <color rgb="009B1C1C"/>
      <sz val="10"/>
    </font>
    <font>
      <i val="1"/>
      <color rgb="00375623"/>
      <sz val="9"/>
    </font>
    <font>
      <b val="1"/>
      <color rgb="00000000"/>
      <sz val="10"/>
    </font>
    <font>
      <sz val="9.5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i val="1"/>
      <sz val="9"/>
    </font>
  </fonts>
  <fills count="2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  <fill>
      <patternFill patternType="solid">
        <fgColor rgb="009B1C1C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1E3A5F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EF3C7"/>
      </patternFill>
    </fill>
  </fills>
  <borders count="14">
    <border>
      <left/>
      <right/>
      <top/>
      <bottom/>
      <diagonal/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medium">
        <color rgb="00BF8F00"/>
      </top>
      <bottom/>
      <diagonal/>
    </border>
    <border>
      <left style="medium">
        <color rgb="00BF8F00"/>
      </left>
      <right/>
      <top/>
      <bottom/>
      <diagonal/>
    </border>
    <border>
      <left/>
      <right style="medium">
        <color rgb="00BF8F00"/>
      </right>
      <top style="medium">
        <color rgb="00BF8F00"/>
      </top>
      <bottom/>
      <diagonal/>
    </border>
    <border>
      <left/>
      <right style="medium">
        <color rgb="00BF8F00"/>
      </right>
      <top/>
      <bottom/>
      <diagonal/>
    </border>
    <border>
      <left style="medium">
        <color rgb="00BF8F00"/>
      </left>
      <right/>
      <top/>
      <bottom style="medium">
        <color rgb="00BF8F00"/>
      </bottom>
      <diagonal/>
    </border>
    <border>
      <left/>
      <right/>
      <top/>
      <bottom style="medium">
        <color rgb="00BF8F00"/>
      </bottom>
      <diagonal/>
    </border>
    <border>
      <left/>
      <right style="medium">
        <color rgb="00BF8F00"/>
      </right>
      <top/>
      <bottom style="medium">
        <color rgb="00BF8F00"/>
      </bottom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  <xf numFmtId="0" fontId="22" fillId="2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wrapText="1"/>
    </xf>
    <xf numFmtId="0" fontId="24" fillId="8" borderId="1" applyAlignment="1" pivotButton="0" quotePrefix="0" xfId="0">
      <alignment horizontal="left" vertical="center" wrapText="1"/>
    </xf>
    <xf numFmtId="0" fontId="14" fillId="15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wrapText="1"/>
    </xf>
    <xf numFmtId="0" fontId="4" fillId="15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/>
    </xf>
    <xf numFmtId="0" fontId="30" fillId="0" borderId="2" applyAlignment="1" pivotButton="0" quotePrefix="0" xfId="0">
      <alignment horizontal="left" vertical="center"/>
    </xf>
    <xf numFmtId="0" fontId="26" fillId="0" borderId="2" applyAlignment="1" pivotButton="0" quotePrefix="0" xfId="0">
      <alignment horizontal="left"/>
    </xf>
    <xf numFmtId="164" fontId="26" fillId="6" borderId="2" applyAlignment="1" pivotButton="0" quotePrefix="0" xfId="0">
      <alignment horizontal="right"/>
    </xf>
    <xf numFmtId="165" fontId="26" fillId="12" borderId="2" applyAlignment="1" pivotButton="0" quotePrefix="0" xfId="0">
      <alignment horizontal="right"/>
    </xf>
    <xf numFmtId="165" fontId="26" fillId="16" borderId="2" applyAlignment="1" pivotButton="0" quotePrefix="0" xfId="0">
      <alignment horizontal="right"/>
    </xf>
    <xf numFmtId="164" fontId="27" fillId="12" borderId="2" applyAlignment="1" pivotButton="0" quotePrefix="0" xfId="0">
      <alignment horizontal="right"/>
    </xf>
    <xf numFmtId="164" fontId="27" fillId="16" borderId="2" applyAlignment="1" pivotButton="0" quotePrefix="0" xfId="0">
      <alignment horizontal="right"/>
    </xf>
    <xf numFmtId="164" fontId="26" fillId="12" borderId="2" applyAlignment="1" pivotButton="0" quotePrefix="0" xfId="0">
      <alignment horizontal="right"/>
    </xf>
    <xf numFmtId="164" fontId="26" fillId="16" borderId="2" applyAlignment="1" pivotButton="0" quotePrefix="0" xfId="0">
      <alignment horizontal="right"/>
    </xf>
    <xf numFmtId="0" fontId="25" fillId="6" borderId="0" applyAlignment="1" pivotButton="0" quotePrefix="0" xfId="0">
      <alignment horizontal="left" wrapText="1"/>
    </xf>
    <xf numFmtId="0" fontId="14" fillId="1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wrapText="1"/>
    </xf>
    <xf numFmtId="164" fontId="29" fillId="9" borderId="2" applyAlignment="1" pivotButton="0" quotePrefix="0" xfId="0">
      <alignment horizontal="right"/>
    </xf>
    <xf numFmtId="0" fontId="4" fillId="17" borderId="0" applyAlignment="1" pivotButton="0" quotePrefix="0" xfId="0">
      <alignment horizontal="left" vertical="center"/>
    </xf>
    <xf numFmtId="0" fontId="4" fillId="15" borderId="2" applyAlignment="1" pivotButton="0" quotePrefix="0" xfId="0">
      <alignment horizontal="center"/>
    </xf>
    <xf numFmtId="0" fontId="4" fillId="17" borderId="2" applyAlignment="1" pivotButton="0" quotePrefix="0" xfId="0">
      <alignment horizontal="center"/>
    </xf>
    <xf numFmtId="0" fontId="6" fillId="0" borderId="2" pivotButton="0" quotePrefix="0" xfId="0"/>
    <xf numFmtId="164" fontId="0" fillId="6" borderId="2" applyAlignment="1" pivotButton="0" quotePrefix="0" xfId="0">
      <alignment horizontal="right"/>
    </xf>
    <xf numFmtId="164" fontId="6" fillId="9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0" fontId="0" fillId="6" borderId="2" applyAlignment="1" pivotButton="0" quotePrefix="0" xfId="0">
      <alignment horizontal="right"/>
    </xf>
    <xf numFmtId="0" fontId="4" fillId="18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  <xf numFmtId="0" fontId="31" fillId="19" borderId="0" pivotButton="0" quotePrefix="0" xfId="0"/>
    <xf numFmtId="0" fontId="32" fillId="12" borderId="0" pivotButton="0" quotePrefix="0" xfId="0"/>
    <xf numFmtId="169" fontId="32" fillId="0" borderId="0" applyAlignment="1" pivotButton="0" quotePrefix="0" xfId="0">
      <alignment horizontal="right"/>
    </xf>
    <xf numFmtId="164" fontId="32" fillId="0" borderId="0" pivotButton="0" quotePrefix="0" xfId="0"/>
    <xf numFmtId="0" fontId="32" fillId="0" borderId="0" pivotButton="0" quotePrefix="0" xfId="0"/>
    <xf numFmtId="0" fontId="33" fillId="20" borderId="0" pivotButton="0" quotePrefix="0" xfId="0"/>
    <xf numFmtId="0" fontId="32" fillId="20" borderId="0" pivotButton="0" quotePrefix="0" xfId="0"/>
    <xf numFmtId="164" fontId="32" fillId="20" borderId="0" pivotButton="0" quotePrefix="0" xfId="0"/>
    <xf numFmtId="169" fontId="32" fillId="20" borderId="0" applyAlignment="1" pivotButton="0" quotePrefix="0" xfId="0">
      <alignment horizontal="right"/>
    </xf>
    <xf numFmtId="0" fontId="32" fillId="4" borderId="0" pivotButton="0" quotePrefix="0" xfId="0"/>
    <xf numFmtId="0" fontId="33" fillId="21" borderId="0" pivotButton="0" quotePrefix="0" xfId="0"/>
    <xf numFmtId="164" fontId="33" fillId="21" borderId="0" pivotButton="0" quotePrefix="0" xfId="0"/>
    <xf numFmtId="0" fontId="33" fillId="22" borderId="0" pivotButton="0" quotePrefix="0" xfId="0"/>
    <xf numFmtId="164" fontId="33" fillId="22" borderId="0" pivotButton="0" quotePrefix="0" xfId="0"/>
    <xf numFmtId="0" fontId="33" fillId="23" borderId="0" pivotButton="0" quotePrefix="0" xfId="0"/>
    <xf numFmtId="164" fontId="33" fillId="23" borderId="0" pivotButton="0" quotePrefix="0" xfId="0"/>
    <xf numFmtId="0" fontId="34" fillId="24" borderId="0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John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John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5</v>
      </c>
      <c r="C27" s="10" t="inlineStr">
        <is>
          <t>Management assumption — unverified; FY27–FY31</t>
        </is>
      </c>
    </row>
    <row r="28" ht="22" customHeight="1">
      <c r="A28" s="5" t="inlineStr">
        <is>
          <t>Earn-out ii — Exos stock % of FD shares (low)</t>
        </is>
      </c>
      <c r="B28" s="9" t="n">
        <v>0.005</v>
      </c>
      <c r="C28" s="10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9" t="n">
        <v>0.0075</v>
      </c>
      <c r="C29" s="10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9" t="n">
        <v>0.01</v>
      </c>
      <c r="C30" s="10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(principals' terms)</t>
        </is>
      </c>
      <c r="B34" s="6" t="n">
        <v>12</v>
      </c>
      <c r="C34" s="10" t="inlineStr">
        <is>
          <t>Same lockup terms as Exos principals (modeled ~12 months)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(John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John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John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(John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105" ht="20" customHeight="1">
      <c r="A105" s="4" t="inlineStr">
        <is>
          <t>BENEFITS TO SSLC INVESTORS (John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No further capital calls</t>
        </is>
      </c>
      <c r="B107" s="5" t="inlineStr">
        <is>
          <t>Structural</t>
        </is>
      </c>
      <c r="C107" s="7" t="inlineStr">
        <is>
          <t>Investors stop funding a cash-negative entity</t>
        </is>
      </c>
    </row>
    <row r="108" ht="20" customHeight="1">
      <c r="A108" s="5" t="inlineStr">
        <is>
          <t>3. Cash at close</t>
        </is>
      </c>
      <c r="B108" s="5" t="inlineStr">
        <is>
          <t>$2,510,000</t>
        </is>
      </c>
      <c r="C108" s="7" t="inlineStr">
        <is>
          <t>Section 3 deal price cash component</t>
        </is>
      </c>
    </row>
    <row r="109" ht="20" customHeight="1">
      <c r="A109" s="5" t="inlineStr">
        <is>
          <t>4. Earn-out upside — IM tank revenue (5 yrs, FY27–FY31)</t>
        </is>
      </c>
      <c r="B109" s="5" t="inlineStr">
        <is>
          <t>Up to $1.5M</t>
        </is>
      </c>
      <c r="C109" s="7" t="inlineStr">
        <is>
          <t>5%/yr x $5M IM firm; $300K cap; 5-year term</t>
        </is>
      </c>
    </row>
    <row r="110" ht="20" customHeight="1">
      <c r="A110" s="5" t="inlineStr">
        <is>
          <t>5. Milestone earn-outs (up to 5 goals)</t>
        </is>
      </c>
      <c r="B110" s="5" t="inlineStr">
        <is>
          <t>Up to $1.1M</t>
        </is>
      </c>
      <c r="C110" s="7" t="inlineStr">
        <is>
          <t>Goal-based: $5.1M rev, OTV contract, $10M/$20M rev, BLK3 qual</t>
        </is>
      </c>
    </row>
    <row r="111" ht="20" customHeight="1">
      <c r="A111" s="5" t="inlineStr">
        <is>
          <t>6. Earn-out upside — Exos stock post-RTO</t>
        </is>
      </c>
      <c r="B111" s="5" t="inlineStr">
        <is>
          <t>$1.0M–$3.0M</t>
        </is>
      </c>
      <c r="C111" s="7" t="inlineStr">
        <is>
          <t>0.5%–1.0% FD at listing ($200M–$300M MEV)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Principals' lockup terms;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(John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earn-out stock stake at listing (base)</t>
        </is>
      </c>
      <c r="B121" s="20" t="n">
        <v>0.0075</v>
      </c>
      <c r="C121" s="19" t="inlineStr">
        <is>
          <t>Base earn-out grant = 0.75% FD shares at listing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</t>
        </is>
      </c>
      <c r="B124" s="20">
        <f>B121*B123</f>
        <v/>
      </c>
      <c r="C124" s="19" t="inlineStr">
        <is>
          <t>0.75% x 0.70 = 0.525%</t>
        </is>
      </c>
    </row>
    <row r="125" ht="28" customHeight="1">
      <c r="A125" s="13" t="inlineStr">
        <is>
          <t>SSLC stake FY31 — low post-dilution</t>
        </is>
      </c>
      <c r="B125" s="20">
        <f>Assumptions!B28*(1-B122)</f>
        <v/>
      </c>
      <c r="C125" s="19" t="inlineStr">
        <is>
          <t>0.5% x 0.70 = 0.35%</t>
        </is>
      </c>
    </row>
    <row r="126" ht="28" customHeight="1">
      <c r="A126" s="13" t="inlineStr">
        <is>
          <t>SSLC stake FY31 — high post-dilution</t>
        </is>
      </c>
      <c r="B126" s="20">
        <f>Assumptions!B30*(1-B122)</f>
        <v/>
      </c>
      <c r="C126" s="19" t="inlineStr">
        <is>
          <t>1.0% x 0.70 = 0.70%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~$5.69M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~$8.54M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~$11.38M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~$616K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~$924K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~$1.23M</t>
        </is>
      </c>
    </row>
    <row r="133" ht="28" customHeight="1">
      <c r="A133" s="13" t="inlineStr">
        <is>
          <t>Multiple v at-listing — Old-Model base</t>
        </is>
      </c>
      <c r="B133" s="20">
        <f>B128/(Assumptions!B29*Assumptions!B32)</f>
        <v/>
      </c>
      <c r="C133" s="19" t="inlineStr">
        <is>
          <t>~4.6x the at-listing stock earn-out value ($1.875M)</t>
        </is>
      </c>
    </row>
    <row r="134" ht="28" customHeight="1">
      <c r="A134" s="13" t="inlineStr">
        <is>
          <t>Multiple v at-listing — AA base</t>
        </is>
      </c>
      <c r="B134" s="20">
        <f>B131/(Assumptions!B29*Assumptions!B32)</f>
        <v/>
      </c>
      <c r="C134" s="19" t="inlineStr">
        <is>
          <t>~0.49x — AA FY31 EV BELOW listing; stock worth less by FY31 in AA case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~4.6x the at-listing stock value.</t>
        </is>
      </c>
    </row>
  </sheetData>
  <mergeCells count="12"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5-year term (FY27–FY31)</t>
        </is>
      </c>
      <c r="C23" s="29" t="inlineStr">
        <is>
          <t>Exos common stock at listing (% of FD shares); principals' lockup</t>
        </is>
      </c>
      <c r="D23" s="29" t="inlineStr">
        <is>
          <t>Both i + ii + milestone earn-outs</t>
        </is>
      </c>
      <c r="E23" s="10" t="inlineStr">
        <is>
          <t>Gives SSLC sellers upside from IM growth AND Exos growth AND milestones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5yr + 0.5% of $200M listing + milestone 1 only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× 5yr + 0.75% of $250M listing + milestones 1-3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(cap $300K) × 5yr + 1.0% of $300M listing + all 5 milestones → ~$10M</t>
        </is>
      </c>
    </row>
    <row r="27" ht="28" customHeight="1">
      <c r="A27" s="29" t="inlineStr">
        <is>
          <t>Exos dilution (stock,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0.75% of FD shares;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5 years (FY27–FY31)</t>
        </is>
      </c>
      <c r="C28" s="29" t="inlineStr">
        <is>
          <t>Same lockup terms as Exos principals (modeled ~12 months)</t>
        </is>
      </c>
      <c r="D28" s="29" t="inlineStr">
        <is>
          <t>Each tranche per its own schedule</t>
        </is>
      </c>
      <c r="E28" s="10" t="inlineStr">
        <is>
          <t>Principals' lockup; realization timing modeled ~12 months post-listing</t>
        </is>
      </c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(John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John sits on BOTH boards</t>
        </is>
      </c>
      <c r="B20" t="inlineStr">
        <is>
          <t>Conflict of interest</t>
        </is>
      </c>
      <c r="C20" s="7" t="inlineStr">
        <is>
          <t>John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John abstains</t>
        </is>
      </c>
    </row>
    <row r="23" ht="28" customHeight="1">
      <c r="A23" s="5" t="inlineStr">
        <is>
          <t>Legal review</t>
        </is>
      </c>
      <c r="B23" t="inlineStr">
        <is>
          <t>Deferred (John 10/7)</t>
        </is>
      </c>
      <c r="C23" s="7" t="inlineStr">
        <is>
          <t>Negotiation stage; no legal review until John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billed-ahead work; ~1 month burn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Working-capital bridge (completion cost)</t>
        </is>
      </c>
      <c r="B10" s="31">
        <f>Assumptions!B16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Mid=$500K; funds completion of in-flight IM work</t>
        </is>
      </c>
    </row>
    <row r="12" ht="18" customHeight="1">
      <c r="A12" s="59" t="inlineStr">
        <is>
          <t>TOTAL FUNDING DELIVERED</t>
        </is>
      </c>
      <c r="B12" s="60">
        <f>SUM(B6:B10)</f>
        <v/>
      </c>
      <c r="C12" s="60">
        <f>SUM(C6:C10)</f>
        <v/>
      </c>
      <c r="D12" s="60">
        <f>SUM(D6:D10)</f>
        <v/>
      </c>
      <c r="E12" s="60">
        <f>SUM(E6:E10)</f>
        <v/>
      </c>
      <c r="F12" s="60">
        <f>SUM(F6:F10)</f>
        <v/>
      </c>
      <c r="G12" s="60">
        <f>SUM(B12:F12)</f>
        <v/>
      </c>
      <c r="H12" s="10" t="inlineStr">
        <is>
          <t>All at close in FY27</t>
        </is>
      </c>
    </row>
    <row r="13">
      <c r="A13" s="109" t="inlineStr">
        <is>
          <t>FORWARD POTENTIAL — EARN-OUTS (negotiating terms — management assumptions)</t>
        </is>
      </c>
    </row>
    <row r="14" ht="18" customHeight="1">
      <c r="A14" s="110" t="inlineStr">
        <is>
          <t>Tank earn-out BASE (5%/yr × avg $4M rev, cap $250K/yr)</t>
        </is>
      </c>
      <c r="B14" s="111" t="n">
        <v>200000</v>
      </c>
      <c r="C14" s="111" t="n">
        <v>200000</v>
      </c>
      <c r="D14" s="111" t="n">
        <v>200000</v>
      </c>
      <c r="E14" s="111" t="n">
        <v>200000</v>
      </c>
      <c r="F14" s="111" t="n">
        <v>200000</v>
      </c>
      <c r="G14" s="112">
        <f>SUM(B14:F14)</f>
        <v/>
      </c>
      <c r="H14" s="113" t="inlineStr">
        <is>
          <t>5%×~$4M SSLC/IM rev; cap $250K/yr; FY27-31; total $1,000K</t>
        </is>
      </c>
    </row>
    <row r="15" ht="18" customHeight="1">
      <c r="A15" s="110" t="inlineStr">
        <is>
          <t>Tank earn-out LOW (IM demand does not materialize)</t>
        </is>
      </c>
      <c r="B15" s="111" t="n">
        <v>0</v>
      </c>
      <c r="C15" s="111" t="n">
        <v>0</v>
      </c>
      <c r="D15" s="111" t="n">
        <v>0</v>
      </c>
      <c r="E15" s="111" t="n">
        <v>0</v>
      </c>
      <c r="F15" s="111" t="n">
        <v>0</v>
      </c>
      <c r="G15" s="112">
        <f>SUM(B15:F15)</f>
        <v/>
      </c>
      <c r="H15" s="113" t="inlineStr">
        <is>
          <t>Low scenario — $0</t>
        </is>
      </c>
    </row>
    <row r="16" ht="18" customHeight="1">
      <c r="A16" s="110" t="inlineStr">
        <is>
          <t>Tank earn-out HIGH (5%/yr × $5M rev, at $250K/yr cap)</t>
        </is>
      </c>
      <c r="B16" s="111" t="n">
        <v>250000</v>
      </c>
      <c r="C16" s="111" t="n">
        <v>250000</v>
      </c>
      <c r="D16" s="111" t="n">
        <v>250000</v>
      </c>
      <c r="E16" s="111" t="n">
        <v>250000</v>
      </c>
      <c r="F16" s="111" t="n">
        <v>250000</v>
      </c>
      <c r="G16" s="112">
        <f>SUM(B16:F16)</f>
        <v/>
      </c>
      <c r="H16" s="113" t="inlineStr">
        <is>
          <t>5%×$5M/yr; cap $250K; FY27-31; total $1,250K</t>
        </is>
      </c>
    </row>
    <row r="17" ht="18" customHeight="1">
      <c r="A17" s="114" t="inlineStr">
        <is>
          <t>MILESTONE EARN-OUTS — pays ONLY when trigger is verified (negotiating terms)</t>
        </is>
      </c>
      <c r="B17" s="31" t="n"/>
      <c r="C17" s="31" t="n"/>
      <c r="D17" s="31" t="n"/>
      <c r="E17" s="31" t="n"/>
      <c r="F17" s="31" t="n"/>
      <c r="G17" s="31" t="n"/>
      <c r="H17" s="10" t="n"/>
    </row>
    <row r="18" ht="18" customHeight="1">
      <c r="A18" s="115" t="inlineStr">
        <is>
          <t xml:space="preserve">  M1: SSLC FY27 $5M revenue on schedule</t>
        </is>
      </c>
      <c r="B18" s="116" t="n"/>
      <c r="C18" s="117" t="n">
        <v>200000</v>
      </c>
      <c r="D18" s="116" t="n"/>
      <c r="E18" s="116" t="n"/>
      <c r="F18" s="116" t="n"/>
      <c r="G18" s="116">
        <f>SUM(B18:F18)</f>
        <v/>
      </c>
      <c r="H18" s="115" t="inlineStr">
        <is>
          <t>BASE+HIGH; pays FY28 Q1; $200K</t>
        </is>
      </c>
    </row>
    <row r="19" ht="18" customHeight="1">
      <c r="A19" s="115" t="inlineStr">
        <is>
          <t xml:space="preserve">  M2: Nebula/OTV production contract signed</t>
        </is>
      </c>
      <c r="B19" s="116" t="n"/>
      <c r="C19" s="116" t="n"/>
      <c r="D19" s="117" t="n">
        <v>300000</v>
      </c>
      <c r="E19" s="116" t="n"/>
      <c r="F19" s="116" t="n"/>
      <c r="G19" s="116">
        <f>SUM(B19:F19)</f>
        <v/>
      </c>
      <c r="H19" s="115" t="inlineStr">
        <is>
          <t>BASE+HIGH; pays at signing (est. FY29); $300K</t>
        </is>
      </c>
    </row>
    <row r="20" ht="18" customHeight="1">
      <c r="A20" s="115" t="inlineStr">
        <is>
          <t xml:space="preserve">  M3: SSLC annual revenue ≥$10M</t>
        </is>
      </c>
      <c r="B20" s="116" t="n"/>
      <c r="C20" s="116" t="n"/>
      <c r="D20" s="117" t="n">
        <v>300000</v>
      </c>
      <c r="E20" s="116" t="n"/>
      <c r="F20" s="116" t="n"/>
      <c r="G20" s="116">
        <f>SUM(B20:F20)</f>
        <v/>
      </c>
      <c r="H20" s="115" t="inlineStr">
        <is>
          <t>HIGH only; est. FY29; $300K</t>
        </is>
      </c>
    </row>
    <row r="21" ht="18" customHeight="1">
      <c r="A21" s="115" t="inlineStr">
        <is>
          <t xml:space="preserve">  M4: SSLC annual revenue ≥$20M</t>
        </is>
      </c>
      <c r="B21" s="116" t="n"/>
      <c r="C21" s="116" t="n"/>
      <c r="D21" s="116" t="n"/>
      <c r="E21" s="116" t="n"/>
      <c r="F21" s="117" t="n">
        <v>400000</v>
      </c>
      <c r="G21" s="116">
        <f>SUM(B21:F21)</f>
        <v/>
      </c>
      <c r="H21" s="115" t="inlineStr">
        <is>
          <t>HIGH only; est. FY31; $400K</t>
        </is>
      </c>
    </row>
    <row r="22" ht="18" customHeight="1">
      <c r="A22" s="115" t="inlineStr">
        <is>
          <t xml:space="preserve">  M5: BLK3 tank qualification complete</t>
        </is>
      </c>
      <c r="B22" s="116" t="n"/>
      <c r="C22" s="117" t="n">
        <v>150000</v>
      </c>
      <c r="D22" s="116" t="n"/>
      <c r="E22" s="116" t="n"/>
      <c r="F22" s="116" t="n"/>
      <c r="G22" s="116">
        <f>SUM(B22:F22)</f>
        <v/>
      </c>
      <c r="H22" s="115" t="inlineStr">
        <is>
          <t>BASE+HIGH; est. FY28; $150K</t>
        </is>
      </c>
    </row>
    <row r="23">
      <c r="A23" s="113" t="inlineStr">
        <is>
          <t>Stock earn-out BASE (0.75% FD × $250M RTO)</t>
        </is>
      </c>
      <c r="B23" s="111" t="n">
        <v>0</v>
      </c>
      <c r="C23" s="111" t="n">
        <v>0</v>
      </c>
      <c r="D23" s="111" t="n">
        <v>1875000</v>
      </c>
      <c r="E23" s="111" t="n">
        <v>0</v>
      </c>
      <c r="F23" s="111" t="n">
        <v>0</v>
      </c>
      <c r="G23" s="113">
        <f>SUM(B23:F23)</f>
        <v/>
      </c>
      <c r="H23" s="113" t="inlineStr">
        <is>
          <t>12-mo lockup after ~FY28 listing; realized FY29</t>
        </is>
      </c>
    </row>
    <row r="24">
      <c r="A24" s="113" t="inlineStr">
        <is>
          <t>Stock earn-out LOW  (0.5% × $200M)</t>
        </is>
      </c>
      <c r="B24" s="111" t="n">
        <v>0</v>
      </c>
      <c r="C24" s="111" t="n">
        <v>0</v>
      </c>
      <c r="D24" s="111" t="n">
        <v>1000000</v>
      </c>
      <c r="E24" s="111" t="n">
        <v>0</v>
      </c>
      <c r="F24" s="111" t="n">
        <v>0</v>
      </c>
      <c r="G24" s="113">
        <f>SUM(B24:F24)</f>
        <v/>
      </c>
      <c r="H24" s="113" t="inlineStr">
        <is>
          <t>Low RTO</t>
        </is>
      </c>
    </row>
    <row r="25">
      <c r="A25" s="118" t="inlineStr">
        <is>
          <t>Stock earn-out HIGH (1.0% × $300M)</t>
        </is>
      </c>
      <c r="B25" s="111" t="n">
        <v>0</v>
      </c>
      <c r="C25" s="111" t="n">
        <v>0</v>
      </c>
      <c r="D25" s="111" t="n">
        <v>3000000</v>
      </c>
      <c r="E25" s="111" t="n">
        <v>0</v>
      </c>
      <c r="F25" s="111" t="n">
        <v>0</v>
      </c>
      <c r="G25" s="113">
        <f>SUM(B25:F25)</f>
        <v/>
      </c>
      <c r="H25" s="113" t="inlineStr">
        <is>
          <t>High RTO</t>
        </is>
      </c>
    </row>
    <row r="26" ht="20" customHeight="1">
      <c r="A26" s="26" t="n"/>
      <c r="B26" s="62" t="n"/>
      <c r="C26" s="62" t="n"/>
      <c r="D26" s="62" t="n"/>
      <c r="E26" s="62" t="n"/>
      <c r="F26" s="62" t="n"/>
      <c r="G26" s="62" t="n"/>
    </row>
    <row r="27" ht="20" customHeight="1">
      <c r="A27" s="119" t="inlineStr">
        <is>
          <t>TOTAL OFFER VALUE — BASE</t>
        </is>
      </c>
      <c r="B27" s="120">
        <f>B12+B14+B18+B19+B22+B23</f>
        <v/>
      </c>
      <c r="C27" s="120">
        <f>C12+C14+C18+C19+C22+C23</f>
        <v/>
      </c>
      <c r="D27" s="120">
        <f>D12+D14+D18+D19+D22+D23</f>
        <v/>
      </c>
      <c r="E27" s="120">
        <f>E12+E14+E18+E19+E22+E23</f>
        <v/>
      </c>
      <c r="F27" s="120">
        <f>F12+F14+F18+F19+F22+F23</f>
        <v/>
      </c>
      <c r="G27" s="120">
        <f>SUM(B27:F27)</f>
        <v/>
      </c>
      <c r="H27" s="119" t="inlineStr">
        <is>
          <t>~$7.9M target</t>
        </is>
      </c>
    </row>
    <row r="28" ht="20" customHeight="1">
      <c r="A28" s="121" t="inlineStr">
        <is>
          <t>TOTAL OFFER VALUE — LOW  (no WC, no earn-outs, min stock)</t>
        </is>
      </c>
      <c r="B28" s="122">
        <f>B6+B7+B8+B9+B24</f>
        <v/>
      </c>
      <c r="C28" s="122">
        <f>C6+C7+C8+C9+C24</f>
        <v/>
      </c>
      <c r="D28" s="122">
        <f>D6+D7+D8+D9+D24</f>
        <v/>
      </c>
      <c r="E28" s="122">
        <f>E6+E7+E8+E9+E24</f>
        <v/>
      </c>
      <c r="F28" s="122">
        <f>F6+F7+F8+F9+F24</f>
        <v/>
      </c>
      <c r="G28" s="122">
        <f>SUM(B28:F28)</f>
        <v/>
      </c>
      <c r="H28" s="121" t="inlineStr">
        <is>
          <t>~$4.9M target</t>
        </is>
      </c>
    </row>
    <row r="29" ht="20" customHeight="1">
      <c r="A29" s="123" t="inlineStr">
        <is>
          <t>TOTAL OFFER VALUE — HIGH (all milestones + tank high + stock high)</t>
        </is>
      </c>
      <c r="B29" s="124">
        <f>B12+B16+B18+B19+B20+B21+B22+B25</f>
        <v/>
      </c>
      <c r="C29" s="124">
        <f>C12+C16+C18+C19+C20+C21+C22+C25</f>
        <v/>
      </c>
      <c r="D29" s="124">
        <f>D12+D16+D18+D19+D20+D21+D22+D25</f>
        <v/>
      </c>
      <c r="E29" s="124">
        <f>E12+E16+E18+E19+E20+E21+E22+E25</f>
        <v/>
      </c>
      <c r="F29" s="124">
        <f>F12+F16+F18+F19+F20+F21+F22+F25</f>
        <v/>
      </c>
      <c r="G29" s="124">
        <f>SUM(B29:F29)</f>
        <v/>
      </c>
      <c r="H29" s="123" t="inlineStr">
        <is>
          <t>~$10.0M target</t>
        </is>
      </c>
    </row>
    <row r="30">
      <c r="A30" s="125" t="inlineStr">
        <is>
          <t>Memo: Exos stock held to FY31 (NOT additive)</t>
        </is>
      </c>
      <c r="B30" s="125" t="n"/>
      <c r="C30" s="125" t="n"/>
      <c r="D30" s="125" t="n"/>
      <c r="E30" s="125" t="n"/>
      <c r="F30" s="125" t="n"/>
      <c r="G30" s="125" t="n"/>
      <c r="H30" s="125" t="inlineStr">
        <is>
          <t>16×EV/EBITDA v12; ~30% dilution; L$5.7M/B$8.5M/H$11.4M — mgmt assumption</t>
        </is>
      </c>
    </row>
    <row r="31">
      <c r="A31" s="10" t="n"/>
    </row>
    <row r="32"/>
    <row r="33">
      <c r="A33" s="12" t="n"/>
    </row>
    <row r="34" ht="32" customHeight="1">
      <c r="A34" s="68" t="n"/>
    </row>
    <row r="35" ht="22" customHeight="1">
      <c r="A35" s="69" t="n"/>
      <c r="B35" s="69" t="n"/>
      <c r="C35" s="69" t="n"/>
      <c r="D35" s="69" t="n"/>
      <c r="E35" s="69" t="n"/>
      <c r="F35" s="69" t="n"/>
      <c r="G35" s="69" t="n"/>
      <c r="H35" s="69" t="n"/>
    </row>
    <row r="36" ht="18" customHeight="1">
      <c r="A36" s="29" t="inlineStr">
        <is>
          <t>Old-Model — Low</t>
        </is>
      </c>
      <c r="B36" s="31">
        <f>Assumptions!B118</f>
        <v/>
      </c>
      <c r="C36" s="54">
        <f>Assumptions!B125</f>
        <v/>
      </c>
      <c r="D36" s="31">
        <f>B36*C36</f>
        <v/>
      </c>
      <c r="E36" s="31">
        <f>Assumptions!B28*Assumptions!B31</f>
        <v/>
      </c>
      <c r="F36" s="70">
        <f>D36/E36</f>
        <v/>
      </c>
      <c r="H36" s="71" t="inlineStr">
        <is>
          <t>0.5% grant x 0.70 = 0.35%; EV $1.626B</t>
        </is>
      </c>
    </row>
    <row r="37" ht="18" customHeight="1">
      <c r="A37" s="29" t="inlineStr">
        <is>
          <t>Old-Model — Base</t>
        </is>
      </c>
      <c r="B37" s="31">
        <f>Assumptions!B118</f>
        <v/>
      </c>
      <c r="C37" s="54">
        <f>Assumptions!B124</f>
        <v/>
      </c>
      <c r="D37" s="31">
        <f>B37*C37</f>
        <v/>
      </c>
      <c r="E37" s="31">
        <f>Assumptions!B29*Assumptions!B32</f>
        <v/>
      </c>
      <c r="F37" s="70">
        <f>D37/E37</f>
        <v/>
      </c>
      <c r="H37" s="71" t="inlineStr">
        <is>
          <t>0.75% grant x 0.70 = 0.525%; EV $1.626B (~4.6x listing)</t>
        </is>
      </c>
    </row>
    <row r="38" ht="18" customHeight="1">
      <c r="A38" s="29" t="inlineStr">
        <is>
          <t>Old-Model — High</t>
        </is>
      </c>
      <c r="B38" s="31">
        <f>Assumptions!B118</f>
        <v/>
      </c>
      <c r="C38" s="54">
        <f>Assumptions!B126</f>
        <v/>
      </c>
      <c r="D38" s="31">
        <f>B38*C38</f>
        <v/>
      </c>
      <c r="E38" s="31">
        <f>Assumptions!B30*Assumptions!B33</f>
        <v/>
      </c>
      <c r="F38" s="70">
        <f>D38/E38</f>
        <v/>
      </c>
      <c r="H38" s="71" t="inlineStr">
        <is>
          <t>1.0% grant x 0.70 = 0.70%; EV $1.626B</t>
        </is>
      </c>
    </row>
    <row r="39" ht="18" customHeight="1">
      <c r="A39" s="72" t="inlineStr">
        <is>
          <t>AA — Low</t>
        </is>
      </c>
      <c r="B39" s="31">
        <f>Assumptions!B120</f>
        <v/>
      </c>
      <c r="C39" s="54">
        <f>Assumptions!B125</f>
        <v/>
      </c>
      <c r="D39" s="31">
        <f>B39*C39</f>
        <v/>
      </c>
      <c r="E39" s="31">
        <f>Assumptions!B28*Assumptions!B31</f>
        <v/>
      </c>
      <c r="F39" s="70">
        <f>D39/E39</f>
        <v/>
      </c>
      <c r="H39" s="71" t="inlineStr">
        <is>
          <t>BELOW listing value — AA FY31 EV ~$176M &lt; $250M MEV</t>
        </is>
      </c>
    </row>
    <row r="40" ht="18" customHeight="1">
      <c r="A40" s="72" t="inlineStr">
        <is>
          <t>AA — Base</t>
        </is>
      </c>
      <c r="B40" s="31">
        <f>Assumptions!B120</f>
        <v/>
      </c>
      <c r="C40" s="54">
        <f>Assumptions!B124</f>
        <v/>
      </c>
      <c r="D40" s="31">
        <f>B40*C40</f>
        <v/>
      </c>
      <c r="E40" s="31">
        <f>Assumptions!B29*Assumptions!B32</f>
        <v/>
      </c>
      <c r="F40" s="70">
        <f>D40/E40</f>
        <v/>
      </c>
      <c r="H40" s="71" t="inlineStr">
        <is>
          <t>BELOW listing — ~$924K vs $1.875M at listing (~0.49x)</t>
        </is>
      </c>
    </row>
    <row r="41" ht="18" customHeight="1">
      <c r="A41" s="72" t="inlineStr">
        <is>
          <t>AA — High</t>
        </is>
      </c>
      <c r="B41" s="31">
        <f>Assumptions!B120</f>
        <v/>
      </c>
      <c r="C41" s="54">
        <f>Assumptions!B126</f>
        <v/>
      </c>
      <c r="D41" s="31">
        <f>B41*C41</f>
        <v/>
      </c>
      <c r="E41" s="31">
        <f>Assumptions!B30*Assumptions!B33</f>
        <v/>
      </c>
      <c r="F41" s="70">
        <f>D41/E41</f>
        <v/>
      </c>
      <c r="H41" s="71" t="inlineStr">
        <is>
          <t>BELOW listing — ~$1.23M vs $3.0M at listing (~0.41x)</t>
        </is>
      </c>
    </row>
    <row r="43" ht="42" customHeight="1">
      <c r="A43" s="73" t="inlineStr">
        <is>
          <t>NOTE: Y5 hold values are NOT additive to at-listing earn-out. Investors choose to hold OR sell at listing. Old-Model base: hold to FY31 = ~$8.54M vs sell at listing = $1.875M (4.6x). AA base: hold to FY31 = ~$0.92M vs sell at listing = $1.875M (0.49x) — AA case penalizes holding.</t>
        </is>
      </c>
    </row>
  </sheetData>
  <mergeCells count="4">
    <mergeCell ref="A1:H1"/>
    <mergeCell ref="A43:H43"/>
    <mergeCell ref="A2:H2"/>
    <mergeCell ref="A5:H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77" t="inlineStr">
        <is>
          <t>SSLC: WITH vs WITHOUT EXOS CAPITAL — 5-Year Growth Comparison</t>
        </is>
      </c>
    </row>
    <row r="2" ht="28" customHeight="1">
      <c r="A2" s="78" t="inlineStr">
        <is>
          <t>Prepared 2026-10-07  |  DRAFT — MANAGEMENT ASSUMPTIONS  |  INTERNAL — Exo/CEO only  |  Without-Exos trajectory derived from FY27 Q1 actual $713K run-rate; With-Exos uses v12 SSLC revenue drivers. All figures management assumptions unless labeled 'Actual'.</t>
        </is>
      </c>
    </row>
    <row r="4" ht="22" customHeight="1">
      <c r="A4" s="79" t="inlineStr">
        <is>
          <t>KEY FACT:  Reaching $5.1M in FY27 requires averaging $1.46M/quarter for Q2–Q4  ($5,100K − $713K Q1 actual ÷ 3 quarters = $1,462K/qtr)  —  approximately 2.05× the most recent quarter's $713K  —  starting immediately.  Without Exos capital to fund working capital and IM ramp, that doubling is not achievable on SSLC's $198K cash position.</t>
        </is>
      </c>
      <c r="B4" s="126" t="n"/>
      <c r="C4" s="126" t="n"/>
      <c r="D4" s="126" t="n"/>
      <c r="E4" s="126" t="n"/>
      <c r="F4" s="126" t="n"/>
      <c r="G4" s="126" t="n"/>
      <c r="H4" s="126" t="n"/>
      <c r="I4" s="126" t="n"/>
      <c r="J4" s="126" t="n"/>
      <c r="K4" s="126" t="n"/>
      <c r="L4" s="127" t="n"/>
    </row>
    <row r="5" ht="22" customHeight="1">
      <c r="A5" s="128" t="n"/>
      <c r="L5" s="129" t="n"/>
    </row>
    <row r="6" ht="22" customHeight="1">
      <c r="A6" s="130" t="n"/>
      <c r="B6" s="131" t="n"/>
      <c r="C6" s="131" t="n"/>
      <c r="D6" s="131" t="n"/>
      <c r="E6" s="131" t="n"/>
      <c r="F6" s="131" t="n"/>
      <c r="G6" s="131" t="n"/>
      <c r="H6" s="131" t="n"/>
      <c r="I6" s="131" t="n"/>
      <c r="J6" s="131" t="n"/>
      <c r="K6" s="131" t="n"/>
      <c r="L6" s="132" t="n"/>
    </row>
    <row r="8" ht="22" customHeight="1">
      <c r="A8" s="80" t="inlineStr">
        <is>
          <t>WITHOUT EXOS CAPITAL — Status-Quo Standalone Trajectory</t>
        </is>
      </c>
      <c r="H8" s="81" t="inlineStr">
        <is>
          <t>NARRATIVE — The Capital Gap Story</t>
        </is>
      </c>
    </row>
    <row r="9" ht="20" customHeight="1">
      <c r="A9" s="82" t="inlineStr">
        <is>
          <t>Constraints: Cash $198K | ~1 month burn | WC bridge $300–700K needed | FY26 op loss −$416K | He-tank rework unresolved | No capex | No IM ramp capital → growth capped by self-funded working capital</t>
        </is>
      </c>
      <c r="H9" s="83" t="inlineStr">
        <is>
          <t>Without Exos: Status-Quo Constraints</t>
        </is>
      </c>
    </row>
    <row r="10" ht="16" customHeight="1">
      <c r="A10" s="84" t="inlineStr"/>
      <c r="B10" s="84" t="inlineStr">
        <is>
          <t>FY27</t>
        </is>
      </c>
      <c r="C10" s="84" t="inlineStr">
        <is>
          <t>FY28</t>
        </is>
      </c>
      <c r="D10" s="84" t="inlineStr">
        <is>
          <t>FY29</t>
        </is>
      </c>
      <c r="E10" s="84" t="inlineStr">
        <is>
          <t>FY30</t>
        </is>
      </c>
      <c r="F10" s="84" t="inlineStr">
        <is>
          <t>FY31</t>
        </is>
      </c>
      <c r="H10" s="85" t="inlineStr">
        <is>
          <t xml:space="preserve">  Cash on hand (10/2/26):  $198K</t>
        </is>
      </c>
      <c r="I10" s="133" t="n"/>
      <c r="J10" s="133" t="n"/>
      <c r="K10" s="133" t="n"/>
      <c r="L10" s="134" t="n"/>
    </row>
    <row r="11" ht="16" customHeight="1">
      <c r="A11" s="86" t="inlineStr">
        <is>
          <t>SSLC Revenue (standalone)</t>
        </is>
      </c>
      <c r="B11" s="87" t="n">
        <v>2850000</v>
      </c>
      <c r="C11" s="87" t="n">
        <v>3136000</v>
      </c>
      <c r="D11" s="87" t="n">
        <v>3449000</v>
      </c>
      <c r="E11" s="87" t="n">
        <v>3794000</v>
      </c>
      <c r="F11" s="87" t="n">
        <v>4174000</v>
      </c>
      <c r="H11" s="85" t="inlineStr">
        <is>
          <t xml:space="preserve">  Working capital needed to maintain deliveries:  $300K–$700K</t>
        </is>
      </c>
      <c r="I11" s="133" t="n"/>
      <c r="J11" s="133" t="n"/>
      <c r="K11" s="133" t="n"/>
      <c r="L11" s="134" t="n"/>
    </row>
    <row r="12" ht="16" customHeight="1">
      <c r="A12" s="86" t="inlineStr">
        <is>
          <t xml:space="preserve">  YoY Revenue Growth</t>
        </is>
      </c>
      <c r="B12" s="88" t="n"/>
      <c r="C12" s="89" t="n">
        <v>0.1</v>
      </c>
      <c r="D12" s="88" t="n">
        <v>0.1</v>
      </c>
      <c r="E12" s="89" t="n">
        <v>0.1</v>
      </c>
      <c r="F12" s="88" t="n">
        <v>0.1</v>
      </c>
      <c r="H12" s="85" t="inlineStr">
        <is>
          <t xml:space="preserve">  FY26 operating loss:  −$416K</t>
        </is>
      </c>
      <c r="I12" s="133" t="n"/>
      <c r="J12" s="133" t="n"/>
      <c r="K12" s="133" t="n"/>
      <c r="L12" s="134" t="n"/>
    </row>
    <row r="13" ht="16" customHeight="1">
      <c r="A13" s="86" t="inlineStr">
        <is>
          <t>SSLC Est. EBITDA (standalone)</t>
        </is>
      </c>
      <c r="B13" s="90" t="n">
        <v>-416000</v>
      </c>
      <c r="C13" s="91" t="n">
        <v>-200000</v>
      </c>
      <c r="D13" s="92" t="n">
        <v>50000</v>
      </c>
      <c r="E13" s="93" t="n">
        <v>200000</v>
      </c>
      <c r="F13" s="92" t="n">
        <v>350000</v>
      </c>
      <c r="H13" s="85" t="inlineStr">
        <is>
          <t xml:space="preserve">  He-tank rework unresolved — no resolution path without new owner</t>
        </is>
      </c>
      <c r="I13" s="133" t="n"/>
      <c r="J13" s="133" t="n"/>
      <c r="K13" s="133" t="n"/>
      <c r="L13" s="134" t="n"/>
    </row>
    <row r="14" ht="16" customHeight="1">
      <c r="A14" s="86" t="inlineStr">
        <is>
          <t>Cumulative Revenue (FY27–year)</t>
        </is>
      </c>
      <c r="B14" s="92" t="n">
        <v>2850000</v>
      </c>
      <c r="C14" s="93" t="n">
        <v>5986000</v>
      </c>
      <c r="D14" s="92" t="n">
        <v>9435000</v>
      </c>
      <c r="E14" s="93" t="n">
        <v>13229000</v>
      </c>
      <c r="F14" s="92" t="n">
        <v>17403000</v>
      </c>
      <c r="H14" s="85" t="inlineStr">
        <is>
          <t xml:space="preserve">  No capex capacity → headcount/equipment frozen</t>
        </is>
      </c>
      <c r="I14" s="133" t="n"/>
      <c r="J14" s="133" t="n"/>
      <c r="K14" s="133" t="n"/>
      <c r="L14" s="134" t="n"/>
    </row>
    <row r="15" ht="16" customHeight="1">
      <c r="A15" s="94" t="inlineStr">
        <is>
          <t>⚠  Stall Risk: SSLC needs $300–700K in working capital to maintain delivery commitments. On $198K cash, a working-capital crunch could interrupt deliveries in Q2–Q3 FY27, reducing FY27 below the $2.85M run-rate. The 10% CAGR assumes the crunch is survived.</t>
        </is>
      </c>
      <c r="H15" s="85" t="inlineStr">
        <is>
          <t xml:space="preserve">  Growth capped by self-funded working capital</t>
        </is>
      </c>
      <c r="I15" s="133" t="n"/>
      <c r="J15" s="133" t="n"/>
      <c r="K15" s="133" t="n"/>
      <c r="L15" s="134" t="n"/>
    </row>
    <row r="16" ht="16" customHeight="1">
      <c r="H16" s="85" t="inlineStr">
        <is>
          <t xml:space="preserve">  FY27 achievable at run-rate:  ~$2.85M</t>
        </is>
      </c>
      <c r="I16" s="133" t="n"/>
      <c r="J16" s="133" t="n"/>
      <c r="K16" s="133" t="n"/>
      <c r="L16" s="134" t="n"/>
    </row>
    <row r="17" ht="16" customHeight="1">
      <c r="A17" s="95" t="inlineStr">
        <is>
          <t>WITH EXOS CAPITAL — v12 SSLC Revenue Trajectory (→ $54.7M by FY31)</t>
        </is>
      </c>
      <c r="H17" s="85" t="inlineStr">
        <is>
          <t xml:space="preserve">  FY31 best-case (10% CAGR, no stall):  ~$4.2M</t>
        </is>
      </c>
      <c r="I17" s="133" t="n"/>
      <c r="J17" s="133" t="n"/>
      <c r="K17" s="133" t="n"/>
      <c r="L17" s="134" t="n"/>
    </row>
    <row r="18" ht="16" customHeight="1">
      <c r="A18" s="96" t="inlineStr">
        <is>
          <t>Exos offer provides: Cash at close $2.51M | Debts paid at face | WC bridge ($300–700K) | Exos channel + IM ramp capex | v12 tank-unit/ASP ramp model. Figures: v12 Annual P&amp;L, recalculated 2026-10-07.</t>
        </is>
      </c>
      <c r="H18" s="85" t="inlineStr">
        <is>
          <t xml:space="preserve">  5-yr CAGR (status quo):  ~10.0%</t>
        </is>
      </c>
      <c r="I18" s="133" t="n"/>
      <c r="J18" s="133" t="n"/>
      <c r="K18" s="133" t="n"/>
      <c r="L18" s="134" t="n"/>
    </row>
    <row r="19" ht="18" customHeight="1">
      <c r="A19" s="84" t="inlineStr"/>
      <c r="B19" s="84" t="inlineStr">
        <is>
          <t>FY27</t>
        </is>
      </c>
      <c r="C19" s="84" t="inlineStr">
        <is>
          <t>FY28</t>
        </is>
      </c>
      <c r="D19" s="84" t="inlineStr">
        <is>
          <t>FY29</t>
        </is>
      </c>
      <c r="E19" s="84" t="inlineStr">
        <is>
          <t>FY30</t>
        </is>
      </c>
      <c r="F19" s="84" t="inlineStr">
        <is>
          <t>FY31</t>
        </is>
      </c>
    </row>
    <row r="20" ht="20" customHeight="1">
      <c r="A20" s="86" t="inlineStr">
        <is>
          <t>SSLC Revenue (with Exos, v12)</t>
        </is>
      </c>
      <c r="B20" s="97" t="n">
        <v>4120000</v>
      </c>
      <c r="C20" s="97" t="n">
        <v>8680000</v>
      </c>
      <c r="D20" s="97" t="n">
        <v>19220000</v>
      </c>
      <c r="E20" s="97" t="n">
        <v>33880000</v>
      </c>
      <c r="F20" s="97" t="n">
        <v>54690000</v>
      </c>
      <c r="H20" s="98" t="inlineStr">
        <is>
          <t>With Exos: What Capital Unlocks</t>
        </is>
      </c>
    </row>
    <row r="21" ht="16" customHeight="1">
      <c r="A21" s="86" t="inlineStr">
        <is>
          <t xml:space="preserve">  YoY Revenue Growth</t>
        </is>
      </c>
      <c r="B21" s="88" t="n"/>
      <c r="C21" s="89" t="n">
        <v>1.108</v>
      </c>
      <c r="D21" s="88" t="n">
        <v>1.214</v>
      </c>
      <c r="E21" s="89" t="n">
        <v>0.763</v>
      </c>
      <c r="F21" s="88" t="n">
        <v>0.614</v>
      </c>
      <c r="H21" s="85" t="inlineStr">
        <is>
          <t xml:space="preserve">  Cash at close:  $2.51M</t>
        </is>
      </c>
      <c r="I21" s="133" t="n"/>
      <c r="J21" s="133" t="n"/>
      <c r="K21" s="133" t="n"/>
      <c r="L21" s="134" t="n"/>
    </row>
    <row r="22" ht="16" customHeight="1">
      <c r="A22" s="86" t="inlineStr">
        <is>
          <t>SSLC Est. EBITDA (v12 drivers)</t>
        </is>
      </c>
      <c r="B22" s="92" t="n">
        <v>1278000</v>
      </c>
      <c r="C22" s="93" t="n">
        <v>4130000</v>
      </c>
      <c r="D22" s="92" t="n">
        <v>11821000</v>
      </c>
      <c r="E22" s="93" t="n">
        <v>21953000</v>
      </c>
      <c r="F22" s="92" t="n">
        <v>36379000</v>
      </c>
      <c r="H22" s="85" t="inlineStr">
        <is>
          <t xml:space="preserve">  SSLC debts paid at face (est. ~$500K TBV)</t>
        </is>
      </c>
      <c r="I22" s="133" t="n"/>
      <c r="J22" s="133" t="n"/>
      <c r="K22" s="133" t="n"/>
      <c r="L22" s="134" t="n"/>
    </row>
    <row r="23" ht="16" customHeight="1">
      <c r="A23" s="86" t="inlineStr">
        <is>
          <t>Cumulative Revenue (FY27–year)</t>
        </is>
      </c>
      <c r="B23" s="92" t="n">
        <v>4120000</v>
      </c>
      <c r="C23" s="93" t="n">
        <v>12800000</v>
      </c>
      <c r="D23" s="92" t="n">
        <v>32020000</v>
      </c>
      <c r="E23" s="93" t="n">
        <v>65900000</v>
      </c>
      <c r="F23" s="92" t="n">
        <v>120590000</v>
      </c>
      <c r="H23" s="85" t="inlineStr">
        <is>
          <t xml:space="preserve">  Prepaid-work delivery funded (cost $500K)</t>
        </is>
      </c>
      <c r="I23" s="133" t="n"/>
      <c r="J23" s="133" t="n"/>
      <c r="K23" s="133" t="n"/>
      <c r="L23" s="134" t="n"/>
    </row>
    <row r="24" ht="16" customHeight="1">
      <c r="H24" s="85" t="inlineStr">
        <is>
          <t xml:space="preserve">  WC bridge removes Q2–Q3 stall risk</t>
        </is>
      </c>
      <c r="I24" s="133" t="n"/>
      <c r="J24" s="133" t="n"/>
      <c r="K24" s="133" t="n"/>
      <c r="L24" s="134" t="n"/>
    </row>
    <row r="25" ht="16" customHeight="1">
      <c r="A25" s="81" t="inlineStr">
        <is>
          <t>GROWTH-RATE (CAGR) AND CUMULATIVE-GAP COMPARISON — FY27 to FY31</t>
        </is>
      </c>
      <c r="H25" s="85" t="inlineStr">
        <is>
          <t xml:space="preserve">  Exos procurement channel:  immediate BLK3 tank POs</t>
        </is>
      </c>
      <c r="I25" s="133" t="n"/>
      <c r="J25" s="133" t="n"/>
      <c r="K25" s="133" t="n"/>
      <c r="L25" s="134" t="n"/>
    </row>
    <row r="26" ht="16" customHeight="1">
      <c r="A26" s="84" t="inlineStr">
        <is>
          <t>Metric</t>
        </is>
      </c>
      <c r="B26" s="99" t="inlineStr">
        <is>
          <t>Without Exos Capital</t>
        </is>
      </c>
      <c r="C26" s="100" t="inlineStr">
        <is>
          <t>With Exos Capital</t>
        </is>
      </c>
      <c r="D26" s="99" t="inlineStr">
        <is>
          <t>Without Exos Capital</t>
        </is>
      </c>
      <c r="E26" s="100" t="inlineStr">
        <is>
          <t>With Exos Capital</t>
        </is>
      </c>
      <c r="H26" s="85" t="inlineStr">
        <is>
          <t xml:space="preserve">  Intuitive Machines ramp:  14–16 tanks firm FY27</t>
        </is>
      </c>
      <c r="I26" s="133" t="n"/>
      <c r="J26" s="133" t="n"/>
      <c r="K26" s="133" t="n"/>
      <c r="L26" s="134" t="n"/>
    </row>
    <row r="27" ht="16" customHeight="1">
      <c r="A27" s="101" t="inlineStr">
        <is>
          <t>FY27 SSLC Revenue</t>
        </is>
      </c>
      <c r="B27" s="102" t="n">
        <v>2850000</v>
      </c>
      <c r="C27" s="103" t="n">
        <v>4120000</v>
      </c>
      <c r="H27" s="85" t="inlineStr">
        <is>
          <t xml:space="preserve">  Capex for production scale-up enabled</t>
        </is>
      </c>
      <c r="I27" s="133" t="n"/>
      <c r="J27" s="133" t="n"/>
      <c r="K27" s="133" t="n"/>
      <c r="L27" s="134" t="n"/>
    </row>
    <row r="28" ht="16" customHeight="1">
      <c r="A28" s="101" t="inlineStr">
        <is>
          <t>FY31 SSLC Revenue</t>
        </is>
      </c>
      <c r="B28" s="102" t="n">
        <v>4174000</v>
      </c>
      <c r="C28" s="103" t="n">
        <v>54690000</v>
      </c>
      <c r="H28" s="85" t="inlineStr">
        <is>
          <t xml:space="preserve">  FY27 target (IM firm + ramp):  $4.1M–$5.5M</t>
        </is>
      </c>
      <c r="I28" s="133" t="n"/>
      <c r="J28" s="133" t="n"/>
      <c r="K28" s="133" t="n"/>
      <c r="L28" s="134" t="n"/>
    </row>
    <row r="29" ht="16" customHeight="1">
      <c r="A29" s="101" t="inlineStr">
        <is>
          <t>FY27–FY31 CAGR (SSLC Revenue)</t>
        </is>
      </c>
      <c r="B29" s="104" t="n">
        <v>0.1000866545812265</v>
      </c>
      <c r="C29" s="105" t="n">
        <v>0.9087659399397092</v>
      </c>
      <c r="H29" s="85" t="inlineStr">
        <is>
          <t xml:space="preserve">  FY31 (v12 trajectory):  $54.7M</t>
        </is>
      </c>
      <c r="I29" s="133" t="n"/>
      <c r="J29" s="133" t="n"/>
      <c r="K29" s="133" t="n"/>
      <c r="L29" s="134" t="n"/>
    </row>
    <row r="30" ht="16" customHeight="1">
      <c r="A30" s="101" t="inlineStr">
        <is>
          <t>Cumulative 5-yr SSLC Revenue</t>
        </is>
      </c>
      <c r="B30" s="102" t="n">
        <v>17403000</v>
      </c>
      <c r="C30" s="103" t="n">
        <v>120590000</v>
      </c>
      <c r="H30" s="85" t="inlineStr">
        <is>
          <t xml:space="preserve">  5-yr CAGR (with Exos, v12):  ~90.9%</t>
        </is>
      </c>
      <c r="I30" s="133" t="n"/>
      <c r="J30" s="133" t="n"/>
      <c r="K30" s="133" t="n"/>
      <c r="L30" s="134" t="n"/>
    </row>
    <row r="31">
      <c r="A31" s="101" t="inlineStr">
        <is>
          <t>Y5 Annual Revenue Gap (With − W/O)</t>
        </is>
      </c>
      <c r="B31" s="106" t="n"/>
      <c r="C31" s="103" t="n">
        <v>50516000</v>
      </c>
    </row>
    <row r="32" ht="20" customHeight="1">
      <c r="A32" s="101" t="inlineStr">
        <is>
          <t>Cumulative 5-yr Gap (With − W/O)</t>
        </is>
      </c>
      <c r="B32" s="106" t="n"/>
      <c r="C32" s="103" t="n">
        <v>103187000</v>
      </c>
      <c r="H32" s="107" t="inlineStr">
        <is>
          <t>The Doubling Requirement</t>
        </is>
      </c>
    </row>
    <row r="33" ht="16" customHeight="1">
      <c r="H33" s="85" t="inlineStr">
        <is>
          <t xml:space="preserve">  FY27 $5.1M target − Q1 $713K actual = $4,387K remaining</t>
        </is>
      </c>
      <c r="I33" s="133" t="n"/>
      <c r="J33" s="133" t="n"/>
      <c r="K33" s="133" t="n"/>
      <c r="L33" s="134" t="n"/>
    </row>
    <row r="34" ht="16" customHeight="1">
      <c r="H34" s="85" t="inlineStr">
        <is>
          <t xml:space="preserve">  Over 3 quarters (Q2–Q4) = $1,462K/qtr required</t>
        </is>
      </c>
      <c r="I34" s="133" t="n"/>
      <c r="J34" s="133" t="n"/>
      <c r="K34" s="133" t="n"/>
      <c r="L34" s="134" t="n"/>
    </row>
    <row r="35" ht="16" customHeight="1">
      <c r="H35" s="85" t="inlineStr">
        <is>
          <t xml:space="preserve">  vs. Q1 $713K actual = 2.05× immediate ramp</t>
        </is>
      </c>
      <c r="I35" s="133" t="n"/>
      <c r="J35" s="133" t="n"/>
      <c r="K35" s="133" t="n"/>
      <c r="L35" s="134" t="n"/>
    </row>
    <row r="36" ht="16" customHeight="1">
      <c r="H36" s="85" t="inlineStr">
        <is>
          <t xml:space="preserve">  Only funded if Exos capital bridges the working-capital gap</t>
        </is>
      </c>
      <c r="I36" s="133" t="n"/>
      <c r="J36" s="133" t="n"/>
      <c r="K36" s="133" t="n"/>
      <c r="L36" s="134" t="n"/>
    </row>
    <row r="37" ht="16" customHeight="1">
      <c r="H37" s="85" t="inlineStr">
        <is>
          <t xml:space="preserve">  Without capital → Q2–Q4 stays ≈ $713K/qtr = $2.85M FY27</t>
        </is>
      </c>
      <c r="I37" s="133" t="n"/>
      <c r="J37" s="133" t="n"/>
      <c r="K37" s="133" t="n"/>
      <c r="L37" s="134" t="n"/>
    </row>
    <row r="40" ht="28" customHeight="1">
      <c r="A40" s="108" t="inlineStr">
        <is>
          <t>Management Assumptions — all projections forward of FY27 Q1 actual ($713K) are management estimates, not independently audited. Without-Exos CAGR assumes no working-capital stall; stall scenarios produce lower figures. With-Exos CAGR uses v12 SSLC tank-unit/ASP/COGS drivers, not independently audited. DRAFT, 2026-10-07.</t>
        </is>
      </c>
    </row>
  </sheetData>
  <mergeCells count="38">
    <mergeCell ref="H30:L30"/>
    <mergeCell ref="H26:L26"/>
    <mergeCell ref="H29:L29"/>
    <mergeCell ref="H35:L35"/>
    <mergeCell ref="H20:L20"/>
    <mergeCell ref="H10:L10"/>
    <mergeCell ref="A18:F18"/>
    <mergeCell ref="H34:L34"/>
    <mergeCell ref="H9:L9"/>
    <mergeCell ref="A2:L2"/>
    <mergeCell ref="H25:L25"/>
    <mergeCell ref="H21:L21"/>
    <mergeCell ref="A8:F8"/>
    <mergeCell ref="H36:L36"/>
    <mergeCell ref="A17:F17"/>
    <mergeCell ref="H17:L17"/>
    <mergeCell ref="H11:L11"/>
    <mergeCell ref="H16:L16"/>
    <mergeCell ref="A9:F9"/>
    <mergeCell ref="H32:L32"/>
    <mergeCell ref="H28:L28"/>
    <mergeCell ref="A4:L6"/>
    <mergeCell ref="A40:L40"/>
    <mergeCell ref="H13:L13"/>
    <mergeCell ref="H37:L37"/>
    <mergeCell ref="H22:L22"/>
    <mergeCell ref="A15:F15"/>
    <mergeCell ref="H27:L27"/>
    <mergeCell ref="H12:L12"/>
    <mergeCell ref="H15:L15"/>
    <mergeCell ref="A1:L1"/>
    <mergeCell ref="H24:L24"/>
    <mergeCell ref="H18:L18"/>
    <mergeCell ref="H33:L33"/>
    <mergeCell ref="H14:L14"/>
    <mergeCell ref="H23:L23"/>
    <mergeCell ref="H8:L8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2026-10-07T20:51:46Z</dcterms:created>
  <dcterms:modified xmlns:dcterms="http://purl.org/dc/terms/" xmlns:xsi="http://www.w3.org/2001/XMLSchema-instance" xsi:type="dcterms:W3CDTF">2026-10-07T20:52:05Z</dcterms:modified>
</cp:coreProperties>
</file>