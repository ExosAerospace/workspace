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;($#,##0)"/>
    <numFmt numFmtId="167" formatCode="0.0x"/>
    <numFmt numFmtId="168" formatCode="0.00x"/>
  </numFmts>
  <fonts count="22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  <font>
      <i val="1"/>
      <color rgb="00C00000"/>
      <sz val="8"/>
    </font>
    <font>
      <i val="1"/>
      <color rgb="00444444"/>
      <sz val="8"/>
    </font>
    <font>
      <b val="1"/>
      <color rgb="00C00000"/>
      <sz val="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6" fillId="5" borderId="0" pivotButton="0" quotePrefix="0" xfId="0"/>
    <xf numFmtId="0" fontId="7" fillId="5" borderId="0" applyAlignment="1" pivotButton="0" quotePrefix="0" xfId="0">
      <alignment wrapText="1"/>
    </xf>
    <xf numFmtId="10" fontId="6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19" fillId="0" borderId="0" applyAlignment="1" pivotButton="0" quotePrefix="0" xfId="0">
      <alignment wrapText="1"/>
    </xf>
    <xf numFmtId="0" fontId="10" fillId="4" borderId="0" applyAlignment="1" pivotButton="0" quotePrefix="0" xfId="0">
      <alignment horizontal="center" wrapText="1"/>
    </xf>
    <xf numFmtId="168" fontId="0" fillId="0" borderId="0" pivotButton="0" quotePrefix="0" xfId="0"/>
    <xf numFmtId="0" fontId="20" fillId="0" borderId="0" pivotButton="0" quotePrefix="0" xfId="0"/>
    <xf numFmtId="0" fontId="11" fillId="6" borderId="0" pivotButton="0" quotePrefix="0" xfId="0"/>
    <xf numFmtId="0" fontId="21" fillId="6" borderId="0" applyAlignment="1" pivotButton="0" quotePrefix="0" xfId="0">
      <alignment wrapText="1"/>
    </xf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John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John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5</v>
      </c>
      <c r="C27" s="10" t="inlineStr">
        <is>
          <t>Management assumption — unverified; FY27–FY31</t>
        </is>
      </c>
    </row>
    <row r="28" ht="22" customHeight="1">
      <c r="A28" s="5" t="inlineStr">
        <is>
          <t>Earn-out ii — Exos stock % of FD shares (low, earn-out only)</t>
        </is>
      </c>
      <c r="B28" s="9" t="n">
        <v>0</v>
      </c>
      <c r="C28" s="10" t="inlineStr">
        <is>
          <t>0.0% earn-out; total = 1.0% EAI up-front + 0.0% = 1.0%</t>
        </is>
      </c>
    </row>
    <row r="29" ht="22" customHeight="1">
      <c r="A29" s="5" t="inlineStr">
        <is>
          <t>Earn-out ii — Exos stock % of FD shares (base, earn-out only)</t>
        </is>
      </c>
      <c r="B29" s="9" t="n">
        <v>0.0025</v>
      </c>
      <c r="C29" s="10" t="inlineStr">
        <is>
          <t>0.25% earn-out; total = 1.0% EAI up-front + 0.25% = 1.25%</t>
        </is>
      </c>
    </row>
    <row r="30" ht="22" customHeight="1">
      <c r="A30" s="5" t="inlineStr">
        <is>
          <t>Earn-out ii — Exos stock % of FD shares (high, earn-out only)</t>
        </is>
      </c>
      <c r="B30" s="9" t="n">
        <v>0.005</v>
      </c>
      <c r="C30" s="10" t="inlineStr">
        <is>
          <t>0.5% earn-out; total = 1.0% EAI up-front + 0.5% = 1.5%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(principals' terms)</t>
        </is>
      </c>
      <c r="B34" s="6" t="n">
        <v>12</v>
      </c>
      <c r="C34" s="10" t="inlineStr">
        <is>
          <t>Same lockup terms as Exos principals (modeled ~12 months)</t>
        </is>
      </c>
    </row>
    <row r="35" ht="22" customHeight="1">
      <c r="A35" s="5" t="inlineStr">
        <is>
          <t>EAI up-front equity — % FD shares at close</t>
        </is>
      </c>
      <c r="B35" s="9" t="n">
        <v>0.01</v>
      </c>
      <c r="C35" s="10" t="inlineStr">
        <is>
          <t>1.0% EAI units (Rule 504); committed at SSLC board acceptance; issued at financing close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(John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John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9" t="n">
        <v>0.236</v>
      </c>
      <c r="C43" s="7" t="inlineStr">
        <is>
          <t>23.6% per John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(John 10/2)</t>
        </is>
      </c>
    </row>
    <row r="45" ht="22" customHeight="1">
      <c r="A45" s="5" t="inlineStr">
        <is>
          <t>SSLC assumed COGS % (FY27+, actuals-anchored)</t>
        </is>
      </c>
      <c r="B45" s="9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9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9" t="n">
        <v>0.15</v>
      </c>
      <c r="C68" s="10" t="inlineStr">
        <is>
          <t>Management assumption</t>
        </is>
      </c>
    </row>
    <row r="70" ht="20" customHeight="1">
      <c r="A70" s="12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3" t="inlineStr">
        <is>
          <t>— v12 Scorpius tank ASP Y1 ($)</t>
        </is>
      </c>
      <c r="B72" s="14" t="n">
        <v>183000</v>
      </c>
      <c r="C72" s="15" t="inlineStr">
        <is>
          <t>Controls!B31 — confirmed in model</t>
        </is>
      </c>
    </row>
    <row r="73" ht="22" customHeight="1">
      <c r="A73" s="13" t="inlineStr">
        <is>
          <t>— v12 Scorpius tank ASP Y5 ($, approx)</t>
        </is>
      </c>
      <c r="B73" s="14" t="n">
        <v>536000</v>
      </c>
      <c r="C73" s="15" t="inlineStr">
        <is>
          <t>$183K × 1.50 × 1.25 × 1.25 × 1.25 ≈ $536K</t>
        </is>
      </c>
    </row>
    <row r="74" ht="22" customHeight="1">
      <c r="A74" s="13" t="inlineStr">
        <is>
          <t>— v12 Scorpius COGS Y1-Y2 (%)</t>
        </is>
      </c>
      <c r="B74" s="16" t="n">
        <v>0.35</v>
      </c>
      <c r="C74" s="15" t="inlineStr">
        <is>
          <t>Controls!B54 = 35%</t>
        </is>
      </c>
    </row>
    <row r="75" ht="22" customHeight="1">
      <c r="A75" s="13" t="inlineStr">
        <is>
          <t>— v12 Scorpius COGS Y3-Y5 (%)</t>
        </is>
      </c>
      <c r="B75" s="16" t="n">
        <v>0.3</v>
      </c>
      <c r="C75" s="15" t="inlineStr">
        <is>
          <t>Controls!E54 = 30%</t>
        </is>
      </c>
    </row>
    <row r="76" ht="22" customHeight="1">
      <c r="A76" s="13" t="inlineStr">
        <is>
          <t>— v12 SSLC/Scorpius revenue Y1 FY27 ($)</t>
        </is>
      </c>
      <c r="B76" s="14" t="n">
        <v>4120000</v>
      </c>
      <c r="C76" s="15" t="inlineStr">
        <is>
          <t>v12 Annual P&amp;L 'Revenue from Scorpius Space Tank Sales' Y1, recalculated 10/7</t>
        </is>
      </c>
    </row>
    <row r="77" ht="22" customHeight="1">
      <c r="A77" s="13" t="inlineStr">
        <is>
          <t>— v12 SSLC/Scorpius revenue Y2 FY28 ($)</t>
        </is>
      </c>
      <c r="B77" s="14" t="n">
        <v>8680000</v>
      </c>
      <c r="C77" s="15" t="inlineStr">
        <is>
          <t>v12 Annual P&amp;L Y2</t>
        </is>
      </c>
    </row>
    <row r="78" ht="22" customHeight="1">
      <c r="A78" s="13" t="inlineStr">
        <is>
          <t>— v12 SSLC/Scorpius revenue Y3 FY29 ($)</t>
        </is>
      </c>
      <c r="B78" s="14" t="n">
        <v>19220000</v>
      </c>
      <c r="C78" s="15" t="inlineStr">
        <is>
          <t>v12 Annual P&amp;L Y3</t>
        </is>
      </c>
    </row>
    <row r="79" ht="22" customHeight="1">
      <c r="A79" s="13" t="inlineStr">
        <is>
          <t>— v12 SSLC/Scorpius revenue Y4 FY30 ($)</t>
        </is>
      </c>
      <c r="B79" s="14" t="n">
        <v>33880000</v>
      </c>
      <c r="C79" s="15" t="inlineStr">
        <is>
          <t>v12 Annual P&amp;L Y4</t>
        </is>
      </c>
    </row>
    <row r="80" ht="22" customHeight="1">
      <c r="A80" s="13" t="inlineStr">
        <is>
          <t>— v12 SSLC/Scorpius revenue Y5 FY31 ($)</t>
        </is>
      </c>
      <c r="B80" s="14" t="n">
        <v>54690000</v>
      </c>
      <c r="C80" s="15" t="inlineStr">
        <is>
          <t>v12 Annual P&amp;L Y5</t>
        </is>
      </c>
    </row>
    <row r="81" ht="22" customHeight="1">
      <c r="A81" s="13" t="inlineStr">
        <is>
          <t>— v12 Total consolidated revenue Y1 ($)</t>
        </is>
      </c>
      <c r="B81" s="14" t="n">
        <v>8880000</v>
      </c>
      <c r="C81" s="15" t="inlineStr">
        <is>
          <t>v12 Annual P&amp;L 'Total Revenue' Y1</t>
        </is>
      </c>
    </row>
    <row r="82" ht="22" customHeight="1">
      <c r="A82" s="13" t="inlineStr">
        <is>
          <t>— v12 Total consolidated revenue Y2 ($)</t>
        </is>
      </c>
      <c r="B82" s="14" t="n">
        <v>21350000</v>
      </c>
      <c r="C82" s="15" t="inlineStr">
        <is>
          <t>v12 Annual P&amp;L Y2</t>
        </is>
      </c>
    </row>
    <row r="83" ht="22" customHeight="1">
      <c r="A83" s="13" t="inlineStr">
        <is>
          <t>— v12 Total consolidated revenue Y3 ($)</t>
        </is>
      </c>
      <c r="B83" s="14" t="n">
        <v>48590000</v>
      </c>
      <c r="C83" s="15" t="inlineStr">
        <is>
          <t>v12 Annual P&amp;L Y3</t>
        </is>
      </c>
    </row>
    <row r="84" ht="22" customHeight="1">
      <c r="A84" s="13" t="inlineStr">
        <is>
          <t>— v12 Total consolidated revenue Y4 ($)</t>
        </is>
      </c>
      <c r="B84" s="14" t="n">
        <v>95920000</v>
      </c>
      <c r="C84" s="15" t="inlineStr">
        <is>
          <t>v12 Annual P&amp;L Y4</t>
        </is>
      </c>
    </row>
    <row r="85" ht="22" customHeight="1">
      <c r="A85" s="13" t="inlineStr">
        <is>
          <t>— v12 Total consolidated revenue Y5 ($)</t>
        </is>
      </c>
      <c r="B85" s="14" t="n">
        <v>179190000</v>
      </c>
      <c r="C85" s="15" t="inlineStr">
        <is>
          <t>v12 Annual P&amp;L Y5</t>
        </is>
      </c>
    </row>
    <row r="86" ht="22" customHeight="1">
      <c r="A86" s="13" t="inlineStr">
        <is>
          <t>— v12 Exos standalone revenue Y1 ($)</t>
        </is>
      </c>
      <c r="B86" s="14">
        <f>B81-B76</f>
        <v/>
      </c>
      <c r="C86" s="15" t="inlineStr">
        <is>
          <t>Derived: v12 total − Scorpius</t>
        </is>
      </c>
    </row>
    <row r="87" ht="22" customHeight="1">
      <c r="A87" s="13" t="inlineStr">
        <is>
          <t>— v12 Exos standalone revenue Y2 ($)</t>
        </is>
      </c>
      <c r="B87" s="14">
        <f>B82-B77</f>
        <v/>
      </c>
      <c r="C87" s="15" t="inlineStr">
        <is>
          <t>Derived</t>
        </is>
      </c>
    </row>
    <row r="88" ht="22" customHeight="1">
      <c r="A88" s="13" t="inlineStr">
        <is>
          <t>— v12 Exos standalone revenue Y3 ($)</t>
        </is>
      </c>
      <c r="B88" s="14">
        <f>B83-B78</f>
        <v/>
      </c>
      <c r="C88" s="15" t="inlineStr">
        <is>
          <t>Derived</t>
        </is>
      </c>
    </row>
    <row r="89" ht="22" customHeight="1">
      <c r="A89" s="13" t="inlineStr">
        <is>
          <t>— v12 Exos standalone revenue Y4 ($)</t>
        </is>
      </c>
      <c r="B89" s="14">
        <f>B84-B79</f>
        <v/>
      </c>
      <c r="C89" s="15" t="inlineStr">
        <is>
          <t>Derived</t>
        </is>
      </c>
    </row>
    <row r="90" ht="22" customHeight="1">
      <c r="A90" s="13" t="inlineStr">
        <is>
          <t>— v12 Exos standalone revenue Y5 ($)</t>
        </is>
      </c>
      <c r="B90" s="14">
        <f>B85-B80</f>
        <v/>
      </c>
      <c r="C90" s="15" t="inlineStr">
        <is>
          <t>Derived</t>
        </is>
      </c>
    </row>
    <row r="91" ht="22" customHeight="1">
      <c r="A91" s="13" t="inlineStr">
        <is>
          <t>— v12 Total EBITDA Y1 ($)</t>
        </is>
      </c>
      <c r="B91" s="14" t="n">
        <v>1120000</v>
      </c>
      <c r="C91" s="15" t="inlineStr">
        <is>
          <t>v12 Annual P&amp;L 'EBITDA' Y1, recalculated 10/7</t>
        </is>
      </c>
    </row>
    <row r="92" ht="22" customHeight="1">
      <c r="A92" s="13" t="inlineStr">
        <is>
          <t>— v12 Total EBITDA Y2 ($)</t>
        </is>
      </c>
      <c r="B92" s="14" t="n">
        <v>4120000</v>
      </c>
      <c r="C92" s="15" t="inlineStr">
        <is>
          <t>v12 Annual P&amp;L Y2</t>
        </is>
      </c>
    </row>
    <row r="93" ht="22" customHeight="1">
      <c r="A93" s="13" t="inlineStr">
        <is>
          <t>— v12 Total EBITDA Y3 ($)</t>
        </is>
      </c>
      <c r="B93" s="14" t="n">
        <v>17240000</v>
      </c>
      <c r="C93" s="15" t="inlineStr">
        <is>
          <t>v12 Annual P&amp;L Y3</t>
        </is>
      </c>
    </row>
    <row r="94" ht="22" customHeight="1">
      <c r="A94" s="13" t="inlineStr">
        <is>
          <t>— v12 Total EBITDA Y4 ($)</t>
        </is>
      </c>
      <c r="B94" s="14" t="n">
        <v>42160000</v>
      </c>
      <c r="C94" s="15" t="inlineStr">
        <is>
          <t>v12 Annual P&amp;L Y4</t>
        </is>
      </c>
    </row>
    <row r="95" ht="22" customHeight="1">
      <c r="A95" s="13" t="inlineStr">
        <is>
          <t>— v12 Total EBITDA Y5 ($)</t>
        </is>
      </c>
      <c r="B95" s="14" t="n">
        <v>101610000</v>
      </c>
      <c r="C95" s="15" t="inlineStr">
        <is>
          <t>v12 Annual P&amp;L Y5</t>
        </is>
      </c>
    </row>
    <row r="97" ht="52" customHeight="1">
      <c r="A97" s="17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  <row r="105" ht="20" customHeight="1">
      <c r="A105" s="4" t="inlineStr">
        <is>
          <t>BENEFITS TO SSLC INVESTORS (John 10/7)</t>
        </is>
      </c>
    </row>
    <row r="106" ht="20" customHeight="1">
      <c r="A106" s="5" t="inlineStr">
        <is>
          <t>1. Debt relief at face</t>
        </is>
      </c>
      <c r="B106" s="5" t="inlineStr">
        <is>
          <t>~$500K TBV</t>
        </is>
      </c>
      <c r="C106" s="7" t="inlineStr">
        <is>
          <t>Microcosm/Wertz notes + AP paid; personal path for Jim</t>
        </is>
      </c>
    </row>
    <row r="107" ht="20" customHeight="1">
      <c r="A107" s="5" t="inlineStr">
        <is>
          <t>2. No further capital calls</t>
        </is>
      </c>
      <c r="B107" s="5" t="inlineStr">
        <is>
          <t>Structural</t>
        </is>
      </c>
      <c r="C107" s="7" t="inlineStr">
        <is>
          <t>Investors stop funding a cash-negative entity</t>
        </is>
      </c>
    </row>
    <row r="108" ht="20" customHeight="1">
      <c r="A108" s="5" t="inlineStr">
        <is>
          <t>3. Cash at close</t>
        </is>
      </c>
      <c r="B108" s="5" t="inlineStr">
        <is>
          <t>$2,510,000</t>
        </is>
      </c>
      <c r="C108" s="7" t="inlineStr">
        <is>
          <t>Section 3 deal price cash component</t>
        </is>
      </c>
    </row>
    <row r="109" ht="20" customHeight="1">
      <c r="A109" s="5" t="inlineStr">
        <is>
          <t>4. Earn-out upside — IM tank revenue (5 yrs, FY27–FY31)</t>
        </is>
      </c>
      <c r="B109" s="5" t="inlineStr">
        <is>
          <t>Up to $1.5M</t>
        </is>
      </c>
      <c r="C109" s="7" t="inlineStr">
        <is>
          <t>5%/yr x $5M IM firm; $300K cap; 5-year term</t>
        </is>
      </c>
    </row>
    <row r="110" ht="20" customHeight="1">
      <c r="A110" s="5" t="inlineStr">
        <is>
          <t>5. Milestone earn-outs (up to 5 goals)</t>
        </is>
      </c>
      <c r="B110" s="5" t="inlineStr">
        <is>
          <t>Up to $1.1M</t>
        </is>
      </c>
      <c r="C110" s="7" t="inlineStr">
        <is>
          <t>Goal-based: $5.1M rev, OTV contract, $10M/$20M rev, BLK3 qual</t>
        </is>
      </c>
    </row>
    <row r="111" ht="20" customHeight="1">
      <c r="A111" s="5" t="inlineStr">
        <is>
          <t>6. Up-front EAI equity + stock earn-out upside</t>
        </is>
      </c>
      <c r="B111" s="5" t="inlineStr">
        <is>
          <t>$1,697K + $0–$848K</t>
        </is>
      </c>
      <c r="C111" s="7" t="inlineStr">
        <is>
          <t>1.0% EAI (Rule 504) at close; 0.0–0.5% earn-out at listing ($200M–$300M)</t>
        </is>
      </c>
    </row>
    <row r="112" ht="20" customHeight="1">
      <c r="A112" s="5" t="inlineStr">
        <is>
          <t>7. Liquidity via listed Exos stock</t>
        </is>
      </c>
      <c r="B112" s="5" t="inlineStr">
        <is>
          <t>Post-RTO ~FY28</t>
        </is>
      </c>
      <c r="C112" s="7" t="inlineStr">
        <is>
          <t>Principals' lockup terms; publicly tradeable thereafter</t>
        </is>
      </c>
    </row>
    <row r="113" ht="20" customHeight="1">
      <c r="A113" s="5" t="inlineStr">
        <is>
          <t>8. IM program continuity</t>
        </is>
      </c>
      <c r="B113" s="5" t="inlineStr">
        <is>
          <t>Operational</t>
        </is>
      </c>
      <c r="C113" s="7" t="inlineStr">
        <is>
          <t>No customer disruption; Exos-SSLC entity delivers</t>
        </is>
      </c>
    </row>
    <row r="115" ht="20" customHeight="1">
      <c r="A115" s="12" t="inlineStr">
        <is>
          <t>HOLD TO YEAR 5 — ASSUMPTIONS (John 10/7)</t>
        </is>
      </c>
    </row>
    <row r="116" ht="28" customHeight="1">
      <c r="A116" s="13" t="inlineStr">
        <is>
          <t>EV/EBITDA multiple (Market Approach, Eqvista 409A 3/31/2026)</t>
        </is>
      </c>
      <c r="B116" s="18" t="n">
        <v>16</v>
      </c>
      <c r="C116" s="19" t="inlineStr">
        <is>
          <t>EV/EBITDA 16x — Eqvista 409A; Market Approach</t>
        </is>
      </c>
    </row>
    <row r="117" ht="28" customHeight="1">
      <c r="A117" s="13" t="inlineStr">
        <is>
          <t>Old-Model (v12) FY31 EBITDA ($)</t>
        </is>
      </c>
      <c r="B117" s="14" t="n">
        <v>101610000</v>
      </c>
      <c r="C117" s="19" t="inlineStr">
        <is>
          <t>v12 Annual P&amp;L Y5 total EBITDA; recalculated 10/7</t>
        </is>
      </c>
    </row>
    <row r="118" ht="28" customHeight="1">
      <c r="A118" s="13" t="inlineStr">
        <is>
          <t>Old-Model FY31 implied EV ($)</t>
        </is>
      </c>
      <c r="B118" s="14">
        <f>B117*B116</f>
        <v/>
      </c>
      <c r="C118" s="19" t="inlineStr">
        <is>
          <t>FY31 EBITDA x 16x = ~$1.626B</t>
        </is>
      </c>
    </row>
    <row r="119" ht="28" customHeight="1">
      <c r="A119" s="13" t="inlineStr">
        <is>
          <t>Actuals-Anchored FY31 EBITDA (est.) ($)</t>
        </is>
      </c>
      <c r="B119" s="14" t="n">
        <v>11000000</v>
      </c>
      <c r="C119" s="19" t="inlineStr">
        <is>
          <t>AA consolidated FY31 (SSLC ~$6.0M + Exos $5.0M); derived from PL sheet</t>
        </is>
      </c>
    </row>
    <row r="120" ht="28" customHeight="1">
      <c r="A120" s="13" t="inlineStr">
        <is>
          <t>Actuals-Anchored FY31 implied EV ($)</t>
        </is>
      </c>
      <c r="B120" s="14">
        <f>B119*B116</f>
        <v/>
      </c>
      <c r="C120" s="19" t="inlineStr">
        <is>
          <t>~$176M — BELOW $250M RTO listing value; see warning row 136</t>
        </is>
      </c>
    </row>
    <row r="121" ht="28" customHeight="1">
      <c r="A121" s="13" t="inlineStr">
        <is>
          <t>SSLC TOTAL stock stake at listing (base = 1.0% EAI + 0.25% earn-out)</t>
        </is>
      </c>
      <c r="B121" s="20">
        <f>B35+B29</f>
        <v/>
      </c>
      <c r="C121" s="19" t="inlineStr">
        <is>
          <t>Total stake base = 1.0% up-front EAI (Rule 504) + 0.25% earn-out = 1.25% FD</t>
        </is>
      </c>
    </row>
    <row r="122" ht="28" customHeight="1">
      <c r="A122" s="13" t="inlineStr">
        <is>
          <t>Post-listing dilution assumption (flat, mgmt)</t>
        </is>
      </c>
      <c r="B122" s="20" t="n">
        <v>0.3</v>
      </c>
      <c r="C122" s="19" t="inlineStr">
        <is>
          <t>MANAGEMENT ASSUMPTION: Series A $25M staged (D1-D4, ~13%) + RTO issuance (~12%) + option pool (~5%) = ~30% dilution total</t>
        </is>
      </c>
    </row>
    <row r="123" ht="28" customHeight="1">
      <c r="A123" s="13" t="inlineStr">
        <is>
          <t>Dilution factor (1 minus dilution)</t>
        </is>
      </c>
      <c r="B123" s="20">
        <f>1-B122</f>
        <v/>
      </c>
      <c r="C123" s="19" t="inlineStr">
        <is>
          <t>0.70</t>
        </is>
      </c>
    </row>
    <row r="124" ht="28" customHeight="1">
      <c r="A124" s="13" t="inlineStr">
        <is>
          <t>SSLC stake FY31 — base post-dilution (total 0.75%)</t>
        </is>
      </c>
      <c r="B124" s="20">
        <f>B121*B123</f>
        <v/>
      </c>
      <c r="C124" s="19" t="inlineStr">
        <is>
          <t>0.75% x 0.70 = 0.525%</t>
        </is>
      </c>
    </row>
    <row r="125" ht="28" customHeight="1">
      <c r="A125" s="13" t="inlineStr">
        <is>
          <t>SSLC stake FY31 — low post-dilution (total 1.0% EAI only)</t>
        </is>
      </c>
      <c r="B125" s="20">
        <f>(B35+B28)*(1-B122)</f>
        <v/>
      </c>
      <c r="C125" s="19" t="inlineStr">
        <is>
          <t>1.0%+0.0% = 1.0% x 0.70 = 0.70%</t>
        </is>
      </c>
    </row>
    <row r="126" ht="28" customHeight="1">
      <c r="A126" s="13" t="inlineStr">
        <is>
          <t>SSLC stake FY31 — high post-dilution (total 1.5%)</t>
        </is>
      </c>
      <c r="B126" s="20">
        <f>(B35+B30)*(1-B122)</f>
        <v/>
      </c>
      <c r="C126" s="19" t="inlineStr">
        <is>
          <t>(1.0%+0.5%) = 1.5% x 0.70 = 1.05%</t>
        </is>
      </c>
    </row>
    <row r="127" ht="28" customHeight="1">
      <c r="A127" s="13" t="inlineStr">
        <is>
          <t>Old-Model FY31 share value — low ($)</t>
        </is>
      </c>
      <c r="B127" s="20">
        <f>B118*B125</f>
        <v/>
      </c>
      <c r="C127" s="19" t="inlineStr">
        <is>
          <t>~$5.69M</t>
        </is>
      </c>
    </row>
    <row r="128" ht="28" customHeight="1">
      <c r="A128" s="13" t="inlineStr">
        <is>
          <t>Old-Model FY31 share value — base ($)</t>
        </is>
      </c>
      <c r="B128" s="20">
        <f>B118*B124</f>
        <v/>
      </c>
      <c r="C128" s="19" t="inlineStr">
        <is>
          <t>~$8.54M</t>
        </is>
      </c>
    </row>
    <row r="129" ht="28" customHeight="1">
      <c r="A129" s="13" t="inlineStr">
        <is>
          <t>Old-Model FY31 share value — high ($)</t>
        </is>
      </c>
      <c r="B129" s="20">
        <f>B118*B126</f>
        <v/>
      </c>
      <c r="C129" s="19" t="inlineStr">
        <is>
          <t>~$11.38M</t>
        </is>
      </c>
    </row>
    <row r="130" ht="28" customHeight="1">
      <c r="A130" s="13" t="inlineStr">
        <is>
          <t>AA FY31 share value — low ($)</t>
        </is>
      </c>
      <c r="B130" s="20">
        <f>B120*B125</f>
        <v/>
      </c>
      <c r="C130" s="19" t="inlineStr">
        <is>
          <t>~$616K</t>
        </is>
      </c>
    </row>
    <row r="131" ht="28" customHeight="1">
      <c r="A131" s="13" t="inlineStr">
        <is>
          <t>AA FY31 share value — base ($)</t>
        </is>
      </c>
      <c r="B131" s="20">
        <f>B120*B124</f>
        <v/>
      </c>
      <c r="C131" s="19" t="inlineStr">
        <is>
          <t>~$924K</t>
        </is>
      </c>
    </row>
    <row r="132" ht="28" customHeight="1">
      <c r="A132" s="13" t="inlineStr">
        <is>
          <t>AA FY31 share value — high ($)</t>
        </is>
      </c>
      <c r="B132" s="20">
        <f>B120*B126</f>
        <v/>
      </c>
      <c r="C132" s="19" t="inlineStr">
        <is>
          <t>~$1.23M</t>
        </is>
      </c>
    </row>
    <row r="133" ht="28" customHeight="1">
      <c r="A133" s="13" t="inlineStr">
        <is>
          <t>Multiple v earn-out at-listing — Old-Model base</t>
        </is>
      </c>
      <c r="B133" s="20">
        <f>B128/(Assumptions!B29*Assumptions!B32)</f>
        <v/>
      </c>
      <c r="C133" s="19" t="inlineStr">
        <is>
          <t>Compares FY31 hold value to earn-out-only at-listing ($625K); multiple reflects earn-out upside only</t>
        </is>
      </c>
    </row>
    <row r="134" ht="28" customHeight="1">
      <c r="A134" s="13" t="inlineStr">
        <is>
          <t>Multiple v earn-out at-listing — AA base</t>
        </is>
      </c>
      <c r="B134" s="20">
        <f>B131/(Assumptions!B29*Assumptions!B32)</f>
        <v/>
      </c>
      <c r="C134" s="19" t="inlineStr">
        <is>
          <t>AA FY31 EV BELOW listing; stock worth less by FY31 in AA case (earn-out portion only)</t>
        </is>
      </c>
    </row>
    <row r="136" ht="42" customHeight="1">
      <c r="A136" s="17" t="inlineStr">
        <is>
          <t>WARNING: AA CASE Y5 HOLD — Actuals-Anchored FY31 EV (~$176M) is BELOW the $250M RTO listing value. In the AA case, holding to FY31 yields LESS than the at-listing earn-out. This reflects conservative actuals-based projections, not a flaw in the deal. Old-Model (v12) FY31 EV ~$1.63B yields ~4.6x the at-listing stock value.</t>
        </is>
      </c>
    </row>
  </sheetData>
  <mergeCells count="12">
    <mergeCell ref="A115:C115"/>
    <mergeCell ref="A36:C36"/>
    <mergeCell ref="A71:C71"/>
    <mergeCell ref="A1:C1"/>
    <mergeCell ref="A5:C5"/>
    <mergeCell ref="A22:C22"/>
    <mergeCell ref="A97:C97"/>
    <mergeCell ref="A56:C56"/>
    <mergeCell ref="A70:C70"/>
    <mergeCell ref="A136:C136"/>
    <mergeCell ref="A105:C10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21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22" t="inlineStr">
        <is>
          <t>SOURCES &amp; USES AT CLOSE</t>
        </is>
      </c>
    </row>
    <row r="5">
      <c r="A5" s="23" t="inlineStr">
        <is>
          <t>Line Item</t>
        </is>
      </c>
      <c r="B5" s="23" t="inlineStr">
        <is>
          <t>Amount ($)</t>
        </is>
      </c>
      <c r="C5" s="23" t="inlineStr"/>
      <c r="D5" s="23" t="inlineStr"/>
      <c r="E5" s="23" t="inlineStr">
        <is>
          <t>Notes</t>
        </is>
      </c>
    </row>
    <row r="6" ht="18" customHeight="1">
      <c r="A6" s="2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5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5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5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5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5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5">
        <f>Assumptions!B13</f>
        <v/>
      </c>
      <c r="E12" s="10" t="inlineStr">
        <is>
          <t>Released at 12-month anniversary</t>
        </is>
      </c>
    </row>
    <row r="13" ht="18" customHeight="1">
      <c r="A13" s="26" t="inlineStr">
        <is>
          <t>TOTAL USES</t>
        </is>
      </c>
      <c r="B13" s="27">
        <f>SUM(B7:B12)</f>
        <v/>
      </c>
      <c r="C13" s="26" t="n"/>
      <c r="D13" s="26" t="n"/>
      <c r="E13" s="26" t="inlineStr">
        <is>
          <t>Net cash out-of-pocket at close + escrow</t>
        </is>
      </c>
    </row>
    <row r="14" ht="18" customHeight="1">
      <c r="A14" t="inlineStr"/>
      <c r="E14" s="10" t="inlineStr"/>
    </row>
    <row r="15" ht="18" customHeight="1">
      <c r="A15" s="2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5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5">
        <f>Assumptions!B12</f>
        <v/>
      </c>
      <c r="E17" s="10" t="inlineStr">
        <is>
          <t>Existing 18% stake reduces cash required</t>
        </is>
      </c>
    </row>
    <row r="18" ht="18" customHeight="1">
      <c r="A18" s="26" t="inlineStr">
        <is>
          <t>TOTAL SOURCES</t>
        </is>
      </c>
      <c r="B18" s="27">
        <f>B16+B17</f>
        <v/>
      </c>
      <c r="C18" s="26" t="n"/>
      <c r="D18" s="26" t="n"/>
      <c r="E18" s="26" t="inlineStr"/>
    </row>
    <row r="19" ht="18" customHeight="1">
      <c r="A19" s="26" t="inlineStr">
        <is>
          <t>Check (Sources − Uses)</t>
        </is>
      </c>
      <c r="B19" s="27">
        <f>B18-B13</f>
        <v/>
      </c>
      <c r="C19" s="26" t="n"/>
      <c r="D19" s="26" t="n"/>
      <c r="E19" s="26" t="inlineStr">
        <is>
          <t>Should = 0; debt payoff from SSLC operating cash</t>
        </is>
      </c>
    </row>
    <row r="21" ht="20" customHeight="1">
      <c r="A21" s="22" t="inlineStr">
        <is>
          <t>EARN-OUT MECHANICS (two variants shown side by side; combined option in Col D)</t>
        </is>
      </c>
    </row>
    <row r="22">
      <c r="A22" s="28" t="inlineStr">
        <is>
          <t>Metric</t>
        </is>
      </c>
      <c r="B22" s="28" t="inlineStr">
        <is>
          <t>Earn-Out i: IM Tank Revenue %</t>
        </is>
      </c>
      <c r="C22" s="28" t="inlineStr">
        <is>
          <t>Earn-Out ii: Exos Stock post-RTO</t>
        </is>
      </c>
      <c r="D22" s="28" t="inlineStr">
        <is>
          <t>Combined (i + ii)</t>
        </is>
      </c>
      <c r="E22" s="28" t="inlineStr">
        <is>
          <t>Notes</t>
        </is>
      </c>
    </row>
    <row r="23" ht="28" customHeight="1">
      <c r="A23" s="29" t="inlineStr">
        <is>
          <t>Structure</t>
        </is>
      </c>
      <c r="B23" s="29" t="inlineStr">
        <is>
          <t>% of SSLC IM tank revenue, annual cap, 5-year term (FY27–FY31)</t>
        </is>
      </c>
      <c r="C23" s="29" t="inlineStr">
        <is>
          <t>Exos common stock at listing (% of FD shares); principals' lockup</t>
        </is>
      </c>
      <c r="D23" s="29" t="inlineStr">
        <is>
          <t>Both i + ii + milestone earn-outs</t>
        </is>
      </c>
      <c r="E23" s="10" t="inlineStr">
        <is>
          <t>Gives SSLC sellers upside from IM growth AND Exos growth AND milestones</t>
        </is>
      </c>
    </row>
    <row r="24" ht="28" customHeight="1">
      <c r="A24" s="29" t="inlineStr">
        <is>
          <t>Low scenario</t>
        </is>
      </c>
      <c r="B24" s="30">
        <f>MIN(Assumptions!B23*Assumptions!B44,Assumptions!B26)*Assumptions!B27</f>
        <v/>
      </c>
      <c r="C24" s="30">
        <f>Assumptions!B28*Assumptions!B31</f>
        <v/>
      </c>
      <c r="D24" s="30">
        <f>D24+C24</f>
        <v/>
      </c>
      <c r="E24" s="10" t="inlineStr">
        <is>
          <t>Low: 3% tank rev (cap $300K) × 5yr + 0.0% earn-out stock (1.0% EAI up-front only, Rule 504) + milestone 1 only</t>
        </is>
      </c>
    </row>
    <row r="25" ht="28" customHeight="1">
      <c r="A25" s="29" t="inlineStr">
        <is>
          <t>Base scenario</t>
        </is>
      </c>
      <c r="B25" s="30">
        <f>MIN(Assumptions!B24*Assumptions!B44,Assumptions!B26)*Assumptions!B27</f>
        <v/>
      </c>
      <c r="C25" s="30">
        <f>Assumptions!B29*Assumptions!B32</f>
        <v/>
      </c>
      <c r="D25" s="30">
        <f>B25+C25</f>
        <v/>
      </c>
      <c r="E25" s="10" t="inlineStr">
        <is>
          <t>Base: 5% × $5M firm × 5yr + 0.25% earn-out of $250M listing ($625K) + milestones 1-3</t>
        </is>
      </c>
    </row>
    <row r="26" ht="28" customHeight="1">
      <c r="A26" s="29" t="inlineStr">
        <is>
          <t>High scenario</t>
        </is>
      </c>
      <c r="B26" s="30">
        <f>MIN(Assumptions!B25*Assumptions!B44,Assumptions!B26)*Assumptions!B27</f>
        <v/>
      </c>
      <c r="C26" s="30">
        <f>Assumptions!B30*Assumptions!B33</f>
        <v/>
      </c>
      <c r="D26" s="30">
        <f>B26+C26</f>
        <v/>
      </c>
      <c r="E26" s="10" t="inlineStr">
        <is>
          <t>High: 7% × $5M (cap $300K) × 5yr + 0.5% earn-out of $300M listing + all 5 milestones → ~$9.3M</t>
        </is>
      </c>
    </row>
    <row r="27" ht="28" customHeight="1">
      <c r="A27" s="29" t="inlineStr">
        <is>
          <t>Exos dilution (stock earn-out, base)</t>
        </is>
      </c>
      <c r="B27" s="29" t="inlineStr">
        <is>
          <t>n/a</t>
        </is>
      </c>
      <c r="C27" s="30">
        <f>Assumptions!B29</f>
        <v/>
      </c>
      <c r="D27" s="30">
        <f>Assumptions!B29</f>
        <v/>
      </c>
      <c r="E27" s="10" t="inlineStr">
        <is>
          <t>0.25% earn-out FD shares (plus 1.0% EAI up-front = 1.25% total); non-material at Series A scale</t>
        </is>
      </c>
    </row>
    <row r="28" ht="28" customHeight="1">
      <c r="A28" s="29" t="inlineStr">
        <is>
          <t>Lockup / vesting</t>
        </is>
      </c>
      <c r="B28" s="29" t="inlineStr">
        <is>
          <t>Annual payments, 5 years (FY27–FY31)</t>
        </is>
      </c>
      <c r="C28" s="29" t="inlineStr">
        <is>
          <t>Same lockup terms as Exos principals (modeled ~12 months)</t>
        </is>
      </c>
      <c r="D28" s="29" t="inlineStr">
        <is>
          <t>Each tranche per its own schedule</t>
        </is>
      </c>
      <c r="E28" s="10" t="inlineStr">
        <is>
          <t>Principals' lockup; realization timing modeled ~12 months post-listing</t>
        </is>
      </c>
    </row>
    <row r="30">
      <c r="A30" s="22" t="inlineStr">
        <is>
          <t>TOTAL CONSIDERATION SUMMARY (Base price + earn-out)</t>
        </is>
      </c>
    </row>
    <row r="31">
      <c r="A31" s="23" t="inlineStr">
        <is>
          <t>Component</t>
        </is>
      </c>
      <c r="B31" s="23" t="inlineStr">
        <is>
          <t>Low</t>
        </is>
      </c>
      <c r="C31" s="23" t="inlineStr">
        <is>
          <t>Base</t>
        </is>
      </c>
      <c r="D31" s="23" t="inlineStr">
        <is>
          <t>High</t>
        </is>
      </c>
      <c r="E31" s="23" t="inlineStr">
        <is>
          <t>Notes</t>
        </is>
      </c>
    </row>
    <row r="32" ht="18" customHeight="1">
      <c r="A32" t="inlineStr">
        <is>
          <t>Base acquisition price</t>
        </is>
      </c>
      <c r="B32" s="31">
        <f>Assumptions!B9</f>
        <v/>
      </c>
      <c r="C32" s="31">
        <f>Assumptions!B9</f>
        <v/>
      </c>
      <c r="D32" s="31">
        <f>Assumptions!B9</f>
        <v/>
      </c>
      <c r="E32" s="3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31">
        <f>Assumptions!B14</f>
        <v/>
      </c>
      <c r="C33" s="31">
        <f>Assumptions!B14</f>
        <v/>
      </c>
      <c r="D33" s="31">
        <f>Assumptions!B14</f>
        <v/>
      </c>
      <c r="E33" s="32" t="inlineStr">
        <is>
          <t>To verify in SSLC QB</t>
        </is>
      </c>
    </row>
    <row r="34" ht="18" customHeight="1">
      <c r="A34" t="inlineStr">
        <is>
          <t>Earn-out (combined)</t>
        </is>
      </c>
      <c r="B34" s="31">
        <f>D24</f>
        <v/>
      </c>
      <c r="C34" s="31">
        <f>D25</f>
        <v/>
      </c>
      <c r="D34" s="31">
        <f>D26</f>
        <v/>
      </c>
      <c r="E34" s="32" t="inlineStr">
        <is>
          <t>Earn-out i + ii combined</t>
        </is>
      </c>
    </row>
    <row r="35" ht="18" customHeight="1">
      <c r="A35" s="33" t="inlineStr">
        <is>
          <t>TOTAL CONSIDERATION</t>
        </is>
      </c>
      <c r="B35" s="34">
        <f>B32+B33+B34</f>
        <v/>
      </c>
      <c r="C35" s="34">
        <f>C32+C33+C34</f>
        <v/>
      </c>
      <c r="D35" s="34">
        <f>D32+D33+D34</f>
        <v/>
      </c>
      <c r="E35" s="3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31">
        <f>B35/0.82</f>
        <v/>
      </c>
      <c r="C36" s="31">
        <f>C35/0.82</f>
        <v/>
      </c>
      <c r="D36" s="31">
        <f>D35/0.82</f>
        <v/>
      </c>
      <c r="E36" s="3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5">
        <f>B35/1240000</f>
        <v/>
      </c>
      <c r="C37" s="35">
        <f>C35/1240000</f>
        <v/>
      </c>
      <c r="D37" s="35">
        <f>D35/1240000</f>
        <v/>
      </c>
      <c r="E37" s="3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21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3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5" t="n">
        <v>713000</v>
      </c>
      <c r="C6" s="25" t="n">
        <v>1387000</v>
      </c>
      <c r="D6" s="25" t="n">
        <v>1400000</v>
      </c>
      <c r="E6" s="25" t="n">
        <v>2000000</v>
      </c>
      <c r="F6" s="25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5" t="n">
        <v>550000</v>
      </c>
      <c r="C7" s="25" t="n">
        <v>700000</v>
      </c>
      <c r="D7" s="25" t="n">
        <v>700000</v>
      </c>
      <c r="E7" s="25" t="n">
        <v>650000</v>
      </c>
      <c r="F7" s="25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5" t="n">
        <v>-125000</v>
      </c>
      <c r="C8" s="25" t="n">
        <v>-125000</v>
      </c>
      <c r="D8" s="25" t="n">
        <v>-125000</v>
      </c>
      <c r="E8" s="25" t="n">
        <v>-125000</v>
      </c>
      <c r="F8" s="25">
        <f>SUM(B8:E8)</f>
        <v/>
      </c>
      <c r="H8" s="10" t="inlineStr">
        <is>
          <t>Exos purchases from SSLC; $500K/yr eliminated</t>
        </is>
      </c>
    </row>
    <row r="9" ht="18" customHeight="1">
      <c r="A9" s="33" t="inlineStr">
        <is>
          <t>NET CONSOLIDATED REVENUE</t>
        </is>
      </c>
      <c r="B9" s="36">
        <f>B6+B7+B8</f>
        <v/>
      </c>
      <c r="C9" s="36">
        <f>C6+C7+C8</f>
        <v/>
      </c>
      <c r="D9" s="36">
        <f>D6+D7+D8</f>
        <v/>
      </c>
      <c r="E9" s="36">
        <f>E6+E7+E8</f>
        <v/>
      </c>
      <c r="F9" s="36">
        <f>SUM(B9:E9)</f>
        <v/>
      </c>
      <c r="G9" s="33" t="n"/>
      <c r="H9" s="33" t="inlineStr"/>
    </row>
    <row r="11">
      <c r="A11" s="23" t="inlineStr">
        <is>
          <t>COST OF GOODS SOLD</t>
        </is>
      </c>
    </row>
    <row r="12" ht="18" customHeight="1">
      <c r="A12" t="inlineStr">
        <is>
          <t>SSLC COGS (52%)</t>
        </is>
      </c>
      <c r="B12" s="37">
        <f>B6*Assumptions!B45</f>
        <v/>
      </c>
      <c r="C12" s="37">
        <f>C6*Assumptions!B45</f>
        <v/>
      </c>
      <c r="D12" s="37">
        <f>D6*Assumptions!B45</f>
        <v/>
      </c>
      <c r="E12" s="37">
        <f>E6*Assumptions!B45</f>
        <v/>
      </c>
      <c r="F12" s="37">
        <f>SUM(B12:E12)</f>
        <v/>
      </c>
      <c r="H12" s="32" t="inlineStr">
        <is>
          <t>52%; derived from FY26</t>
        </is>
      </c>
    </row>
    <row r="13" ht="18" customHeight="1">
      <c r="A13" t="inlineStr">
        <is>
          <t>Exos COGS (45%)</t>
        </is>
      </c>
      <c r="B13" s="37">
        <f>B7*0.45</f>
        <v/>
      </c>
      <c r="C13" s="37">
        <f>C7*0.45</f>
        <v/>
      </c>
      <c r="D13" s="37">
        <f>D7*0.45</f>
        <v/>
      </c>
      <c r="E13" s="37">
        <f>E7*0.45</f>
        <v/>
      </c>
      <c r="F13" s="37">
        <f>SUM(B13:E13)</f>
        <v/>
      </c>
      <c r="H13" s="32" t="inlineStr">
        <is>
          <t>45% COGS</t>
        </is>
      </c>
    </row>
    <row r="14" ht="18" customHeight="1">
      <c r="A14" s="38" t="inlineStr">
        <is>
          <t>TOTAL COGS</t>
        </is>
      </c>
      <c r="B14" s="39">
        <f>B12+B13</f>
        <v/>
      </c>
      <c r="C14" s="39">
        <f>C12+C13</f>
        <v/>
      </c>
      <c r="D14" s="39">
        <f>D12+D13</f>
        <v/>
      </c>
      <c r="E14" s="39">
        <f>E12+E13</f>
        <v/>
      </c>
      <c r="F14" s="39">
        <f>SUM(B14:E14)</f>
        <v/>
      </c>
      <c r="H14" s="32" t="inlineStr"/>
    </row>
    <row r="15" ht="18" customHeight="1">
      <c r="A15" s="38" t="inlineStr">
        <is>
          <t>GROSS PROFIT</t>
        </is>
      </c>
      <c r="B15" s="39">
        <f>B9-B14</f>
        <v/>
      </c>
      <c r="C15" s="39">
        <f>C9-C14</f>
        <v/>
      </c>
      <c r="D15" s="39">
        <f>D9-D14</f>
        <v/>
      </c>
      <c r="E15" s="39">
        <f>E9-E14</f>
        <v/>
      </c>
      <c r="F15" s="39">
        <f>SUM(B15:E15)</f>
        <v/>
      </c>
      <c r="H15" s="32" t="inlineStr"/>
    </row>
    <row r="16" ht="18" customHeight="1">
      <c r="A16" t="inlineStr">
        <is>
          <t>Gross Margin %</t>
        </is>
      </c>
      <c r="B16" s="37">
        <f>IF(B9&lt;&gt;0,B15/B9,0)</f>
        <v/>
      </c>
      <c r="C16" s="37">
        <f>IF(C9&lt;&gt;0,C15/C9,0)</f>
        <v/>
      </c>
      <c r="D16" s="37">
        <f>IF(D9&lt;&gt;0,D15/D9,0)</f>
        <v/>
      </c>
      <c r="E16" s="37">
        <f>IF(E9&lt;&gt;0,E15/E9,0)</f>
        <v/>
      </c>
      <c r="F16" s="37">
        <f>SUM(B16:E16)</f>
        <v/>
      </c>
      <c r="H16" s="32" t="inlineStr"/>
    </row>
    <row r="18">
      <c r="A18" s="23" t="inlineStr">
        <is>
          <t>OPERATING EXPENSES</t>
        </is>
      </c>
    </row>
    <row r="19" ht="18" customHeight="1">
      <c r="A19" t="inlineStr">
        <is>
          <t>SSLC OpEx</t>
        </is>
      </c>
      <c r="B19" s="25" t="n">
        <v>350000</v>
      </c>
      <c r="C19" s="25" t="n">
        <v>350000</v>
      </c>
      <c r="D19" s="25" t="n">
        <v>350000</v>
      </c>
      <c r="E19" s="25" t="n">
        <v>350000</v>
      </c>
      <c r="F19" s="25">
        <f>SUM(B19:E19)</f>
        <v/>
      </c>
      <c r="H19" s="32" t="inlineStr">
        <is>
          <t>FY27 $1.4M / 4Q</t>
        </is>
      </c>
    </row>
    <row r="20" ht="18" customHeight="1">
      <c r="A20" t="inlineStr">
        <is>
          <t>Exos OpEx (excl. R&amp;D)</t>
        </is>
      </c>
      <c r="B20" s="25" t="n">
        <v>650000</v>
      </c>
      <c r="C20" s="25" t="n">
        <v>650000</v>
      </c>
      <c r="D20" s="25" t="n">
        <v>650000</v>
      </c>
      <c r="E20" s="25" t="n">
        <v>650000</v>
      </c>
      <c r="F20" s="25">
        <f>SUM(B20:E20)</f>
        <v/>
      </c>
      <c r="H20" s="32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5" t="n">
        <v>500000</v>
      </c>
      <c r="C21" s="25" t="n">
        <v>500000</v>
      </c>
      <c r="D21" s="25" t="n">
        <v>500000</v>
      </c>
      <c r="E21" s="25" t="n">
        <v>500000</v>
      </c>
      <c r="F21" s="25">
        <f>SUM(B21:E21)</f>
        <v/>
      </c>
      <c r="H21" s="32" t="inlineStr">
        <is>
          <t>BLK3 development</t>
        </is>
      </c>
    </row>
    <row r="22" ht="18" customHeight="1">
      <c r="A22" s="40" t="inlineStr">
        <is>
          <t>TOTAL OPEX</t>
        </is>
      </c>
      <c r="B22" s="41">
        <f>SUM(B19:B21)</f>
        <v/>
      </c>
      <c r="C22" s="41">
        <f>SUM(C19:C21)</f>
        <v/>
      </c>
      <c r="D22" s="41">
        <f>SUM(D19:D21)</f>
        <v/>
      </c>
      <c r="E22" s="41">
        <f>SUM(E19:E21)</f>
        <v/>
      </c>
      <c r="F22" s="41">
        <f>SUM(B22:E22)</f>
        <v/>
      </c>
      <c r="H22" s="32" t="inlineStr"/>
    </row>
    <row r="24" ht="18" customHeight="1">
      <c r="A24" s="33" t="inlineStr">
        <is>
          <t>EBITDA</t>
        </is>
      </c>
      <c r="B24" s="36">
        <f>B15-B22</f>
        <v/>
      </c>
      <c r="C24" s="36">
        <f>C15-C22</f>
        <v/>
      </c>
      <c r="D24" s="36">
        <f>D15-D22</f>
        <v/>
      </c>
      <c r="E24" s="36">
        <f>E15-E22</f>
        <v/>
      </c>
      <c r="F24" s="36">
        <f>SUM(B24:E24)</f>
        <v/>
      </c>
      <c r="H24" s="32" t="inlineStr"/>
    </row>
    <row r="25" ht="18" customHeight="1">
      <c r="A25" t="inlineStr">
        <is>
          <t>EBITDA Margin %</t>
        </is>
      </c>
      <c r="B25" s="37">
        <f>IF(B9&lt;&gt;0,B24/B9,0)</f>
        <v/>
      </c>
      <c r="C25" s="37">
        <f>IF(C9&lt;&gt;0,C24/C9,0)</f>
        <v/>
      </c>
      <c r="D25" s="37">
        <f>IF(D9&lt;&gt;0,D24/D9,0)</f>
        <v/>
      </c>
      <c r="E25" s="37">
        <f>IF(E9&lt;&gt;0,E24/E9,0)</f>
        <v/>
      </c>
      <c r="F25" s="37">
        <f>SUM(B25:E25)</f>
        <v/>
      </c>
      <c r="H25" s="32" t="inlineStr"/>
    </row>
    <row r="26" ht="18" customHeight="1">
      <c r="A26" t="inlineStr">
        <is>
          <t>D&amp;A (est.)</t>
        </is>
      </c>
      <c r="B26" s="25" t="n">
        <v>-40000</v>
      </c>
      <c r="C26" s="25" t="n">
        <v>-40000</v>
      </c>
      <c r="D26" s="25" t="n">
        <v>-40000</v>
      </c>
      <c r="E26" s="25" t="n">
        <v>-40000</v>
      </c>
      <c r="F26" s="25">
        <f>SUM(B26:E26)</f>
        <v/>
      </c>
      <c r="H26" s="32" t="inlineStr">
        <is>
          <t>$160K FY27 combined</t>
        </is>
      </c>
    </row>
    <row r="27" ht="18" customHeight="1">
      <c r="A27" s="33" t="inlineStr">
        <is>
          <t>EBIT</t>
        </is>
      </c>
      <c r="B27" s="36">
        <f>B24+B26</f>
        <v/>
      </c>
      <c r="C27" s="36">
        <f>C24+C26</f>
        <v/>
      </c>
      <c r="D27" s="36">
        <f>D24+D26</f>
        <v/>
      </c>
      <c r="E27" s="36">
        <f>E24+E26</f>
        <v/>
      </c>
      <c r="F27" s="36">
        <f>SUM(B27:E27)</f>
        <v/>
      </c>
      <c r="H27" s="32" t="inlineStr"/>
    </row>
    <row r="28" ht="18" customHeight="1">
      <c r="A28" t="inlineStr">
        <is>
          <t>Interest / one-time</t>
        </is>
      </c>
      <c r="B28" s="25" t="inlineStr">
        <is>
          <t>0</t>
        </is>
      </c>
      <c r="C28" s="25" t="inlineStr">
        <is>
          <t>0</t>
        </is>
      </c>
      <c r="D28" s="25" t="inlineStr">
        <is>
          <t>0</t>
        </is>
      </c>
      <c r="E28" s="25" t="inlineStr">
        <is>
          <t>0</t>
        </is>
      </c>
      <c r="F28" s="25">
        <f>SUM(B28:E28)</f>
        <v/>
      </c>
      <c r="H28" s="32" t="inlineStr"/>
    </row>
    <row r="29" ht="18" customHeight="1">
      <c r="A29" s="33" t="inlineStr">
        <is>
          <t>Pre-Tax Income</t>
        </is>
      </c>
      <c r="B29" s="36">
        <f>B27+B28</f>
        <v/>
      </c>
      <c r="C29" s="36">
        <f>C27+C28</f>
        <v/>
      </c>
      <c r="D29" s="36">
        <f>D27+D28</f>
        <v/>
      </c>
      <c r="E29" s="36">
        <f>E27+E28</f>
        <v/>
      </c>
      <c r="F29" s="36">
        <f>SUM(B29:E29)</f>
        <v/>
      </c>
      <c r="H29" s="32" t="inlineStr"/>
    </row>
    <row r="32" ht="22" customHeight="1">
      <c r="A32" s="42" t="inlineStr">
        <is>
          <t>5-YEAR ANNUAL P&amp;L — FY27–FY31 | LEFT: Actuals-Anchored Case | RIGHT: Old-Model Case (v12 Drivers)</t>
        </is>
      </c>
    </row>
    <row r="33">
      <c r="A33" s="43" t="inlineStr">
        <is>
          <t>ACTUALS-ANCHORED CASE</t>
        </is>
      </c>
      <c r="J33" s="44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5" t="inlineStr">
        <is>
          <t>FY27</t>
        </is>
      </c>
      <c r="K34" s="45" t="inlineStr">
        <is>
          <t>FY28</t>
        </is>
      </c>
      <c r="L34" s="45" t="inlineStr">
        <is>
          <t>FY29</t>
        </is>
      </c>
      <c r="M34" s="45" t="inlineStr">
        <is>
          <t>FY30</t>
        </is>
      </c>
      <c r="N34" s="45" t="inlineStr">
        <is>
          <t>FY31</t>
        </is>
      </c>
      <c r="O34" s="45" t="inlineStr">
        <is>
          <t>CAGR</t>
        </is>
      </c>
      <c r="P34" s="45" t="inlineStr">
        <is>
          <t>Notes</t>
        </is>
      </c>
    </row>
    <row r="36" ht="16" customHeight="1">
      <c r="A36" s="46" t="inlineStr">
        <is>
          <t>REVENUE</t>
        </is>
      </c>
      <c r="J36" s="47" t="inlineStr">
        <is>
          <t>REVENUE</t>
        </is>
      </c>
    </row>
    <row r="37" ht="18" customHeight="1">
      <c r="A37" s="5" t="inlineStr">
        <is>
          <t>SSLC Revenue</t>
        </is>
      </c>
      <c r="B37" s="25">
        <f>Assumptions!B48</f>
        <v/>
      </c>
      <c r="C37" s="25">
        <f>Assumptions!B49</f>
        <v/>
      </c>
      <c r="D37" s="25">
        <f>Assumptions!B50</f>
        <v/>
      </c>
      <c r="E37" s="25">
        <f>Assumptions!B51</f>
        <v/>
      </c>
      <c r="F37" s="25">
        <f>Assumptions!B52</f>
        <v/>
      </c>
      <c r="G37" s="37">
        <f>IFERROR((F37/B37)^(1/4)-1,0)</f>
        <v/>
      </c>
      <c r="J37" s="25">
        <f>Assumptions!B76</f>
        <v/>
      </c>
      <c r="K37" s="25">
        <f>Assumptions!B77</f>
        <v/>
      </c>
      <c r="L37" s="25">
        <f>Assumptions!B78</f>
        <v/>
      </c>
      <c r="M37" s="25">
        <f>Assumptions!B79</f>
        <v/>
      </c>
      <c r="N37" s="25">
        <f>Assumptions!B80</f>
        <v/>
      </c>
      <c r="O37" s="37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5">
        <f>Assumptions!B57</f>
        <v/>
      </c>
      <c r="C38" s="25">
        <f>Assumptions!B58</f>
        <v/>
      </c>
      <c r="D38" s="25">
        <f>Assumptions!B59</f>
        <v/>
      </c>
      <c r="E38" s="25">
        <f>Assumptions!B60</f>
        <v/>
      </c>
      <c r="F38" s="25">
        <f>Assumptions!B61</f>
        <v/>
      </c>
      <c r="G38" s="37">
        <f>IFERROR((F38/B38)^(1/4)-1,0)</f>
        <v/>
      </c>
      <c r="J38" s="25">
        <f>Assumptions!B86</f>
        <v/>
      </c>
      <c r="K38" s="25">
        <f>Assumptions!B87</f>
        <v/>
      </c>
      <c r="L38" s="25">
        <f>Assumptions!B88</f>
        <v/>
      </c>
      <c r="M38" s="25">
        <f>Assumptions!B89</f>
        <v/>
      </c>
      <c r="N38" s="25">
        <f>Assumptions!B90</f>
        <v/>
      </c>
      <c r="O38" s="37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5" t="n">
        <v>-500000</v>
      </c>
      <c r="C39" s="25" t="n">
        <v>-575000</v>
      </c>
      <c r="D39" s="25" t="n">
        <v>-661000</v>
      </c>
      <c r="E39" s="25" t="n">
        <v>-760000</v>
      </c>
      <c r="F39" s="25" t="n">
        <v>-874000</v>
      </c>
      <c r="G39" s="37">
        <f>IFERROR((F39/B39)^(1/4)-1,0)</f>
        <v/>
      </c>
      <c r="J39" s="25" t="n">
        <v>-500000</v>
      </c>
      <c r="K39" s="25" t="n">
        <v>-575000</v>
      </c>
      <c r="L39" s="25" t="n">
        <v>-661000</v>
      </c>
      <c r="M39" s="25" t="n">
        <v>-760000</v>
      </c>
      <c r="N39" s="25" t="n">
        <v>-874000</v>
      </c>
      <c r="O39" s="37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7">
        <f>B37+B38+B39</f>
        <v/>
      </c>
      <c r="C40" s="27">
        <f>C37+C38+C39</f>
        <v/>
      </c>
      <c r="D40" s="27">
        <f>D37+D38+D39</f>
        <v/>
      </c>
      <c r="E40" s="27">
        <f>E37+E38+E39</f>
        <v/>
      </c>
      <c r="F40" s="27">
        <f>F37+F38+F39</f>
        <v/>
      </c>
      <c r="G40" s="37">
        <f>IFERROR((F40/B40)^(1/4)-1,0)</f>
        <v/>
      </c>
      <c r="J40" s="27">
        <f>Assumptions!B81</f>
        <v/>
      </c>
      <c r="K40" s="27">
        <f>Assumptions!B82</f>
        <v/>
      </c>
      <c r="L40" s="27">
        <f>Assumptions!B83</f>
        <v/>
      </c>
      <c r="M40" s="27">
        <f>Assumptions!B84</f>
        <v/>
      </c>
      <c r="N40" s="27">
        <f>Assumptions!B85</f>
        <v/>
      </c>
      <c r="O40" s="37">
        <f>IFERROR((N40/J40)^(1/4)-1,0)</f>
        <v/>
      </c>
      <c r="P40" s="7" t="inlineStr"/>
    </row>
    <row r="42" ht="16" customHeight="1">
      <c r="A42" s="46" t="inlineStr">
        <is>
          <t>EBITDA</t>
        </is>
      </c>
      <c r="J42" s="47" t="inlineStr">
        <is>
          <t>EBITDA</t>
        </is>
      </c>
    </row>
    <row r="43" ht="18" customHeight="1">
      <c r="A43" s="5" t="inlineStr">
        <is>
          <t>SSLC EBITDA</t>
        </is>
      </c>
      <c r="B43" s="25">
        <f>Assumptions!B48*(1-Assumptions!B45)-Assumptions!B46</f>
        <v/>
      </c>
      <c r="C43" s="25">
        <f>Assumptions!B49*(1-Assumptions!B45)-Assumptions!B46*(1+Assumptions!B47)</f>
        <v/>
      </c>
      <c r="D43" s="25">
        <f>Assumptions!B50*(1-Assumptions!B45)-Assumptions!B46*(1+Assumptions!B47)^2</f>
        <v/>
      </c>
      <c r="E43" s="25">
        <f>Assumptions!B51*(1-Assumptions!B45)-Assumptions!B46*(1+Assumptions!B47)^3</f>
        <v/>
      </c>
      <c r="F43" s="25">
        <f>Assumptions!B52*(1-Assumptions!B45)-Assumptions!B46*(1+Assumptions!B47)^4</f>
        <v/>
      </c>
      <c r="G43" s="37">
        <f>IFERROR((F43/B43)^(1/4)-1,0)</f>
        <v/>
      </c>
      <c r="J43" s="25">
        <f>Assumptions!B76*(1-Assumptions!B74)-Assumptions!B46</f>
        <v/>
      </c>
      <c r="K43" s="25">
        <f>Assumptions!B77*(1-Assumptions!B74)-Assumptions!B46*(1+Assumptions!B47)</f>
        <v/>
      </c>
      <c r="L43" s="25">
        <f>Assumptions!B78*(1-Assumptions!B75)-Assumptions!B46*(1+Assumptions!B47)^2</f>
        <v/>
      </c>
      <c r="M43" s="25">
        <f>Assumptions!B79*(1-Assumptions!B75)-Assumptions!B46*(1+Assumptions!B47)^3</f>
        <v/>
      </c>
      <c r="N43" s="25">
        <f>Assumptions!B80*(1-Assumptions!B75)-Assumptions!B46*(1+Assumptions!B47)^4</f>
        <v/>
      </c>
      <c r="O43" s="37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5">
        <f>Assumptions!B62</f>
        <v/>
      </c>
      <c r="C44" s="25">
        <f>Assumptions!B63</f>
        <v/>
      </c>
      <c r="D44" s="25">
        <f>Assumptions!B64</f>
        <v/>
      </c>
      <c r="E44" s="25">
        <f>Assumptions!B65</f>
        <v/>
      </c>
      <c r="F44" s="25">
        <f>Assumptions!B66</f>
        <v/>
      </c>
      <c r="G44" s="37">
        <f>IFERROR((F44/B44)^(1/4)-1,0)</f>
        <v/>
      </c>
      <c r="J44" s="25">
        <f>Assumptions!B91-J43</f>
        <v/>
      </c>
      <c r="K44" s="25">
        <f>Assumptions!B92-K43</f>
        <v/>
      </c>
      <c r="L44" s="25">
        <f>Assumptions!B93-L43</f>
        <v/>
      </c>
      <c r="M44" s="25">
        <f>Assumptions!B94-M43</f>
        <v/>
      </c>
      <c r="N44" s="25">
        <f>Assumptions!B95-N43</f>
        <v/>
      </c>
      <c r="O44" s="37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7">
        <f>B43+B44</f>
        <v/>
      </c>
      <c r="C45" s="27">
        <f>C43+C44</f>
        <v/>
      </c>
      <c r="D45" s="27">
        <f>D43+D44</f>
        <v/>
      </c>
      <c r="E45" s="27">
        <f>E43+E44</f>
        <v/>
      </c>
      <c r="F45" s="27">
        <f>F43+F44</f>
        <v/>
      </c>
      <c r="G45" s="37">
        <f>IFERROR((F45/B45)^(1/4)-1,0)</f>
        <v/>
      </c>
      <c r="J45" s="27">
        <f>Assumptions!B91</f>
        <v/>
      </c>
      <c r="K45" s="27">
        <f>Assumptions!B92</f>
        <v/>
      </c>
      <c r="L45" s="27">
        <f>Assumptions!B93</f>
        <v/>
      </c>
      <c r="M45" s="27">
        <f>Assumptions!B94</f>
        <v/>
      </c>
      <c r="N45" s="27">
        <f>Assumptions!B95</f>
        <v/>
      </c>
      <c r="O45" s="37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7">
        <f>IF(B40&lt;&gt;0,B45/B40,0)</f>
        <v/>
      </c>
      <c r="C46" s="37">
        <f>IF(C40&lt;&gt;0,C45/C40,0)</f>
        <v/>
      </c>
      <c r="D46" s="37">
        <f>IF(D40&lt;&gt;0,D45/D40,0)</f>
        <v/>
      </c>
      <c r="E46" s="37">
        <f>IF(E40&lt;&gt;0,E45/E40,0)</f>
        <v/>
      </c>
      <c r="F46" s="37">
        <f>IF(F40&lt;&gt;0,F45/F40,0)</f>
        <v/>
      </c>
      <c r="G46" s="37">
        <f>IFERROR((F46/B46)^(1/4)-1,0)</f>
        <v/>
      </c>
      <c r="J46" s="37">
        <f>IF(J40&lt;&gt;0,J45/J40,0)</f>
        <v/>
      </c>
      <c r="K46" s="37">
        <f>IF(K40&lt;&gt;0,K45/K40,0)</f>
        <v/>
      </c>
      <c r="L46" s="37">
        <f>IF(L40&lt;&gt;0,L45/L40,0)</f>
        <v/>
      </c>
      <c r="M46" s="37">
        <f>IF(M40&lt;&gt;0,M45/M40,0)</f>
        <v/>
      </c>
      <c r="N46" s="37">
        <f>IF(N40&lt;&gt;0,N45/N40,0)</f>
        <v/>
      </c>
      <c r="O46" s="37">
        <f>IFERROR((N46/J46)^(1/4)-1,0)</f>
        <v/>
      </c>
      <c r="P46" s="7" t="inlineStr"/>
    </row>
    <row r="48" ht="16" customHeight="1">
      <c r="A48" s="46" t="inlineStr">
        <is>
          <t>BENCHMARK COMPARISON (Option B / both cases vs v15 old acquisition model)</t>
        </is>
      </c>
    </row>
    <row r="49" ht="18" customHeight="1">
      <c r="A49" s="32" t="inlineStr">
        <is>
          <t>v15 benchmark SSLC acq rev Y1</t>
        </is>
      </c>
      <c r="B49" s="31">
        <f>Assumptions!B53</f>
        <v/>
      </c>
      <c r="F49" s="31">
        <f>Assumptions!B54</f>
        <v/>
      </c>
      <c r="P49" s="48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31">
        <f>B37-B49</f>
        <v/>
      </c>
      <c r="F50" s="31">
        <f>F37-F49</f>
        <v/>
      </c>
      <c r="J50" s="32" t="inlineStr">
        <is>
          <t>v12 SSLC rev vs v15 benchmark</t>
        </is>
      </c>
      <c r="K50" s="31">
        <f>J37-B49</f>
        <v/>
      </c>
      <c r="N50" s="31">
        <f>N37-F49</f>
        <v/>
      </c>
      <c r="P50" s="48" t="inlineStr">
        <is>
          <t>Positive = exceeds v15; v12 exceeds v15 by 4.6x at Y1 and 2.6x at Y5</t>
        </is>
      </c>
    </row>
    <row r="51" ht="22" customHeight="1">
      <c r="A51" s="49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50" t="inlineStr">
        <is>
          <t>SSLC Option B — Returns, Dilution &amp; Benchmark Comparison | TWO CASES</t>
        </is>
      </c>
    </row>
    <row r="3" ht="22" customHeight="1">
      <c r="A3" s="51" t="inlineStr">
        <is>
          <t>Metric</t>
        </is>
      </c>
      <c r="B3" s="51" t="inlineStr">
        <is>
          <t>AA — Low</t>
        </is>
      </c>
      <c r="C3" s="51" t="inlineStr">
        <is>
          <t>AA — Base</t>
        </is>
      </c>
      <c r="D3" s="51" t="inlineStr">
        <is>
          <t>AA — High</t>
        </is>
      </c>
      <c r="E3" s="52" t="inlineStr">
        <is>
          <t>v12 Old-Model</t>
        </is>
      </c>
      <c r="F3" s="53" t="inlineStr">
        <is>
          <t>v15 Benchmark</t>
        </is>
      </c>
      <c r="G3" s="53" t="inlineStr"/>
      <c r="H3" s="53" t="inlineStr">
        <is>
          <t>Notes</t>
        </is>
      </c>
    </row>
    <row r="4" ht="18" customHeight="1">
      <c r="A4" t="inlineStr">
        <is>
          <t>FY27 (Y1) SSLC revenue</t>
        </is>
      </c>
      <c r="B4" s="31">
        <f>'PL and Cash Flow'!B37</f>
        <v/>
      </c>
      <c r="C4" s="31">
        <f>'PL and Cash Flow'!B37</f>
        <v/>
      </c>
      <c r="D4" s="31">
        <f>'PL and Cash Flow'!B37</f>
        <v/>
      </c>
      <c r="E4" s="31">
        <f>'PL and Cash Flow'!J37</f>
        <v/>
      </c>
      <c r="F4" s="31">
        <f>Assumptions!B53</f>
        <v/>
      </c>
      <c r="H4" s="10" t="inlineStr"/>
    </row>
    <row r="5" ht="18" customHeight="1">
      <c r="A5" t="inlineStr">
        <is>
          <t>FY31 (Y5) SSLC revenue</t>
        </is>
      </c>
      <c r="B5" s="31">
        <f>'PL and Cash Flow'!F37</f>
        <v/>
      </c>
      <c r="C5" s="31">
        <f>'PL and Cash Flow'!F37</f>
        <v/>
      </c>
      <c r="D5" s="31">
        <f>'PL and Cash Flow'!F37</f>
        <v/>
      </c>
      <c r="E5" s="31">
        <f>'PL and Cash Flow'!N37</f>
        <v/>
      </c>
      <c r="F5" s="31">
        <f>Assumptions!B54</f>
        <v/>
      </c>
      <c r="H5" s="10" t="inlineStr"/>
    </row>
    <row r="6" ht="18" customHeight="1">
      <c r="A6" t="inlineStr">
        <is>
          <t>FY27 total revenue</t>
        </is>
      </c>
      <c r="B6" s="31">
        <f>'PL and Cash Flow'!B40</f>
        <v/>
      </c>
      <c r="C6" s="31">
        <f>'PL and Cash Flow'!B40</f>
        <v/>
      </c>
      <c r="D6" s="31">
        <f>'PL and Cash Flow'!B40</f>
        <v/>
      </c>
      <c r="E6" s="31">
        <f>'PL and Cash Flow'!J40</f>
        <v/>
      </c>
      <c r="F6" s="31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31">
        <f>'PL and Cash Flow'!F40</f>
        <v/>
      </c>
      <c r="C7" s="31">
        <f>'PL and Cash Flow'!F40</f>
        <v/>
      </c>
      <c r="D7" s="31">
        <f>'PL and Cash Flow'!F40</f>
        <v/>
      </c>
      <c r="E7" s="31">
        <f>'PL and Cash Flow'!N40</f>
        <v/>
      </c>
      <c r="F7" s="31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31">
        <f>'PL and Cash Flow'!B45</f>
        <v/>
      </c>
      <c r="C8" s="31">
        <f>'PL and Cash Flow'!B45</f>
        <v/>
      </c>
      <c r="D8" s="31">
        <f>'PL and Cash Flow'!B45</f>
        <v/>
      </c>
      <c r="E8" s="31">
        <f>'PL and Cash Flow'!J45</f>
        <v/>
      </c>
      <c r="F8" s="31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31">
        <f>'PL and Cash Flow'!F45</f>
        <v/>
      </c>
      <c r="C9" s="31">
        <f>'PL and Cash Flow'!F45</f>
        <v/>
      </c>
      <c r="D9" s="31">
        <f>'PL and Cash Flow'!F45</f>
        <v/>
      </c>
      <c r="E9" s="31">
        <f>'PL and Cash Flow'!N45</f>
        <v/>
      </c>
      <c r="F9" s="31" t="inlineStr">
        <is>
          <t>n/a</t>
        </is>
      </c>
      <c r="H9" s="10" t="inlineStr"/>
    </row>
    <row r="10" ht="18" customHeight="1">
      <c r="A10" s="24" t="inlineStr">
        <is>
          <t>RETURNS ANALYSIS</t>
        </is>
      </c>
    </row>
    <row r="11" ht="18" customHeight="1">
      <c r="A11" t="inlineStr">
        <is>
          <t>Total consideration (all-in)</t>
        </is>
      </c>
      <c r="B11" s="31">
        <f>'Deal Structure'!B35</f>
        <v/>
      </c>
      <c r="C11" s="31">
        <f>'Deal Structure'!C35</f>
        <v/>
      </c>
      <c r="D11" s="31">
        <f>'Deal Structure'!D35</f>
        <v/>
      </c>
      <c r="E11" s="31" t="inlineStr">
        <is>
          <t>same</t>
        </is>
      </c>
      <c r="F11" s="31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31">
        <f>'PL and Cash Flow'!F43*10</f>
        <v/>
      </c>
      <c r="C12" s="31">
        <f>'PL and Cash Flow'!F43*10</f>
        <v/>
      </c>
      <c r="D12" s="31">
        <f>'PL and Cash Flow'!F43*10</f>
        <v/>
      </c>
      <c r="E12" s="31">
        <f>'PL and Cash Flow'!N43*10</f>
        <v/>
      </c>
      <c r="F12" s="31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5">
        <f>B12/B11</f>
        <v/>
      </c>
      <c r="C13" s="35">
        <f>C12/C11</f>
        <v/>
      </c>
      <c r="D13" s="35">
        <f>D12/D11</f>
        <v/>
      </c>
      <c r="E13" s="35">
        <f>'PL and Cash Flow'!N43*10/'Deal Structure'!C35</f>
        <v/>
      </c>
      <c r="F13" s="35" t="inlineStr">
        <is>
          <t>n/a</t>
        </is>
      </c>
      <c r="H13" s="10" t="inlineStr"/>
    </row>
    <row r="14" ht="18" customHeight="1">
      <c r="A14" s="24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4">
        <f>Assumptions!B28</f>
        <v/>
      </c>
      <c r="C15" s="54">
        <f>Assumptions!B29</f>
        <v/>
      </c>
      <c r="D15" s="54">
        <f>Assumptions!B30</f>
        <v/>
      </c>
      <c r="E15" s="54" t="inlineStr">
        <is>
          <t>same</t>
        </is>
      </c>
      <c r="F15" s="54" t="inlineStr">
        <is>
          <t>n/a</t>
        </is>
      </c>
      <c r="H15" s="10" t="inlineStr">
        <is>
          <t>% FD shares</t>
        </is>
      </c>
    </row>
    <row r="16" ht="18" customHeight="1">
      <c r="A16" s="24" t="inlineStr">
        <is>
          <t>CASH DEPLOYMENT</t>
        </is>
      </c>
    </row>
    <row r="17" ht="18" customHeight="1">
      <c r="A17" t="inlineStr">
        <is>
          <t>FY27 net cash deployment</t>
        </is>
      </c>
      <c r="B17" s="31">
        <f>Assumptions!B10+Assumptions!B16</f>
        <v/>
      </c>
      <c r="C17" s="31">
        <f>Assumptions!B10+Assumptions!B16</f>
        <v/>
      </c>
      <c r="D17" s="31">
        <f>Assumptions!B10+Assumptions!B16</f>
        <v/>
      </c>
      <c r="E17" s="31" t="inlineStr">
        <is>
          <t>same</t>
        </is>
      </c>
      <c r="F17" s="31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31">
        <f>Assumptions!B17</f>
        <v/>
      </c>
      <c r="C18" s="31">
        <f>Assumptions!B17</f>
        <v/>
      </c>
      <c r="D18" s="31">
        <f>Assumptions!B17</f>
        <v/>
      </c>
      <c r="E18" s="31" t="inlineStr">
        <is>
          <t>same</t>
        </is>
      </c>
      <c r="F18" s="31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31">
        <f>B18-B17</f>
        <v/>
      </c>
      <c r="C19" s="31">
        <f>C18-C17</f>
        <v/>
      </c>
      <c r="D19" s="31">
        <f>D18-D17</f>
        <v/>
      </c>
      <c r="E19" s="31" t="inlineStr">
        <is>
          <t>same</t>
        </is>
      </c>
      <c r="F19" s="31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50" t="inlineStr">
        <is>
          <t>SSLC Option B — Funding Structure &amp; Risks</t>
        </is>
      </c>
    </row>
    <row r="3" ht="28" customHeight="1">
      <c r="A3" s="22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(John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22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5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22" t="inlineStr">
        <is>
          <t>RELATED-PARTY DISCLOSURES</t>
        </is>
      </c>
    </row>
    <row r="20" ht="28" customHeight="1">
      <c r="A20" s="5" t="inlineStr">
        <is>
          <t>John sits on BOTH boards</t>
        </is>
      </c>
      <c r="B20" t="inlineStr">
        <is>
          <t>Conflict of interest</t>
        </is>
      </c>
      <c r="C20" s="7" t="inlineStr">
        <is>
          <t>John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John abstains</t>
        </is>
      </c>
    </row>
    <row r="23" ht="28" customHeight="1">
      <c r="A23" s="5" t="inlineStr">
        <is>
          <t>Legal review</t>
        </is>
      </c>
      <c r="B23" t="inlineStr">
        <is>
          <t>Deferred (John 10/7)</t>
        </is>
      </c>
      <c r="C23" s="7" t="inlineStr">
        <is>
          <t>Negotiation stage; no legal review until John calls it</t>
        </is>
      </c>
    </row>
    <row r="25" ht="28" customHeight="1">
      <c r="A25" s="22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22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6" t="inlineStr">
        <is>
          <t>MEDIUM</t>
        </is>
      </c>
      <c r="C31" s="7" t="inlineStr">
        <is>
          <t>Cash $198K + collections on billed-ahead work; ~1 month burn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22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21" t="inlineStr">
        <is>
          <t>SSLC Option B — Total Compensation to SSLC Shareholders/Stakeholders | TWO CASES</t>
        </is>
      </c>
    </row>
    <row r="2">
      <c r="A2" s="48" t="inlineStr">
        <is>
          <t>BASE = Old-Model Case (v12 drivers), as requested. Actuals-Anchored shown as sensitivity. Funding at close identical in both; chart shows Old-Model base.</t>
        </is>
      </c>
    </row>
    <row r="4">
      <c r="A4" s="53" t="inlineStr">
        <is>
          <t>Component</t>
        </is>
      </c>
      <c r="B4" s="53" t="inlineStr">
        <is>
          <t>FY27 (Close)</t>
        </is>
      </c>
      <c r="C4" s="53" t="inlineStr">
        <is>
          <t>FY28</t>
        </is>
      </c>
      <c r="D4" s="53" t="inlineStr">
        <is>
          <t>FY29</t>
        </is>
      </c>
      <c r="E4" s="53" t="inlineStr">
        <is>
          <t>FY30</t>
        </is>
      </c>
      <c r="F4" s="53" t="inlineStr">
        <is>
          <t>FY31</t>
        </is>
      </c>
      <c r="G4" s="53" t="inlineStr">
        <is>
          <t>5-Yr Total</t>
        </is>
      </c>
      <c r="H4" s="53" t="inlineStr">
        <is>
          <t>Notes</t>
        </is>
      </c>
    </row>
    <row r="5">
      <c r="A5" s="57" t="inlineStr">
        <is>
          <t>FUNDING DELIVERED AT CLOSE (FY27) — identical in both cases</t>
        </is>
      </c>
    </row>
    <row r="6" ht="18" customHeight="1">
      <c r="A6" s="58" t="inlineStr">
        <is>
          <t>Cash at close</t>
        </is>
      </c>
      <c r="B6" s="31">
        <f>Assumptions!B10</f>
        <v/>
      </c>
      <c r="C6" s="31" t="n">
        <v>0</v>
      </c>
      <c r="D6" s="31" t="n">
        <v>0</v>
      </c>
      <c r="E6" s="31" t="n">
        <v>0</v>
      </c>
      <c r="F6" s="31" t="n">
        <v>0</v>
      </c>
      <c r="G6" s="31">
        <f>SUM(B6:F6)</f>
        <v/>
      </c>
      <c r="H6" s="10" t="inlineStr">
        <is>
          <t>§3 deal price</t>
        </is>
      </c>
    </row>
    <row r="7" ht="18" customHeight="1">
      <c r="A7" s="58" t="inlineStr">
        <is>
          <t>SSLC closing costs</t>
        </is>
      </c>
      <c r="B7" s="31">
        <f>Assumptions!B11</f>
        <v/>
      </c>
      <c r="C7" s="31" t="n">
        <v>0</v>
      </c>
      <c r="D7" s="31" t="n">
        <v>0</v>
      </c>
      <c r="E7" s="31" t="n">
        <v>0</v>
      </c>
      <c r="F7" s="31" t="n">
        <v>0</v>
      </c>
      <c r="G7" s="31">
        <f>SUM(B7:F7)</f>
        <v/>
      </c>
      <c r="H7" s="10" t="inlineStr">
        <is>
          <t>Seller's costs</t>
        </is>
      </c>
    </row>
    <row r="8" ht="18" customHeight="1">
      <c r="A8" s="58" t="inlineStr">
        <is>
          <t>Exos stake credit (non-cash)</t>
        </is>
      </c>
      <c r="B8" s="31">
        <f>Assumptions!B12</f>
        <v/>
      </c>
      <c r="C8" s="31" t="n">
        <v>0</v>
      </c>
      <c r="D8" s="31" t="n">
        <v>0</v>
      </c>
      <c r="E8" s="31" t="n">
        <v>0</v>
      </c>
      <c r="F8" s="31" t="n">
        <v>0</v>
      </c>
      <c r="G8" s="31">
        <f>SUM(B8:F8)</f>
        <v/>
      </c>
      <c r="H8" s="10" t="inlineStr">
        <is>
          <t>18% equity at 2021 basis</t>
        </is>
      </c>
    </row>
    <row r="9" ht="18" customHeight="1">
      <c r="A9" s="58" t="inlineStr">
        <is>
          <t>SSLC debts assumed at face (TBV)</t>
        </is>
      </c>
      <c r="B9" s="31">
        <f>Assumptions!B14</f>
        <v/>
      </c>
      <c r="C9" s="31" t="n">
        <v>0</v>
      </c>
      <c r="D9" s="31" t="n">
        <v>0</v>
      </c>
      <c r="E9" s="31" t="n">
        <v>0</v>
      </c>
      <c r="F9" s="31" t="n">
        <v>0</v>
      </c>
      <c r="G9" s="31">
        <f>SUM(B9:F9)</f>
        <v/>
      </c>
      <c r="H9" s="10" t="inlineStr">
        <is>
          <t>per 10/2 SSLC QB pull; verify</t>
        </is>
      </c>
    </row>
    <row r="10" ht="18" customHeight="1">
      <c r="A10" s="58" t="inlineStr">
        <is>
          <t>Working-capital bridge (completion cost)</t>
        </is>
      </c>
      <c r="B10" s="31">
        <f>Assumptions!B16</f>
        <v/>
      </c>
      <c r="C10" s="31" t="n">
        <v>0</v>
      </c>
      <c r="D10" s="31" t="n">
        <v>0</v>
      </c>
      <c r="E10" s="31" t="n">
        <v>0</v>
      </c>
      <c r="F10" s="31" t="n">
        <v>0</v>
      </c>
      <c r="G10" s="31">
        <f>SUM(B10:F10)</f>
        <v/>
      </c>
      <c r="H10" s="10" t="inlineStr">
        <is>
          <t>Mid=$500K; funds completion of in-flight IM work</t>
        </is>
      </c>
    </row>
    <row r="11" ht="18" customHeight="1">
      <c r="A11" s="58" t="inlineStr">
        <is>
          <t>Exos equity — 1.0% EAI units at 409A (~$170M, Rule 504)</t>
        </is>
      </c>
      <c r="B11" s="31">
        <f>Assumptions!B36</f>
        <v/>
      </c>
      <c r="C11" s="31" t="n">
        <v>0</v>
      </c>
      <c r="D11" s="31" t="n">
        <v>0</v>
      </c>
      <c r="E11" s="31" t="n">
        <v>0</v>
      </c>
      <c r="F11" s="31" t="n">
        <v>0</v>
      </c>
      <c r="G11" s="31">
        <f>SUM(B11:F11)</f>
        <v/>
      </c>
      <c r="H11" s="10" t="inlineStr">
        <is>
          <t>~$1,697K; committed at SSLC board acceptance; issued at financing close (Rule 504)</t>
        </is>
      </c>
    </row>
    <row r="12" ht="18" customHeight="1">
      <c r="A12" s="59" t="inlineStr">
        <is>
          <t>TOTAL FUNDING DELIVERED</t>
        </is>
      </c>
      <c r="B12" s="60">
        <f>SUM(B6:B11)</f>
        <v/>
      </c>
      <c r="C12" s="60">
        <f>SUM(C6:C11)</f>
        <v/>
      </c>
      <c r="D12" s="60">
        <f>SUM(D6:D11)</f>
        <v/>
      </c>
      <c r="E12" s="60">
        <f>SUM(E6:E11)</f>
        <v/>
      </c>
      <c r="F12" s="60">
        <f>SUM(F6:F11)</f>
        <v/>
      </c>
      <c r="G12" s="60">
        <f>SUM(B12:F12)</f>
        <v/>
      </c>
      <c r="H12" s="10" t="inlineStr">
        <is>
          <t>All at close in FY27; includes EAI equity at 409A</t>
        </is>
      </c>
    </row>
    <row r="13">
      <c r="A13" s="61" t="inlineStr">
        <is>
          <t>FORWARD POTENTIAL — EARN-OUTS (same in both cases; driven by IM firm revenue)</t>
        </is>
      </c>
    </row>
    <row r="14" ht="18" customHeight="1">
      <c r="A14" s="58" t="inlineStr">
        <is>
          <t>Tank earn-out base (i): 5%/yr, $300K cap, 5yr FY27–FY31</t>
        </is>
      </c>
      <c r="B14" s="31">
        <f>MIN(Assumptions!B24*Assumptions!B44,Assumptions!B26)</f>
        <v/>
      </c>
      <c r="C14" s="31">
        <f>MIN(Assumptions!B24*Assumptions!B44,Assumptions!B26)</f>
        <v/>
      </c>
      <c r="D14" s="31">
        <f>MIN(Assumptions!B24*Assumptions!B44,Assumptions!B26)</f>
        <v/>
      </c>
      <c r="E14" s="31">
        <f>MIN(Assumptions!B24*Assumptions!B44,Assumptions!B26)</f>
        <v/>
      </c>
      <c r="F14" s="31">
        <f>MIN(Assumptions!B24*Assumptions!B44,Assumptions!B26)</f>
        <v/>
      </c>
      <c r="G14" s="31">
        <f>SUM(B14:F14)</f>
        <v/>
      </c>
      <c r="H14" s="10" t="inlineStr">
        <is>
          <t>5% × $5M firm IM ramp × 5 years; $300K/yr cap</t>
        </is>
      </c>
    </row>
    <row r="15" ht="18" customHeight="1">
      <c r="A15" s="58" t="inlineStr">
        <is>
          <t>Tank earn-out low (i): 3%/yr × 5yr</t>
        </is>
      </c>
      <c r="B15" s="31">
        <f>MIN(Assumptions!B23*Assumptions!B44,Assumptions!B26)</f>
        <v/>
      </c>
      <c r="C15" s="31">
        <f>MIN(Assumptions!B23*Assumptions!B44,Assumptions!B26)</f>
        <v/>
      </c>
      <c r="D15" s="31">
        <f>MIN(Assumptions!B23*Assumptions!B44,Assumptions!B26)</f>
        <v/>
      </c>
      <c r="E15" s="31">
        <f>MIN(Assumptions!B23*Assumptions!B44,Assumptions!B26)</f>
        <v/>
      </c>
      <c r="F15" s="31">
        <f>MIN(Assumptions!B23*Assumptions!B44,Assumptions!B26)</f>
        <v/>
      </c>
      <c r="G15" s="31">
        <f>SUM(B15:F15)</f>
        <v/>
      </c>
      <c r="H15" s="10" t="inlineStr">
        <is>
          <t>Low scenario × 5yr</t>
        </is>
      </c>
    </row>
    <row r="16" ht="18" customHeight="1">
      <c r="A16" s="58" t="inlineStr">
        <is>
          <t>Tank earn-out high (i): 7%/yr × 5yr (cap $300K)</t>
        </is>
      </c>
      <c r="B16" s="31">
        <f>MIN(Assumptions!B25*Assumptions!B44,Assumptions!B26)</f>
        <v/>
      </c>
      <c r="C16" s="31">
        <f>MIN(Assumptions!B25*Assumptions!B44,Assumptions!B26)</f>
        <v/>
      </c>
      <c r="D16" s="31">
        <f>MIN(Assumptions!B25*Assumptions!B44,Assumptions!B26)</f>
        <v/>
      </c>
      <c r="E16" s="31">
        <f>MIN(Assumptions!B25*Assumptions!B44,Assumptions!B26)</f>
        <v/>
      </c>
      <c r="F16" s="31">
        <f>MIN(Assumptions!B25*Assumptions!B44,Assumptions!B26)</f>
        <v/>
      </c>
      <c r="G16" s="31">
        <f>SUM(B16:F16)</f>
        <v/>
      </c>
      <c r="H16" s="10" t="inlineStr">
        <is>
          <t>High — capped at $300K/yr × 5yr = $1.5M</t>
        </is>
      </c>
    </row>
    <row r="17" ht="18" customHeight="1">
      <c r="A17" s="58" t="inlineStr">
        <is>
          <t>Milestone earn-outs base (3 of 5 triggered)</t>
        </is>
      </c>
      <c r="B17" s="31" t="n">
        <v>200000</v>
      </c>
      <c r="C17" s="31" t="n">
        <v>200000</v>
      </c>
      <c r="D17" s="31" t="n">
        <v>250000</v>
      </c>
      <c r="E17" s="31" t="n">
        <v>0</v>
      </c>
      <c r="F17" s="31" t="n">
        <v>0</v>
      </c>
      <c r="G17" s="31">
        <f>SUM(B17:F17)</f>
        <v/>
      </c>
      <c r="H17" s="10" t="inlineStr">
        <is>
          <t>Base: M1 $5.1M rev FY27 + M2 OTV contract + M3 $10M rev (mgmt assumption)</t>
        </is>
      </c>
    </row>
    <row r="18" ht="18" customHeight="1">
      <c r="A18" s="58" t="inlineStr">
        <is>
          <t>Milestone earn-outs low (M1 only)</t>
        </is>
      </c>
      <c r="B18" s="31" t="n">
        <v>200000</v>
      </c>
      <c r="C18" s="31" t="n">
        <v>0</v>
      </c>
      <c r="D18" s="31" t="n">
        <v>0</v>
      </c>
      <c r="E18" s="31" t="n">
        <v>0</v>
      </c>
      <c r="F18" s="31" t="n">
        <v>0</v>
      </c>
      <c r="G18" s="31">
        <f>SUM(B18:F18)</f>
        <v/>
      </c>
      <c r="H18" s="10" t="inlineStr">
        <is>
          <t>Low: only M1 SSLC FY2026-27 revenue ≥$5.1M — $200K</t>
        </is>
      </c>
    </row>
    <row r="19" ht="18" customHeight="1">
      <c r="A19" s="58" t="inlineStr">
        <is>
          <t>Milestone earn-outs high (all 5 triggered)</t>
        </is>
      </c>
      <c r="B19" s="31" t="n">
        <v>200000</v>
      </c>
      <c r="C19" s="31" t="n">
        <v>200000</v>
      </c>
      <c r="D19" s="31" t="n">
        <v>250000</v>
      </c>
      <c r="E19" s="31" t="n">
        <v>250000</v>
      </c>
      <c r="F19" s="31" t="n">
        <v>200000</v>
      </c>
      <c r="G19" s="31">
        <f>SUM(B19:F19)</f>
        <v/>
      </c>
      <c r="H19" s="10" t="inlineStr">
        <is>
          <t>High: M1 $200K + M2 $200K + M3 $250K + M4 $250K + M5 $200K = $1.1M</t>
        </is>
      </c>
    </row>
    <row r="20" ht="18" customHeight="1">
      <c r="A20" s="58" t="inlineStr">
        <is>
          <t>Stock earn-out base (ii): 0.25% FD @ listing (total 1.25% incl. EAI)</t>
        </is>
      </c>
      <c r="B20" s="31" t="n">
        <v>0</v>
      </c>
      <c r="C20" s="31" t="n">
        <v>0</v>
      </c>
      <c r="D20" s="31">
        <f>Assumptions!B29*Assumptions!B32</f>
        <v/>
      </c>
      <c r="E20" s="31" t="n">
        <v>0</v>
      </c>
      <c r="F20" s="31" t="n">
        <v>0</v>
      </c>
      <c r="G20" s="31">
        <f>SUM(B20:F20)</f>
        <v/>
      </c>
      <c r="H20" s="10" t="inlineStr">
        <is>
          <t>0.25% earn-out at $250M listing = $625K; realized FY29 post principals' lockup. Also = $424K at 409A ($170M).</t>
        </is>
      </c>
    </row>
    <row r="21" ht="18" customHeight="1">
      <c r="A21" s="58" t="inlineStr">
        <is>
          <t>Stock earn-out low (ii): 0.0% earn-out (1.0% EAI up-front only)</t>
        </is>
      </c>
      <c r="B21" s="31" t="n">
        <v>0</v>
      </c>
      <c r="C21" s="31" t="n">
        <v>0</v>
      </c>
      <c r="D21" s="31">
        <f>Assumptions!B28*Assumptions!B31</f>
        <v/>
      </c>
      <c r="E21" s="31" t="n">
        <v>0</v>
      </c>
      <c r="F21" s="31" t="n">
        <v>0</v>
      </c>
      <c r="G21" s="31">
        <f>SUM(B21:F21)</f>
        <v/>
      </c>
      <c r="H21" s="10" t="inlineStr">
        <is>
          <t>0.0% earn-out = $0 at listing; total Exos equity = 1.0% EAI (Rule 504) only. At 409A = $0.</t>
        </is>
      </c>
    </row>
    <row r="22" ht="18" customHeight="1">
      <c r="A22" s="58" t="inlineStr">
        <is>
          <t>Stock earn-out high (ii): 0.5% @ $300M (total 1.5% incl. EAI)</t>
        </is>
      </c>
      <c r="B22" s="31" t="n">
        <v>0</v>
      </c>
      <c r="C22" s="31" t="n">
        <v>0</v>
      </c>
      <c r="D22" s="31">
        <f>Assumptions!B30*Assumptions!B33</f>
        <v/>
      </c>
      <c r="E22" s="31" t="n">
        <v>0</v>
      </c>
      <c r="F22" s="31" t="n">
        <v>0</v>
      </c>
      <c r="G22" s="31">
        <f>SUM(B22:F22)</f>
        <v/>
      </c>
      <c r="H22" s="10" t="inlineStr">
        <is>
          <t>0.5% earn-out at $300M = $1.5M; also = $848K at 409A ($170M). Total Exos equity = 1.5%.</t>
        </is>
      </c>
    </row>
    <row r="25">
      <c r="A25" s="12" t="inlineStr">
        <is>
          <t>TOTAL CONSIDERATION — 5-yr (base price + earn-outs + milestones) | negotiating terms — management assumptions</t>
        </is>
      </c>
    </row>
    <row r="26" ht="20" customHeight="1">
      <c r="A26" s="26" t="inlineStr">
        <is>
          <t>BASE: funding+EAI ($5.21M) + tank base (5yr) + milestones 1-3 + stock earn-out base ≈ $7.74M</t>
        </is>
      </c>
      <c r="B26" s="62">
        <f>B12+B14+B17+B20</f>
        <v/>
      </c>
      <c r="C26" s="62">
        <f>C12+C14+C17+C20</f>
        <v/>
      </c>
      <c r="D26" s="62">
        <f>D12+D14+D17+D20</f>
        <v/>
      </c>
      <c r="E26" s="62">
        <f>E12+E14+E17+E20</f>
        <v/>
      </c>
      <c r="F26" s="62">
        <f>F12+F14+F17+F20</f>
        <v/>
      </c>
      <c r="G26" s="62">
        <f>SUM(B26:F26)</f>
        <v/>
      </c>
    </row>
    <row r="27" ht="20" customHeight="1">
      <c r="A27" s="63" t="inlineStr">
        <is>
          <t>LOW:  funding+EAI ($5.21M) + tank low (5yr) + milestone M1 only + 0% earn-out ≈ $6.16M</t>
        </is>
      </c>
      <c r="B27" s="64">
        <f>B12+B15+B18+B21</f>
        <v/>
      </c>
      <c r="C27" s="64">
        <f>C12+C15+C18+C21</f>
        <v/>
      </c>
      <c r="D27" s="64">
        <f>D12+D15+D18+D21</f>
        <v/>
      </c>
      <c r="E27" s="64">
        <f>E12+E15+E18+E21</f>
        <v/>
      </c>
      <c r="F27" s="64">
        <f>F12+F15+F18+F21</f>
        <v/>
      </c>
      <c r="G27" s="64">
        <f>SUM(B27:F27)</f>
        <v/>
      </c>
    </row>
    <row r="28" ht="20" customHeight="1">
      <c r="A28" s="65" t="inlineStr">
        <is>
          <t>HIGH: funding+EAI ($5.21M) + tank high + all milestones + 0.5% earn-out ≈ $9.31M [HIGH &lt; $10M target — not rebalanced per 10/9 instruction]</t>
        </is>
      </c>
      <c r="B28" s="66">
        <f>B12+B16+B19+B22</f>
        <v/>
      </c>
      <c r="C28" s="66">
        <f>C12+C16+C19+C22</f>
        <v/>
      </c>
      <c r="D28" s="66">
        <f>D12+D16+D19+D22</f>
        <v/>
      </c>
      <c r="E28" s="66">
        <f>E12+E16+E19+E22</f>
        <v/>
      </c>
      <c r="F28" s="66">
        <f>F12+F16+F19+F22</f>
        <v/>
      </c>
      <c r="G28" s="66">
        <f>SUM(B28:F28)</f>
        <v/>
      </c>
    </row>
    <row r="29" ht="20" customHeight="1">
      <c r="A29" s="24" t="inlineStr">
        <is>
          <t>AA SENSITIVITY BASE (same earn-out structure)</t>
        </is>
      </c>
      <c r="B29" s="67">
        <f>B12+B14+B17+B20</f>
        <v/>
      </c>
      <c r="C29" s="67">
        <f>C12+C14+C17+C20</f>
        <v/>
      </c>
      <c r="D29" s="67">
        <f>D12+D14+D17+D20</f>
        <v/>
      </c>
      <c r="E29" s="67">
        <f>E12+E14+E17+E20</f>
        <v/>
      </c>
      <c r="F29" s="67">
        <f>F12+F14+F17+F20</f>
        <v/>
      </c>
      <c r="G29" s="67">
        <f>SUM(B29:F29)</f>
        <v/>
      </c>
    </row>
    <row r="31">
      <c r="A31" s="10" t="inlineStr">
        <is>
          <t>Chart: see drafts/SSLC_OptionB_Total_Compensation_5yr_2026-10-07.png (incl Y5 hold annotation)</t>
        </is>
      </c>
    </row>
    <row r="33">
      <c r="A33" s="12" t="inlineStr">
        <is>
          <t>HOLD TO YEAR 5 — Forward Potential if SSLC Investors Hold Exos Shares to FY31 (John 10/7)</t>
        </is>
      </c>
    </row>
    <row r="34" ht="32" customHeight="1">
      <c r="A34" s="68" t="inlineStr">
        <is>
          <t>Base = Old-Model (v12). Dilution: Series A $25M staged (D1-D4, ~13%) + RTO (~12%) + option pool (~5%) = ~30% flat (MANAGEMENT ASSUMPTION). TOTAL stake at listing: 1.0% EAI up-front (Rule 504) + earn-out % = 1.0/1.25/1.5% low/base/high → 0.70/0.875/1.05% post-dilution. AA case EV ~$176M = BELOW $250M listing — stock worth less in AA case by FY31.</t>
        </is>
      </c>
    </row>
    <row r="35" ht="22" customHeight="1">
      <c r="A35" s="69" t="inlineStr">
        <is>
          <t>Scenario</t>
        </is>
      </c>
      <c r="B35" s="69" t="inlineStr">
        <is>
          <t>FY31 EV</t>
        </is>
      </c>
      <c r="C35" s="69" t="inlineStr">
        <is>
          <t>Post-dil stake</t>
        </is>
      </c>
      <c r="D35" s="69" t="inlineStr">
        <is>
          <t>FY31 share value</t>
        </is>
      </c>
      <c r="E35" s="69" t="inlineStr">
        <is>
          <t>At-listing value</t>
        </is>
      </c>
      <c r="F35" s="69" t="inlineStr">
        <is>
          <t>Multiple vs listing</t>
        </is>
      </c>
      <c r="G35" s="69" t="inlineStr"/>
      <c r="H35" s="69" t="inlineStr">
        <is>
          <t>Notes</t>
        </is>
      </c>
    </row>
    <row r="36" ht="18" customHeight="1">
      <c r="A36" s="29" t="inlineStr">
        <is>
          <t>Old-Model — Low</t>
        </is>
      </c>
      <c r="B36" s="31">
        <f>Assumptions!B118</f>
        <v/>
      </c>
      <c r="C36" s="54">
        <f>Assumptions!B125</f>
        <v/>
      </c>
      <c r="D36" s="31">
        <f>B36*C36</f>
        <v/>
      </c>
      <c r="E36" s="31">
        <f>Assumptions!B28*Assumptions!B31</f>
        <v/>
      </c>
      <c r="F36" s="70">
        <f>D36/E36</f>
        <v/>
      </c>
      <c r="H36" s="71" t="inlineStr">
        <is>
          <t>Total 1.0% (EAI only, 0% earn-out) x 0.70 = 0.70%; EV $1.626B; multiple vs earn-out at listing ($0)</t>
        </is>
      </c>
    </row>
    <row r="37" ht="18" customHeight="1">
      <c r="A37" s="29" t="inlineStr">
        <is>
          <t>Old-Model — Base</t>
        </is>
      </c>
      <c r="B37" s="31">
        <f>Assumptions!B118</f>
        <v/>
      </c>
      <c r="C37" s="54">
        <f>Assumptions!B124</f>
        <v/>
      </c>
      <c r="D37" s="31">
        <f>B37*C37</f>
        <v/>
      </c>
      <c r="E37" s="31">
        <f>Assumptions!B29*Assumptions!B32</f>
        <v/>
      </c>
      <c r="F37" s="70">
        <f>D37/E37</f>
        <v/>
      </c>
      <c r="H37" s="71" t="inlineStr">
        <is>
          <t>Total 1.25% (1.0% EAI + 0.25% earn-out) x 0.70 = 0.875%; EV $1.626B; vs earn-out at listing $625K</t>
        </is>
      </c>
    </row>
    <row r="38" ht="18" customHeight="1">
      <c r="A38" s="29" t="inlineStr">
        <is>
          <t>Old-Model — High</t>
        </is>
      </c>
      <c r="B38" s="31">
        <f>Assumptions!B118</f>
        <v/>
      </c>
      <c r="C38" s="54">
        <f>Assumptions!B126</f>
        <v/>
      </c>
      <c r="D38" s="31">
        <f>B38*C38</f>
        <v/>
      </c>
      <c r="E38" s="31">
        <f>Assumptions!B30*Assumptions!B33</f>
        <v/>
      </c>
      <c r="F38" s="70">
        <f>D38/E38</f>
        <v/>
      </c>
      <c r="H38" s="71" t="inlineStr">
        <is>
          <t>Total 1.5% (1.0% EAI + 0.5% earn-out) x 0.70 = 1.05%; EV $1.626B; vs earn-out at listing $1.5M</t>
        </is>
      </c>
    </row>
    <row r="39" ht="18" customHeight="1">
      <c r="A39" s="72" t="inlineStr">
        <is>
          <t>AA — Low</t>
        </is>
      </c>
      <c r="B39" s="31">
        <f>Assumptions!B120</f>
        <v/>
      </c>
      <c r="C39" s="54">
        <f>Assumptions!B125</f>
        <v/>
      </c>
      <c r="D39" s="31">
        <f>B39*C39</f>
        <v/>
      </c>
      <c r="E39" s="31">
        <f>Assumptions!B28*Assumptions!B31</f>
        <v/>
      </c>
      <c r="F39" s="70">
        <f>D39/E39</f>
        <v/>
      </c>
      <c r="H39" s="71" t="inlineStr">
        <is>
          <t>BELOW listing value — AA FY31 EV ~$176M &lt; $250M MEV; earn-out = $0</t>
        </is>
      </c>
    </row>
    <row r="40" ht="18" customHeight="1">
      <c r="A40" s="72" t="inlineStr">
        <is>
          <t>AA — Base</t>
        </is>
      </c>
      <c r="B40" s="31">
        <f>Assumptions!B120</f>
        <v/>
      </c>
      <c r="C40" s="54">
        <f>Assumptions!B124</f>
        <v/>
      </c>
      <c r="D40" s="31">
        <f>B40*C40</f>
        <v/>
      </c>
      <c r="E40" s="31">
        <f>Assumptions!B29*Assumptions!B32</f>
        <v/>
      </c>
      <c r="F40" s="70">
        <f>D40/E40</f>
        <v/>
      </c>
      <c r="H40" s="71" t="inlineStr">
        <is>
          <t>BELOW listing — ~$924K vs earn-out at listing $625K</t>
        </is>
      </c>
    </row>
    <row r="41" ht="18" customHeight="1">
      <c r="A41" s="72" t="inlineStr">
        <is>
          <t>AA — High</t>
        </is>
      </c>
      <c r="B41" s="31">
        <f>Assumptions!B120</f>
        <v/>
      </c>
      <c r="C41" s="54">
        <f>Assumptions!B126</f>
        <v/>
      </c>
      <c r="D41" s="31">
        <f>B41*C41</f>
        <v/>
      </c>
      <c r="E41" s="31">
        <f>Assumptions!B30*Assumptions!B33</f>
        <v/>
      </c>
      <c r="F41" s="70">
        <f>D41/E41</f>
        <v/>
      </c>
      <c r="H41" s="71" t="inlineStr">
        <is>
          <t>BELOW listing — ~$1.23M vs earn-out at listing $1.5M</t>
        </is>
      </c>
    </row>
    <row r="43" ht="42" customHeight="1">
      <c r="A43" s="73" t="inlineStr">
        <is>
          <t>NOTE: Y5 hold values are NOT additive to at-listing earn-out. Investors choose to hold OR sell at listing. Old-Model base: hold to FY31 = ~$8.54M vs sell at listing = $1.875M (4.6x). AA base: hold to FY31 = ~$0.92M vs sell at listing = $1.875M (0.49x) — AA case penalizes holding. Model notes: Up-front 1.0% EAI equity (~$1.7M) counts toward Rule 504 $10M rolling 12-month cap; confirm remaining 504 capacity before issuance. Rule 504 reference: https://www.sec.gov/resources-small-businesses/exempt-offerings/exemption-limited-offerings-not-exceeding-10-million-rule-504-regulation-d. Rule 504 is U.S.-only; EAI units used in the separate Reg S Japan round must be tracked under a distinct exemption.</t>
        </is>
      </c>
    </row>
  </sheetData>
  <mergeCells count="9">
    <mergeCell ref="A1:H1"/>
    <mergeCell ref="A25:H25"/>
    <mergeCell ref="A43:H43"/>
    <mergeCell ref="A2:H2"/>
    <mergeCell ref="A13:H13"/>
    <mergeCell ref="A33:H33"/>
    <mergeCell ref="A5:H5"/>
    <mergeCell ref="A31:H31"/>
    <mergeCell ref="A34:H3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50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3" t="inlineStr">
        <is>
          <t>Line Item</t>
        </is>
      </c>
      <c r="B4" s="53" t="inlineStr">
        <is>
          <t>FY27 (Y1)</t>
        </is>
      </c>
      <c r="C4" s="53" t="inlineStr">
        <is>
          <t>FY28 (Y2)</t>
        </is>
      </c>
      <c r="D4" s="53" t="inlineStr">
        <is>
          <t>FY29 (Y3)</t>
        </is>
      </c>
      <c r="E4" s="53" t="inlineStr">
        <is>
          <t>FY30 (Y4)</t>
        </is>
      </c>
      <c r="F4" s="53" t="inlineStr">
        <is>
          <t>FY31 (Y5)</t>
        </is>
      </c>
      <c r="G4" s="53" t="inlineStr">
        <is>
          <t>Reconciliation Reason</t>
        </is>
      </c>
    </row>
    <row r="5" ht="16" customHeight="1">
      <c r="A5" s="46" t="inlineStr">
        <is>
          <t>SSLC REVENUE</t>
        </is>
      </c>
    </row>
    <row r="6" ht="28" customHeight="1">
      <c r="A6" s="5" t="inlineStr">
        <is>
          <t>v12 SSLC/Scorpius revenue</t>
        </is>
      </c>
      <c r="B6" s="25" t="n">
        <v>4120000</v>
      </c>
      <c r="C6" s="25" t="n">
        <v>8680000</v>
      </c>
      <c r="D6" s="25" t="n">
        <v>19220000</v>
      </c>
      <c r="E6" s="25" t="n">
        <v>33880000</v>
      </c>
      <c r="F6" s="25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5" t="n">
        <v>5500000</v>
      </c>
      <c r="C7" s="25" t="n">
        <v>7500000</v>
      </c>
      <c r="D7" s="25" t="n">
        <v>10000000</v>
      </c>
      <c r="E7" s="25" t="n">
        <v>13000000</v>
      </c>
      <c r="F7" s="25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74" t="inlineStr">
        <is>
          <t>Δ (v12 − AA)</t>
        </is>
      </c>
      <c r="B8" s="75">
        <f>B6-B7</f>
        <v/>
      </c>
      <c r="C8" s="75">
        <f>C6-C7</f>
        <v/>
      </c>
      <c r="D8" s="75">
        <f>D6-D7</f>
        <v/>
      </c>
      <c r="E8" s="75">
        <f>E6-E7</f>
        <v/>
      </c>
      <c r="F8" s="75">
        <f>F6-F7</f>
        <v/>
      </c>
      <c r="G8" s="76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32" t="inlineStr">
        <is>
          <t>gap</t>
        </is>
      </c>
      <c r="C9" s="32" t="n"/>
      <c r="D9" s="32" t="n"/>
      <c r="E9" s="32" t="n"/>
      <c r="F9" s="32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6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5" t="n">
        <v>8880000</v>
      </c>
      <c r="C12" s="25" t="n">
        <v>21350000</v>
      </c>
      <c r="D12" s="25" t="n">
        <v>48590000</v>
      </c>
      <c r="E12" s="25" t="n">
        <v>95920000</v>
      </c>
      <c r="F12" s="25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5">
        <f>'PL and Cash Flow'!B40</f>
        <v/>
      </c>
      <c r="C13" s="25">
        <f>'PL and Cash Flow'!C40</f>
        <v/>
      </c>
      <c r="D13" s="25">
        <f>'PL and Cash Flow'!D40</f>
        <v/>
      </c>
      <c r="E13" s="25">
        <f>'PL and Cash Flow'!E40</f>
        <v/>
      </c>
      <c r="F13" s="25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74" t="inlineStr">
        <is>
          <t>Δ (v12 − AA)</t>
        </is>
      </c>
      <c r="B14" s="75">
        <f>B12-B13</f>
        <v/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5">
        <f>Assumptions!B86-Assumptions!B57</f>
        <v/>
      </c>
      <c r="C15" s="25">
        <f>Assumptions!B87-Assumptions!B58</f>
        <v/>
      </c>
      <c r="D15" s="25">
        <f>Assumptions!B88-Assumptions!B59</f>
        <v/>
      </c>
      <c r="E15" s="25">
        <f>Assumptions!B89-Assumptions!B60</f>
        <v/>
      </c>
      <c r="F15" s="25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6" t="inlineStr">
        <is>
          <t>EBITDA</t>
        </is>
      </c>
    </row>
    <row r="18" ht="36" customHeight="1">
      <c r="A18" s="5" t="inlineStr">
        <is>
          <t>v12 total EBITDA</t>
        </is>
      </c>
      <c r="B18" s="25" t="n">
        <v>1120000</v>
      </c>
      <c r="C18" s="25" t="n">
        <v>4120000</v>
      </c>
      <c r="D18" s="25" t="n">
        <v>17240000</v>
      </c>
      <c r="E18" s="25" t="n">
        <v>42160000</v>
      </c>
      <c r="F18" s="25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5">
        <f>'PL and Cash Flow'!B45</f>
        <v/>
      </c>
      <c r="C19" s="25">
        <f>'PL and Cash Flow'!C45</f>
        <v/>
      </c>
      <c r="D19" s="25">
        <f>'PL and Cash Flow'!D45</f>
        <v/>
      </c>
      <c r="E19" s="25">
        <f>'PL and Cash Flow'!E45</f>
        <v/>
      </c>
      <c r="F19" s="25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74" t="inlineStr">
        <is>
          <t>Δ (v12 − AA)</t>
        </is>
      </c>
      <c r="B20" s="75">
        <f>B18-B19</f>
        <v/>
      </c>
      <c r="C20" s="75">
        <f>C18-C19</f>
        <v/>
      </c>
      <c r="D20" s="75">
        <f>D18-D19</f>
        <v/>
      </c>
      <c r="E20" s="75">
        <f>E18-E19</f>
        <v/>
      </c>
      <c r="F20" s="75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7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7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2026-10-09T19:26:12Z</dcterms:created>
  <dcterms:modified xmlns:dcterms="http://purl.org/dc/terms/" xmlns:xsi="http://www.w3.org/2001/XMLSchema-instance" xsi:type="dcterms:W3CDTF">2026-10-09T19:26:12Z</dcterms:modified>
</cp:coreProperties>
</file>