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eal Structure" sheetId="2" state="visible" r:id="rId2"/>
    <sheet xmlns:r="http://schemas.openxmlformats.org/officeDocument/2006/relationships" name="PL and Cash Flow" sheetId="3" state="visible" r:id="rId3"/>
    <sheet xmlns:r="http://schemas.openxmlformats.org/officeDocument/2006/relationships" name="Returns and Dilution" sheetId="4" state="visible" r:id="rId4"/>
    <sheet xmlns:r="http://schemas.openxmlformats.org/officeDocument/2006/relationships" name="Funding" sheetId="5" state="visible" r:id="rId5"/>
    <sheet xmlns:r="http://schemas.openxmlformats.org/officeDocument/2006/relationships" name="Total Compensation" sheetId="6" state="visible" r:id="rId6"/>
    <sheet xmlns:r="http://schemas.openxmlformats.org/officeDocument/2006/relationships" name="Reconcili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$#,##0;($#,##0)"/>
    <numFmt numFmtId="167" formatCode="0.0x"/>
  </numFmts>
  <fonts count="19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666666"/>
      <sz val="9"/>
    </font>
    <font>
      <b val="1"/>
      <color rgb="00FFFFFF"/>
    </font>
    <font>
      <b val="1"/>
      <color rgb="00FFFFFF"/>
      <sz val="10"/>
    </font>
    <font>
      <sz val="10"/>
    </font>
    <font>
      <b val="1"/>
      <sz val="10"/>
    </font>
    <font>
      <i val="1"/>
      <color rgb="00444444"/>
      <sz val="9"/>
    </font>
    <font>
      <b val="1"/>
      <color rgb="00C00000"/>
      <sz val="9"/>
    </font>
    <font>
      <b val="1"/>
      <color rgb="00FFFFFF"/>
      <sz val="12"/>
    </font>
    <font>
      <b val="1"/>
      <color rgb="00FFFFFF"/>
      <sz val="9"/>
    </font>
    <font>
      <sz val="9"/>
    </font>
    <font>
      <i val="1"/>
      <sz val="9"/>
    </font>
    <font>
      <b val="1"/>
    </font>
    <font>
      <b val="1"/>
      <color rgb="00FFFFFF"/>
      <sz val="11"/>
    </font>
    <font>
      <b val="1"/>
      <sz val="9"/>
    </font>
    <font>
      <i val="1"/>
      <color rgb="00C00000"/>
      <sz val="9"/>
    </font>
    <font>
      <b val="1"/>
      <color rgb="00FF0000"/>
    </font>
    <font>
      <b val="1"/>
      <color rgb="00FF8C00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7030A0"/>
      </patternFill>
    </fill>
    <fill>
      <patternFill patternType="solid">
        <fgColor rgb="00EAD8F7"/>
      </patternFill>
    </fill>
    <fill>
      <patternFill patternType="solid">
        <fgColor rgb="00FFE0E0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444444"/>
      </patternFill>
    </fill>
    <fill>
      <patternFill patternType="solid">
        <fgColor rgb="00F2F2F2"/>
      </patternFill>
    </fill>
    <fill>
      <patternFill patternType="solid">
        <fgColor rgb="00666666"/>
      </patternFill>
    </fill>
    <fill>
      <patternFill patternType="solid">
        <fgColor rgb="00E26A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wrapText="1"/>
    </xf>
    <xf numFmtId="164" fontId="6" fillId="0" borderId="0" pivotButton="0" quotePrefix="0" xfId="0"/>
    <xf numFmtId="165" fontId="6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5" borderId="0" pivotButton="0" quotePrefix="0" xfId="0"/>
    <xf numFmtId="164" fontId="6" fillId="5" borderId="0" pivotButton="0" quotePrefix="0" xfId="0"/>
    <xf numFmtId="0" fontId="7" fillId="5" borderId="0" pivotButton="0" quotePrefix="0" xfId="0"/>
    <xf numFmtId="165" fontId="6" fillId="5" borderId="0" pivotButton="0" quotePrefix="0" xfId="0"/>
    <xf numFmtId="0" fontId="8" fillId="6" borderId="0" applyAlignment="1" pivotButton="0" quotePrefix="0" xfId="0">
      <alignment wrapText="1"/>
    </xf>
    <xf numFmtId="0" fontId="9" fillId="2" borderId="0" applyAlignment="1" pivotButton="0" quotePrefix="0" xfId="0">
      <alignment horizontal="center" vertical="center"/>
    </xf>
    <xf numFmtId="0" fontId="3" fillId="2" borderId="0" pivotButton="0" quotePrefix="0" xfId="0"/>
    <xf numFmtId="0" fontId="3" fillId="3" borderId="0" pivotButton="0" quotePrefix="0" xfId="0"/>
    <xf numFmtId="0" fontId="6" fillId="7" borderId="0" pivotButton="0" quotePrefix="0" xfId="0"/>
    <xf numFmtId="166" fontId="0" fillId="0" borderId="0" pivotButton="0" quotePrefix="0" xfId="0"/>
    <xf numFmtId="0" fontId="6" fillId="8" borderId="0" pivotButton="0" quotePrefix="0" xfId="0"/>
    <xf numFmtId="166" fontId="6" fillId="8" borderId="0" pivotButton="0" quotePrefix="0" xfId="0"/>
    <xf numFmtId="0" fontId="10" fillId="3" borderId="0" applyAlignment="1" pivotButton="0" quotePrefix="0" xfId="0">
      <alignment horizontal="center" wrapText="1"/>
    </xf>
    <xf numFmtId="0" fontId="11" fillId="0" borderId="0" pivotButton="0" quotePrefix="0" xfId="0"/>
    <xf numFmtId="164" fontId="11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13" fillId="8" borderId="0" pivotButton="0" quotePrefix="0" xfId="0"/>
    <xf numFmtId="164" fontId="13" fillId="8" borderId="0" pivotButton="0" quotePrefix="0" xfId="0"/>
    <xf numFmtId="167" fontId="0" fillId="0" borderId="0" pivotButton="0" quotePrefix="0" xfId="0"/>
    <xf numFmtId="166" fontId="13" fillId="8" borderId="0" pivotButton="0" quotePrefix="0" xfId="0"/>
    <xf numFmtId="165" fontId="0" fillId="0" borderId="0" pivotButton="0" quotePrefix="0" xfId="0"/>
    <xf numFmtId="0" fontId="13" fillId="9" borderId="0" pivotButton="0" quotePrefix="0" xfId="0"/>
    <xf numFmtId="166" fontId="13" fillId="9" borderId="0" pivotButton="0" quotePrefix="0" xfId="0"/>
    <xf numFmtId="0" fontId="13" fillId="10" borderId="0" pivotButton="0" quotePrefix="0" xfId="0"/>
    <xf numFmtId="166" fontId="13" fillId="10" borderId="0" pivotButton="0" quotePrefix="0" xfId="0"/>
    <xf numFmtId="0" fontId="14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15" fillId="7" borderId="0" pivotButton="0" quotePrefix="0" xfId="0"/>
    <xf numFmtId="0" fontId="15" fillId="5" borderId="0" pivotButton="0" quotePrefix="0" xfId="0"/>
    <xf numFmtId="0" fontId="16" fillId="0" borderId="0" pivotButton="0" quotePrefix="0" xfId="0"/>
    <xf numFmtId="0" fontId="8" fillId="6" borderId="0" pivotButton="0" quotePrefix="0" xfId="0"/>
    <xf numFmtId="0" fontId="9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wrapText="1"/>
    </xf>
    <xf numFmtId="10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4" fillId="11" borderId="0" pivotButton="0" quotePrefix="0" xfId="0"/>
    <xf numFmtId="0" fontId="5" fillId="12" borderId="0" pivotButton="0" quotePrefix="0" xfId="0"/>
    <xf numFmtId="0" fontId="6" fillId="13" borderId="0" pivotButton="0" quotePrefix="0" xfId="0"/>
    <xf numFmtId="164" fontId="4" fillId="13" borderId="0" pivotButton="0" quotePrefix="0" xfId="0"/>
    <xf numFmtId="0" fontId="4" fillId="14" borderId="0" pivotButton="0" quotePrefix="0" xfId="0"/>
    <xf numFmtId="164" fontId="6" fillId="8" borderId="0" pivotButton="0" quotePrefix="0" xfId="0"/>
    <xf numFmtId="0" fontId="6" fillId="9" borderId="0" pivotButton="0" quotePrefix="0" xfId="0"/>
    <xf numFmtId="164" fontId="6" fillId="9" borderId="0" pivotButton="0" quotePrefix="0" xfId="0"/>
    <xf numFmtId="0" fontId="6" fillId="10" borderId="0" pivotButton="0" quotePrefix="0" xfId="0"/>
    <xf numFmtId="164" fontId="6" fillId="10" borderId="0" pivotButton="0" quotePrefix="0" xfId="0"/>
    <xf numFmtId="164" fontId="6" fillId="7" borderId="0" pivotButton="0" quotePrefix="0" xfId="0"/>
    <xf numFmtId="0" fontId="5" fillId="10" borderId="0" pivotButton="0" quotePrefix="0" xfId="0"/>
    <xf numFmtId="166" fontId="0" fillId="10" borderId="0" pivotButton="0" quotePrefix="0" xfId="0"/>
    <xf numFmtId="0" fontId="7" fillId="1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7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6" customWidth="1" min="3" max="3"/>
  </cols>
  <sheetData>
    <row r="1" ht="24" customHeight="1">
      <c r="A1" s="1" t="inlineStr">
        <is>
          <t>EXOS Aerospace / SSLC Option B Acquisition — Assumptions</t>
        </is>
      </c>
    </row>
    <row r="2">
      <c r="A2" s="2" t="inlineStr">
        <is>
          <t>Prepared: 2026-10-07 | DRAFT — NEGOTIATING TERMS | INTERNAL — Exo/CEO only | Two cases: Actuals-Anchored and Old-Model (v12 drivers)</t>
        </is>
      </c>
    </row>
    <row r="4">
      <c r="A4" s="3" t="inlineStr">
        <is>
          <t>Assumption</t>
        </is>
      </c>
      <c r="B4" s="3" t="inlineStr">
        <is>
          <t>Value</t>
        </is>
      </c>
      <c r="C4" s="3" t="inlineStr">
        <is>
          <t>Source / Notes</t>
        </is>
      </c>
    </row>
    <row r="5" ht="20" customHeight="1">
      <c r="A5" s="4" t="inlineStr">
        <is>
          <t>DEAL STRUCTURE — Option B</t>
        </is>
      </c>
    </row>
    <row r="6" ht="28" customHeight="1">
      <c r="A6" s="5" t="inlineStr">
        <is>
          <t>Agreement date (Asset Acquisition Agreement)</t>
        </is>
      </c>
      <c r="B6" s="6" t="inlineStr">
        <is>
          <t>2025-05-13</t>
        </is>
      </c>
      <c r="C6" s="7" t="inlineStr">
        <is>
          <t>Executed — Jon Quinn &amp; Jim Wertz</t>
        </is>
      </c>
    </row>
    <row r="7" ht="28" customHeight="1">
      <c r="A7" s="5" t="inlineStr">
        <is>
          <t>§3 exclusivity trigger: financing agreement</t>
        </is>
      </c>
      <c r="B7" s="6" t="inlineStr">
        <is>
          <t>Ainigma/FNEX executed mandate</t>
        </is>
      </c>
      <c r="C7" s="7" t="inlineStr">
        <is>
          <t>FNEX advisory agreement; strengthen with investor/sponsor use-of-proceeds letter</t>
        </is>
      </c>
    </row>
    <row r="8" ht="28" customHeight="1">
      <c r="A8" s="5" t="inlineStr">
        <is>
          <t>Exclusivity period (days)</t>
        </is>
      </c>
      <c r="B8" s="8" t="n">
        <v>90</v>
      </c>
      <c r="C8" s="7" t="inlineStr">
        <is>
          <t>§3 of the 2025 Agreement</t>
        </is>
      </c>
    </row>
    <row r="9" ht="28" customHeight="1">
      <c r="A9" s="5" t="inlineStr">
        <is>
          <t>Deal price — total commitment ($)</t>
        </is>
      </c>
      <c r="B9" s="8" t="n">
        <v>3360000</v>
      </c>
      <c r="C9" s="7" t="inlineStr">
        <is>
          <t>§3 / §1: $2.51M cash + $60K costs + $790K stake credit</t>
        </is>
      </c>
    </row>
    <row r="10" ht="28" customHeight="1">
      <c r="A10" s="5" t="inlineStr">
        <is>
          <t xml:space="preserve">  Cash at close ($)</t>
        </is>
      </c>
      <c r="B10" s="8" t="n">
        <v>2510000</v>
      </c>
      <c r="C10" s="7" t="inlineStr">
        <is>
          <t>Stated deal price — cash component</t>
        </is>
      </c>
    </row>
    <row r="11" ht="28" customHeight="1">
      <c r="A11" s="5" t="inlineStr">
        <is>
          <t xml:space="preserve">  SSLC closing costs ($)</t>
        </is>
      </c>
      <c r="B11" s="8" t="n">
        <v>60000</v>
      </c>
      <c r="C11" s="7" t="inlineStr">
        <is>
          <t>Seller's costs; included in total</t>
        </is>
      </c>
    </row>
    <row r="12" ht="28" customHeight="1">
      <c r="A12" s="5" t="inlineStr">
        <is>
          <t xml:space="preserve">  Exos existing-stake credit ($)</t>
        </is>
      </c>
      <c r="B12" s="8" t="n">
        <v>790000</v>
      </c>
      <c r="C12" s="7" t="inlineStr">
        <is>
          <t>18% equity at 2021 basis (~$4.39M total × 18%)</t>
        </is>
      </c>
    </row>
    <row r="13" ht="28" customHeight="1">
      <c r="A13" s="5" t="inlineStr">
        <is>
          <t xml:space="preserve">  Escrowed holdback (§7) — 5% for 12 months ($)</t>
        </is>
      </c>
      <c r="B13" s="6">
        <f>B9*0.05</f>
        <v/>
      </c>
      <c r="C13" s="7" t="inlineStr">
        <is>
          <t>§7; released at 12-month anniversary</t>
        </is>
      </c>
    </row>
    <row r="14" ht="28" customHeight="1">
      <c r="A14" s="5" t="inlineStr">
        <is>
          <t>SSLC debts assumed at face ($)</t>
        </is>
      </c>
      <c r="B14" s="8" t="n">
        <v>500000</v>
      </c>
      <c r="C14" s="7" t="inlineStr">
        <is>
          <t>MANAGEMENT ASSUMPTION — UNVERIFIED. QB session expired 10/7. Microcosm loan + Wertz notes + AP.</t>
        </is>
      </c>
    </row>
    <row r="15" ht="28" customHeight="1">
      <c r="A15" s="5" t="inlineStr">
        <is>
          <t>Exos loan to SSLC — waived as license consideration ($)</t>
        </is>
      </c>
      <c r="B15" s="8" t="n">
        <v>38000</v>
      </c>
      <c r="C15" s="7" t="inlineStr">
        <is>
          <t>Jon decision 10/2; not re-proposed</t>
        </is>
      </c>
    </row>
    <row r="16" ht="28" customHeight="1">
      <c r="A16" s="5" t="inlineStr">
        <is>
          <t>Working capital bridge needed (mid-point) ($)</t>
        </is>
      </c>
      <c r="B16" s="8" t="n">
        <v>500000</v>
      </c>
      <c r="C16" s="7" t="inlineStr">
        <is>
          <t>SSLC needs $0.3–0.7M to finish paid-for work. Mid=$500K.</t>
        </is>
      </c>
    </row>
    <row r="17" ht="28" customHeight="1">
      <c r="A17" s="5" t="inlineStr">
        <is>
          <t>Series A raise — first close ($)</t>
        </is>
      </c>
      <c r="B17" s="8" t="n">
        <v>10000000</v>
      </c>
      <c r="C17" s="7" t="inlineStr">
        <is>
          <t>D1 of record, 2026-08-13</t>
        </is>
      </c>
    </row>
    <row r="18" ht="28" customHeight="1">
      <c r="A18" s="5" t="inlineStr">
        <is>
          <t>Pre-money valuation (Eqvista 409A) ($)</t>
        </is>
      </c>
      <c r="B18" s="8" t="n">
        <v>169700000</v>
      </c>
      <c r="C18" s="7" t="inlineStr">
        <is>
          <t>Eqvista 03/31/26; $8.66/sh; DLOM 36.51%</t>
        </is>
      </c>
    </row>
    <row r="19" ht="28" customHeight="1">
      <c r="A19" s="5" t="inlineStr">
        <is>
          <t>RTO minimum enterprise value ($)</t>
        </is>
      </c>
      <c r="B19" s="8" t="n">
        <v>250000000</v>
      </c>
      <c r="C19" s="7" t="inlineStr">
        <is>
          <t>FNEX/Ainigma term — $250M min MEV</t>
        </is>
      </c>
    </row>
    <row r="20" ht="28" customHeight="1">
      <c r="A20" s="5" t="inlineStr">
        <is>
          <t>Pre-RTO note size ($)</t>
        </is>
      </c>
      <c r="B20" s="8" t="n">
        <v>15000000</v>
      </c>
      <c r="C20" s="7" t="inlineStr">
        <is>
          <t>FNEX/Ainigma convertible note</t>
        </is>
      </c>
    </row>
    <row r="22" ht="20" customHeight="1">
      <c r="A22" s="4" t="inlineStr">
        <is>
          <t>EARN-OUT PARAMETERS</t>
        </is>
      </c>
    </row>
    <row r="23" ht="22" customHeight="1">
      <c r="A23" s="5" t="inlineStr">
        <is>
          <t>Earn-out i — IM tank revenue % (low)</t>
        </is>
      </c>
      <c r="B23" s="9" t="n">
        <v>0.03</v>
      </c>
      <c r="C23" s="10" t="inlineStr">
        <is>
          <t>Management assumption — unverified</t>
        </is>
      </c>
    </row>
    <row r="24" ht="22" customHeight="1">
      <c r="A24" s="5" t="inlineStr">
        <is>
          <t>Earn-out i — IM tank revenue % (base)</t>
        </is>
      </c>
      <c r="B24" s="9" t="n">
        <v>0.05</v>
      </c>
      <c r="C24" s="10" t="inlineStr">
        <is>
          <t>Management assumption — unverified</t>
        </is>
      </c>
    </row>
    <row r="25" ht="22" customHeight="1">
      <c r="A25" s="5" t="inlineStr">
        <is>
          <t>Earn-out i — IM tank revenue % (high)</t>
        </is>
      </c>
      <c r="B25" s="9" t="n">
        <v>0.07000000000000001</v>
      </c>
      <c r="C25" s="10" t="inlineStr">
        <is>
          <t>Management assumption — unverified</t>
        </is>
      </c>
    </row>
    <row r="26" ht="22" customHeight="1">
      <c r="A26" s="5" t="inlineStr">
        <is>
          <t>Earn-out i — annual cap ($)</t>
        </is>
      </c>
      <c r="B26" s="8" t="n">
        <v>300000</v>
      </c>
      <c r="C26" s="10" t="inlineStr">
        <is>
          <t>Management assumption — unverified</t>
        </is>
      </c>
    </row>
    <row r="27" ht="22" customHeight="1">
      <c r="A27" s="5" t="inlineStr">
        <is>
          <t>Earn-out i — duration (years)</t>
        </is>
      </c>
      <c r="B27" s="6" t="n">
        <v>3</v>
      </c>
      <c r="C27" s="10" t="inlineStr">
        <is>
          <t>Management assumption — unverified</t>
        </is>
      </c>
    </row>
    <row r="28" ht="22" customHeight="1">
      <c r="A28" s="5" t="inlineStr">
        <is>
          <t>Earn-out ii — Exos stock % of FD shares (low)</t>
        </is>
      </c>
      <c r="B28" s="9" t="n">
        <v>0.003</v>
      </c>
      <c r="C28" s="10" t="inlineStr">
        <is>
          <t>Management assumption — unverified</t>
        </is>
      </c>
    </row>
    <row r="29" ht="22" customHeight="1">
      <c r="A29" s="5" t="inlineStr">
        <is>
          <t>Earn-out ii — Exos stock % of FD shares (base)</t>
        </is>
      </c>
      <c r="B29" s="9" t="n">
        <v>0.005</v>
      </c>
      <c r="C29" s="10" t="inlineStr">
        <is>
          <t>Management assumption — unverified</t>
        </is>
      </c>
    </row>
    <row r="30" ht="22" customHeight="1">
      <c r="A30" s="5" t="inlineStr">
        <is>
          <t>Earn-out ii — Exos stock % of FD shares (high)</t>
        </is>
      </c>
      <c r="B30" s="9" t="n">
        <v>0.007</v>
      </c>
      <c r="C30" s="10" t="inlineStr">
        <is>
          <t>Management assumption — unverified</t>
        </is>
      </c>
    </row>
    <row r="31" ht="22" customHeight="1">
      <c r="A31" s="5" t="inlineStr">
        <is>
          <t>Earn-out ii — assumed listing price (low) ($)</t>
        </is>
      </c>
      <c r="B31" s="8" t="n">
        <v>200000000</v>
      </c>
      <c r="C31" s="10" t="inlineStr">
        <is>
          <t>FNEX RTO min $250M MEV; low scenario</t>
        </is>
      </c>
    </row>
    <row r="32" ht="22" customHeight="1">
      <c r="A32" s="5" t="inlineStr">
        <is>
          <t>Earn-out ii — assumed listing price (base) ($)</t>
        </is>
      </c>
      <c r="B32" s="8" t="n">
        <v>250000000</v>
      </c>
      <c r="C32" s="10" t="inlineStr">
        <is>
          <t>FNEX RTO minimum MEV</t>
        </is>
      </c>
    </row>
    <row r="33" ht="22" customHeight="1">
      <c r="A33" s="5" t="inlineStr">
        <is>
          <t>Earn-out ii — assumed listing price (high) ($)</t>
        </is>
      </c>
      <c r="B33" s="8" t="n">
        <v>300000000</v>
      </c>
      <c r="C33" s="10" t="inlineStr">
        <is>
          <t>Management assumption — unverified</t>
        </is>
      </c>
    </row>
    <row r="34" ht="22" customHeight="1">
      <c r="A34" s="5" t="inlineStr">
        <is>
          <t>Earn-out ii — lockup period (months)</t>
        </is>
      </c>
      <c r="B34" s="6" t="n">
        <v>12</v>
      </c>
      <c r="C34" s="10" t="inlineStr">
        <is>
          <t>Standard post-listing lockup</t>
        </is>
      </c>
    </row>
    <row r="36" ht="20" customHeight="1">
      <c r="A36" s="11" t="inlineStr">
        <is>
          <t>ACTUALS-ANCHORED CASE — SSLC HISTORICAL &amp; PROJECTED FINANCIALS</t>
        </is>
      </c>
    </row>
    <row r="37" ht="22" customHeight="1">
      <c r="A37" s="5" t="inlineStr">
        <is>
          <t>SSLC FY26 actual revenue ($)</t>
        </is>
      </c>
      <c r="B37" s="8" t="n">
        <v>1925000</v>
      </c>
      <c r="C37" s="7" t="inlineStr">
        <is>
          <t>SSLC QB FY26 actuals (Jon 10/2 QB pull)</t>
        </is>
      </c>
    </row>
    <row r="38" ht="22" customHeight="1">
      <c r="A38" s="5" t="inlineStr">
        <is>
          <t>SSLC FY26 operating loss ($)</t>
        </is>
      </c>
      <c r="B38" s="8" t="n">
        <v>-416000</v>
      </c>
      <c r="C38" s="7" t="inlineStr">
        <is>
          <t>SSLC QB FY26 actuals</t>
        </is>
      </c>
    </row>
    <row r="39" ht="22" customHeight="1">
      <c r="A39" s="5" t="inlineStr">
        <is>
          <t>SSLC FY26 net income ($)</t>
        </is>
      </c>
      <c r="B39" s="8" t="n">
        <v>-78000</v>
      </c>
      <c r="C39" s="7" t="inlineStr">
        <is>
          <t>Net of one-time $287K ERC credit</t>
        </is>
      </c>
    </row>
    <row r="40" ht="22" customHeight="1">
      <c r="A40" s="5" t="inlineStr">
        <is>
          <t>SSLC FY27 Q1 actual revenue ($)</t>
        </is>
      </c>
      <c r="B40" s="8" t="n">
        <v>713000</v>
      </c>
      <c r="C40" s="7" t="inlineStr">
        <is>
          <t>SSLC QB FY27 Q1 (Sep not yet closed, Jon 10/2)</t>
        </is>
      </c>
    </row>
    <row r="41" ht="22" customHeight="1">
      <c r="A41" s="5" t="inlineStr">
        <is>
          <t>SSLC FY27 billed-ahead + deposits ($)</t>
        </is>
      </c>
      <c r="B41" s="8" t="n">
        <v>984000</v>
      </c>
      <c r="C41" s="7" t="inlineStr">
        <is>
          <t>FY27 Q1 QB: $864K billed-ahead + $120K deposits</t>
        </is>
      </c>
    </row>
    <row r="42" ht="22" customHeight="1">
      <c r="A42" s="5" t="inlineStr">
        <is>
          <t>SSLC cash at QB date ($)</t>
        </is>
      </c>
      <c r="B42" s="8" t="n">
        <v>198000</v>
      </c>
      <c r="C42" s="7" t="inlineStr">
        <is>
          <t>SSLC QB FY27 Q1 (10/2/2026)</t>
        </is>
      </c>
    </row>
    <row r="43" ht="22" customHeight="1">
      <c r="A43" s="5" t="inlineStr">
        <is>
          <t>Exos % of SSLC revenue (FY26)</t>
        </is>
      </c>
      <c r="B43" s="9" t="n">
        <v>0.236</v>
      </c>
      <c r="C43" s="7" t="inlineStr">
        <is>
          <t>23.6% per Jon 10/2 board meeting</t>
        </is>
      </c>
    </row>
    <row r="44" ht="22" customHeight="1">
      <c r="A44" s="5" t="inlineStr">
        <is>
          <t>Markus: IM tank revenue FY27 firm ($)</t>
        </is>
      </c>
      <c r="B44" s="8" t="n">
        <v>5000000</v>
      </c>
      <c r="C44" s="7" t="inlineStr">
        <is>
          <t>Markus Rufer confirmed ~$5M firm for 2027, 14–16 tanks (Jon 10/2)</t>
        </is>
      </c>
    </row>
    <row r="45" ht="22" customHeight="1">
      <c r="A45" s="5" t="inlineStr">
        <is>
          <t>SSLC assumed COGS % (FY27+, actuals-anchored)</t>
        </is>
      </c>
      <c r="B45" s="9" t="n">
        <v>0.52</v>
      </c>
      <c r="C45" s="7" t="inlineStr">
        <is>
          <t>Derived from FY26 implied P&amp;L</t>
        </is>
      </c>
    </row>
    <row r="46" ht="22" customHeight="1">
      <c r="A46" s="5" t="inlineStr">
        <is>
          <t>SSLC assumed OpEx base FY27 ($)</t>
        </is>
      </c>
      <c r="B46" s="8" t="n">
        <v>1400000</v>
      </c>
      <c r="C46" s="7" t="inlineStr">
        <is>
          <t>Small team (~10-12 people, Torrance)</t>
        </is>
      </c>
    </row>
    <row r="47" ht="22" customHeight="1">
      <c r="A47" s="5" t="inlineStr">
        <is>
          <t>SSLC OpEx annual growth rate (FY28+)</t>
        </is>
      </c>
      <c r="B47" s="9" t="n">
        <v>0.08</v>
      </c>
      <c r="C47" s="7" t="inlineStr">
        <is>
          <t>Management assumption</t>
        </is>
      </c>
    </row>
    <row r="48" ht="22" customHeight="1">
      <c r="A48" s="5" t="inlineStr">
        <is>
          <t>SSLC FY27 projected annual revenue, actuals-anchored ($)</t>
        </is>
      </c>
      <c r="B48" s="8" t="n">
        <v>5500000</v>
      </c>
      <c r="C48" s="7" t="inlineStr">
        <is>
          <t>FIX 10/7: quarterly total = Q1 $713K + Q2-Q4 $4,787K = $5.5M. Prior annual formula used FY26 actual ($1.925M) + IM tanks ($5M) = $6.925M — inconsistent. Correct basis is Q1 actuals + Q2-Q4 distribution of $5M firm IM ramp.</t>
        </is>
      </c>
    </row>
    <row r="49" ht="22" customHeight="1">
      <c r="A49" s="5" t="inlineStr">
        <is>
          <t>SSLC revenue FY28 ($)</t>
        </is>
      </c>
      <c r="B49" s="8" t="n">
        <v>7500000</v>
      </c>
      <c r="C49" s="7" t="inlineStr">
        <is>
          <t>IM Nebula OTV ramp</t>
        </is>
      </c>
    </row>
    <row r="50" ht="22" customHeight="1">
      <c r="A50" s="5" t="inlineStr">
        <is>
          <t>SSLC revenue FY29 ($)</t>
        </is>
      </c>
      <c r="B50" s="8" t="n">
        <v>10000000</v>
      </c>
      <c r="C50" s="7" t="inlineStr">
        <is>
          <t>IM scaling + new contracts</t>
        </is>
      </c>
    </row>
    <row r="51" ht="22" customHeight="1">
      <c r="A51" s="5" t="inlineStr">
        <is>
          <t>SSLC revenue FY30 ($)</t>
        </is>
      </c>
      <c r="B51" s="8" t="n">
        <v>13000000</v>
      </c>
      <c r="C51" s="7" t="inlineStr">
        <is>
          <t>Management assumption</t>
        </is>
      </c>
    </row>
    <row r="52" ht="22" customHeight="1">
      <c r="A52" s="5" t="inlineStr">
        <is>
          <t>SSLC revenue FY31 ($)</t>
        </is>
      </c>
      <c r="B52" s="8" t="n">
        <v>16500000</v>
      </c>
      <c r="C52" s="7" t="inlineStr">
        <is>
          <t>Management assumption</t>
        </is>
      </c>
    </row>
    <row r="53" ht="22" customHeight="1">
      <c r="A53" s="5" t="inlineStr">
        <is>
          <t>v15 benchmark — SSLC acq revenue Y1 ($)</t>
        </is>
      </c>
      <c r="B53" s="8" t="n">
        <v>900000</v>
      </c>
      <c r="C53" s="7" t="inlineStr">
        <is>
          <t>Old acquisition model (pre-commission, pre-IM-tank); Option B exceeds</t>
        </is>
      </c>
    </row>
    <row r="54" ht="22" customHeight="1">
      <c r="A54" s="5" t="inlineStr">
        <is>
          <t>v15 benchmark — SSLC acq revenue Y5 ($)</t>
        </is>
      </c>
      <c r="B54" s="8" t="n">
        <v>21000000</v>
      </c>
      <c r="C54" s="7" t="inlineStr">
        <is>
          <t>Old acquisition model v15 benchmark</t>
        </is>
      </c>
    </row>
    <row r="56" ht="20" customHeight="1">
      <c r="A56" s="11" t="inlineStr">
        <is>
          <t>ACTUALS-ANCHORED CASE — EXOS STANDALONE (excl. SSLC commission post-close)</t>
        </is>
      </c>
    </row>
    <row r="57" ht="22" customHeight="1">
      <c r="A57" s="5" t="inlineStr">
        <is>
          <t>Exos standalone revenue FY27 ($)</t>
        </is>
      </c>
      <c r="B57" s="8" t="n">
        <v>2600000</v>
      </c>
      <c r="C57" s="10" t="inlineStr">
        <is>
          <t>entX $1.6M + TACFI $0.8M + other $0.2M (v15 baseline excl. SSLC commission)</t>
        </is>
      </c>
    </row>
    <row r="58" ht="22" customHeight="1">
      <c r="A58" s="5" t="inlineStr">
        <is>
          <t>Exos standalone revenue FY28 ($)</t>
        </is>
      </c>
      <c r="B58" s="8" t="n">
        <v>4500000</v>
      </c>
      <c r="C58" s="10" t="inlineStr">
        <is>
          <t>BLK3 first flight + TACFI scale</t>
        </is>
      </c>
    </row>
    <row r="59" ht="22" customHeight="1">
      <c r="A59" s="5" t="inlineStr">
        <is>
          <t>Exos standalone revenue FY29 ($)</t>
        </is>
      </c>
      <c r="B59" s="8" t="n">
        <v>7000000</v>
      </c>
      <c r="C59" s="10" t="inlineStr">
        <is>
          <t>Management assumption</t>
        </is>
      </c>
    </row>
    <row r="60" ht="22" customHeight="1">
      <c r="A60" s="5" t="inlineStr">
        <is>
          <t>Exos standalone revenue FY30 ($)</t>
        </is>
      </c>
      <c r="B60" s="8" t="n">
        <v>11000000</v>
      </c>
      <c r="C60" s="10" t="inlineStr">
        <is>
          <t>Management assumption</t>
        </is>
      </c>
    </row>
    <row r="61" ht="22" customHeight="1">
      <c r="A61" s="5" t="inlineStr">
        <is>
          <t>Exos standalone revenue FY31 ($)</t>
        </is>
      </c>
      <c r="B61" s="8" t="n">
        <v>16000000</v>
      </c>
      <c r="C61" s="10" t="inlineStr">
        <is>
          <t>Management assumption</t>
        </is>
      </c>
    </row>
    <row r="62" ht="22" customHeight="1">
      <c r="A62" s="5" t="inlineStr">
        <is>
          <t>Exos standalone EBITDA FY27 ($)</t>
        </is>
      </c>
      <c r="B62" s="8" t="n">
        <v>-4000000</v>
      </c>
      <c r="C62" s="10" t="inlineStr">
        <is>
          <t>Pre-BLK3 flight investment phase</t>
        </is>
      </c>
    </row>
    <row r="63" ht="22" customHeight="1">
      <c r="A63" s="5" t="inlineStr">
        <is>
          <t>Exos standalone EBITDA FY28 ($)</t>
        </is>
      </c>
      <c r="B63" s="8" t="n">
        <v>-1500000</v>
      </c>
      <c r="C63" s="10" t="inlineStr">
        <is>
          <t>BLK3 flying, BLK4 dev</t>
        </is>
      </c>
    </row>
    <row r="64" ht="22" customHeight="1">
      <c r="A64" s="5" t="inlineStr">
        <is>
          <t>Exos standalone EBITDA FY29 ($)</t>
        </is>
      </c>
      <c r="B64" s="8" t="n">
        <v>500000</v>
      </c>
      <c r="C64" s="10" t="inlineStr">
        <is>
          <t>Approaching breakeven</t>
        </is>
      </c>
    </row>
    <row r="65" ht="22" customHeight="1">
      <c r="A65" s="5" t="inlineStr">
        <is>
          <t>Exos standalone EBITDA FY30 ($)</t>
        </is>
      </c>
      <c r="B65" s="8" t="n">
        <v>2500000</v>
      </c>
      <c r="C65" s="10" t="inlineStr">
        <is>
          <t>Management assumption</t>
        </is>
      </c>
    </row>
    <row r="66" ht="22" customHeight="1">
      <c r="A66" s="5" t="inlineStr">
        <is>
          <t>Exos standalone EBITDA FY31 ($)</t>
        </is>
      </c>
      <c r="B66" s="8" t="n">
        <v>5000000</v>
      </c>
      <c r="C66" s="10" t="inlineStr">
        <is>
          <t>Management assumption</t>
        </is>
      </c>
    </row>
    <row r="67" ht="22" customHeight="1">
      <c r="A67" s="5" t="inlineStr">
        <is>
          <t>Intercompany Exos purchases from SSLC FY27 ($)</t>
        </is>
      </c>
      <c r="B67" s="8" t="n">
        <v>500000</v>
      </c>
      <c r="C67" s="10" t="inlineStr">
        <is>
          <t>Exos BLK3 tank purchases from SSLC; eliminated on consolidation</t>
        </is>
      </c>
    </row>
    <row r="68" ht="22" customHeight="1">
      <c r="A68" s="5" t="inlineStr">
        <is>
          <t>Intercompany growth rate FY28+ (%)</t>
        </is>
      </c>
      <c r="B68" s="9" t="n">
        <v>0.15</v>
      </c>
      <c r="C68" s="10" t="inlineStr">
        <is>
          <t>Management assumption</t>
        </is>
      </c>
    </row>
    <row r="70" ht="20" customHeight="1">
      <c r="A70" s="12" t="inlineStr">
        <is>
          <t>OLD-MODEL CASE (v12 DRIVERS) — source: v12 Annual P&amp;L, recalculated 10/7</t>
        </is>
      </c>
    </row>
    <row r="71" ht="40" customHeight="1">
      <c r="A71" s="7" t="inlineStr">
        <is>
          <t>NOTE: v12 Month 1 = July 2026; Y1=FY27, Y2=FY28, …Y5=FY31. Scorpius tank drivers: units 1.5→9/month ramp; ASP $183K Y1 +50% Y2 +25%/yr Y3-Y5 → ~$536K Y5; COGS 35% Y1-Y2, 30% Y3-Y5. Exos standalone derived = total − Scorpius tanks.</t>
        </is>
      </c>
    </row>
    <row r="72" ht="22" customHeight="1">
      <c r="A72" s="13" t="inlineStr">
        <is>
          <t>— v12 Scorpius tank ASP Y1 ($)</t>
        </is>
      </c>
      <c r="B72" s="14" t="n">
        <v>183000</v>
      </c>
      <c r="C72" s="15" t="inlineStr">
        <is>
          <t>Controls!B31 — confirmed in model</t>
        </is>
      </c>
    </row>
    <row r="73" ht="22" customHeight="1">
      <c r="A73" s="13" t="inlineStr">
        <is>
          <t>— v12 Scorpius tank ASP Y5 ($, approx)</t>
        </is>
      </c>
      <c r="B73" s="14" t="n">
        <v>536000</v>
      </c>
      <c r="C73" s="15" t="inlineStr">
        <is>
          <t>$183K × 1.50 × 1.25 × 1.25 × 1.25 ≈ $536K</t>
        </is>
      </c>
    </row>
    <row r="74" ht="22" customHeight="1">
      <c r="A74" s="13" t="inlineStr">
        <is>
          <t>— v12 Scorpius COGS Y1-Y2 (%)</t>
        </is>
      </c>
      <c r="B74" s="16" t="n">
        <v>0.35</v>
      </c>
      <c r="C74" s="15" t="inlineStr">
        <is>
          <t>Controls!B54 = 35%</t>
        </is>
      </c>
    </row>
    <row r="75" ht="22" customHeight="1">
      <c r="A75" s="13" t="inlineStr">
        <is>
          <t>— v12 Scorpius COGS Y3-Y5 (%)</t>
        </is>
      </c>
      <c r="B75" s="16" t="n">
        <v>0.3</v>
      </c>
      <c r="C75" s="15" t="inlineStr">
        <is>
          <t>Controls!E54 = 30%</t>
        </is>
      </c>
    </row>
    <row r="76" ht="22" customHeight="1">
      <c r="A76" s="13" t="inlineStr">
        <is>
          <t>— v12 SSLC/Scorpius revenue Y1 FY27 ($)</t>
        </is>
      </c>
      <c r="B76" s="14" t="n">
        <v>4120000</v>
      </c>
      <c r="C76" s="15" t="inlineStr">
        <is>
          <t>v12 Annual P&amp;L 'Revenue from Scorpius Space Tank Sales' Y1, recalculated 10/7</t>
        </is>
      </c>
    </row>
    <row r="77" ht="22" customHeight="1">
      <c r="A77" s="13" t="inlineStr">
        <is>
          <t>— v12 SSLC/Scorpius revenue Y2 FY28 ($)</t>
        </is>
      </c>
      <c r="B77" s="14" t="n">
        <v>8680000</v>
      </c>
      <c r="C77" s="15" t="inlineStr">
        <is>
          <t>v12 Annual P&amp;L Y2</t>
        </is>
      </c>
    </row>
    <row r="78" ht="22" customHeight="1">
      <c r="A78" s="13" t="inlineStr">
        <is>
          <t>— v12 SSLC/Scorpius revenue Y3 FY29 ($)</t>
        </is>
      </c>
      <c r="B78" s="14" t="n">
        <v>19220000</v>
      </c>
      <c r="C78" s="15" t="inlineStr">
        <is>
          <t>v12 Annual P&amp;L Y3</t>
        </is>
      </c>
    </row>
    <row r="79" ht="22" customHeight="1">
      <c r="A79" s="13" t="inlineStr">
        <is>
          <t>— v12 SSLC/Scorpius revenue Y4 FY30 ($)</t>
        </is>
      </c>
      <c r="B79" s="14" t="n">
        <v>33880000</v>
      </c>
      <c r="C79" s="15" t="inlineStr">
        <is>
          <t>v12 Annual P&amp;L Y4</t>
        </is>
      </c>
    </row>
    <row r="80" ht="22" customHeight="1">
      <c r="A80" s="13" t="inlineStr">
        <is>
          <t>— v12 SSLC/Scorpius revenue Y5 FY31 ($)</t>
        </is>
      </c>
      <c r="B80" s="14" t="n">
        <v>54690000</v>
      </c>
      <c r="C80" s="15" t="inlineStr">
        <is>
          <t>v12 Annual P&amp;L Y5</t>
        </is>
      </c>
    </row>
    <row r="81" ht="22" customHeight="1">
      <c r="A81" s="13" t="inlineStr">
        <is>
          <t>— v12 Total consolidated revenue Y1 ($)</t>
        </is>
      </c>
      <c r="B81" s="14" t="n">
        <v>8880000</v>
      </c>
      <c r="C81" s="15" t="inlineStr">
        <is>
          <t>v12 Annual P&amp;L 'Total Revenue' Y1</t>
        </is>
      </c>
    </row>
    <row r="82" ht="22" customHeight="1">
      <c r="A82" s="13" t="inlineStr">
        <is>
          <t>— v12 Total consolidated revenue Y2 ($)</t>
        </is>
      </c>
      <c r="B82" s="14" t="n">
        <v>21350000</v>
      </c>
      <c r="C82" s="15" t="inlineStr">
        <is>
          <t>v12 Annual P&amp;L Y2</t>
        </is>
      </c>
    </row>
    <row r="83" ht="22" customHeight="1">
      <c r="A83" s="13" t="inlineStr">
        <is>
          <t>— v12 Total consolidated revenue Y3 ($)</t>
        </is>
      </c>
      <c r="B83" s="14" t="n">
        <v>48590000</v>
      </c>
      <c r="C83" s="15" t="inlineStr">
        <is>
          <t>v12 Annual P&amp;L Y3</t>
        </is>
      </c>
    </row>
    <row r="84" ht="22" customHeight="1">
      <c r="A84" s="13" t="inlineStr">
        <is>
          <t>— v12 Total consolidated revenue Y4 ($)</t>
        </is>
      </c>
      <c r="B84" s="14" t="n">
        <v>95920000</v>
      </c>
      <c r="C84" s="15" t="inlineStr">
        <is>
          <t>v12 Annual P&amp;L Y4</t>
        </is>
      </c>
    </row>
    <row r="85" ht="22" customHeight="1">
      <c r="A85" s="13" t="inlineStr">
        <is>
          <t>— v12 Total consolidated revenue Y5 ($)</t>
        </is>
      </c>
      <c r="B85" s="14" t="n">
        <v>179190000</v>
      </c>
      <c r="C85" s="15" t="inlineStr">
        <is>
          <t>v12 Annual P&amp;L Y5</t>
        </is>
      </c>
    </row>
    <row r="86" ht="22" customHeight="1">
      <c r="A86" s="13" t="inlineStr">
        <is>
          <t>— v12 Exos standalone revenue Y1 ($)</t>
        </is>
      </c>
      <c r="B86" s="14">
        <f>B81-B76</f>
        <v/>
      </c>
      <c r="C86" s="15" t="inlineStr">
        <is>
          <t>Derived: v12 total − Scorpius</t>
        </is>
      </c>
    </row>
    <row r="87" ht="22" customHeight="1">
      <c r="A87" s="13" t="inlineStr">
        <is>
          <t>— v12 Exos standalone revenue Y2 ($)</t>
        </is>
      </c>
      <c r="B87" s="14">
        <f>B82-B77</f>
        <v/>
      </c>
      <c r="C87" s="15" t="inlineStr">
        <is>
          <t>Derived</t>
        </is>
      </c>
    </row>
    <row r="88" ht="22" customHeight="1">
      <c r="A88" s="13" t="inlineStr">
        <is>
          <t>— v12 Exos standalone revenue Y3 ($)</t>
        </is>
      </c>
      <c r="B88" s="14">
        <f>B83-B78</f>
        <v/>
      </c>
      <c r="C88" s="15" t="inlineStr">
        <is>
          <t>Derived</t>
        </is>
      </c>
    </row>
    <row r="89" ht="22" customHeight="1">
      <c r="A89" s="13" t="inlineStr">
        <is>
          <t>— v12 Exos standalone revenue Y4 ($)</t>
        </is>
      </c>
      <c r="B89" s="14">
        <f>B84-B79</f>
        <v/>
      </c>
      <c r="C89" s="15" t="inlineStr">
        <is>
          <t>Derived</t>
        </is>
      </c>
    </row>
    <row r="90" ht="22" customHeight="1">
      <c r="A90" s="13" t="inlineStr">
        <is>
          <t>— v12 Exos standalone revenue Y5 ($)</t>
        </is>
      </c>
      <c r="B90" s="14">
        <f>B85-B80</f>
        <v/>
      </c>
      <c r="C90" s="15" t="inlineStr">
        <is>
          <t>Derived</t>
        </is>
      </c>
    </row>
    <row r="91" ht="22" customHeight="1">
      <c r="A91" s="13" t="inlineStr">
        <is>
          <t>— v12 Total EBITDA Y1 ($)</t>
        </is>
      </c>
      <c r="B91" s="14" t="n">
        <v>1120000</v>
      </c>
      <c r="C91" s="15" t="inlineStr">
        <is>
          <t>v12 Annual P&amp;L 'EBITDA' Y1, recalculated 10/7</t>
        </is>
      </c>
    </row>
    <row r="92" ht="22" customHeight="1">
      <c r="A92" s="13" t="inlineStr">
        <is>
          <t>— v12 Total EBITDA Y2 ($)</t>
        </is>
      </c>
      <c r="B92" s="14" t="n">
        <v>4120000</v>
      </c>
      <c r="C92" s="15" t="inlineStr">
        <is>
          <t>v12 Annual P&amp;L Y2</t>
        </is>
      </c>
    </row>
    <row r="93" ht="22" customHeight="1">
      <c r="A93" s="13" t="inlineStr">
        <is>
          <t>— v12 Total EBITDA Y3 ($)</t>
        </is>
      </c>
      <c r="B93" s="14" t="n">
        <v>17240000</v>
      </c>
      <c r="C93" s="15" t="inlineStr">
        <is>
          <t>v12 Annual P&amp;L Y3</t>
        </is>
      </c>
    </row>
    <row r="94" ht="22" customHeight="1">
      <c r="A94" s="13" t="inlineStr">
        <is>
          <t>— v12 Total EBITDA Y4 ($)</t>
        </is>
      </c>
      <c r="B94" s="14" t="n">
        <v>42160000</v>
      </c>
      <c r="C94" s="15" t="inlineStr">
        <is>
          <t>v12 Annual P&amp;L Y4</t>
        </is>
      </c>
    </row>
    <row r="95" ht="22" customHeight="1">
      <c r="A95" s="13" t="inlineStr">
        <is>
          <t>— v12 Total EBITDA Y5 ($)</t>
        </is>
      </c>
      <c r="B95" s="14" t="n">
        <v>101610000</v>
      </c>
      <c r="C95" s="15" t="inlineStr">
        <is>
          <t>v12 Annual P&amp;L Y5</t>
        </is>
      </c>
    </row>
    <row r="97" ht="52" customHeight="1">
      <c r="A97" s="17" t="inlineStr">
        <is>
          <t>⚠  v15 UNDERSTATEMENT NOTE: The v15 'Scorpius acquisition benchmark' shows $0.9M→$21M over 5 years. v12's own Scorpius line is $4.1M→$54.7M — 13× larger at Y5. The actuals-anchored case ($5.5M→$16.5M SSLC line) also substantially exceeds v15. Do NOT edit v15; this note records the discrepancy for the board summary.</t>
        </is>
      </c>
    </row>
  </sheetData>
  <mergeCells count="9">
    <mergeCell ref="A36:C36"/>
    <mergeCell ref="A71:C71"/>
    <mergeCell ref="A1:C1"/>
    <mergeCell ref="A5:C5"/>
    <mergeCell ref="A22:C22"/>
    <mergeCell ref="A97:C97"/>
    <mergeCell ref="A56:C56"/>
    <mergeCell ref="A70:C70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28" customWidth="1" min="5" max="5"/>
  </cols>
  <sheetData>
    <row r="1" ht="22" customHeight="1">
      <c r="A1" s="18" t="inlineStr">
        <is>
          <t>SSLC Option B — Deal Structure, Sources &amp; Uses, Earn-Out Analysis</t>
        </is>
      </c>
    </row>
    <row r="2" ht="30" customHeight="1">
      <c r="A2" s="10" t="inlineStr">
        <is>
          <t>Option B: invoke §3 exclusivity at $3.36M base + earn-out (IM tank revenue and/or Exos stock post-listing). SSLC debts paid at face. DRAFT — negotiation-stage terms.</t>
        </is>
      </c>
    </row>
    <row r="4">
      <c r="A4" s="19" t="inlineStr">
        <is>
          <t>SOURCES &amp; USES AT CLOSE</t>
        </is>
      </c>
    </row>
    <row r="5">
      <c r="A5" s="20" t="inlineStr">
        <is>
          <t>Line Item</t>
        </is>
      </c>
      <c r="B5" s="20" t="inlineStr">
        <is>
          <t>Amount ($)</t>
        </is>
      </c>
      <c r="C5" s="20" t="inlineStr"/>
      <c r="D5" s="20" t="inlineStr"/>
      <c r="E5" s="20" t="inlineStr">
        <is>
          <t>Notes</t>
        </is>
      </c>
    </row>
    <row r="6" ht="18" customHeight="1">
      <c r="A6" s="21" t="inlineStr">
        <is>
          <t>USES</t>
        </is>
      </c>
    </row>
    <row r="7" ht="18" customHeight="1">
      <c r="A7" t="inlineStr">
        <is>
          <t xml:space="preserve">  Cash to SSLC sellers at close</t>
        </is>
      </c>
      <c r="B7" s="22">
        <f>Assumptions!B10</f>
        <v/>
      </c>
      <c r="E7" s="10" t="inlineStr">
        <is>
          <t>§3 deal price — cash component</t>
        </is>
      </c>
    </row>
    <row r="8" ht="18" customHeight="1">
      <c r="A8" t="inlineStr">
        <is>
          <t xml:space="preserve">  SSLC closing costs (sellers)</t>
        </is>
      </c>
      <c r="B8" s="22">
        <f>Assumptions!B11</f>
        <v/>
      </c>
      <c r="E8" s="10" t="inlineStr">
        <is>
          <t>Per §3 deal price</t>
        </is>
      </c>
    </row>
    <row r="9" ht="18" customHeight="1">
      <c r="A9" t="inlineStr">
        <is>
          <t xml:space="preserve">  SSLC debts assumed at face</t>
        </is>
      </c>
      <c r="B9" s="22">
        <f>Assumptions!B14</f>
        <v/>
      </c>
      <c r="E9" s="10" t="inlineStr">
        <is>
          <t>Microcosm/Wertz notes + AP — TO VERIFY IN SSLC QB</t>
        </is>
      </c>
    </row>
    <row r="10" ht="18" customHeight="1">
      <c r="A10" t="inlineStr">
        <is>
          <t xml:space="preserve">  Working capital bridge (mid-point)</t>
        </is>
      </c>
      <c r="B10" s="22">
        <f>Assumptions!B16</f>
        <v/>
      </c>
      <c r="E10" s="10" t="inlineStr">
        <is>
          <t>SSLC needs $0.3–0.7M to finish paid-for work</t>
        </is>
      </c>
    </row>
    <row r="11" ht="18" customHeight="1">
      <c r="A11" t="inlineStr">
        <is>
          <t xml:space="preserve">  Less: Exos stake credit (18%)</t>
        </is>
      </c>
      <c r="B11" s="22">
        <f>-Assumptions!B12</f>
        <v/>
      </c>
      <c r="E11" s="10" t="inlineStr">
        <is>
          <t>18% equity at 2021 basis — reduces net cash</t>
        </is>
      </c>
    </row>
    <row r="12" ht="18" customHeight="1">
      <c r="A12" t="inlineStr">
        <is>
          <t xml:space="preserve">  5% escrow holdback (§7, 12 mo.)</t>
        </is>
      </c>
      <c r="B12" s="22">
        <f>Assumptions!B13</f>
        <v/>
      </c>
      <c r="E12" s="10" t="inlineStr">
        <is>
          <t>Released at 12-month anniversary</t>
        </is>
      </c>
    </row>
    <row r="13" ht="18" customHeight="1">
      <c r="A13" s="23" t="inlineStr">
        <is>
          <t>TOTAL USES</t>
        </is>
      </c>
      <c r="B13" s="24">
        <f>SUM(B7:B12)</f>
        <v/>
      </c>
      <c r="C13" s="23" t="n"/>
      <c r="D13" s="23" t="n"/>
      <c r="E13" s="23" t="inlineStr">
        <is>
          <t>Net cash out-of-pocket at close + escrow</t>
        </is>
      </c>
    </row>
    <row r="14" ht="18" customHeight="1">
      <c r="A14" t="inlineStr"/>
      <c r="E14" s="10" t="inlineStr"/>
    </row>
    <row r="15" ht="18" customHeight="1">
      <c r="A15" s="21" t="inlineStr">
        <is>
          <t>SOURCES</t>
        </is>
      </c>
    </row>
    <row r="16" ht="18" customHeight="1">
      <c r="A16" t="inlineStr">
        <is>
          <t xml:space="preserve">  Series A first close (allocated to SSLC)</t>
        </is>
      </c>
      <c r="B16" s="22">
        <f>Assumptions!B10+Assumptions!B16</f>
        <v/>
      </c>
      <c r="E16" s="10" t="inlineStr">
        <is>
          <t>SSLC acquisition + WC bridge from Series A</t>
        </is>
      </c>
    </row>
    <row r="17" ht="18" customHeight="1">
      <c r="A17" t="inlineStr">
        <is>
          <t xml:space="preserve">  Exos stake credit (non-cash)</t>
        </is>
      </c>
      <c r="B17" s="22">
        <f>Assumptions!B12</f>
        <v/>
      </c>
      <c r="E17" s="10" t="inlineStr">
        <is>
          <t>Existing 18% stake reduces cash required</t>
        </is>
      </c>
    </row>
    <row r="18" ht="18" customHeight="1">
      <c r="A18" s="23" t="inlineStr">
        <is>
          <t>TOTAL SOURCES</t>
        </is>
      </c>
      <c r="B18" s="24">
        <f>B16+B17</f>
        <v/>
      </c>
      <c r="C18" s="23" t="n"/>
      <c r="D18" s="23" t="n"/>
      <c r="E18" s="23" t="inlineStr"/>
    </row>
    <row r="19" ht="18" customHeight="1">
      <c r="A19" s="23" t="inlineStr">
        <is>
          <t>Check (Sources − Uses)</t>
        </is>
      </c>
      <c r="B19" s="24">
        <f>B18-B13</f>
        <v/>
      </c>
      <c r="C19" s="23" t="n"/>
      <c r="D19" s="23" t="n"/>
      <c r="E19" s="23" t="inlineStr">
        <is>
          <t>Should = 0; debt payoff from SSLC operating cash</t>
        </is>
      </c>
    </row>
    <row r="21" ht="20" customHeight="1">
      <c r="A21" s="19" t="inlineStr">
        <is>
          <t>EARN-OUT MECHANICS (two variants shown side by side; combined option in Col D)</t>
        </is>
      </c>
    </row>
    <row r="22">
      <c r="A22" s="25" t="inlineStr">
        <is>
          <t>Metric</t>
        </is>
      </c>
      <c r="B22" s="25" t="inlineStr">
        <is>
          <t>Earn-Out i: IM Tank Revenue %</t>
        </is>
      </c>
      <c r="C22" s="25" t="inlineStr">
        <is>
          <t>Earn-Out ii: Exos Stock post-RTO</t>
        </is>
      </c>
      <c r="D22" s="25" t="inlineStr">
        <is>
          <t>Combined (i + ii)</t>
        </is>
      </c>
      <c r="E22" s="25" t="inlineStr">
        <is>
          <t>Notes</t>
        </is>
      </c>
    </row>
    <row r="23" ht="28" customHeight="1">
      <c r="A23" s="26" t="inlineStr">
        <is>
          <t>Structure</t>
        </is>
      </c>
      <c r="B23" s="26" t="inlineStr">
        <is>
          <t>% of SSLC IM tank revenue, annual cap, 3-year term</t>
        </is>
      </c>
      <c r="C23" s="26" t="inlineStr">
        <is>
          <t>Exos common stock at listing (% of FD shares); 12-mo lockup</t>
        </is>
      </c>
      <c r="D23" s="26" t="inlineStr">
        <is>
          <t>Both i + ii</t>
        </is>
      </c>
      <c r="E23" s="10" t="inlineStr">
        <is>
          <t>Gives SSLC sellers upside from IM growth AND Exos growth</t>
        </is>
      </c>
    </row>
    <row r="24" ht="28" customHeight="1">
      <c r="A24" s="26" t="inlineStr">
        <is>
          <t>Low scenario</t>
        </is>
      </c>
      <c r="B24" s="27">
        <f>MIN(Assumptions!B23*Assumptions!B44,Assumptions!B26)*Assumptions!B27</f>
        <v/>
      </c>
      <c r="C24" s="27">
        <f>Assumptions!B28*Assumptions!B31</f>
        <v/>
      </c>
      <c r="D24" s="27">
        <f>D24+C24</f>
        <v/>
      </c>
      <c r="E24" s="10" t="inlineStr">
        <is>
          <t>Low: 3% tank rev (cap $300K) × 3yr + 0.3% of $200M listing</t>
        </is>
      </c>
    </row>
    <row r="25" ht="28" customHeight="1">
      <c r="A25" s="26" t="inlineStr">
        <is>
          <t>Base scenario</t>
        </is>
      </c>
      <c r="B25" s="27">
        <f>MIN(Assumptions!B24*Assumptions!B44,Assumptions!B26)*Assumptions!B27</f>
        <v/>
      </c>
      <c r="C25" s="27">
        <f>Assumptions!B29*Assumptions!B32</f>
        <v/>
      </c>
      <c r="D25" s="27">
        <f>B25+C25</f>
        <v/>
      </c>
      <c r="E25" s="10" t="inlineStr">
        <is>
          <t>Base: 5% × $5M firm + 0.5% of $250M listing</t>
        </is>
      </c>
    </row>
    <row r="26" ht="28" customHeight="1">
      <c r="A26" s="26" t="inlineStr">
        <is>
          <t>High scenario</t>
        </is>
      </c>
      <c r="B26" s="27">
        <f>MIN(Assumptions!B25*Assumptions!B44,Assumptions!B26)*Assumptions!B27</f>
        <v/>
      </c>
      <c r="C26" s="27">
        <f>Assumptions!B30*Assumptions!B33</f>
        <v/>
      </c>
      <c r="D26" s="27">
        <f>B26+C26</f>
        <v/>
      </c>
      <c r="E26" s="10" t="inlineStr">
        <is>
          <t>High: 7% × $5M + 0.7% of $300M listing</t>
        </is>
      </c>
    </row>
    <row r="27" ht="28" customHeight="1">
      <c r="A27" s="26" t="inlineStr">
        <is>
          <t>Exos dilution (stock, base)</t>
        </is>
      </c>
      <c r="B27" s="26" t="inlineStr">
        <is>
          <t>n/a</t>
        </is>
      </c>
      <c r="C27" s="27">
        <f>Assumptions!B29</f>
        <v/>
      </c>
      <c r="D27" s="27">
        <f>Assumptions!B29</f>
        <v/>
      </c>
      <c r="E27" s="10" t="inlineStr">
        <is>
          <t>0.5% of FD shares; non-material at Series A scale</t>
        </is>
      </c>
    </row>
    <row r="28" ht="28" customHeight="1">
      <c r="A28" s="26" t="inlineStr">
        <is>
          <t>Lockup / vesting</t>
        </is>
      </c>
      <c r="B28" s="26" t="inlineStr">
        <is>
          <t>Annual payments, 3 years</t>
        </is>
      </c>
      <c r="C28" s="26" t="inlineStr">
        <is>
          <t>12-month lockup post-listing</t>
        </is>
      </c>
      <c r="D28" s="26" t="inlineStr">
        <is>
          <t>Each tranche per its own schedule</t>
        </is>
      </c>
      <c r="E28" s="10" t="inlineStr"/>
    </row>
    <row r="30">
      <c r="A30" s="19" t="inlineStr">
        <is>
          <t>TOTAL CONSIDERATION SUMMARY (Base price + earn-out)</t>
        </is>
      </c>
    </row>
    <row r="31">
      <c r="A31" s="20" t="inlineStr">
        <is>
          <t>Component</t>
        </is>
      </c>
      <c r="B31" s="20" t="inlineStr">
        <is>
          <t>Low</t>
        </is>
      </c>
      <c r="C31" s="20" t="inlineStr">
        <is>
          <t>Base</t>
        </is>
      </c>
      <c r="D31" s="20" t="inlineStr">
        <is>
          <t>High</t>
        </is>
      </c>
      <c r="E31" s="20" t="inlineStr">
        <is>
          <t>Notes</t>
        </is>
      </c>
    </row>
    <row r="32" ht="18" customHeight="1">
      <c r="A32" t="inlineStr">
        <is>
          <t>Base acquisition price</t>
        </is>
      </c>
      <c r="B32" s="28">
        <f>Assumptions!B9</f>
        <v/>
      </c>
      <c r="C32" s="28">
        <f>Assumptions!B9</f>
        <v/>
      </c>
      <c r="D32" s="28">
        <f>Assumptions!B9</f>
        <v/>
      </c>
      <c r="E32" s="29" t="inlineStr">
        <is>
          <t>§3 deal price; incl. stake credit</t>
        </is>
      </c>
    </row>
    <row r="33" ht="18" customHeight="1">
      <c r="A33" t="inlineStr">
        <is>
          <t>SSLC debts assumed (TBV)</t>
        </is>
      </c>
      <c r="B33" s="28">
        <f>Assumptions!B14</f>
        <v/>
      </c>
      <c r="C33" s="28">
        <f>Assumptions!B14</f>
        <v/>
      </c>
      <c r="D33" s="28">
        <f>Assumptions!B14</f>
        <v/>
      </c>
      <c r="E33" s="29" t="inlineStr">
        <is>
          <t>To verify in SSLC QB</t>
        </is>
      </c>
    </row>
    <row r="34" ht="18" customHeight="1">
      <c r="A34" t="inlineStr">
        <is>
          <t>Earn-out (combined)</t>
        </is>
      </c>
      <c r="B34" s="28">
        <f>D24</f>
        <v/>
      </c>
      <c r="C34" s="28">
        <f>D25</f>
        <v/>
      </c>
      <c r="D34" s="28">
        <f>D26</f>
        <v/>
      </c>
      <c r="E34" s="29" t="inlineStr">
        <is>
          <t>Earn-out i + ii combined</t>
        </is>
      </c>
    </row>
    <row r="35" ht="18" customHeight="1">
      <c r="A35" s="30" t="inlineStr">
        <is>
          <t>TOTAL CONSIDERATION</t>
        </is>
      </c>
      <c r="B35" s="31">
        <f>B32+B33+B34</f>
        <v/>
      </c>
      <c r="C35" s="31">
        <f>C32+C33+C34</f>
        <v/>
      </c>
      <c r="D35" s="31">
        <f>D32+D33+D34</f>
        <v/>
      </c>
      <c r="E35" s="30" t="inlineStr">
        <is>
          <t>All-in for 82% of SSLC</t>
        </is>
      </c>
    </row>
    <row r="36" ht="18" customHeight="1">
      <c r="A36" t="inlineStr">
        <is>
          <t>Implied 100% SSLC value</t>
        </is>
      </c>
      <c r="B36" s="28">
        <f>B35/0.82</f>
        <v/>
      </c>
      <c r="C36" s="28">
        <f>C35/0.82</f>
        <v/>
      </c>
      <c r="D36" s="28">
        <f>D35/0.82</f>
        <v/>
      </c>
      <c r="E36" s="29" t="inlineStr">
        <is>
          <t>At 82% acquisition; Exos holds 18%</t>
        </is>
      </c>
    </row>
    <row r="37" ht="18" customHeight="1">
      <c r="A37" t="inlineStr">
        <is>
          <t>Payback (yrs at base EBITDA)</t>
        </is>
      </c>
      <c r="B37" s="32">
        <f>B35/1240000</f>
        <v/>
      </c>
      <c r="C37" s="32">
        <f>C35/1240000</f>
        <v/>
      </c>
      <c r="D37" s="32">
        <f>D35/1240000</f>
        <v/>
      </c>
      <c r="E37" s="29" t="inlineStr">
        <is>
          <t>FY27 SSLC EBITDA est. $1.24M</t>
        </is>
      </c>
    </row>
  </sheetData>
  <mergeCells count="7">
    <mergeCell ref="A21:E21"/>
    <mergeCell ref="A30:E30"/>
    <mergeCell ref="A4:E4"/>
    <mergeCell ref="A2:E2"/>
    <mergeCell ref="A15:E15"/>
    <mergeCell ref="A1:E1"/>
    <mergeCell ref="A6:E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  <col width="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</cols>
  <sheetData>
    <row r="1" ht="22" customHeight="1">
      <c r="A1" s="18" t="inlineStr">
        <is>
          <t>EXOS + SSLC Consolidated P&amp;L — Option B Acquisition | TWO CASES</t>
        </is>
      </c>
    </row>
    <row r="2" ht="28" customHeight="1">
      <c r="A2" s="10" t="inlineStr">
        <is>
          <t>Actuals-Anchored Case: uses Q1 FY27 actuals and actuals-derived projections. Old-Model Case (v12 drivers): uses v12 Scorpius unit/ASP/COGS ramp + v12 Exos standalone. FY27 SSLC fixed: $5.5M (quarterly basis) — prior annual formula ($6.925M) was inconsistent.</t>
        </is>
      </c>
    </row>
    <row r="4">
      <c r="A4" s="20" t="inlineStr">
        <is>
          <t>FY27 QUARTERLY — Actuals-Anchored Case — Exos+SSLC Consolidated (acquisition assumed closed Q1)</t>
        </is>
      </c>
    </row>
    <row r="5">
      <c r="A5" s="3" t="inlineStr">
        <is>
          <t>Line Item</t>
        </is>
      </c>
      <c r="B5" s="3" t="inlineStr">
        <is>
          <t>FY27 Q1</t>
        </is>
      </c>
      <c r="C5" s="3" t="inlineStr">
        <is>
          <t>FY27 Q2</t>
        </is>
      </c>
      <c r="D5" s="3" t="inlineStr">
        <is>
          <t>FY27 Q3</t>
        </is>
      </c>
      <c r="E5" s="3" t="inlineStr">
        <is>
          <t>FY27 Q4</t>
        </is>
      </c>
      <c r="F5" s="3" t="inlineStr">
        <is>
          <t>FY27 Total</t>
        </is>
      </c>
      <c r="G5" s="3" t="inlineStr"/>
      <c r="H5" s="3" t="inlineStr">
        <is>
          <t>Notes</t>
        </is>
      </c>
    </row>
    <row r="6" ht="18" customHeight="1">
      <c r="A6" t="inlineStr">
        <is>
          <t>SSLC Revenue (post-consolidation)</t>
        </is>
      </c>
      <c r="B6" s="22" t="n">
        <v>713000</v>
      </c>
      <c r="C6" s="22" t="n">
        <v>1387000</v>
      </c>
      <c r="D6" s="22" t="n">
        <v>1400000</v>
      </c>
      <c r="E6" s="22" t="n">
        <v>2000000</v>
      </c>
      <c r="F6" s="22">
        <f>SUM(B6:E6)</f>
        <v/>
      </c>
      <c r="H6" s="10" t="inlineStr">
        <is>
          <t>Q1 actual $713K; Q2-Q4 distributes $5M IM firm ramp → FY27 total $5.5M</t>
        </is>
      </c>
    </row>
    <row r="7" ht="18" customHeight="1">
      <c r="A7" t="inlineStr">
        <is>
          <t>Exos Standalone Revenue</t>
        </is>
      </c>
      <c r="B7" s="22" t="n">
        <v>550000</v>
      </c>
      <c r="C7" s="22" t="n">
        <v>700000</v>
      </c>
      <c r="D7" s="22" t="n">
        <v>700000</v>
      </c>
      <c r="E7" s="22" t="n">
        <v>650000</v>
      </c>
      <c r="F7" s="22">
        <f>SUM(B7:E7)</f>
        <v/>
      </c>
      <c r="H7" s="10" t="inlineStr">
        <is>
          <t>v15 baseline; $2.6M FY27 total excl. SSLC commission</t>
        </is>
      </c>
    </row>
    <row r="8" ht="18" customHeight="1">
      <c r="A8" t="inlineStr">
        <is>
          <t>Less: Intercompany Eliminations</t>
        </is>
      </c>
      <c r="B8" s="22" t="n">
        <v>-125000</v>
      </c>
      <c r="C8" s="22" t="n">
        <v>-125000</v>
      </c>
      <c r="D8" s="22" t="n">
        <v>-125000</v>
      </c>
      <c r="E8" s="22" t="n">
        <v>-125000</v>
      </c>
      <c r="F8" s="22">
        <f>SUM(B8:E8)</f>
        <v/>
      </c>
      <c r="H8" s="10" t="inlineStr">
        <is>
          <t>Exos purchases from SSLC; $500K/yr eliminated</t>
        </is>
      </c>
    </row>
    <row r="9" ht="18" customHeight="1">
      <c r="A9" s="30" t="inlineStr">
        <is>
          <t>NET CONSOLIDATED REVENUE</t>
        </is>
      </c>
      <c r="B9" s="33">
        <f>B6+B7+B8</f>
        <v/>
      </c>
      <c r="C9" s="33">
        <f>C6+C7+C8</f>
        <v/>
      </c>
      <c r="D9" s="33">
        <f>D6+D7+D8</f>
        <v/>
      </c>
      <c r="E9" s="33">
        <f>E6+E7+E8</f>
        <v/>
      </c>
      <c r="F9" s="33">
        <f>SUM(B9:E9)</f>
        <v/>
      </c>
      <c r="G9" s="30" t="n"/>
      <c r="H9" s="30" t="inlineStr"/>
    </row>
    <row r="11">
      <c r="A11" s="20" t="inlineStr">
        <is>
          <t>COST OF GOODS SOLD</t>
        </is>
      </c>
    </row>
    <row r="12" ht="18" customHeight="1">
      <c r="A12" t="inlineStr">
        <is>
          <t>SSLC COGS (52%)</t>
        </is>
      </c>
      <c r="B12" s="34">
        <f>B6*Assumptions!B45</f>
        <v/>
      </c>
      <c r="C12" s="34">
        <f>C6*Assumptions!B45</f>
        <v/>
      </c>
      <c r="D12" s="34">
        <f>D6*Assumptions!B45</f>
        <v/>
      </c>
      <c r="E12" s="34">
        <f>E6*Assumptions!B45</f>
        <v/>
      </c>
      <c r="F12" s="34">
        <f>SUM(B12:E12)</f>
        <v/>
      </c>
      <c r="H12" s="29" t="inlineStr">
        <is>
          <t>52%; derived from FY26</t>
        </is>
      </c>
    </row>
    <row r="13" ht="18" customHeight="1">
      <c r="A13" t="inlineStr">
        <is>
          <t>Exos COGS (45%)</t>
        </is>
      </c>
      <c r="B13" s="34">
        <f>B7*0.45</f>
        <v/>
      </c>
      <c r="C13" s="34">
        <f>C7*0.45</f>
        <v/>
      </c>
      <c r="D13" s="34">
        <f>D7*0.45</f>
        <v/>
      </c>
      <c r="E13" s="34">
        <f>E7*0.45</f>
        <v/>
      </c>
      <c r="F13" s="34">
        <f>SUM(B13:E13)</f>
        <v/>
      </c>
      <c r="H13" s="29" t="inlineStr">
        <is>
          <t>45% COGS</t>
        </is>
      </c>
    </row>
    <row r="14" ht="18" customHeight="1">
      <c r="A14" s="35" t="inlineStr">
        <is>
          <t>TOTAL COGS</t>
        </is>
      </c>
      <c r="B14" s="36">
        <f>B12+B13</f>
        <v/>
      </c>
      <c r="C14" s="36">
        <f>C12+C13</f>
        <v/>
      </c>
      <c r="D14" s="36">
        <f>D12+D13</f>
        <v/>
      </c>
      <c r="E14" s="36">
        <f>E12+E13</f>
        <v/>
      </c>
      <c r="F14" s="36">
        <f>SUM(B14:E14)</f>
        <v/>
      </c>
      <c r="H14" s="29" t="inlineStr"/>
    </row>
    <row r="15" ht="18" customHeight="1">
      <c r="A15" s="35" t="inlineStr">
        <is>
          <t>GROSS PROFIT</t>
        </is>
      </c>
      <c r="B15" s="36">
        <f>B9-B14</f>
        <v/>
      </c>
      <c r="C15" s="36">
        <f>C9-C14</f>
        <v/>
      </c>
      <c r="D15" s="36">
        <f>D9-D14</f>
        <v/>
      </c>
      <c r="E15" s="36">
        <f>E9-E14</f>
        <v/>
      </c>
      <c r="F15" s="36">
        <f>SUM(B15:E15)</f>
        <v/>
      </c>
      <c r="H15" s="29" t="inlineStr"/>
    </row>
    <row r="16" ht="18" customHeight="1">
      <c r="A16" t="inlineStr">
        <is>
          <t>Gross Margin %</t>
        </is>
      </c>
      <c r="B16" s="34">
        <f>IF(B9&lt;&gt;0,B15/B9,0)</f>
        <v/>
      </c>
      <c r="C16" s="34">
        <f>IF(C9&lt;&gt;0,C15/C9,0)</f>
        <v/>
      </c>
      <c r="D16" s="34">
        <f>IF(D9&lt;&gt;0,D15/D9,0)</f>
        <v/>
      </c>
      <c r="E16" s="34">
        <f>IF(E9&lt;&gt;0,E15/E9,0)</f>
        <v/>
      </c>
      <c r="F16" s="34">
        <f>SUM(B16:E16)</f>
        <v/>
      </c>
      <c r="H16" s="29" t="inlineStr"/>
    </row>
    <row r="18">
      <c r="A18" s="20" t="inlineStr">
        <is>
          <t>OPERATING EXPENSES</t>
        </is>
      </c>
    </row>
    <row r="19" ht="18" customHeight="1">
      <c r="A19" t="inlineStr">
        <is>
          <t>SSLC OpEx</t>
        </is>
      </c>
      <c r="B19" s="22" t="n">
        <v>350000</v>
      </c>
      <c r="C19" s="22" t="n">
        <v>350000</v>
      </c>
      <c r="D19" s="22" t="n">
        <v>350000</v>
      </c>
      <c r="E19" s="22" t="n">
        <v>350000</v>
      </c>
      <c r="F19" s="22">
        <f>SUM(B19:E19)</f>
        <v/>
      </c>
      <c r="H19" s="29" t="inlineStr">
        <is>
          <t>FY27 $1.4M / 4Q</t>
        </is>
      </c>
    </row>
    <row r="20" ht="18" customHeight="1">
      <c r="A20" t="inlineStr">
        <is>
          <t>Exos OpEx (excl. R&amp;D)</t>
        </is>
      </c>
      <c r="B20" s="22" t="n">
        <v>650000</v>
      </c>
      <c r="C20" s="22" t="n">
        <v>650000</v>
      </c>
      <c r="D20" s="22" t="n">
        <v>650000</v>
      </c>
      <c r="E20" s="22" t="n">
        <v>650000</v>
      </c>
      <c r="F20" s="22">
        <f>SUM(B20:E20)</f>
        <v/>
      </c>
      <c r="H20" s="29" t="inlineStr">
        <is>
          <t>Exos G&amp;A / payroll</t>
        </is>
      </c>
    </row>
    <row r="21" ht="18" customHeight="1">
      <c r="A21" t="inlineStr">
        <is>
          <t>Exos R&amp;D / BLK3 dev</t>
        </is>
      </c>
      <c r="B21" s="22" t="n">
        <v>500000</v>
      </c>
      <c r="C21" s="22" t="n">
        <v>500000</v>
      </c>
      <c r="D21" s="22" t="n">
        <v>500000</v>
      </c>
      <c r="E21" s="22" t="n">
        <v>500000</v>
      </c>
      <c r="F21" s="22">
        <f>SUM(B21:E21)</f>
        <v/>
      </c>
      <c r="H21" s="29" t="inlineStr">
        <is>
          <t>BLK3 development</t>
        </is>
      </c>
    </row>
    <row r="22" ht="18" customHeight="1">
      <c r="A22" s="37" t="inlineStr">
        <is>
          <t>TOTAL OPEX</t>
        </is>
      </c>
      <c r="B22" s="38">
        <f>SUM(B19:B21)</f>
        <v/>
      </c>
      <c r="C22" s="38">
        <f>SUM(C19:C21)</f>
        <v/>
      </c>
      <c r="D22" s="38">
        <f>SUM(D19:D21)</f>
        <v/>
      </c>
      <c r="E22" s="38">
        <f>SUM(E19:E21)</f>
        <v/>
      </c>
      <c r="F22" s="38">
        <f>SUM(B22:E22)</f>
        <v/>
      </c>
      <c r="H22" s="29" t="inlineStr"/>
    </row>
    <row r="24" ht="18" customHeight="1">
      <c r="A24" s="30" t="inlineStr">
        <is>
          <t>EBITDA</t>
        </is>
      </c>
      <c r="B24" s="33">
        <f>B15-B22</f>
        <v/>
      </c>
      <c r="C24" s="33">
        <f>C15-C22</f>
        <v/>
      </c>
      <c r="D24" s="33">
        <f>D15-D22</f>
        <v/>
      </c>
      <c r="E24" s="33">
        <f>E15-E22</f>
        <v/>
      </c>
      <c r="F24" s="33">
        <f>SUM(B24:E24)</f>
        <v/>
      </c>
      <c r="H24" s="29" t="inlineStr"/>
    </row>
    <row r="25" ht="18" customHeight="1">
      <c r="A25" t="inlineStr">
        <is>
          <t>EBITDA Margin %</t>
        </is>
      </c>
      <c r="B25" s="34">
        <f>IF(B9&lt;&gt;0,B24/B9,0)</f>
        <v/>
      </c>
      <c r="C25" s="34">
        <f>IF(C9&lt;&gt;0,C24/C9,0)</f>
        <v/>
      </c>
      <c r="D25" s="34">
        <f>IF(D9&lt;&gt;0,D24/D9,0)</f>
        <v/>
      </c>
      <c r="E25" s="34">
        <f>IF(E9&lt;&gt;0,E24/E9,0)</f>
        <v/>
      </c>
      <c r="F25" s="34">
        <f>SUM(B25:E25)</f>
        <v/>
      </c>
      <c r="H25" s="29" t="inlineStr"/>
    </row>
    <row r="26" ht="18" customHeight="1">
      <c r="A26" t="inlineStr">
        <is>
          <t>D&amp;A (est.)</t>
        </is>
      </c>
      <c r="B26" s="22" t="n">
        <v>-40000</v>
      </c>
      <c r="C26" s="22" t="n">
        <v>-40000</v>
      </c>
      <c r="D26" s="22" t="n">
        <v>-40000</v>
      </c>
      <c r="E26" s="22" t="n">
        <v>-40000</v>
      </c>
      <c r="F26" s="22">
        <f>SUM(B26:E26)</f>
        <v/>
      </c>
      <c r="H26" s="29" t="inlineStr">
        <is>
          <t>$160K FY27 combined</t>
        </is>
      </c>
    </row>
    <row r="27" ht="18" customHeight="1">
      <c r="A27" s="30" t="inlineStr">
        <is>
          <t>EBIT</t>
        </is>
      </c>
      <c r="B27" s="33">
        <f>B24+B26</f>
        <v/>
      </c>
      <c r="C27" s="33">
        <f>C24+C26</f>
        <v/>
      </c>
      <c r="D27" s="33">
        <f>D24+D26</f>
        <v/>
      </c>
      <c r="E27" s="33">
        <f>E24+E26</f>
        <v/>
      </c>
      <c r="F27" s="33">
        <f>SUM(B27:E27)</f>
        <v/>
      </c>
      <c r="H27" s="29" t="inlineStr"/>
    </row>
    <row r="28" ht="18" customHeight="1">
      <c r="A28" t="inlineStr">
        <is>
          <t>Interest / one-time</t>
        </is>
      </c>
      <c r="B28" s="22" t="inlineStr">
        <is>
          <t>0</t>
        </is>
      </c>
      <c r="C28" s="22" t="inlineStr">
        <is>
          <t>0</t>
        </is>
      </c>
      <c r="D28" s="22" t="inlineStr">
        <is>
          <t>0</t>
        </is>
      </c>
      <c r="E28" s="22" t="inlineStr">
        <is>
          <t>0</t>
        </is>
      </c>
      <c r="F28" s="22">
        <f>SUM(B28:E28)</f>
        <v/>
      </c>
      <c r="H28" s="29" t="inlineStr"/>
    </row>
    <row r="29" ht="18" customHeight="1">
      <c r="A29" s="30" t="inlineStr">
        <is>
          <t>Pre-Tax Income</t>
        </is>
      </c>
      <c r="B29" s="33">
        <f>B27+B28</f>
        <v/>
      </c>
      <c r="C29" s="33">
        <f>C27+C28</f>
        <v/>
      </c>
      <c r="D29" s="33">
        <f>D27+D28</f>
        <v/>
      </c>
      <c r="E29" s="33">
        <f>E27+E28</f>
        <v/>
      </c>
      <c r="F29" s="33">
        <f>SUM(B29:E29)</f>
        <v/>
      </c>
      <c r="H29" s="29" t="inlineStr"/>
    </row>
    <row r="32" ht="22" customHeight="1">
      <c r="A32" s="39" t="inlineStr">
        <is>
          <t>5-YEAR ANNUAL P&amp;L — FY27–FY31 | LEFT: Actuals-Anchored Case | RIGHT: Old-Model Case (v12 Drivers)</t>
        </is>
      </c>
    </row>
    <row r="33">
      <c r="A33" s="40" t="inlineStr">
        <is>
          <t>ACTUALS-ANCHORED CASE</t>
        </is>
      </c>
      <c r="J33" s="41" t="inlineStr">
        <is>
          <t>OLD-MODEL CASE (v12 DRIVERS) — source: v12 Annual P&amp;L, recalculated 10/7</t>
        </is>
      </c>
    </row>
    <row r="34" ht="18" customHeight="1">
      <c r="A34" s="3" t="inlineStr">
        <is>
          <t>Line Item</t>
        </is>
      </c>
      <c r="B34" s="3" t="inlineStr">
        <is>
          <t>FY27</t>
        </is>
      </c>
      <c r="C34" s="3" t="inlineStr">
        <is>
          <t>FY28</t>
        </is>
      </c>
      <c r="D34" s="3" t="inlineStr">
        <is>
          <t>FY29</t>
        </is>
      </c>
      <c r="E34" s="3" t="inlineStr">
        <is>
          <t>FY30</t>
        </is>
      </c>
      <c r="F34" s="3" t="inlineStr">
        <is>
          <t>FY31</t>
        </is>
      </c>
      <c r="G34" s="3" t="inlineStr">
        <is>
          <t>CAGR</t>
        </is>
      </c>
      <c r="J34" s="42" t="inlineStr">
        <is>
          <t>FY27</t>
        </is>
      </c>
      <c r="K34" s="42" t="inlineStr">
        <is>
          <t>FY28</t>
        </is>
      </c>
      <c r="L34" s="42" t="inlineStr">
        <is>
          <t>FY29</t>
        </is>
      </c>
      <c r="M34" s="42" t="inlineStr">
        <is>
          <t>FY30</t>
        </is>
      </c>
      <c r="N34" s="42" t="inlineStr">
        <is>
          <t>FY31</t>
        </is>
      </c>
      <c r="O34" s="42" t="inlineStr">
        <is>
          <t>CAGR</t>
        </is>
      </c>
      <c r="P34" s="42" t="inlineStr">
        <is>
          <t>Notes</t>
        </is>
      </c>
    </row>
    <row r="36" ht="16" customHeight="1">
      <c r="A36" s="43" t="inlineStr">
        <is>
          <t>REVENUE</t>
        </is>
      </c>
      <c r="J36" s="44" t="inlineStr">
        <is>
          <t>REVENUE</t>
        </is>
      </c>
    </row>
    <row r="37" ht="18" customHeight="1">
      <c r="A37" s="5" t="inlineStr">
        <is>
          <t>SSLC Revenue</t>
        </is>
      </c>
      <c r="B37" s="22">
        <f>Assumptions!B48</f>
        <v/>
      </c>
      <c r="C37" s="22">
        <f>Assumptions!B49</f>
        <v/>
      </c>
      <c r="D37" s="22">
        <f>Assumptions!B50</f>
        <v/>
      </c>
      <c r="E37" s="22">
        <f>Assumptions!B51</f>
        <v/>
      </c>
      <c r="F37" s="22">
        <f>Assumptions!B52</f>
        <v/>
      </c>
      <c r="G37" s="34">
        <f>IFERROR((F37/B37)^(1/4)-1,0)</f>
        <v/>
      </c>
      <c r="J37" s="22">
        <f>Assumptions!B76</f>
        <v/>
      </c>
      <c r="K37" s="22">
        <f>Assumptions!B77</f>
        <v/>
      </c>
      <c r="L37" s="22">
        <f>Assumptions!B78</f>
        <v/>
      </c>
      <c r="M37" s="22">
        <f>Assumptions!B79</f>
        <v/>
      </c>
      <c r="N37" s="22">
        <f>Assumptions!B80</f>
        <v/>
      </c>
      <c r="O37" s="34">
        <f>IFERROR((N37/J37)^(1/4)-1,0)</f>
        <v/>
      </c>
      <c r="P37" s="7" t="inlineStr">
        <is>
          <t>AA: $5.5M (fixed, quarterly basis); v12: tank unit/ASP ramp model</t>
        </is>
      </c>
    </row>
    <row r="38" ht="18" customHeight="1">
      <c r="A38" s="5" t="inlineStr">
        <is>
          <t>Exos Standalone Revenue</t>
        </is>
      </c>
      <c r="B38" s="22">
        <f>Assumptions!B57</f>
        <v/>
      </c>
      <c r="C38" s="22">
        <f>Assumptions!B58</f>
        <v/>
      </c>
      <c r="D38" s="22">
        <f>Assumptions!B59</f>
        <v/>
      </c>
      <c r="E38" s="22">
        <f>Assumptions!B60</f>
        <v/>
      </c>
      <c r="F38" s="22">
        <f>Assumptions!B61</f>
        <v/>
      </c>
      <c r="G38" s="34">
        <f>IFERROR((F38/B38)^(1/4)-1,0)</f>
        <v/>
      </c>
      <c r="J38" s="22">
        <f>Assumptions!B86</f>
        <v/>
      </c>
      <c r="K38" s="22">
        <f>Assumptions!B87</f>
        <v/>
      </c>
      <c r="L38" s="22">
        <f>Assumptions!B88</f>
        <v/>
      </c>
      <c r="M38" s="22">
        <f>Assumptions!B89</f>
        <v/>
      </c>
      <c r="N38" s="22">
        <f>Assumptions!B90</f>
        <v/>
      </c>
      <c r="O38" s="34">
        <f>IFERROR((N38/J38)^(1/4)-1,0)</f>
        <v/>
      </c>
      <c r="P38" s="7" t="inlineStr">
        <is>
          <t>AA: v15 commission-only basis; v12: includes BLK4/propulsion/wet-lease ramp</t>
        </is>
      </c>
    </row>
    <row r="39" ht="18" customHeight="1">
      <c r="A39" s="5" t="inlineStr">
        <is>
          <t>Less: Intercompany</t>
        </is>
      </c>
      <c r="B39" s="22" t="n">
        <v>-500000</v>
      </c>
      <c r="C39" s="22" t="n">
        <v>-575000</v>
      </c>
      <c r="D39" s="22" t="n">
        <v>-661000</v>
      </c>
      <c r="E39" s="22" t="n">
        <v>-760000</v>
      </c>
      <c r="F39" s="22" t="n">
        <v>-874000</v>
      </c>
      <c r="G39" s="34">
        <f>IFERROR((F39/B39)^(1/4)-1,0)</f>
        <v/>
      </c>
      <c r="J39" s="22" t="n">
        <v>-500000</v>
      </c>
      <c r="K39" s="22" t="n">
        <v>-575000</v>
      </c>
      <c r="L39" s="22" t="n">
        <v>-661000</v>
      </c>
      <c r="M39" s="22" t="n">
        <v>-760000</v>
      </c>
      <c r="N39" s="22" t="n">
        <v>-874000</v>
      </c>
      <c r="O39" s="34">
        <f>IFERROR((N39/J39)^(1/4)-1,0)</f>
        <v/>
      </c>
      <c r="P39" s="7" t="inlineStr">
        <is>
          <t>Same in both cases</t>
        </is>
      </c>
    </row>
    <row r="40" ht="18" customHeight="1">
      <c r="A40" s="6" t="inlineStr">
        <is>
          <t>NET CONSOLIDATED REVENUE</t>
        </is>
      </c>
      <c r="B40" s="24">
        <f>B37+B38+B39</f>
        <v/>
      </c>
      <c r="C40" s="24">
        <f>C37+C38+C39</f>
        <v/>
      </c>
      <c r="D40" s="24">
        <f>D37+D38+D39</f>
        <v/>
      </c>
      <c r="E40" s="24">
        <f>E37+E38+E39</f>
        <v/>
      </c>
      <c r="F40" s="24">
        <f>F37+F38+F39</f>
        <v/>
      </c>
      <c r="G40" s="34">
        <f>IFERROR((F40/B40)^(1/4)-1,0)</f>
        <v/>
      </c>
      <c r="J40" s="24">
        <f>Assumptions!B81</f>
        <v/>
      </c>
      <c r="K40" s="24">
        <f>Assumptions!B82</f>
        <v/>
      </c>
      <c r="L40" s="24">
        <f>Assumptions!B83</f>
        <v/>
      </c>
      <c r="M40" s="24">
        <f>Assumptions!B84</f>
        <v/>
      </c>
      <c r="N40" s="24">
        <f>Assumptions!B85</f>
        <v/>
      </c>
      <c r="O40" s="34">
        <f>IFERROR((N40/J40)^(1/4)-1,0)</f>
        <v/>
      </c>
      <c r="P40" s="7" t="inlineStr"/>
    </row>
    <row r="42" ht="16" customHeight="1">
      <c r="A42" s="43" t="inlineStr">
        <is>
          <t>EBITDA</t>
        </is>
      </c>
      <c r="J42" s="44" t="inlineStr">
        <is>
          <t>EBITDA</t>
        </is>
      </c>
    </row>
    <row r="43" ht="18" customHeight="1">
      <c r="A43" s="5" t="inlineStr">
        <is>
          <t>SSLC EBITDA</t>
        </is>
      </c>
      <c r="B43" s="22">
        <f>Assumptions!B48*(1-Assumptions!B45)-Assumptions!B46</f>
        <v/>
      </c>
      <c r="C43" s="22">
        <f>Assumptions!B49*(1-Assumptions!B45)-Assumptions!B46*(1+Assumptions!B47)</f>
        <v/>
      </c>
      <c r="D43" s="22">
        <f>Assumptions!B50*(1-Assumptions!B45)-Assumptions!B46*(1+Assumptions!B47)^2</f>
        <v/>
      </c>
      <c r="E43" s="22">
        <f>Assumptions!B51*(1-Assumptions!B45)-Assumptions!B46*(1+Assumptions!B47)^3</f>
        <v/>
      </c>
      <c r="F43" s="22">
        <f>Assumptions!B52*(1-Assumptions!B45)-Assumptions!B46*(1+Assumptions!B47)^4</f>
        <v/>
      </c>
      <c r="G43" s="34">
        <f>IFERROR((F43/B43)^(1/4)-1,0)</f>
        <v/>
      </c>
      <c r="J43" s="22">
        <f>Assumptions!B76*(1-Assumptions!B74)-Assumptions!B46</f>
        <v/>
      </c>
      <c r="K43" s="22">
        <f>Assumptions!B77*(1-Assumptions!B74)-Assumptions!B46*(1+Assumptions!B47)</f>
        <v/>
      </c>
      <c r="L43" s="22">
        <f>Assumptions!B78*(1-Assumptions!B75)-Assumptions!B46*(1+Assumptions!B47)^2</f>
        <v/>
      </c>
      <c r="M43" s="22">
        <f>Assumptions!B79*(1-Assumptions!B75)-Assumptions!B46*(1+Assumptions!B47)^3</f>
        <v/>
      </c>
      <c r="N43" s="22">
        <f>Assumptions!B80*(1-Assumptions!B75)-Assumptions!B46*(1+Assumptions!B47)^4</f>
        <v/>
      </c>
      <c r="O43" s="34">
        <f>IFERROR((N43/J43)^(1/4)-1,0)</f>
        <v/>
      </c>
      <c r="P43" s="7" t="inlineStr">
        <is>
          <t>AA: 48% gross margin − OpEx; v12: 65%/70% GM − OpEx (35%/30% COGS)</t>
        </is>
      </c>
    </row>
    <row r="44" ht="18" customHeight="1">
      <c r="A44" s="5" t="inlineStr">
        <is>
          <t>Exos Standalone EBITDA</t>
        </is>
      </c>
      <c r="B44" s="22">
        <f>Assumptions!B62</f>
        <v/>
      </c>
      <c r="C44" s="22">
        <f>Assumptions!B63</f>
        <v/>
      </c>
      <c r="D44" s="22">
        <f>Assumptions!B64</f>
        <v/>
      </c>
      <c r="E44" s="22">
        <f>Assumptions!B65</f>
        <v/>
      </c>
      <c r="F44" s="22">
        <f>Assumptions!B66</f>
        <v/>
      </c>
      <c r="G44" s="34">
        <f>IFERROR((F44/B44)^(1/4)-1,0)</f>
        <v/>
      </c>
      <c r="J44" s="22">
        <f>Assumptions!B91-J43</f>
        <v/>
      </c>
      <c r="K44" s="22">
        <f>Assumptions!B92-K43</f>
        <v/>
      </c>
      <c r="L44" s="22">
        <f>Assumptions!B93-L43</f>
        <v/>
      </c>
      <c r="M44" s="22">
        <f>Assumptions!B94-M43</f>
        <v/>
      </c>
      <c r="N44" s="22">
        <f>Assumptions!B95-N43</f>
        <v/>
      </c>
      <c r="O44" s="34">
        <f>IFERROR((N44/J44)^(1/4)-1,0)</f>
        <v/>
      </c>
      <c r="P44" s="7" t="inlineStr">
        <is>
          <t>AA: v15 management assumption; v12: derived from v12 total EBITDA − v12 SSLC EBITDA</t>
        </is>
      </c>
    </row>
    <row r="45" ht="18" customHeight="1">
      <c r="A45" s="6" t="inlineStr">
        <is>
          <t>CONSOLIDATED EBITDA</t>
        </is>
      </c>
      <c r="B45" s="24">
        <f>B43+B44</f>
        <v/>
      </c>
      <c r="C45" s="24">
        <f>C43+C44</f>
        <v/>
      </c>
      <c r="D45" s="24">
        <f>D43+D44</f>
        <v/>
      </c>
      <c r="E45" s="24">
        <f>E43+E44</f>
        <v/>
      </c>
      <c r="F45" s="24">
        <f>F43+F44</f>
        <v/>
      </c>
      <c r="G45" s="34">
        <f>IFERROR((F45/B45)^(1/4)-1,0)</f>
        <v/>
      </c>
      <c r="J45" s="24">
        <f>Assumptions!B91</f>
        <v/>
      </c>
      <c r="K45" s="24">
        <f>Assumptions!B92</f>
        <v/>
      </c>
      <c r="L45" s="24">
        <f>Assumptions!B93</f>
        <v/>
      </c>
      <c r="M45" s="24">
        <f>Assumptions!B94</f>
        <v/>
      </c>
      <c r="N45" s="24">
        <f>Assumptions!B95</f>
        <v/>
      </c>
      <c r="O45" s="34">
        <f>IFERROR((N45/J45)^(1/4)-1,0)</f>
        <v/>
      </c>
      <c r="P45" s="7" t="inlineStr">
        <is>
          <t>v12 total EBITDA taken directly from v12 Annual P&amp;L</t>
        </is>
      </c>
    </row>
    <row r="46" ht="18" customHeight="1">
      <c r="A46" s="5" t="inlineStr">
        <is>
          <t>EBITDA Margin %</t>
        </is>
      </c>
      <c r="B46" s="34">
        <f>IF(B40&lt;&gt;0,B45/B40,0)</f>
        <v/>
      </c>
      <c r="C46" s="34">
        <f>IF(C40&lt;&gt;0,C45/C40,0)</f>
        <v/>
      </c>
      <c r="D46" s="34">
        <f>IF(D40&lt;&gt;0,D45/D40,0)</f>
        <v/>
      </c>
      <c r="E46" s="34">
        <f>IF(E40&lt;&gt;0,E45/E40,0)</f>
        <v/>
      </c>
      <c r="F46" s="34">
        <f>IF(F40&lt;&gt;0,F45/F40,0)</f>
        <v/>
      </c>
      <c r="G46" s="34">
        <f>IFERROR((F46/B46)^(1/4)-1,0)</f>
        <v/>
      </c>
      <c r="J46" s="34">
        <f>IF(J40&lt;&gt;0,J45/J40,0)</f>
        <v/>
      </c>
      <c r="K46" s="34">
        <f>IF(K40&lt;&gt;0,K45/K40,0)</f>
        <v/>
      </c>
      <c r="L46" s="34">
        <f>IF(L40&lt;&gt;0,L45/L40,0)</f>
        <v/>
      </c>
      <c r="M46" s="34">
        <f>IF(M40&lt;&gt;0,M45/M40,0)</f>
        <v/>
      </c>
      <c r="N46" s="34">
        <f>IF(N40&lt;&gt;0,N45/N40,0)</f>
        <v/>
      </c>
      <c r="O46" s="34">
        <f>IFERROR((N46/J46)^(1/4)-1,0)</f>
        <v/>
      </c>
      <c r="P46" s="7" t="inlineStr"/>
    </row>
    <row r="48" ht="16" customHeight="1">
      <c r="A48" s="43" t="inlineStr">
        <is>
          <t>BENCHMARK COMPARISON (Option B / both cases vs v15 old acquisition model)</t>
        </is>
      </c>
    </row>
    <row r="49" ht="18" customHeight="1">
      <c r="A49" s="29" t="inlineStr">
        <is>
          <t>v15 benchmark SSLC acq rev Y1</t>
        </is>
      </c>
      <c r="B49" s="28">
        <f>Assumptions!B53</f>
        <v/>
      </c>
      <c r="F49" s="28">
        <f>Assumptions!B54</f>
        <v/>
      </c>
      <c r="P49" s="45" t="inlineStr">
        <is>
          <t>v15 Y1=$0.9M, Y5=$21M — understates both cases</t>
        </is>
      </c>
    </row>
    <row r="50" ht="18" customHeight="1">
      <c r="A50" t="inlineStr">
        <is>
          <t>AA Case SSLC rev vs v15 benchmark</t>
        </is>
      </c>
      <c r="B50" s="28">
        <f>B37-B49</f>
        <v/>
      </c>
      <c r="F50" s="28">
        <f>F37-F49</f>
        <v/>
      </c>
      <c r="J50" s="29" t="inlineStr">
        <is>
          <t>v12 SSLC rev vs v15 benchmark</t>
        </is>
      </c>
      <c r="K50" s="28">
        <f>J37-B49</f>
        <v/>
      </c>
      <c r="N50" s="28">
        <f>N37-F49</f>
        <v/>
      </c>
      <c r="P50" s="45" t="inlineStr">
        <is>
          <t>Positive = exceeds v15; v12 exceeds v15 by 4.6x at Y1 and 2.6x at Y5</t>
        </is>
      </c>
    </row>
    <row r="51" ht="22" customHeight="1">
      <c r="A51" s="46" t="inlineStr">
        <is>
          <t>⚠ v15 'Scorpius acquisition benchmark' ($0.9M→$21M) understates v12's own Scorpius line ($4.1M→$54.7M) by 13× at Y5. See Assumptions!A97 for full note.</t>
        </is>
      </c>
    </row>
  </sheetData>
  <mergeCells count="14">
    <mergeCell ref="A18:H18"/>
    <mergeCell ref="A4:H4"/>
    <mergeCell ref="J33:P33"/>
    <mergeCell ref="A36:G36"/>
    <mergeCell ref="A51:P51"/>
    <mergeCell ref="A32:P32"/>
    <mergeCell ref="J36:P36"/>
    <mergeCell ref="A2:H2"/>
    <mergeCell ref="J42:P42"/>
    <mergeCell ref="A48:G48"/>
    <mergeCell ref="A11:H11"/>
    <mergeCell ref="A1:H1"/>
    <mergeCell ref="A33:G33"/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2" customWidth="1" min="8" max="8"/>
  </cols>
  <sheetData>
    <row r="1" ht="22" customHeight="1">
      <c r="A1" s="47" t="inlineStr">
        <is>
          <t>SSLC Option B — Returns, Dilution &amp; Benchmark Comparison | TWO CASES</t>
        </is>
      </c>
    </row>
    <row r="3" ht="22" customHeight="1">
      <c r="A3" s="48" t="inlineStr">
        <is>
          <t>Metric</t>
        </is>
      </c>
      <c r="B3" s="48" t="inlineStr">
        <is>
          <t>AA — Low</t>
        </is>
      </c>
      <c r="C3" s="48" t="inlineStr">
        <is>
          <t>AA — Base</t>
        </is>
      </c>
      <c r="D3" s="48" t="inlineStr">
        <is>
          <t>AA — High</t>
        </is>
      </c>
      <c r="E3" s="49" t="inlineStr">
        <is>
          <t>v12 Old-Model</t>
        </is>
      </c>
      <c r="F3" s="50" t="inlineStr">
        <is>
          <t>v15 Benchmark</t>
        </is>
      </c>
      <c r="G3" s="50" t="inlineStr"/>
      <c r="H3" s="50" t="inlineStr">
        <is>
          <t>Notes</t>
        </is>
      </c>
    </row>
    <row r="4" ht="18" customHeight="1">
      <c r="A4" t="inlineStr">
        <is>
          <t>FY27 (Y1) SSLC revenue</t>
        </is>
      </c>
      <c r="B4" s="28">
        <f>'PL and Cash Flow'!B37</f>
        <v/>
      </c>
      <c r="C4" s="28">
        <f>'PL and Cash Flow'!B37</f>
        <v/>
      </c>
      <c r="D4" s="28">
        <f>'PL and Cash Flow'!B37</f>
        <v/>
      </c>
      <c r="E4" s="28">
        <f>'PL and Cash Flow'!J37</f>
        <v/>
      </c>
      <c r="F4" s="28">
        <f>Assumptions!B53</f>
        <v/>
      </c>
      <c r="H4" s="10" t="inlineStr"/>
    </row>
    <row r="5" ht="18" customHeight="1">
      <c r="A5" t="inlineStr">
        <is>
          <t>FY31 (Y5) SSLC revenue</t>
        </is>
      </c>
      <c r="B5" s="28">
        <f>'PL and Cash Flow'!F37</f>
        <v/>
      </c>
      <c r="C5" s="28">
        <f>'PL and Cash Flow'!F37</f>
        <v/>
      </c>
      <c r="D5" s="28">
        <f>'PL and Cash Flow'!F37</f>
        <v/>
      </c>
      <c r="E5" s="28">
        <f>'PL and Cash Flow'!N37</f>
        <v/>
      </c>
      <c r="F5" s="28">
        <f>Assumptions!B54</f>
        <v/>
      </c>
      <c r="H5" s="10" t="inlineStr"/>
    </row>
    <row r="6" ht="18" customHeight="1">
      <c r="A6" t="inlineStr">
        <is>
          <t>FY27 total revenue</t>
        </is>
      </c>
      <c r="B6" s="28">
        <f>'PL and Cash Flow'!B40</f>
        <v/>
      </c>
      <c r="C6" s="28">
        <f>'PL and Cash Flow'!B40</f>
        <v/>
      </c>
      <c r="D6" s="28">
        <f>'PL and Cash Flow'!B40</f>
        <v/>
      </c>
      <c r="E6" s="28">
        <f>'PL and Cash Flow'!J40</f>
        <v/>
      </c>
      <c r="F6" s="28" t="inlineStr">
        <is>
          <t>n/a</t>
        </is>
      </c>
      <c r="H6" s="10" t="inlineStr"/>
    </row>
    <row r="7" ht="18" customHeight="1">
      <c r="A7" t="inlineStr">
        <is>
          <t>FY31 total revenue</t>
        </is>
      </c>
      <c r="B7" s="28">
        <f>'PL and Cash Flow'!F40</f>
        <v/>
      </c>
      <c r="C7" s="28">
        <f>'PL and Cash Flow'!F40</f>
        <v/>
      </c>
      <c r="D7" s="28">
        <f>'PL and Cash Flow'!F40</f>
        <v/>
      </c>
      <c r="E7" s="28">
        <f>'PL and Cash Flow'!N40</f>
        <v/>
      </c>
      <c r="F7" s="28" t="inlineStr">
        <is>
          <t>n/a</t>
        </is>
      </c>
      <c r="H7" s="10" t="inlineStr"/>
    </row>
    <row r="8" ht="18" customHeight="1">
      <c r="A8" t="inlineStr">
        <is>
          <t>FY27 EBITDA</t>
        </is>
      </c>
      <c r="B8" s="28">
        <f>'PL and Cash Flow'!B45</f>
        <v/>
      </c>
      <c r="C8" s="28">
        <f>'PL and Cash Flow'!B45</f>
        <v/>
      </c>
      <c r="D8" s="28">
        <f>'PL and Cash Flow'!B45</f>
        <v/>
      </c>
      <c r="E8" s="28">
        <f>'PL and Cash Flow'!J45</f>
        <v/>
      </c>
      <c r="F8" s="28" t="inlineStr">
        <is>
          <t>n/a</t>
        </is>
      </c>
      <c r="H8" s="10" t="inlineStr"/>
    </row>
    <row r="9" ht="18" customHeight="1">
      <c r="A9" t="inlineStr">
        <is>
          <t>FY31 EBITDA</t>
        </is>
      </c>
      <c r="B9" s="28">
        <f>'PL and Cash Flow'!F45</f>
        <v/>
      </c>
      <c r="C9" s="28">
        <f>'PL and Cash Flow'!F45</f>
        <v/>
      </c>
      <c r="D9" s="28">
        <f>'PL and Cash Flow'!F45</f>
        <v/>
      </c>
      <c r="E9" s="28">
        <f>'PL and Cash Flow'!N45</f>
        <v/>
      </c>
      <c r="F9" s="28" t="inlineStr">
        <is>
          <t>n/a</t>
        </is>
      </c>
      <c r="H9" s="10" t="inlineStr"/>
    </row>
    <row r="10" ht="18" customHeight="1">
      <c r="A10" s="21" t="inlineStr">
        <is>
          <t>RETURNS ANALYSIS</t>
        </is>
      </c>
    </row>
    <row r="11" ht="18" customHeight="1">
      <c r="A11" t="inlineStr">
        <is>
          <t>Total consideration (all-in)</t>
        </is>
      </c>
      <c r="B11" s="28">
        <f>'Deal Structure'!B35</f>
        <v/>
      </c>
      <c r="C11" s="28">
        <f>'Deal Structure'!C35</f>
        <v/>
      </c>
      <c r="D11" s="28">
        <f>'Deal Structure'!D35</f>
        <v/>
      </c>
      <c r="E11" s="28" t="inlineStr">
        <is>
          <t>same</t>
        </is>
      </c>
      <c r="F11" s="28" t="inlineStr">
        <is>
          <t>n/a</t>
        </is>
      </c>
      <c r="H11" s="10" t="inlineStr"/>
    </row>
    <row r="12" ht="18" customHeight="1">
      <c r="A12" t="inlineStr">
        <is>
          <t>FY31 SSLC EBITDA × 10x (exit value)</t>
        </is>
      </c>
      <c r="B12" s="28">
        <f>'PL and Cash Flow'!F43*10</f>
        <v/>
      </c>
      <c r="C12" s="28">
        <f>'PL and Cash Flow'!F43*10</f>
        <v/>
      </c>
      <c r="D12" s="28">
        <f>'PL and Cash Flow'!F43*10</f>
        <v/>
      </c>
      <c r="E12" s="28">
        <f>'PL and Cash Flow'!N43*10</f>
        <v/>
      </c>
      <c r="F12" s="28" t="inlineStr">
        <is>
          <t>n/a</t>
        </is>
      </c>
      <c r="H12" s="10" t="inlineStr">
        <is>
          <t>Indicative only</t>
        </is>
      </c>
    </row>
    <row r="13" ht="18" customHeight="1">
      <c r="A13" t="inlineStr">
        <is>
          <t>Acquisition ROI (FY31 val / cost)</t>
        </is>
      </c>
      <c r="B13" s="32">
        <f>B12/B11</f>
        <v/>
      </c>
      <c r="C13" s="32">
        <f>C12/C11</f>
        <v/>
      </c>
      <c r="D13" s="32">
        <f>D12/D11</f>
        <v/>
      </c>
      <c r="E13" s="32">
        <f>'PL and Cash Flow'!N43*10/'Deal Structure'!C35</f>
        <v/>
      </c>
      <c r="F13" s="32" t="inlineStr">
        <is>
          <t>n/a</t>
        </is>
      </c>
      <c r="H13" s="10" t="inlineStr"/>
    </row>
    <row r="14" ht="18" customHeight="1">
      <c r="A14" s="21" t="inlineStr">
        <is>
          <t>DILUTION</t>
        </is>
      </c>
    </row>
    <row r="15" ht="18" customHeight="1">
      <c r="A15" t="inlineStr">
        <is>
          <t>Earn-out ii stock dilution (low/base/high)</t>
        </is>
      </c>
      <c r="B15" s="51">
        <f>Assumptions!B28</f>
        <v/>
      </c>
      <c r="C15" s="51">
        <f>Assumptions!B29</f>
        <v/>
      </c>
      <c r="D15" s="51">
        <f>Assumptions!B30</f>
        <v/>
      </c>
      <c r="E15" s="51" t="inlineStr">
        <is>
          <t>same</t>
        </is>
      </c>
      <c r="F15" s="51" t="inlineStr">
        <is>
          <t>n/a</t>
        </is>
      </c>
      <c r="H15" s="10" t="inlineStr">
        <is>
          <t>% FD shares</t>
        </is>
      </c>
    </row>
    <row r="16" ht="18" customHeight="1">
      <c r="A16" s="21" t="inlineStr">
        <is>
          <t>CASH DEPLOYMENT</t>
        </is>
      </c>
    </row>
    <row r="17" ht="18" customHeight="1">
      <c r="A17" t="inlineStr">
        <is>
          <t>FY27 net cash deployment</t>
        </is>
      </c>
      <c r="B17" s="28">
        <f>Assumptions!B10+Assumptions!B16</f>
        <v/>
      </c>
      <c r="C17" s="28">
        <f>Assumptions!B10+Assumptions!B16</f>
        <v/>
      </c>
      <c r="D17" s="28">
        <f>Assumptions!B10+Assumptions!B16</f>
        <v/>
      </c>
      <c r="E17" s="28" t="inlineStr">
        <is>
          <t>same</t>
        </is>
      </c>
      <c r="F17" s="28" t="inlineStr">
        <is>
          <t>n/a</t>
        </is>
      </c>
      <c r="H17" s="10" t="inlineStr">
        <is>
          <t>Acq + WC from Series A</t>
        </is>
      </c>
    </row>
    <row r="18" ht="18" customHeight="1">
      <c r="A18" t="inlineStr">
        <is>
          <t>Series A first close</t>
        </is>
      </c>
      <c r="B18" s="28">
        <f>Assumptions!B17</f>
        <v/>
      </c>
      <c r="C18" s="28">
        <f>Assumptions!B17</f>
        <v/>
      </c>
      <c r="D18" s="28">
        <f>Assumptions!B17</f>
        <v/>
      </c>
      <c r="E18" s="28" t="inlineStr">
        <is>
          <t>same</t>
        </is>
      </c>
      <c r="F18" s="28" t="inlineStr">
        <is>
          <t>n/a</t>
        </is>
      </c>
      <c r="H18" s="10" t="inlineStr"/>
    </row>
    <row r="19" ht="18" customHeight="1">
      <c r="A19" t="inlineStr">
        <is>
          <t>Remaining for Exos ops post-acq</t>
        </is>
      </c>
      <c r="B19" s="28">
        <f>B18-B17</f>
        <v/>
      </c>
      <c r="C19" s="28">
        <f>C18-C17</f>
        <v/>
      </c>
      <c r="D19" s="28">
        <f>D18-D17</f>
        <v/>
      </c>
      <c r="E19" s="28" t="inlineStr">
        <is>
          <t>same</t>
        </is>
      </c>
      <c r="F19" s="28" t="inlineStr">
        <is>
          <t>n/a</t>
        </is>
      </c>
      <c r="H19" s="10" t="inlineStr"/>
    </row>
  </sheetData>
  <mergeCells count="4">
    <mergeCell ref="A16:H16"/>
    <mergeCell ref="A14:H14"/>
    <mergeCell ref="A10:H10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0" customWidth="1" min="3" max="3"/>
  </cols>
  <sheetData>
    <row r="1" ht="22" customHeight="1">
      <c r="A1" s="47" t="inlineStr">
        <is>
          <t>SSLC Option B — Funding Structure &amp; Risks</t>
        </is>
      </c>
    </row>
    <row r="3" ht="28" customHeight="1">
      <c r="A3" s="19" t="inlineStr">
        <is>
          <t>FUNDING OVERVIEW</t>
        </is>
      </c>
    </row>
    <row r="4" ht="28" customHeight="1">
      <c r="A4" s="5" t="inlineStr">
        <is>
          <t>Acquisition is funded from Exos-only post-RTO proceeds</t>
        </is>
      </c>
      <c r="B4" t="inlineStr">
        <is>
          <t>Investor requirement</t>
        </is>
      </c>
      <c r="C4" s="7" t="inlineStr">
        <is>
          <t>SSLC stays OUT of RTO perimeter (Jon 10/2)</t>
        </is>
      </c>
    </row>
    <row r="5" ht="28" customHeight="1">
      <c r="A5" s="5" t="inlineStr">
        <is>
          <t>Series A first close ($)</t>
        </is>
      </c>
      <c r="B5" s="8">
        <f>Assumptions!B17</f>
        <v/>
      </c>
      <c r="C5" s="7" t="inlineStr">
        <is>
          <t>D1 of record; $10M</t>
        </is>
      </c>
    </row>
    <row r="6" ht="28" customHeight="1">
      <c r="A6" s="5" t="inlineStr">
        <is>
          <t xml:space="preserve">  Allocated to SSLC acquisition</t>
        </is>
      </c>
      <c r="B6" s="8">
        <f>Assumptions!B10</f>
        <v/>
      </c>
      <c r="C6" s="7" t="inlineStr">
        <is>
          <t>Cash deal price</t>
        </is>
      </c>
    </row>
    <row r="7" ht="28" customHeight="1">
      <c r="A7" s="5" t="inlineStr">
        <is>
          <t xml:space="preserve">  Allocated to SSLC WC bridge</t>
        </is>
      </c>
      <c r="B7" s="8">
        <f>Assumptions!B16</f>
        <v/>
      </c>
      <c r="C7" s="7" t="inlineStr">
        <is>
          <t>$0.3–0.7M; mid=$500K</t>
        </is>
      </c>
    </row>
    <row r="8" ht="28" customHeight="1">
      <c r="A8" s="5" t="inlineStr">
        <is>
          <t xml:space="preserve">  Remaining for Exos operations</t>
        </is>
      </c>
      <c r="B8" s="8">
        <f>B5-B6-B7</f>
        <v/>
      </c>
      <c r="C8" s="7" t="inlineStr"/>
    </row>
    <row r="9" ht="28" customHeight="1">
      <c r="A9" s="5" t="inlineStr">
        <is>
          <t>Pre-RTO convertible note ($)</t>
        </is>
      </c>
      <c r="B9" s="8">
        <f>Assumptions!B20</f>
        <v/>
      </c>
      <c r="C9" s="7" t="inlineStr">
        <is>
          <t>FNEX/Ainigma; primary Exos development capital</t>
        </is>
      </c>
    </row>
    <row r="10" ht="28" customHeight="1">
      <c r="A10" s="5" t="inlineStr">
        <is>
          <t>TOTAL FINANCING AT CLOSE</t>
        </is>
      </c>
      <c r="B10" s="8">
        <f>B5</f>
        <v/>
      </c>
      <c r="C10" s="7" t="inlineStr">
        <is>
          <t>Series A covers acquisition + WC bridge</t>
        </is>
      </c>
    </row>
    <row r="12" ht="28" customHeight="1">
      <c r="A12" s="19" t="inlineStr">
        <is>
          <t>§3 FINANCING TRIGGER GAP (CRITICAL RISK)</t>
        </is>
      </c>
    </row>
    <row r="13" ht="28" customHeight="1">
      <c r="A13" s="5" t="inlineStr">
        <is>
          <t>FNEX/Ainigma role</t>
        </is>
      </c>
      <c r="B13" t="inlineStr">
        <is>
          <t>Advisor / broker-dealer</t>
        </is>
      </c>
      <c r="C13" s="7" t="inlineStr">
        <is>
          <t>FNEX is NOT itself the 'investor or lender' under §3</t>
        </is>
      </c>
    </row>
    <row r="14" ht="28" customHeight="1">
      <c r="A14" s="5" t="inlineStr">
        <is>
          <t>Risk: SSLC counsel challenges trigger</t>
        </is>
      </c>
      <c r="B14" s="52" t="inlineStr">
        <is>
          <t>HIGH</t>
        </is>
      </c>
      <c r="C14" s="7" t="inlineStr">
        <is>
          <t>§3 requires 'investor or lender capable of financing'; advisory mandate may not qualify</t>
        </is>
      </c>
    </row>
    <row r="15" ht="28" customHeight="1">
      <c r="A15" s="5" t="inlineStr">
        <is>
          <t>Mitigation required</t>
        </is>
      </c>
      <c r="B15" t="inlineStr">
        <is>
          <t>FNEX countersigned + investor/sponsor use-of-proceeds letter naming SSLC asset purchase</t>
        </is>
      </c>
      <c r="C15" s="7" t="inlineStr">
        <is>
          <t>[Confirm FNEX agreement countersigned per D-7281974 10/6]</t>
        </is>
      </c>
    </row>
    <row r="16" ht="28" customHeight="1">
      <c r="A16" s="5" t="inlineStr">
        <is>
          <t>§3 extension right</t>
        </is>
      </c>
      <c r="B16" t="inlineStr">
        <is>
          <t>SSLC shall not unreasonably withhold</t>
        </is>
      </c>
      <c r="C16" s="7" t="inlineStr">
        <is>
          <t>90-day window; request extension proactively</t>
        </is>
      </c>
    </row>
    <row r="17" ht="28" customHeight="1">
      <c r="A17" s="5" t="inlineStr">
        <is>
          <t>Timing: 90-day exclusivity ends</t>
        </is>
      </c>
      <c r="B17" t="inlineStr">
        <is>
          <t>~Jan 6, 2027</t>
        </is>
      </c>
      <c r="C17" s="7" t="inlineStr">
        <is>
          <t>From ~Oct 8 grant; RTO is 4-5 months; need extension</t>
        </is>
      </c>
    </row>
    <row r="19" ht="28" customHeight="1">
      <c r="A19" s="19" t="inlineStr">
        <is>
          <t>RELATED-PARTY DISCLOSURES</t>
        </is>
      </c>
    </row>
    <row r="20" ht="28" customHeight="1">
      <c r="A20" s="5" t="inlineStr">
        <is>
          <t>Jon sits on BOTH boards</t>
        </is>
      </c>
      <c r="B20" t="inlineStr">
        <is>
          <t>Conflict of interest</t>
        </is>
      </c>
      <c r="C20" s="7" t="inlineStr">
        <is>
          <t>Jon must RECUSE from SSLC vote; send as Exos CEO only</t>
        </is>
      </c>
    </row>
    <row r="21" ht="28" customHeight="1">
      <c r="A21" s="5" t="inlineStr">
        <is>
          <t>Fairness opinion</t>
        </is>
      </c>
      <c r="B21" t="inlineStr">
        <is>
          <t>Required (Eqvista 8/14/2026)</t>
        </is>
      </c>
      <c r="C21" s="7" t="inlineStr">
        <is>
          <t>Agreement still unsigned (held ~1 month)</t>
        </is>
      </c>
    </row>
    <row r="22" ht="28" customHeight="1">
      <c r="A22" s="5" t="inlineStr">
        <is>
          <t>Disinterested director approval</t>
        </is>
      </c>
      <c r="B22" t="inlineStr">
        <is>
          <t>Required (SSLC side)</t>
        </is>
      </c>
      <c r="C22" s="7" t="inlineStr">
        <is>
          <t>Markus Rufer and Bob; Jon abstains</t>
        </is>
      </c>
    </row>
    <row r="23" ht="28" customHeight="1">
      <c r="A23" s="5" t="inlineStr">
        <is>
          <t>Legal review</t>
        </is>
      </c>
      <c r="B23" t="inlineStr">
        <is>
          <t>Deferred (Jon 10/7)</t>
        </is>
      </c>
      <c r="C23" s="7" t="inlineStr">
        <is>
          <t>Negotiation stage; no legal review until Jon calls it</t>
        </is>
      </c>
    </row>
    <row r="25" ht="28" customHeight="1">
      <c r="A25" s="19" t="inlineStr">
        <is>
          <t>HE-TANK DISPUTE RISK</t>
        </is>
      </c>
    </row>
    <row r="26" ht="28" customHeight="1">
      <c r="A26" s="5" t="inlineStr">
        <is>
          <t>Rev3 tank leaks at boss post-Hysol</t>
        </is>
      </c>
      <c r="B26" t="inlineStr">
        <is>
          <t>RISK</t>
        </is>
      </c>
      <c r="C26" s="7" t="inlineStr">
        <is>
          <t>10/1 hydro fail; Plan B: qualified COPV ≤$250K (MC #3056)</t>
        </is>
      </c>
    </row>
    <row r="27" ht="28" customHeight="1">
      <c r="A27" s="5" t="inlineStr">
        <is>
          <t>Impact on acquisition</t>
        </is>
      </c>
      <c r="B27" t="inlineStr">
        <is>
          <t>SSLC demonstrably can't deliver BLK3 flight article</t>
        </is>
      </c>
      <c r="C27" s="7" t="inlineStr">
        <is>
          <t>Customer-hat PO default kept in reserve</t>
        </is>
      </c>
    </row>
    <row r="29" ht="28" customHeight="1">
      <c r="A29" s="19" t="inlineStr">
        <is>
          <t>SSLC CASH RISK</t>
        </is>
      </c>
    </row>
    <row r="30" ht="28" customHeight="1">
      <c r="A30" s="5" t="inlineStr">
        <is>
          <t>SSLC cash at close (est.)</t>
        </is>
      </c>
      <c r="B30" s="8">
        <f>Assumptions!B42+Assumptions!B41-Assumptions!B16</f>
        <v/>
      </c>
      <c r="C30" s="7" t="inlineStr">
        <is>
          <t>FY27 Q1 cash + billed-ahead minus WC need</t>
        </is>
      </c>
    </row>
    <row r="31" ht="28" customHeight="1">
      <c r="A31" s="5" t="inlineStr">
        <is>
          <t>Risk: SSLC runs out before close</t>
        </is>
      </c>
      <c r="B31" s="53" t="inlineStr">
        <is>
          <t>MEDIUM</t>
        </is>
      </c>
      <c r="C31" s="7" t="inlineStr">
        <is>
          <t>Cash $198K + collections on $984K prepaid</t>
        </is>
      </c>
    </row>
    <row r="32" ht="28" customHeight="1">
      <c r="A32" s="5" t="inlineStr">
        <is>
          <t>Mitigation: Option C pre-cliff bridge</t>
        </is>
      </c>
      <c r="B32" t="inlineStr">
        <is>
          <t>Secured prepaid BLK3 tank PO $300-700K</t>
        </is>
      </c>
      <c r="C32" s="7" t="inlineStr">
        <is>
          <t>Option C held for follow-up</t>
        </is>
      </c>
    </row>
    <row r="34" ht="28" customHeight="1">
      <c r="A34" s="19" t="inlineStr">
        <is>
          <t>DATA NOT VERIFIED IN SSLC QB (CRITICAL)</t>
        </is>
      </c>
    </row>
    <row r="35" ht="28" customHeight="1">
      <c r="A35" s="5" t="inlineStr">
        <is>
          <t>SSLC total liabilities / AP</t>
        </is>
      </c>
      <c r="B35" t="inlineStr">
        <is>
          <t>~$500K est. — TO VERIFY</t>
        </is>
      </c>
      <c r="C35" s="7" t="inlineStr">
        <is>
          <t>QB session expired 10/7; cannot confirm Microcosm/Wertz amounts</t>
        </is>
      </c>
    </row>
    <row r="36" ht="28" customHeight="1">
      <c r="A36" s="5" t="inlineStr">
        <is>
          <t>SSLC total debt assumed at face</t>
        </is>
      </c>
      <c r="B36" t="inlineStr">
        <is>
          <t>TO VERIFY IN SSLC QB</t>
        </is>
      </c>
      <c r="C36" s="7" t="inlineStr">
        <is>
          <t>Critical for Bob/Jim: personal path depends on debt payoff</t>
        </is>
      </c>
    </row>
    <row r="37" ht="28" customHeight="1">
      <c r="A37" s="5" t="inlineStr">
        <is>
          <t>Exos loan to SSLC status in QB</t>
        </is>
      </c>
      <c r="B37" t="inlineStr">
        <is>
          <t>~$38K — cancelled 10/2</t>
        </is>
      </c>
      <c r="C37" s="7" t="inlineStr">
        <is>
          <t>Verify cancellation documented in QB</t>
        </is>
      </c>
    </row>
  </sheetData>
  <mergeCells count="7">
    <mergeCell ref="A25:C25"/>
    <mergeCell ref="A19:C19"/>
    <mergeCell ref="A1:C1"/>
    <mergeCell ref="A3:C3"/>
    <mergeCell ref="A34:C34"/>
    <mergeCell ref="A12:C12"/>
    <mergeCell ref="A29:C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2" customHeight="1">
      <c r="A1" s="18" t="inlineStr">
        <is>
          <t>SSLC Option B — Total Compensation to SSLC Shareholders/Stakeholders | TWO CASES</t>
        </is>
      </c>
    </row>
    <row r="2">
      <c r="A2" s="45" t="inlineStr">
        <is>
          <t>BASE = Old-Model Case (v12 drivers), as requested. Actuals-Anchored shown as sensitivity. Funding at close identical in both; chart shows Old-Model base.</t>
        </is>
      </c>
    </row>
    <row r="4">
      <c r="A4" s="50" t="inlineStr">
        <is>
          <t>Component</t>
        </is>
      </c>
      <c r="B4" s="50" t="inlineStr">
        <is>
          <t>FY27 (Close)</t>
        </is>
      </c>
      <c r="C4" s="50" t="inlineStr">
        <is>
          <t>FY28</t>
        </is>
      </c>
      <c r="D4" s="50" t="inlineStr">
        <is>
          <t>FY29</t>
        </is>
      </c>
      <c r="E4" s="50" t="inlineStr">
        <is>
          <t>FY30</t>
        </is>
      </c>
      <c r="F4" s="50" t="inlineStr">
        <is>
          <t>FY31</t>
        </is>
      </c>
      <c r="G4" s="50" t="inlineStr">
        <is>
          <t>5-Yr Total</t>
        </is>
      </c>
      <c r="H4" s="50" t="inlineStr">
        <is>
          <t>Notes</t>
        </is>
      </c>
    </row>
    <row r="5">
      <c r="A5" s="54" t="inlineStr">
        <is>
          <t>FUNDING DELIVERED AT CLOSE (FY27) — identical in both cases</t>
        </is>
      </c>
    </row>
    <row r="6" ht="18" customHeight="1">
      <c r="A6" s="55" t="inlineStr">
        <is>
          <t>Cash at close</t>
        </is>
      </c>
      <c r="B6" s="28">
        <f>Assumptions!B10</f>
        <v/>
      </c>
      <c r="C6" s="28" t="n">
        <v>0</v>
      </c>
      <c r="D6" s="28" t="n">
        <v>0</v>
      </c>
      <c r="E6" s="28" t="n">
        <v>0</v>
      </c>
      <c r="F6" s="28" t="n">
        <v>0</v>
      </c>
      <c r="G6" s="28">
        <f>SUM(B6:F6)</f>
        <v/>
      </c>
      <c r="H6" s="10" t="inlineStr">
        <is>
          <t>§3 deal price</t>
        </is>
      </c>
    </row>
    <row r="7" ht="18" customHeight="1">
      <c r="A7" s="55" t="inlineStr">
        <is>
          <t>SSLC closing costs</t>
        </is>
      </c>
      <c r="B7" s="28">
        <f>Assumptions!B11</f>
        <v/>
      </c>
      <c r="C7" s="28" t="n">
        <v>0</v>
      </c>
      <c r="D7" s="28" t="n">
        <v>0</v>
      </c>
      <c r="E7" s="28" t="n">
        <v>0</v>
      </c>
      <c r="F7" s="28" t="n">
        <v>0</v>
      </c>
      <c r="G7" s="28">
        <f>SUM(B7:F7)</f>
        <v/>
      </c>
      <c r="H7" s="10" t="inlineStr">
        <is>
          <t>Seller's costs</t>
        </is>
      </c>
    </row>
    <row r="8" ht="18" customHeight="1">
      <c r="A8" s="55" t="inlineStr">
        <is>
          <t>Exos stake credit (non-cash)</t>
        </is>
      </c>
      <c r="B8" s="28">
        <f>Assumptions!B12</f>
        <v/>
      </c>
      <c r="C8" s="28" t="n">
        <v>0</v>
      </c>
      <c r="D8" s="28" t="n">
        <v>0</v>
      </c>
      <c r="E8" s="28" t="n">
        <v>0</v>
      </c>
      <c r="F8" s="28" t="n">
        <v>0</v>
      </c>
      <c r="G8" s="28">
        <f>SUM(B8:F8)</f>
        <v/>
      </c>
      <c r="H8" s="10" t="inlineStr">
        <is>
          <t>18% equity at 2021 basis</t>
        </is>
      </c>
    </row>
    <row r="9" ht="18" customHeight="1">
      <c r="A9" s="55" t="inlineStr">
        <is>
          <t>SSLC debts paid at face (TBV)</t>
        </is>
      </c>
      <c r="B9" s="28">
        <f>Assumptions!B14</f>
        <v/>
      </c>
      <c r="C9" s="28" t="n">
        <v>0</v>
      </c>
      <c r="D9" s="28" t="n">
        <v>0</v>
      </c>
      <c r="E9" s="28" t="n">
        <v>0</v>
      </c>
      <c r="F9" s="28" t="n">
        <v>0</v>
      </c>
      <c r="G9" s="28">
        <f>SUM(B9:F9)</f>
        <v/>
      </c>
      <c r="H9" s="10" t="inlineStr">
        <is>
          <t>TO VERIFY IN SSLC QB</t>
        </is>
      </c>
    </row>
    <row r="10" ht="18" customHeight="1">
      <c r="A10" s="55" t="inlineStr">
        <is>
          <t>Working-capital bridge</t>
        </is>
      </c>
      <c r="B10" s="28">
        <f>Assumptions!B16</f>
        <v/>
      </c>
      <c r="C10" s="28" t="n">
        <v>0</v>
      </c>
      <c r="D10" s="28" t="n">
        <v>0</v>
      </c>
      <c r="E10" s="28" t="n">
        <v>0</v>
      </c>
      <c r="F10" s="28" t="n">
        <v>0</v>
      </c>
      <c r="G10" s="28">
        <f>SUM(B10:F10)</f>
        <v/>
      </c>
      <c r="H10" s="10" t="inlineStr">
        <is>
          <t>Mid=$500K</t>
        </is>
      </c>
    </row>
    <row r="11" ht="18" customHeight="1">
      <c r="A11" s="56" t="inlineStr">
        <is>
          <t>TOTAL FUNDING DELIVERED</t>
        </is>
      </c>
      <c r="B11" s="57">
        <f>SUM(B6:B10)</f>
        <v/>
      </c>
      <c r="C11" s="57">
        <f>SUM(C6:C10)</f>
        <v/>
      </c>
      <c r="D11" s="57">
        <f>SUM(D6:D10)</f>
        <v/>
      </c>
      <c r="E11" s="57">
        <f>SUM(E6:E10)</f>
        <v/>
      </c>
      <c r="F11" s="57">
        <f>SUM(F6:F10)</f>
        <v/>
      </c>
      <c r="G11" s="57">
        <f>SUM(B11:F11)</f>
        <v/>
      </c>
      <c r="H11" s="10" t="inlineStr">
        <is>
          <t>All at close in FY27</t>
        </is>
      </c>
    </row>
    <row r="13">
      <c r="A13" s="58" t="inlineStr">
        <is>
          <t>FORWARD POTENTIAL — EARN-OUTS (same in both cases; driven by IM firm revenue)</t>
        </is>
      </c>
    </row>
    <row r="14" ht="18" customHeight="1">
      <c r="A14" s="55" t="inlineStr">
        <is>
          <t>Tank earn-out base (i): 5%/yr, $300K cap</t>
        </is>
      </c>
      <c r="B14" s="28">
        <f>MIN(Assumptions!B24*Assumptions!B44,Assumptions!B26)</f>
        <v/>
      </c>
      <c r="C14" s="28">
        <f>MIN(Assumptions!B24*Assumptions!B44,Assumptions!B26)</f>
        <v/>
      </c>
      <c r="D14" s="28">
        <f>MIN(Assumptions!B24*Assumptions!B44,Assumptions!B26)</f>
        <v/>
      </c>
      <c r="E14" s="28" t="n">
        <v>0</v>
      </c>
      <c r="F14" s="28" t="n">
        <v>0</v>
      </c>
      <c r="G14" s="28">
        <f>SUM(B14:F14)</f>
        <v/>
      </c>
      <c r="H14" s="10" t="inlineStr">
        <is>
          <t>5% × $5M firm IM ramp × 3 years; $300K/yr cap</t>
        </is>
      </c>
    </row>
    <row r="15" ht="18" customHeight="1">
      <c r="A15" s="55" t="inlineStr">
        <is>
          <t>Tank earn-out low (i): 3%/yr</t>
        </is>
      </c>
      <c r="B15" s="28">
        <f>MIN(Assumptions!B23*Assumptions!B44,Assumptions!B26)</f>
        <v/>
      </c>
      <c r="C15" s="28">
        <f>MIN(Assumptions!B23*Assumptions!B44,Assumptions!B26)</f>
        <v/>
      </c>
      <c r="D15" s="28">
        <f>MIN(Assumptions!B23*Assumptions!B44,Assumptions!B26)</f>
        <v/>
      </c>
      <c r="E15" s="28" t="n">
        <v>0</v>
      </c>
      <c r="F15" s="28" t="n">
        <v>0</v>
      </c>
      <c r="G15" s="28">
        <f>SUM(B15:F15)</f>
        <v/>
      </c>
      <c r="H15" s="10" t="inlineStr">
        <is>
          <t>Low scenario</t>
        </is>
      </c>
    </row>
    <row r="16" ht="18" customHeight="1">
      <c r="A16" s="55" t="inlineStr">
        <is>
          <t>Tank earn-out high (i): 7%/yr</t>
        </is>
      </c>
      <c r="B16" s="28">
        <f>MIN(Assumptions!B25*Assumptions!B44,Assumptions!B26)</f>
        <v/>
      </c>
      <c r="C16" s="28">
        <f>MIN(Assumptions!B25*Assumptions!B44,Assumptions!B26)</f>
        <v/>
      </c>
      <c r="D16" s="28">
        <f>MIN(Assumptions!B25*Assumptions!B44,Assumptions!B26)</f>
        <v/>
      </c>
      <c r="E16" s="28" t="n">
        <v>0</v>
      </c>
      <c r="F16" s="28" t="n">
        <v>0</v>
      </c>
      <c r="G16" s="28">
        <f>SUM(B16:F16)</f>
        <v/>
      </c>
      <c r="H16" s="10" t="inlineStr">
        <is>
          <t>High — capped at $300K</t>
        </is>
      </c>
    </row>
    <row r="17" ht="18" customHeight="1">
      <c r="A17" s="55" t="inlineStr">
        <is>
          <t>Stock earn-out base (ii): 0.5% FD @ listing</t>
        </is>
      </c>
      <c r="B17" s="28" t="n">
        <v>0</v>
      </c>
      <c r="C17" s="28" t="n">
        <v>0</v>
      </c>
      <c r="D17" s="28">
        <f>Assumptions!B29*Assumptions!B32</f>
        <v/>
      </c>
      <c r="E17" s="28" t="n">
        <v>0</v>
      </c>
      <c r="F17" s="28" t="n">
        <v>0</v>
      </c>
      <c r="G17" s="28">
        <f>SUM(B17:F17)</f>
        <v/>
      </c>
      <c r="H17" s="10" t="inlineStr">
        <is>
          <t>At $250M listing; realized FY29 post lockup</t>
        </is>
      </c>
    </row>
    <row r="18" ht="18" customHeight="1">
      <c r="A18" s="55" t="inlineStr">
        <is>
          <t>Stock earn-out low (ii): 0.3% @ $200M</t>
        </is>
      </c>
      <c r="B18" s="28" t="n">
        <v>0</v>
      </c>
      <c r="C18" s="28" t="n">
        <v>0</v>
      </c>
      <c r="D18" s="28">
        <f>Assumptions!B28*Assumptions!B31</f>
        <v/>
      </c>
      <c r="E18" s="28" t="n">
        <v>0</v>
      </c>
      <c r="F18" s="28" t="n">
        <v>0</v>
      </c>
      <c r="G18" s="28">
        <f>SUM(B18:F18)</f>
        <v/>
      </c>
      <c r="H18" s="10" t="inlineStr">
        <is>
          <t>Low RTO</t>
        </is>
      </c>
    </row>
    <row r="19" ht="18" customHeight="1">
      <c r="A19" s="55" t="inlineStr">
        <is>
          <t>Stock earn-out high (ii): 0.7% @ $300M</t>
        </is>
      </c>
      <c r="B19" s="28" t="n">
        <v>0</v>
      </c>
      <c r="C19" s="28" t="n">
        <v>0</v>
      </c>
      <c r="D19" s="28">
        <f>Assumptions!B30*Assumptions!B33</f>
        <v/>
      </c>
      <c r="E19" s="28" t="n">
        <v>0</v>
      </c>
      <c r="F19" s="28" t="n">
        <v>0</v>
      </c>
      <c r="G19" s="28">
        <f>SUM(B19:F19)</f>
        <v/>
      </c>
      <c r="H19" s="10" t="inlineStr">
        <is>
          <t>High RTO</t>
        </is>
      </c>
    </row>
    <row r="21">
      <c r="A21" s="12" t="inlineStr">
        <is>
          <t>TOTAL CONSIDERATION — OLD-MODEL CASE (v12) BASE | Actuals-Anchored as Sensitivity</t>
        </is>
      </c>
    </row>
    <row r="22" ht="20" customHeight="1">
      <c r="A22" s="23" t="inlineStr">
        <is>
          <t>OLD-MODEL BASE: funding + tank base + stock base</t>
        </is>
      </c>
      <c r="B22" s="59">
        <f>B11+B14+B17</f>
        <v/>
      </c>
      <c r="C22" s="59">
        <f>C11+C14+C17</f>
        <v/>
      </c>
      <c r="D22" s="59">
        <f>D11+D14+D17</f>
        <v/>
      </c>
      <c r="E22" s="59">
        <f>E11+E14+E17</f>
        <v/>
      </c>
      <c r="F22" s="59">
        <f>F11+F14+F17</f>
        <v/>
      </c>
      <c r="G22" s="59">
        <f>SUM(B22:F22)</f>
        <v/>
      </c>
    </row>
    <row r="23" ht="20" customHeight="1">
      <c r="A23" s="60" t="inlineStr">
        <is>
          <t>OLD-MODEL LOW:  funding + tank low + stock low</t>
        </is>
      </c>
      <c r="B23" s="61">
        <f>B11+B15+B18</f>
        <v/>
      </c>
      <c r="C23" s="61">
        <f>C11+C15+C18</f>
        <v/>
      </c>
      <c r="D23" s="61">
        <f>D11+D15+D18</f>
        <v/>
      </c>
      <c r="E23" s="61">
        <f>E11+E15+E18</f>
        <v/>
      </c>
      <c r="F23" s="61">
        <f>F11+F15+F18</f>
        <v/>
      </c>
      <c r="G23" s="61">
        <f>SUM(B23:F23)</f>
        <v/>
      </c>
    </row>
    <row r="24" ht="20" customHeight="1">
      <c r="A24" s="62" t="inlineStr">
        <is>
          <t>OLD-MODEL HIGH: funding + tank high + stock high</t>
        </is>
      </c>
      <c r="B24" s="63">
        <f>B11+B16+B19</f>
        <v/>
      </c>
      <c r="C24" s="63">
        <f>C11+C16+C19</f>
        <v/>
      </c>
      <c r="D24" s="63">
        <f>D11+D16+D19</f>
        <v/>
      </c>
      <c r="E24" s="63">
        <f>E11+E16+E19</f>
        <v/>
      </c>
      <c r="F24" s="63">
        <f>F11+F16+F19</f>
        <v/>
      </c>
      <c r="G24" s="63">
        <f>SUM(B24:F24)</f>
        <v/>
      </c>
    </row>
    <row r="25" ht="20" customHeight="1">
      <c r="A25" s="21" t="inlineStr">
        <is>
          <t>AA SENSITIVITY BASE: funding + tank base + stock base</t>
        </is>
      </c>
      <c r="B25" s="64">
        <f>B11+B14+B17</f>
        <v/>
      </c>
      <c r="C25" s="64">
        <f>C11+C14+C17</f>
        <v/>
      </c>
      <c r="D25" s="64">
        <f>D11+D14+D17</f>
        <v/>
      </c>
      <c r="E25" s="64">
        <f>E11+E14+E17</f>
        <v/>
      </c>
      <c r="F25" s="64">
        <f>F11+F14+F17</f>
        <v/>
      </c>
      <c r="G25" s="64">
        <f>SUM(B25:F25)</f>
        <v/>
      </c>
    </row>
    <row r="27">
      <c r="A27" s="10" t="inlineStr">
        <is>
          <t>Chart: see drafts/SSLC_OptionB_Total_Compensation_5yr_2026-10-07.png (regenerate with updated v12 base)</t>
        </is>
      </c>
    </row>
  </sheetData>
  <mergeCells count="6">
    <mergeCell ref="A1:H1"/>
    <mergeCell ref="A21:H21"/>
    <mergeCell ref="A2:H2"/>
    <mergeCell ref="A13:H13"/>
    <mergeCell ref="A5:H5"/>
    <mergeCell ref="A27:H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</cols>
  <sheetData>
    <row r="1" ht="22" customHeight="1">
      <c r="A1" s="47" t="inlineStr">
        <is>
          <t>RECONCILIATION: v12 Old-Model vs Actuals-Anchored Case</t>
        </is>
      </c>
    </row>
    <row r="2" ht="52" customHeight="1">
      <c r="A2" s="7" t="inlineStr">
        <is>
          <t>Explains why Old-Model (v12) projections are higher than the Actuals-Anchored case. Primary drivers: (1) SSLC FY26 actual $1.925M and FY27 Q1 $713K far below v12 Y1 $4.12M; (2) unit ramp and ASP escalation not in actuals-anchored; (3) Exos standalone in actuals-anchored used commission-only v15 baseline, not v12 BLK4/propulsion ramp.</t>
        </is>
      </c>
    </row>
    <row r="4" ht="22" customHeight="1">
      <c r="A4" s="50" t="inlineStr">
        <is>
          <t>Line Item</t>
        </is>
      </c>
      <c r="B4" s="50" t="inlineStr">
        <is>
          <t>FY27 (Y1)</t>
        </is>
      </c>
      <c r="C4" s="50" t="inlineStr">
        <is>
          <t>FY28 (Y2)</t>
        </is>
      </c>
      <c r="D4" s="50" t="inlineStr">
        <is>
          <t>FY29 (Y3)</t>
        </is>
      </c>
      <c r="E4" s="50" t="inlineStr">
        <is>
          <t>FY30 (Y4)</t>
        </is>
      </c>
      <c r="F4" s="50" t="inlineStr">
        <is>
          <t>FY31 (Y5)</t>
        </is>
      </c>
      <c r="G4" s="50" t="inlineStr">
        <is>
          <t>Reconciliation Reason</t>
        </is>
      </c>
    </row>
    <row r="5" ht="16" customHeight="1">
      <c r="A5" s="43" t="inlineStr">
        <is>
          <t>SSLC REVENUE</t>
        </is>
      </c>
    </row>
    <row r="6" ht="28" customHeight="1">
      <c r="A6" s="5" t="inlineStr">
        <is>
          <t>v12 SSLC/Scorpius revenue</t>
        </is>
      </c>
      <c r="B6" s="22" t="n">
        <v>4120000</v>
      </c>
      <c r="C6" s="22" t="n">
        <v>8680000</v>
      </c>
      <c r="D6" s="22" t="n">
        <v>19220000</v>
      </c>
      <c r="E6" s="22" t="n">
        <v>33880000</v>
      </c>
      <c r="F6" s="22" t="n">
        <v>54690000</v>
      </c>
      <c r="G6" s="7" t="inlineStr">
        <is>
          <t>v12 uses tank unit ramp (1.5→9/month) × ASP ($183K Y1, +50% Y2, +25%/yr Y3-5). 14 tanks/month × $536K Y5 ASP drives $54.7M.</t>
        </is>
      </c>
    </row>
    <row r="7" ht="28" customHeight="1">
      <c r="A7" s="5" t="inlineStr">
        <is>
          <t>Actuals-Anchored SSLC revenue</t>
        </is>
      </c>
      <c r="B7" s="22" t="n">
        <v>5500000</v>
      </c>
      <c r="C7" s="22" t="n">
        <v>7500000</v>
      </c>
      <c r="D7" s="22" t="n">
        <v>10000000</v>
      </c>
      <c r="E7" s="22" t="n">
        <v>13000000</v>
      </c>
      <c r="F7" s="22" t="n">
        <v>16500000</v>
      </c>
      <c r="G7" s="7" t="inlineStr">
        <is>
          <t>Anchored to Q1 actual $713K + distribution of Markus-confirmed $5M IM ramp. FY28+ is conservative management assumption without unit-ramp escalation.</t>
        </is>
      </c>
    </row>
    <row r="8" ht="28" customHeight="1">
      <c r="A8" s="65" t="inlineStr">
        <is>
          <t>Δ (v12 − AA)</t>
        </is>
      </c>
      <c r="B8" s="66">
        <f>B6-B7</f>
        <v/>
      </c>
      <c r="C8" s="66">
        <f>C6-C7</f>
        <v/>
      </c>
      <c r="D8" s="66">
        <f>D6-D7</f>
        <v/>
      </c>
      <c r="E8" s="66">
        <f>E6-E7</f>
        <v/>
      </c>
      <c r="F8" s="66">
        <f>F6-F7</f>
        <v/>
      </c>
      <c r="G8" s="67" t="inlineStr">
        <is>
          <t>v12 exceeds AA by $8.7M at Y5 → driven entirely by ASP escalation + unit ramp not reflected in actuals.</t>
        </is>
      </c>
    </row>
    <row r="9" ht="28" customHeight="1">
      <c r="A9" s="5" t="inlineStr">
        <is>
          <t>v12 Scorpius Y1 vs FY26 actual ($1.925M)</t>
        </is>
      </c>
      <c r="B9" s="29" t="inlineStr">
        <is>
          <t>gap</t>
        </is>
      </c>
      <c r="C9" s="29" t="n"/>
      <c r="D9" s="29" t="n"/>
      <c r="E9" s="29" t="n"/>
      <c r="F9" s="29" t="n"/>
      <c r="G9" s="7" t="inlineStr">
        <is>
          <t>SSLC FY26 actual revenue was only $1.925M (all programs) vs v12 Y1 SSLC-only $4.12M. FY27 Q1 was $713K ($2.85M annualized) vs v12 Y1 $4.12M. Gap = unit ramp hadn't started at model build date.</t>
        </is>
      </c>
    </row>
    <row r="11" ht="16" customHeight="1">
      <c r="A11" s="43" t="inlineStr">
        <is>
          <t>TOTAL CONSOLIDATED REVENUE</t>
        </is>
      </c>
    </row>
    <row r="12" ht="28" customHeight="1">
      <c r="A12" s="5" t="inlineStr">
        <is>
          <t>v12 total revenue</t>
        </is>
      </c>
      <c r="B12" s="22" t="n">
        <v>8880000</v>
      </c>
      <c r="C12" s="22" t="n">
        <v>21350000</v>
      </c>
      <c r="D12" s="22" t="n">
        <v>48590000</v>
      </c>
      <c r="E12" s="22" t="n">
        <v>95920000</v>
      </c>
      <c r="F12" s="22" t="n">
        <v>179190000</v>
      </c>
      <c r="G12" s="7" t="inlineStr">
        <is>
          <t>v12 consolidates all revenue lines: BLK4, propulsion/wet-lease, Scorpius tanks, Sarge.</t>
        </is>
      </c>
    </row>
    <row r="13" ht="28" customHeight="1">
      <c r="A13" s="5" t="inlineStr">
        <is>
          <t>AA total revenue</t>
        </is>
      </c>
      <c r="B13" s="22">
        <f>'PL and Cash Flow'!B40</f>
        <v/>
      </c>
      <c r="C13" s="22">
        <f>'PL and Cash Flow'!C40</f>
        <v/>
      </c>
      <c r="D13" s="22">
        <f>'PL and Cash Flow'!D40</f>
        <v/>
      </c>
      <c r="E13" s="22">
        <f>'PL and Cash Flow'!E40</f>
        <v/>
      </c>
      <c r="F13" s="22">
        <f>'PL and Cash Flow'!F40</f>
        <v/>
      </c>
      <c r="G13" s="7" t="inlineStr">
        <is>
          <t>AA: Exos v15 standalone ($2.6M→$16M) + SSLC actuals-anchored ($5.5M→$16.5M) − interco.</t>
        </is>
      </c>
    </row>
    <row r="14" ht="28" customHeight="1">
      <c r="A14" s="65" t="inlineStr">
        <is>
          <t>Δ (v12 − AA)</t>
        </is>
      </c>
      <c r="B14" s="66">
        <f>B12-B13</f>
        <v/>
      </c>
      <c r="C14" s="66">
        <f>C12-C13</f>
        <v/>
      </c>
      <c r="D14" s="66">
        <f>D12-D13</f>
        <v/>
      </c>
      <c r="E14" s="66">
        <f>E12-E13</f>
        <v/>
      </c>
      <c r="F14" s="66">
        <f>F12-F13</f>
        <v/>
      </c>
      <c r="G14" s="7" t="inlineStr">
        <is>
          <t>Two main drivers: (a) v12 Exos standalone includes BLK4 revenue ramp absent from v15; (b) v12 Scorpius ASP/unit escalation vs actuals-anchored flat-ish growth.</t>
        </is>
      </c>
    </row>
    <row r="15" ht="28" customHeight="1">
      <c r="A15" s="5" t="inlineStr">
        <is>
          <t>Exos standalone v12 vs v15</t>
        </is>
      </c>
      <c r="B15" s="22">
        <f>Assumptions!B86-Assumptions!B57</f>
        <v/>
      </c>
      <c r="C15" s="22">
        <f>Assumptions!B87-Assumptions!B58</f>
        <v/>
      </c>
      <c r="D15" s="22">
        <f>Assumptions!B88-Assumptions!B59</f>
        <v/>
      </c>
      <c r="E15" s="22">
        <f>Assumptions!B89-Assumptions!B60</f>
        <v/>
      </c>
      <c r="F15" s="22">
        <f>Assumptions!B90-Assumptions!B61</f>
        <v/>
      </c>
      <c r="G15" s="7" t="inlineStr">
        <is>
          <t>v12 Exos standalone uses BLK4 launch/wet-lease/propulsion ramp. v15 (commission-only) = entX + TACFI + other only; no BLK4 commercial revenue.</t>
        </is>
      </c>
    </row>
    <row r="17" ht="16" customHeight="1">
      <c r="A17" s="43" t="inlineStr">
        <is>
          <t>EBITDA</t>
        </is>
      </c>
    </row>
    <row r="18" ht="36" customHeight="1">
      <c r="A18" s="5" t="inlineStr">
        <is>
          <t>v12 total EBITDA</t>
        </is>
      </c>
      <c r="B18" s="22" t="n">
        <v>1120000</v>
      </c>
      <c r="C18" s="22" t="n">
        <v>4120000</v>
      </c>
      <c r="D18" s="22" t="n">
        <v>17240000</v>
      </c>
      <c r="E18" s="22" t="n">
        <v>42160000</v>
      </c>
      <c r="F18" s="22" t="n">
        <v>101610000</v>
      </c>
      <c r="G18" s="7" t="inlineStr">
        <is>
          <t>v12 Y1 EBITDA positive ($1.12M) despite ramp — Scorpius tanks are high-margin at 65% GP. Y5 $101.6M driven by Scorpius scale + BLK4 operational leverage.</t>
        </is>
      </c>
    </row>
    <row r="19" ht="36" customHeight="1">
      <c r="A19" s="5" t="inlineStr">
        <is>
          <t>AA total EBITDA</t>
        </is>
      </c>
      <c r="B19" s="22">
        <f>'PL and Cash Flow'!B45</f>
        <v/>
      </c>
      <c r="C19" s="22">
        <f>'PL and Cash Flow'!C45</f>
        <v/>
      </c>
      <c r="D19" s="22">
        <f>'PL and Cash Flow'!D45</f>
        <v/>
      </c>
      <c r="E19" s="22">
        <f>'PL and Cash Flow'!E45</f>
        <v/>
      </c>
      <c r="F19" s="22">
        <f>'PL and Cash Flow'!F45</f>
        <v/>
      </c>
      <c r="G19" s="7" t="inlineStr">
        <is>
          <t>AA Y1 negative: Exos standalone EBITDA −$4M (pre-BLK3 investment) offsets SSLC $1.24M. AA Y5 lower: no BLK4 commercial ramp, lower Scorpius scale.</t>
        </is>
      </c>
    </row>
    <row r="20" ht="36" customHeight="1">
      <c r="A20" s="65" t="inlineStr">
        <is>
          <t>Δ (v12 − AA)</t>
        </is>
      </c>
      <c r="B20" s="66">
        <f>B18-B19</f>
        <v/>
      </c>
      <c r="C20" s="66">
        <f>C18-C19</f>
        <v/>
      </c>
      <c r="D20" s="66">
        <f>D18-D19</f>
        <v/>
      </c>
      <c r="E20" s="66">
        <f>E18-E19</f>
        <v/>
      </c>
      <c r="F20" s="66">
        <f>F18-F19</f>
        <v/>
      </c>
      <c r="G20" s="7" t="inlineStr">
        <is>
          <t>Divergence widened by Y5 because v12 Exos standalone (BLK4/propulsion) vastly exceeds v15 baseline AND v12 Scorpius COGS drops to 30% vs AA constant 52%.</t>
        </is>
      </c>
    </row>
    <row r="22" ht="52" customHeight="1">
      <c r="A22" s="17" t="inlineStr">
        <is>
          <t>FY27 SSLC INCONSISTENCY FIX (10/7): Prior annual P&amp;L formula = FY26 actual ($1.925M) + IM tanks ($5M) = $6.925M. Corrected to $5.5M (quarterly total: Q1 actual $713K + Q2-Q4 distributing $5M firm IM ramp). The formula mixed a completed-year revenue figure with a forward booking — not additive.</t>
        </is>
      </c>
    </row>
    <row r="24" ht="52" customHeight="1">
      <c r="A24" s="17" t="inlineStr">
        <is>
          <t>v15 BENCHMARK UNDERSTATEMENT: v15 'Scorpius acquisition benchmark' $0.9M→$21M over 5 years. v12's own Scorpius/SSLC line is $4.1M Y1→$54.7M Y5 (13× v15 at Y5). Actuals-Anchored SSLC is $5.5M Y1→$16.5M Y5 (also exceeds v15 by 6×-8×). Do NOT edit v15 — it is a pre-IM-tank confirmation legacy model.</t>
        </is>
      </c>
    </row>
  </sheetData>
  <mergeCells count="7">
    <mergeCell ref="A1:G1"/>
    <mergeCell ref="A17:G17"/>
    <mergeCell ref="A22:G22"/>
    <mergeCell ref="A24:G24"/>
    <mergeCell ref="A2:G2"/>
    <mergeCell ref="A11:G11"/>
    <mergeCell ref="A5:G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2026-10-07T18:40:28Z</dcterms:created>
  <dcterms:modified xmlns:dcterms="http://purl.org/dc/terms/" xmlns:xsi="http://www.w3.org/2001/XMLSchema-instance" xsi:type="dcterms:W3CDTF">2026-10-07T18:40:28Z</dcterms:modified>
</cp:coreProperties>
</file>