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Deal Structure" sheetId="2" state="visible" r:id="rId2"/>
    <sheet xmlns:r="http://schemas.openxmlformats.org/officeDocument/2006/relationships" name="PL and Cash Flow" sheetId="3" state="visible" r:id="rId3"/>
    <sheet xmlns:r="http://schemas.openxmlformats.org/officeDocument/2006/relationships" name="Returns and Dilution" sheetId="4" state="visible" r:id="rId4"/>
    <sheet xmlns:r="http://schemas.openxmlformats.org/officeDocument/2006/relationships" name="Fund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$#,##0;($#,##0)"/>
    <numFmt numFmtId="167" formatCode="0.0x"/>
  </numFmts>
  <fonts count="1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  <sz val="9"/>
    </font>
    <font>
      <b val="1"/>
      <color rgb="00FFFFFF"/>
    </font>
    <font>
      <b val="1"/>
      <sz val="10"/>
    </font>
    <font>
      <b val="1"/>
      <color rgb="00FFFFFF"/>
      <sz val="10"/>
    </font>
    <font>
      <sz val="10"/>
    </font>
    <font>
      <i val="1"/>
      <color rgb="00444444"/>
      <sz val="9"/>
    </font>
    <font>
      <b val="1"/>
      <color rgb="00FFFFFF"/>
      <sz val="12"/>
    </font>
    <font>
      <b val="1"/>
      <color rgb="00FFFFFF"/>
      <sz val="9"/>
    </font>
    <font>
      <sz val="9"/>
    </font>
    <font>
      <i val="1"/>
      <sz val="9"/>
    </font>
    <font>
      <b val="1"/>
    </font>
    <font>
      <b val="1"/>
      <sz val="9"/>
    </font>
    <font>
      <b val="1"/>
      <color rgb="00FF0000"/>
    </font>
    <font>
      <b val="1"/>
      <color rgb="00FF8C0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5" fillId="2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0" borderId="0" applyAlignment="1" pivotButton="0" quotePrefix="0" xfId="0">
      <alignment wrapText="1"/>
    </xf>
    <xf numFmtId="164" fontId="4" fillId="0" borderId="0" pivotButton="0" quotePrefix="0" xfId="0"/>
    <xf numFmtId="0" fontId="3" fillId="2" borderId="0" pivotButton="0" quotePrefix="0" xfId="0"/>
    <xf numFmtId="165" fontId="4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166" fontId="0" fillId="0" borderId="0" pivotButton="0" quotePrefix="0" xfId="0"/>
    <xf numFmtId="0" fontId="4" fillId="5" borderId="0" pivotButton="0" quotePrefix="0" xfId="0"/>
    <xf numFmtId="166" fontId="4" fillId="5" borderId="0" pivotButton="0" quotePrefix="0" xfId="0"/>
    <xf numFmtId="0" fontId="9" fillId="3" borderId="0" applyAlignment="1" pivotButton="0" quotePrefix="0" xfId="0">
      <alignment horizontal="center" wrapText="1"/>
    </xf>
    <xf numFmtId="0" fontId="10" fillId="0" borderId="0" pivotButton="0" quotePrefix="0" xfId="0"/>
    <xf numFmtId="164" fontId="10" fillId="0" borderId="0" pivotButton="0" quotePrefix="0" xfId="0"/>
    <xf numFmtId="164" fontId="0" fillId="0" borderId="0" pivotButton="0" quotePrefix="0" xfId="0"/>
    <xf numFmtId="0" fontId="11" fillId="0" borderId="0" pivotButton="0" quotePrefix="0" xfId="0"/>
    <xf numFmtId="0" fontId="12" fillId="5" borderId="0" pivotButton="0" quotePrefix="0" xfId="0"/>
    <xf numFmtId="164" fontId="12" fillId="5" borderId="0" pivotButton="0" quotePrefix="0" xfId="0"/>
    <xf numFmtId="167" fontId="0" fillId="0" borderId="0" pivotButton="0" quotePrefix="0" xfId="0"/>
    <xf numFmtId="166" fontId="12" fillId="5" borderId="0" pivotButton="0" quotePrefix="0" xfId="0"/>
    <xf numFmtId="165" fontId="0" fillId="0" borderId="0" pivotButton="0" quotePrefix="0" xfId="0"/>
    <xf numFmtId="0" fontId="12" fillId="6" borderId="0" pivotButton="0" quotePrefix="0" xfId="0"/>
    <xf numFmtId="166" fontId="12" fillId="6" borderId="0" pivotButton="0" quotePrefix="0" xfId="0"/>
    <xf numFmtId="0" fontId="12" fillId="7" borderId="0" pivotButton="0" quotePrefix="0" xfId="0"/>
    <xf numFmtId="166" fontId="12" fillId="7" borderId="0" pivotButton="0" quotePrefix="0" xfId="0"/>
    <xf numFmtId="165" fontId="12" fillId="5" borderId="0" pivotButton="0" quotePrefix="0" xfId="0"/>
    <xf numFmtId="0" fontId="13" fillId="4" borderId="0" pivotButton="0" quotePrefix="0" xfId="0"/>
    <xf numFmtId="0" fontId="0" fillId="6" borderId="0" pivotButton="0" quotePrefix="0" xfId="0"/>
    <xf numFmtId="166" fontId="0" fillId="6" borderId="0" pivotButton="0" quotePrefix="0" xfId="0"/>
    <xf numFmtId="0" fontId="8" fillId="2" borderId="0" applyAlignment="1" pivotButton="0" quotePrefix="0" xfId="0">
      <alignment horizontal="center"/>
    </xf>
    <xf numFmtId="1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32" customWidth="1" min="3" max="3"/>
  </cols>
  <sheetData>
    <row r="1" ht="24" customHeight="1">
      <c r="A1" s="1" t="inlineStr">
        <is>
          <t>EXOS Aerospace / SSLC Option B Acquisition — Assumptions</t>
        </is>
      </c>
    </row>
    <row r="2">
      <c r="A2" s="2" t="inlineStr">
        <is>
          <t>Prepared: 2026-10-07 | DRAFT — NEGOTIATING TERMS | INTERNAL — Exo/CEO only</t>
        </is>
      </c>
    </row>
    <row r="4">
      <c r="A4" s="3" t="inlineStr">
        <is>
          <t>Assumption</t>
        </is>
      </c>
      <c r="B4" s="3" t="inlineStr">
        <is>
          <t>Value</t>
        </is>
      </c>
      <c r="C4" s="3" t="inlineStr">
        <is>
          <t>Source / Notes</t>
        </is>
      </c>
    </row>
    <row r="5">
      <c r="A5" s="4" t="inlineStr">
        <is>
          <t>DEAL STRUCTURE — Option B</t>
        </is>
      </c>
    </row>
    <row r="6" ht="28" customHeight="1">
      <c r="A6" s="5" t="inlineStr">
        <is>
          <t>Agreement date (Asset Acquisition Agreement)</t>
        </is>
      </c>
      <c r="B6" s="6" t="inlineStr">
        <is>
          <t>2025-05-13</t>
        </is>
      </c>
      <c r="C6" s="7" t="inlineStr">
        <is>
          <t>Executed — Jon Quinn &amp; Jim Wertz</t>
        </is>
      </c>
    </row>
    <row r="7" ht="28" customHeight="1">
      <c r="A7" s="5" t="inlineStr">
        <is>
          <t>§3 exclusivity trigger: financing agreement</t>
        </is>
      </c>
      <c r="B7" s="6" t="inlineStr">
        <is>
          <t>Ainigma/FNEX executed mandate</t>
        </is>
      </c>
      <c r="C7" s="7" t="inlineStr">
        <is>
          <t>FNEX advisory agreement; strengthen with investor/sponsor use-of-proceeds letter</t>
        </is>
      </c>
    </row>
    <row r="8" ht="28" customHeight="1">
      <c r="A8" s="5" t="inlineStr">
        <is>
          <t>Exclusivity period (days)</t>
        </is>
      </c>
      <c r="B8" s="8" t="n">
        <v>90</v>
      </c>
      <c r="C8" s="7" t="inlineStr">
        <is>
          <t>§3 of the 2025 Agreement</t>
        </is>
      </c>
    </row>
    <row r="9" ht="28" customHeight="1">
      <c r="A9" s="5" t="inlineStr">
        <is>
          <t>Deal price — total commitment ($)</t>
        </is>
      </c>
      <c r="B9" s="8" t="n">
        <v>3360000</v>
      </c>
      <c r="C9" s="7" t="inlineStr">
        <is>
          <t>§3 / §1: $2.51M cash + $60K costs + $790K stake credit</t>
        </is>
      </c>
    </row>
    <row r="10" ht="28" customHeight="1">
      <c r="A10" s="5" t="inlineStr">
        <is>
          <t xml:space="preserve">  Cash at close ($)</t>
        </is>
      </c>
      <c r="B10" s="8" t="n">
        <v>2510000</v>
      </c>
      <c r="C10" s="7" t="inlineStr">
        <is>
          <t>Stated deal price — cash component</t>
        </is>
      </c>
    </row>
    <row r="11" ht="28" customHeight="1">
      <c r="A11" s="5" t="inlineStr">
        <is>
          <t xml:space="preserve">  SSLC closing costs ($)</t>
        </is>
      </c>
      <c r="B11" s="8" t="n">
        <v>60000</v>
      </c>
      <c r="C11" s="7" t="inlineStr">
        <is>
          <t>Seller's costs; included in total</t>
        </is>
      </c>
    </row>
    <row r="12" ht="28" customHeight="1">
      <c r="A12" s="5" t="inlineStr">
        <is>
          <t xml:space="preserve">  Exos existing-stake credit ($)</t>
        </is>
      </c>
      <c r="B12" s="8" t="n">
        <v>790000</v>
      </c>
      <c r="C12" s="7" t="inlineStr">
        <is>
          <t>18% equity at 2021 basis (~$4.39M total × 18%)</t>
        </is>
      </c>
    </row>
    <row r="13" ht="28" customHeight="1">
      <c r="A13" s="5" t="inlineStr">
        <is>
          <t xml:space="preserve">  Escrowed holdback (§7) — 5% for 12 months ($)</t>
        </is>
      </c>
      <c r="B13" s="6">
        <f>B9*0.05</f>
        <v/>
      </c>
      <c r="C13" s="7" t="inlineStr">
        <is>
          <t>§7; released at 12-month anniversary</t>
        </is>
      </c>
    </row>
    <row r="14" ht="28" customHeight="1">
      <c r="A14" s="5" t="inlineStr">
        <is>
          <t>SSLC debts assumed at face ($)</t>
        </is>
      </c>
      <c r="B14" s="8" t="n">
        <v>500000</v>
      </c>
      <c r="C14" s="7" t="inlineStr">
        <is>
          <t>MANAGEMENT ASSUMPTION — UNVERIFIED. To verify in SSLC QB (session expired 10/7). Microcosm loan + Wertz notes + AP. Wertz/Microcosm debt paid at face = path to yes.</t>
        </is>
      </c>
    </row>
    <row r="15" ht="28" customHeight="1">
      <c r="A15" s="5" t="inlineStr">
        <is>
          <t>Exos loan to SSLC — waived as license consideration ($)</t>
        </is>
      </c>
      <c r="B15" s="8" t="n">
        <v>38000</v>
      </c>
      <c r="C15" s="7" t="inlineStr">
        <is>
          <t>Jon decision 10/2; not re-proposed</t>
        </is>
      </c>
    </row>
    <row r="16" ht="28" customHeight="1">
      <c r="A16" s="5" t="inlineStr">
        <is>
          <t>Working capital bridge needed (mid-point) ($)</t>
        </is>
      </c>
      <c r="B16" s="8" t="n">
        <v>500000</v>
      </c>
      <c r="C16" s="7" t="inlineStr">
        <is>
          <t>SSLC needs $0.3–0.7M to finish paid-for work (FY27 Q1 cash $198K; prepaid $984K; gap). Mid=$500K.</t>
        </is>
      </c>
    </row>
    <row r="17" ht="28" customHeight="1">
      <c r="A17" s="5" t="inlineStr">
        <is>
          <t>Series A raise — first close ($)</t>
        </is>
      </c>
      <c r="B17" s="8" t="n">
        <v>10000000</v>
      </c>
      <c r="C17" s="7" t="inlineStr">
        <is>
          <t>D1 of record, 2026-08-13</t>
        </is>
      </c>
    </row>
    <row r="18" ht="28" customHeight="1">
      <c r="A18" s="5" t="inlineStr">
        <is>
          <t>Pre-money valuation (Eqvista 409A) ($)</t>
        </is>
      </c>
      <c r="B18" s="8" t="n">
        <v>169700000</v>
      </c>
      <c r="C18" s="7" t="inlineStr">
        <is>
          <t>Eqvista 03/31/26; $8.66/sh; DLOM 36.51%</t>
        </is>
      </c>
    </row>
    <row r="19" ht="28" customHeight="1">
      <c r="A19" s="5" t="inlineStr">
        <is>
          <t>RTO minimum enterprise value ($)</t>
        </is>
      </c>
      <c r="B19" s="8" t="n">
        <v>250000000</v>
      </c>
      <c r="C19" s="7" t="inlineStr">
        <is>
          <t>FNEX/Ainigma term — $250M min MEV</t>
        </is>
      </c>
    </row>
    <row r="20" ht="28" customHeight="1">
      <c r="A20" s="5" t="inlineStr">
        <is>
          <t>Pre-RTO note size ($)</t>
        </is>
      </c>
      <c r="B20" s="8" t="n">
        <v>15000000</v>
      </c>
      <c r="C20" s="7" t="inlineStr">
        <is>
          <t>FNEX/Ainigma convertible note</t>
        </is>
      </c>
    </row>
    <row r="22">
      <c r="A22" s="9" t="inlineStr">
        <is>
          <t>EARN-OUT PARAMETERS</t>
        </is>
      </c>
    </row>
    <row r="23" ht="22" customHeight="1">
      <c r="A23" s="5" t="inlineStr">
        <is>
          <t>Earn-out i — IM tank revenue % (low)</t>
        </is>
      </c>
      <c r="B23" s="10" t="n">
        <v>0.03</v>
      </c>
      <c r="C23" s="11" t="inlineStr">
        <is>
          <t>Management assumption — unverified</t>
        </is>
      </c>
    </row>
    <row r="24" ht="22" customHeight="1">
      <c r="A24" s="5" t="inlineStr">
        <is>
          <t>Earn-out i — IM tank revenue % (base)</t>
        </is>
      </c>
      <c r="B24" s="10" t="n">
        <v>0.05</v>
      </c>
      <c r="C24" s="11" t="inlineStr">
        <is>
          <t>Management assumption — unverified</t>
        </is>
      </c>
    </row>
    <row r="25" ht="22" customHeight="1">
      <c r="A25" s="5" t="inlineStr">
        <is>
          <t>Earn-out i — IM tank revenue % (high)</t>
        </is>
      </c>
      <c r="B25" s="10" t="n">
        <v>0.07000000000000001</v>
      </c>
      <c r="C25" s="11" t="inlineStr">
        <is>
          <t>Management assumption — unverified</t>
        </is>
      </c>
    </row>
    <row r="26" ht="22" customHeight="1">
      <c r="A26" s="5" t="inlineStr">
        <is>
          <t>Earn-out i — annual cap ($)</t>
        </is>
      </c>
      <c r="B26" s="8" t="n">
        <v>300000</v>
      </c>
      <c r="C26" s="11" t="inlineStr">
        <is>
          <t>Management assumption — unverified</t>
        </is>
      </c>
    </row>
    <row r="27" ht="22" customHeight="1">
      <c r="A27" s="5" t="inlineStr">
        <is>
          <t>Earn-out i — duration (years)</t>
        </is>
      </c>
      <c r="B27" s="6" t="n">
        <v>3</v>
      </c>
      <c r="C27" s="11" t="inlineStr">
        <is>
          <t>Management assumption — unverified</t>
        </is>
      </c>
    </row>
    <row r="28" ht="22" customHeight="1">
      <c r="A28" s="5" t="inlineStr">
        <is>
          <t>Earn-out ii — Exos stock % of FD shares (low)</t>
        </is>
      </c>
      <c r="B28" s="10" t="n">
        <v>0.003</v>
      </c>
      <c r="C28" s="11" t="inlineStr">
        <is>
          <t>Management assumption — unverified</t>
        </is>
      </c>
    </row>
    <row r="29" ht="22" customHeight="1">
      <c r="A29" s="5" t="inlineStr">
        <is>
          <t>Earn-out ii — Exos stock % of FD shares (base)</t>
        </is>
      </c>
      <c r="B29" s="10" t="n">
        <v>0.005</v>
      </c>
      <c r="C29" s="11" t="inlineStr">
        <is>
          <t>Management assumption — unverified</t>
        </is>
      </c>
    </row>
    <row r="30" ht="22" customHeight="1">
      <c r="A30" s="5" t="inlineStr">
        <is>
          <t>Earn-out ii — Exos stock % of FD shares (high)</t>
        </is>
      </c>
      <c r="B30" s="10" t="n">
        <v>0.007</v>
      </c>
      <c r="C30" s="11" t="inlineStr">
        <is>
          <t>Management assumption — unverified</t>
        </is>
      </c>
    </row>
    <row r="31" ht="22" customHeight="1">
      <c r="A31" s="5" t="inlineStr">
        <is>
          <t>Earn-out ii — assumed listing price (low) ($)</t>
        </is>
      </c>
      <c r="B31" s="8" t="n">
        <v>200000000</v>
      </c>
      <c r="C31" s="11" t="inlineStr">
        <is>
          <t>FNEX RTO min $250M MEV; low scenario</t>
        </is>
      </c>
    </row>
    <row r="32" ht="22" customHeight="1">
      <c r="A32" s="5" t="inlineStr">
        <is>
          <t>Earn-out ii — assumed listing price (base) ($)</t>
        </is>
      </c>
      <c r="B32" s="8" t="n">
        <v>250000000</v>
      </c>
      <c r="C32" s="11" t="inlineStr">
        <is>
          <t>FNEX RTO minimum MEV</t>
        </is>
      </c>
    </row>
    <row r="33" ht="22" customHeight="1">
      <c r="A33" s="5" t="inlineStr">
        <is>
          <t>Earn-out ii — assumed listing price (high) ($)</t>
        </is>
      </c>
      <c r="B33" s="8" t="n">
        <v>300000000</v>
      </c>
      <c r="C33" s="11" t="inlineStr">
        <is>
          <t>Management assumption — unverified</t>
        </is>
      </c>
    </row>
    <row r="34" ht="22" customHeight="1">
      <c r="A34" s="5" t="inlineStr">
        <is>
          <t>Earn-out ii — lockup period (months)</t>
        </is>
      </c>
      <c r="B34" s="6" t="n">
        <v>12</v>
      </c>
      <c r="C34" s="11" t="inlineStr">
        <is>
          <t>Standard post-listing lockup</t>
        </is>
      </c>
    </row>
    <row r="36">
      <c r="A36" s="9" t="inlineStr">
        <is>
          <t>SSLC HISTORICAL &amp; PROJECTED FINANCIALS</t>
        </is>
      </c>
    </row>
    <row r="37" ht="22" customHeight="1">
      <c r="A37" s="5" t="inlineStr">
        <is>
          <t>SSLC FY26 actual revenue ($)</t>
        </is>
      </c>
      <c r="B37" s="8" t="n">
        <v>1925000</v>
      </c>
      <c r="C37" s="11" t="inlineStr">
        <is>
          <t>SSLC QB FY26 actuals (Jon 10/2 QB pull)</t>
        </is>
      </c>
    </row>
    <row r="38" ht="22" customHeight="1">
      <c r="A38" s="5" t="inlineStr">
        <is>
          <t>SSLC FY26 operating loss ($)</t>
        </is>
      </c>
      <c r="B38" s="8" t="n">
        <v>-416000</v>
      </c>
      <c r="C38" s="11" t="inlineStr">
        <is>
          <t>SSLC QB FY26 actuals</t>
        </is>
      </c>
    </row>
    <row r="39" ht="22" customHeight="1">
      <c r="A39" s="5" t="inlineStr">
        <is>
          <t>SSLC FY26 net income ($)</t>
        </is>
      </c>
      <c r="B39" s="8" t="n">
        <v>-78000</v>
      </c>
      <c r="C39" s="11" t="inlineStr">
        <is>
          <t>Net of one-time $287K ERC credit</t>
        </is>
      </c>
    </row>
    <row r="40" ht="22" customHeight="1">
      <c r="A40" s="5" t="inlineStr">
        <is>
          <t>SSLC FY27 Q1 actual revenue ($)</t>
        </is>
      </c>
      <c r="B40" s="8" t="n">
        <v>713000</v>
      </c>
      <c r="C40" s="11" t="inlineStr">
        <is>
          <t>SSLC QB FY27 Q1 (Sep not yet closed, Jon 10/2)</t>
        </is>
      </c>
    </row>
    <row r="41" ht="22" customHeight="1">
      <c r="A41" s="5" t="inlineStr">
        <is>
          <t>SSLC FY27 billed-ahead + deposits ($)</t>
        </is>
      </c>
      <c r="B41" s="8" t="n">
        <v>984000</v>
      </c>
      <c r="C41" s="11" t="inlineStr">
        <is>
          <t>FY27 Q1 QB: $864K billed-ahead + $120K deposits</t>
        </is>
      </c>
    </row>
    <row r="42" ht="22" customHeight="1">
      <c r="A42" s="5" t="inlineStr">
        <is>
          <t>SSLC cash at QB date ($)</t>
        </is>
      </c>
      <c r="B42" s="8" t="n">
        <v>198000</v>
      </c>
      <c r="C42" s="11" t="inlineStr">
        <is>
          <t>SSLC QB FY27 Q1 (10/2/2026)</t>
        </is>
      </c>
    </row>
    <row r="43" ht="22" customHeight="1">
      <c r="A43" s="5" t="inlineStr">
        <is>
          <t>Exos % of SSLC revenue (FY26)</t>
        </is>
      </c>
      <c r="B43" s="10" t="n">
        <v>0.236</v>
      </c>
      <c r="C43" s="11" t="inlineStr">
        <is>
          <t>23.6% per Jon 10/2 board meeting</t>
        </is>
      </c>
    </row>
    <row r="44" ht="22" customHeight="1">
      <c r="A44" s="5" t="inlineStr">
        <is>
          <t>Markus: IM tank revenue FY27 firm ($)</t>
        </is>
      </c>
      <c r="B44" s="8" t="n">
        <v>5000000</v>
      </c>
      <c r="C44" s="11" t="inlineStr">
        <is>
          <t>Markus Rufer confirmed ~$5M firm for 2027, 14–16 tanks (Jon 10/2)</t>
        </is>
      </c>
    </row>
    <row r="45" ht="22" customHeight="1">
      <c r="A45" s="5" t="inlineStr">
        <is>
          <t>SSLC assumed COGS % (FY27+)</t>
        </is>
      </c>
      <c r="B45" s="10" t="n">
        <v>0.52</v>
      </c>
      <c r="C45" s="11" t="inlineStr">
        <is>
          <t>MANAGEMENT ASSUMPTION — derived from FY26 implied P&amp;L</t>
        </is>
      </c>
    </row>
    <row r="46" ht="22" customHeight="1">
      <c r="A46" s="5" t="inlineStr">
        <is>
          <t>SSLC assumed OpEx base FY27 ($)</t>
        </is>
      </c>
      <c r="B46" s="8" t="n">
        <v>1400000</v>
      </c>
      <c r="C46" s="11" t="inlineStr">
        <is>
          <t>MANAGEMENT ASSUMPTION — small team (~10-12 people, Torrance)</t>
        </is>
      </c>
    </row>
    <row r="47" ht="22" customHeight="1">
      <c r="A47" s="5" t="inlineStr">
        <is>
          <t>SSLC OpEx annual growth rate (FY28+)</t>
        </is>
      </c>
      <c r="B47" s="10" t="n">
        <v>0.08</v>
      </c>
      <c r="C47" s="11" t="inlineStr">
        <is>
          <t>MANAGEMENT ASSUMPTION — unverified</t>
        </is>
      </c>
    </row>
    <row r="48" ht="22" customHeight="1">
      <c r="A48" s="5" t="inlineStr">
        <is>
          <t>SSLC revenue growth FY28 ($)</t>
        </is>
      </c>
      <c r="B48" s="8" t="n">
        <v>7500000</v>
      </c>
      <c r="C48" s="11" t="inlineStr">
        <is>
          <t>MANAGEMENT ASSUMPTION — IM Nebula OTV ramp</t>
        </is>
      </c>
    </row>
    <row r="49" ht="22" customHeight="1">
      <c r="A49" s="5" t="inlineStr">
        <is>
          <t>SSLC revenue FY29 ($)</t>
        </is>
      </c>
      <c r="B49" s="8" t="n">
        <v>10000000</v>
      </c>
      <c r="C49" s="11" t="inlineStr">
        <is>
          <t>MANAGEMENT ASSUMPTION — IM scaling + new contracts</t>
        </is>
      </c>
    </row>
    <row r="50" ht="22" customHeight="1">
      <c r="A50" s="5" t="inlineStr">
        <is>
          <t>SSLC revenue FY30 ($)</t>
        </is>
      </c>
      <c r="B50" s="8" t="n">
        <v>13000000</v>
      </c>
      <c r="C50" s="11" t="inlineStr">
        <is>
          <t>MANAGEMENT ASSUMPTION</t>
        </is>
      </c>
    </row>
    <row r="51" ht="22" customHeight="1">
      <c r="A51" s="5" t="inlineStr">
        <is>
          <t>SSLC revenue FY31 ($)</t>
        </is>
      </c>
      <c r="B51" s="8" t="n">
        <v>16500000</v>
      </c>
      <c r="C51" s="11" t="inlineStr">
        <is>
          <t>MANAGEMENT ASSUMPTION</t>
        </is>
      </c>
    </row>
    <row r="52" ht="22" customHeight="1">
      <c r="A52" s="5" t="inlineStr">
        <is>
          <t>v15 benchmark — SSLC acq revenue Y1 ($)</t>
        </is>
      </c>
      <c r="B52" s="8" t="n">
        <v>900000</v>
      </c>
      <c r="C52" s="11" t="inlineStr">
        <is>
          <t>Old acquisition model (pre-commission, pre-IM-tank confirmation); Option B should exceed</t>
        </is>
      </c>
    </row>
    <row r="53" ht="22" customHeight="1">
      <c r="A53" s="5" t="inlineStr">
        <is>
          <t>v15 benchmark — SSLC acq revenue Y5 ($)</t>
        </is>
      </c>
      <c r="B53" s="8" t="n">
        <v>21000000</v>
      </c>
      <c r="C53" s="11" t="inlineStr">
        <is>
          <t>Old acquisition model v15 benchmark</t>
        </is>
      </c>
    </row>
    <row r="55" ht="22" customHeight="1">
      <c r="A55" s="9" t="inlineStr">
        <is>
          <t>EXOS STANDALONE PROJECTIONS (excl. SSLC commission post-close)</t>
        </is>
      </c>
    </row>
    <row r="56" ht="22" customHeight="1">
      <c r="A56" s="5" t="inlineStr">
        <is>
          <t>Exos standalone revenue FY27 ($)</t>
        </is>
      </c>
      <c r="B56" s="8" t="n">
        <v>2600000</v>
      </c>
      <c r="C56" s="11" t="inlineStr">
        <is>
          <t>Management assumption: entX $1.6M + TACFI $0.8M + other $0.2M (v15 baseline excl. SSLC commission)</t>
        </is>
      </c>
    </row>
    <row r="57" ht="22" customHeight="1">
      <c r="A57" s="5" t="inlineStr">
        <is>
          <t>Exos standalone revenue FY28 ($)</t>
        </is>
      </c>
      <c r="B57" s="8" t="n">
        <v>4500000</v>
      </c>
      <c r="C57" s="11" t="inlineStr">
        <is>
          <t>Management assumption — BLK3 first flight + TACFI scale</t>
        </is>
      </c>
    </row>
    <row r="58" ht="22" customHeight="1">
      <c r="A58" s="5" t="inlineStr">
        <is>
          <t>Exos standalone revenue FY29 ($)</t>
        </is>
      </c>
      <c r="B58" s="8" t="n">
        <v>7000000</v>
      </c>
      <c r="C58" s="11" t="inlineStr">
        <is>
          <t>Management assumption</t>
        </is>
      </c>
    </row>
    <row r="59" ht="22" customHeight="1">
      <c r="A59" s="5" t="inlineStr">
        <is>
          <t>Exos standalone revenue FY30 ($)</t>
        </is>
      </c>
      <c r="B59" s="8" t="n">
        <v>11000000</v>
      </c>
      <c r="C59" s="11" t="inlineStr">
        <is>
          <t>Management assumption</t>
        </is>
      </c>
    </row>
    <row r="60" ht="22" customHeight="1">
      <c r="A60" s="5" t="inlineStr">
        <is>
          <t>Exos standalone revenue FY31 ($)</t>
        </is>
      </c>
      <c r="B60" s="8" t="n">
        <v>16000000</v>
      </c>
      <c r="C60" s="11" t="inlineStr">
        <is>
          <t>Management assumption</t>
        </is>
      </c>
    </row>
    <row r="61" ht="22" customHeight="1">
      <c r="A61" s="5" t="inlineStr">
        <is>
          <t>Exos standalone EBITDA FY27 ($)</t>
        </is>
      </c>
      <c r="B61" s="8" t="n">
        <v>-4000000</v>
      </c>
      <c r="C61" s="11" t="inlineStr">
        <is>
          <t>Management assumption — pre-BLK3 flight investment phase</t>
        </is>
      </c>
    </row>
    <row r="62" ht="22" customHeight="1">
      <c r="A62" s="5" t="inlineStr">
        <is>
          <t>Exos standalone EBITDA FY28 ($)</t>
        </is>
      </c>
      <c r="B62" s="8" t="n">
        <v>-1500000</v>
      </c>
      <c r="C62" s="11" t="inlineStr">
        <is>
          <t>Management assumption — BLK3 flying, BLK4 dev</t>
        </is>
      </c>
    </row>
    <row r="63" ht="22" customHeight="1">
      <c r="A63" s="5" t="inlineStr">
        <is>
          <t>Exos standalone EBITDA FY29 ($)</t>
        </is>
      </c>
      <c r="B63" s="8" t="n">
        <v>500000</v>
      </c>
      <c r="C63" s="11" t="inlineStr">
        <is>
          <t>Management assumption — approaching breakeven</t>
        </is>
      </c>
    </row>
    <row r="64" ht="22" customHeight="1">
      <c r="A64" s="5" t="inlineStr">
        <is>
          <t>Exos standalone EBITDA FY30 ($)</t>
        </is>
      </c>
      <c r="B64" s="8" t="n">
        <v>2500000</v>
      </c>
      <c r="C64" s="11" t="inlineStr">
        <is>
          <t>Management assumption</t>
        </is>
      </c>
    </row>
    <row r="65" ht="22" customHeight="1">
      <c r="A65" s="5" t="inlineStr">
        <is>
          <t>Exos standalone EBITDA FY31 ($)</t>
        </is>
      </c>
      <c r="B65" s="8" t="n">
        <v>5000000</v>
      </c>
      <c r="C65" s="11" t="inlineStr">
        <is>
          <t>Management assumption</t>
        </is>
      </c>
    </row>
    <row r="66" ht="22" customHeight="1">
      <c r="A66" s="5" t="inlineStr">
        <is>
          <t>Intercompany Exos purchases from SSLC FY27 ($)</t>
        </is>
      </c>
      <c r="B66" s="8" t="n">
        <v>500000</v>
      </c>
      <c r="C66" s="11" t="inlineStr">
        <is>
          <t>MANAGEMENT ASSUMPTION — Exos BLK3 tank purchases from SSLC subsidiary; eliminated on consolidation</t>
        </is>
      </c>
    </row>
    <row r="67" ht="22" customHeight="1">
      <c r="A67" s="5" t="inlineStr">
        <is>
          <t>Intercompany growth rate FY28+ (%)</t>
        </is>
      </c>
      <c r="B67" s="10" t="n">
        <v>0.15</v>
      </c>
      <c r="C67" s="11" t="inlineStr">
        <is>
          <t>MANAGEMENT ASSUMPTION</t>
        </is>
      </c>
    </row>
  </sheetData>
  <mergeCells count="6">
    <mergeCell ref="A1:C1"/>
    <mergeCell ref="A5:I5"/>
    <mergeCell ref="A36:I36"/>
    <mergeCell ref="A22:I22"/>
    <mergeCell ref="A55:I55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28" customWidth="1" min="5" max="5"/>
  </cols>
  <sheetData>
    <row r="1" ht="22" customHeight="1">
      <c r="A1" s="12" t="inlineStr">
        <is>
          <t>SSLC Option B — Deal Structure, Sources &amp; Uses, Earn-Out Analysis</t>
        </is>
      </c>
    </row>
    <row r="2" ht="30" customHeight="1">
      <c r="A2" s="11" t="inlineStr">
        <is>
          <t>Option B: invoke §3 exclusivity at $3.36M base + earn-out (IM tank revenue and/or Exos stock post-listing). SSLC debts paid at face. DRAFT — negotiation-stage terms.</t>
        </is>
      </c>
    </row>
    <row r="4">
      <c r="A4" s="9" t="inlineStr">
        <is>
          <t>SOURCES &amp; USES AT CLOSE</t>
        </is>
      </c>
    </row>
    <row r="5">
      <c r="A5" s="13" t="inlineStr">
        <is>
          <t>Line Item</t>
        </is>
      </c>
      <c r="B5" s="13" t="inlineStr">
        <is>
          <t>Amount ($)</t>
        </is>
      </c>
      <c r="C5" s="13" t="inlineStr"/>
      <c r="D5" s="13" t="inlineStr"/>
      <c r="E5" s="13" t="inlineStr">
        <is>
          <t>Notes</t>
        </is>
      </c>
    </row>
    <row r="6" ht="18" customHeight="1">
      <c r="A6" s="14" t="inlineStr">
        <is>
          <t>USES</t>
        </is>
      </c>
    </row>
    <row r="7" ht="18" customHeight="1">
      <c r="A7" t="inlineStr">
        <is>
          <t xml:space="preserve">  Cash to SSLC sellers at close</t>
        </is>
      </c>
      <c r="B7" s="15">
        <f>Assumptions!B10</f>
        <v/>
      </c>
      <c r="E7" s="11" t="inlineStr">
        <is>
          <t>§3 deal price — cash component</t>
        </is>
      </c>
    </row>
    <row r="8" ht="18" customHeight="1">
      <c r="A8" t="inlineStr">
        <is>
          <t xml:space="preserve">  SSLC closing costs (sellers)</t>
        </is>
      </c>
      <c r="B8" s="15">
        <f>Assumptions!B11</f>
        <v/>
      </c>
      <c r="E8" s="11" t="inlineStr">
        <is>
          <t>Per §3 deal price</t>
        </is>
      </c>
    </row>
    <row r="9" ht="18" customHeight="1">
      <c r="A9" t="inlineStr">
        <is>
          <t xml:space="preserve">  SSLC debts assumed at face</t>
        </is>
      </c>
      <c r="B9" s="15">
        <f>Assumptions!B14</f>
        <v/>
      </c>
      <c r="E9" s="11" t="inlineStr">
        <is>
          <t>Microcosm/Wertz notes + AP — TO VERIFY IN SSLC QB</t>
        </is>
      </c>
    </row>
    <row r="10" ht="18" customHeight="1">
      <c r="A10" t="inlineStr">
        <is>
          <t xml:space="preserve">  Working capital bridge (mid-point)</t>
        </is>
      </c>
      <c r="B10" s="15">
        <f>Assumptions!B16</f>
        <v/>
      </c>
      <c r="E10" s="11" t="inlineStr">
        <is>
          <t>SSLC needs $0.3–0.7M to finish paid-for work</t>
        </is>
      </c>
    </row>
    <row r="11" ht="18" customHeight="1">
      <c r="A11" t="inlineStr">
        <is>
          <t xml:space="preserve">  Less: Exos stake credit (18%)</t>
        </is>
      </c>
      <c r="B11" s="15">
        <f>-Assumptions!B12</f>
        <v/>
      </c>
      <c r="E11" s="11" t="inlineStr">
        <is>
          <t>18% equity at 2021 basis — reduces net cash</t>
        </is>
      </c>
    </row>
    <row r="12" ht="18" customHeight="1">
      <c r="A12" t="inlineStr">
        <is>
          <t xml:space="preserve">  5% escrow holdback (§7, 12 mo.)</t>
        </is>
      </c>
      <c r="B12" s="15">
        <f>Assumptions!B13</f>
        <v/>
      </c>
      <c r="E12" s="11" t="inlineStr">
        <is>
          <t>Released at 12-month anniversary</t>
        </is>
      </c>
    </row>
    <row r="13" ht="18" customHeight="1">
      <c r="A13" s="16" t="inlineStr">
        <is>
          <t>TOTAL USES</t>
        </is>
      </c>
      <c r="B13" s="17">
        <f>SUM(B7:B12)</f>
        <v/>
      </c>
      <c r="C13" s="16" t="n"/>
      <c r="D13" s="16" t="n"/>
      <c r="E13" s="16" t="inlineStr">
        <is>
          <t>Net cash out-of-pocket at close + escrow</t>
        </is>
      </c>
    </row>
    <row r="14" ht="18" customHeight="1">
      <c r="A14" t="inlineStr"/>
      <c r="E14" s="11" t="inlineStr"/>
    </row>
    <row r="15" ht="18" customHeight="1">
      <c r="A15" s="14" t="inlineStr">
        <is>
          <t>SOURCES</t>
        </is>
      </c>
    </row>
    <row r="16" ht="18" customHeight="1">
      <c r="A16" t="inlineStr">
        <is>
          <t xml:space="preserve">  Series A first close (allocated to SSLC)</t>
        </is>
      </c>
      <c r="B16" s="15">
        <f>Assumptions!B10+Assumptions!B16</f>
        <v/>
      </c>
      <c r="E16" s="11" t="inlineStr">
        <is>
          <t>SSLC acquisition + WC bridge from Series A</t>
        </is>
      </c>
    </row>
    <row r="17" ht="18" customHeight="1">
      <c r="A17" t="inlineStr">
        <is>
          <t xml:space="preserve">  Exos stake credit (non-cash)</t>
        </is>
      </c>
      <c r="B17" s="15">
        <f>Assumptions!B12</f>
        <v/>
      </c>
      <c r="E17" s="11" t="inlineStr">
        <is>
          <t>Existing 18% stake reduces cash required</t>
        </is>
      </c>
    </row>
    <row r="18" ht="18" customHeight="1">
      <c r="A18" s="16" t="inlineStr">
        <is>
          <t>TOTAL SOURCES</t>
        </is>
      </c>
      <c r="B18" s="17">
        <f>B16+B17</f>
        <v/>
      </c>
      <c r="C18" s="16" t="n"/>
      <c r="D18" s="16" t="n"/>
      <c r="E18" s="16" t="inlineStr"/>
    </row>
    <row r="19" ht="18" customHeight="1">
      <c r="A19" s="16" t="inlineStr">
        <is>
          <t>Check (Sources − Uses)</t>
        </is>
      </c>
      <c r="B19" s="17">
        <f>B18-B13</f>
        <v/>
      </c>
      <c r="C19" s="16" t="n"/>
      <c r="D19" s="16" t="n"/>
      <c r="E19" s="16" t="inlineStr">
        <is>
          <t>Should = 0; debt payoff from SSLC operating cash</t>
        </is>
      </c>
    </row>
    <row r="21" ht="20" customHeight="1">
      <c r="A21" s="9" t="inlineStr">
        <is>
          <t>EARN-OUT MECHANICS (two variants shown side by side; combined option in Col D)</t>
        </is>
      </c>
    </row>
    <row r="22">
      <c r="A22" s="18" t="inlineStr">
        <is>
          <t>Metric</t>
        </is>
      </c>
      <c r="B22" s="18" t="inlineStr">
        <is>
          <t>Earn-Out i: IM Tank Revenue %</t>
        </is>
      </c>
      <c r="C22" s="18" t="inlineStr">
        <is>
          <t>Earn-Out ii: Exos Stock post-RTO</t>
        </is>
      </c>
      <c r="D22" s="18" t="inlineStr">
        <is>
          <t>Combined (i + ii)</t>
        </is>
      </c>
      <c r="E22" s="18" t="inlineStr">
        <is>
          <t>Notes</t>
        </is>
      </c>
    </row>
    <row r="23" ht="28" customHeight="1">
      <c r="A23" s="19" t="inlineStr">
        <is>
          <t>Structure</t>
        </is>
      </c>
      <c r="B23" s="19" t="inlineStr">
        <is>
          <t>% of SSLC IM tank revenue, annual cap, 3-year term</t>
        </is>
      </c>
      <c r="C23" s="19" t="inlineStr">
        <is>
          <t>Exos common stock at listing (% of FD shares); 12-mo lockup</t>
        </is>
      </c>
      <c r="D23" s="19" t="inlineStr">
        <is>
          <t>Both i + ii</t>
        </is>
      </c>
      <c r="E23" s="11" t="inlineStr">
        <is>
          <t>Gives SSLC sellers upside from IM growth AND Exos growth</t>
        </is>
      </c>
    </row>
    <row r="24" ht="28" customHeight="1">
      <c r="A24" s="19" t="inlineStr">
        <is>
          <t>Low scenario</t>
        </is>
      </c>
      <c r="B24" s="20">
        <f>MIN(Assumptions!B23*Assumptions!B44,Assumptions!B26)*Assumptions!B27</f>
        <v/>
      </c>
      <c r="C24" s="20">
        <f>Assumptions!B28*Assumptions!B31</f>
        <v/>
      </c>
      <c r="D24" s="20">
        <f>D24+C24</f>
        <v/>
      </c>
      <c r="E24" s="11" t="inlineStr">
        <is>
          <t>Low: 3% tank rev (cap $300K) × 3yr + 0.3% of $200M listing</t>
        </is>
      </c>
    </row>
    <row r="25" ht="28" customHeight="1">
      <c r="A25" s="19" t="inlineStr">
        <is>
          <t>Base scenario</t>
        </is>
      </c>
      <c r="B25" s="20">
        <f>MIN(Assumptions!B24*Assumptions!B44,Assumptions!B26)*Assumptions!B27</f>
        <v/>
      </c>
      <c r="C25" s="20">
        <f>Assumptions!B29*Assumptions!B32</f>
        <v/>
      </c>
      <c r="D25" s="20">
        <f>B25+C25</f>
        <v/>
      </c>
      <c r="E25" s="11" t="inlineStr">
        <is>
          <t>Base: 5% × $5M firm + 0.5% of $250M listing</t>
        </is>
      </c>
    </row>
    <row r="26" ht="28" customHeight="1">
      <c r="A26" s="19" t="inlineStr">
        <is>
          <t>High scenario</t>
        </is>
      </c>
      <c r="B26" s="20">
        <f>MIN(Assumptions!B25*Assumptions!B44,Assumptions!B26)*Assumptions!B27</f>
        <v/>
      </c>
      <c r="C26" s="20">
        <f>Assumptions!B30*Assumptions!B33</f>
        <v/>
      </c>
      <c r="D26" s="20">
        <f>B26+C26</f>
        <v/>
      </c>
      <c r="E26" s="11" t="inlineStr">
        <is>
          <t>High: 7% × $5M + 0.7% of $300M listing</t>
        </is>
      </c>
    </row>
    <row r="27" ht="28" customHeight="1">
      <c r="A27" s="19" t="inlineStr">
        <is>
          <t>Exos dilution (stock, base)</t>
        </is>
      </c>
      <c r="B27" s="19" t="inlineStr">
        <is>
          <t>n/a</t>
        </is>
      </c>
      <c r="C27" s="20">
        <f>Assumptions!B29</f>
        <v/>
      </c>
      <c r="D27" s="20">
        <f>Assumptions!B29</f>
        <v/>
      </c>
      <c r="E27" s="11" t="inlineStr">
        <is>
          <t>0.5% of FD shares; non-material at Series A scale</t>
        </is>
      </c>
    </row>
    <row r="28" ht="28" customHeight="1">
      <c r="A28" s="19" t="inlineStr">
        <is>
          <t>Lockup / vesting</t>
        </is>
      </c>
      <c r="B28" s="19" t="inlineStr">
        <is>
          <t>Annual payments, 3 years</t>
        </is>
      </c>
      <c r="C28" s="19" t="inlineStr">
        <is>
          <t>12-month lockup post-listing</t>
        </is>
      </c>
      <c r="D28" s="19" t="inlineStr">
        <is>
          <t>Each tranche per its own schedule</t>
        </is>
      </c>
      <c r="E28" s="11" t="inlineStr"/>
    </row>
    <row r="30">
      <c r="A30" s="9" t="inlineStr">
        <is>
          <t>TOTAL CONSIDERATION SUMMARY (Base price + earn-out)</t>
        </is>
      </c>
    </row>
    <row r="31">
      <c r="A31" s="13" t="inlineStr">
        <is>
          <t>Component</t>
        </is>
      </c>
      <c r="B31" s="13" t="inlineStr">
        <is>
          <t>Low</t>
        </is>
      </c>
      <c r="C31" s="13" t="inlineStr">
        <is>
          <t>Base</t>
        </is>
      </c>
      <c r="D31" s="13" t="inlineStr">
        <is>
          <t>High</t>
        </is>
      </c>
      <c r="E31" s="13" t="inlineStr">
        <is>
          <t>Notes</t>
        </is>
      </c>
    </row>
    <row r="32" ht="18" customHeight="1">
      <c r="A32" t="inlineStr">
        <is>
          <t>Base acquisition price</t>
        </is>
      </c>
      <c r="B32" s="21">
        <f>Assumptions!B9</f>
        <v/>
      </c>
      <c r="C32" s="21">
        <f>Assumptions!B9</f>
        <v/>
      </c>
      <c r="D32" s="21">
        <f>Assumptions!B9</f>
        <v/>
      </c>
      <c r="E32" s="22" t="inlineStr">
        <is>
          <t>§3 deal price; incl. stake credit</t>
        </is>
      </c>
    </row>
    <row r="33" ht="18" customHeight="1">
      <c r="A33" t="inlineStr">
        <is>
          <t>SSLC debts assumed (TBV)</t>
        </is>
      </c>
      <c r="B33" s="21">
        <f>Assumptions!B14</f>
        <v/>
      </c>
      <c r="C33" s="21">
        <f>Assumptions!B14</f>
        <v/>
      </c>
      <c r="D33" s="21">
        <f>Assumptions!B14</f>
        <v/>
      </c>
      <c r="E33" s="22" t="inlineStr">
        <is>
          <t>To verify in SSLC QB</t>
        </is>
      </c>
    </row>
    <row r="34" ht="18" customHeight="1">
      <c r="A34" t="inlineStr">
        <is>
          <t>Earn-out (combined)</t>
        </is>
      </c>
      <c r="B34" s="21">
        <f>D24</f>
        <v/>
      </c>
      <c r="C34" s="21">
        <f>D25</f>
        <v/>
      </c>
      <c r="D34" s="21">
        <f>D26</f>
        <v/>
      </c>
      <c r="E34" s="22" t="inlineStr">
        <is>
          <t>Earn-out i + ii combined</t>
        </is>
      </c>
    </row>
    <row r="35" ht="18" customHeight="1">
      <c r="A35" s="23" t="inlineStr">
        <is>
          <t>TOTAL CONSIDERATION</t>
        </is>
      </c>
      <c r="B35" s="24">
        <f>B32+B33+B34</f>
        <v/>
      </c>
      <c r="C35" s="24">
        <f>C32+C33+C34</f>
        <v/>
      </c>
      <c r="D35" s="24">
        <f>D32+D33+D34</f>
        <v/>
      </c>
      <c r="E35" s="23" t="inlineStr">
        <is>
          <t>All-in for 82% of SSLC</t>
        </is>
      </c>
    </row>
    <row r="36" ht="18" customHeight="1">
      <c r="A36" t="inlineStr">
        <is>
          <t>Implied 100% SSLC value</t>
        </is>
      </c>
      <c r="B36" s="21">
        <f>B35/0.82</f>
        <v/>
      </c>
      <c r="C36" s="21">
        <f>C35/0.82</f>
        <v/>
      </c>
      <c r="D36" s="21">
        <f>D35/0.82</f>
        <v/>
      </c>
      <c r="E36" s="22" t="inlineStr">
        <is>
          <t>At 82% acquisition; Exos holds 18%</t>
        </is>
      </c>
    </row>
    <row r="37" ht="18" customHeight="1">
      <c r="A37" t="inlineStr">
        <is>
          <t>Payback (yrs at base EBITDA)</t>
        </is>
      </c>
      <c r="B37" s="25">
        <f>B35/1240000</f>
        <v/>
      </c>
      <c r="C37" s="25">
        <f>C35/1240000</f>
        <v/>
      </c>
      <c r="D37" s="25">
        <f>D35/1240000</f>
        <v/>
      </c>
      <c r="E37" s="22" t="inlineStr">
        <is>
          <t>FY27 SSLC EBITDA est. $1.24M</t>
        </is>
      </c>
    </row>
  </sheetData>
  <mergeCells count="7">
    <mergeCell ref="A21:E21"/>
    <mergeCell ref="A30:E30"/>
    <mergeCell ref="A4:E4"/>
    <mergeCell ref="A2:E2"/>
    <mergeCell ref="A15:E15"/>
    <mergeCell ref="A1:E1"/>
    <mergeCell ref="A6:E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22" customHeight="1">
      <c r="A1" s="12" t="inlineStr">
        <is>
          <t>EXOS + SSLC Consolidated P&amp;L and Cash Flow — Option B Acquisition</t>
        </is>
      </c>
    </row>
    <row r="2">
      <c r="A2" s="11" t="inlineStr">
        <is>
          <t>Assumes acquisition closes ~Q1 FY27. All figures in USD. SSLC consolidated from close date. Formulas link to Assumptions sheet.</t>
        </is>
      </c>
    </row>
    <row r="4">
      <c r="A4" s="9" t="inlineStr">
        <is>
          <t>FY27 QUARTERLY — Exos+SSLC Consolidated (acquisition assumed closed Q1)</t>
        </is>
      </c>
    </row>
    <row r="5">
      <c r="A5" s="3" t="inlineStr">
        <is>
          <t>Line Item</t>
        </is>
      </c>
      <c r="B5" s="3" t="inlineStr">
        <is>
          <t>FY27 Q1</t>
        </is>
      </c>
      <c r="C5" s="3" t="inlineStr">
        <is>
          <t>FY27 Q2</t>
        </is>
      </c>
      <c r="D5" s="3" t="inlineStr">
        <is>
          <t>FY27 Q3</t>
        </is>
      </c>
      <c r="E5" s="3" t="inlineStr">
        <is>
          <t>FY27 Q4</t>
        </is>
      </c>
      <c r="F5" s="3" t="inlineStr">
        <is>
          <t>FY27 Total</t>
        </is>
      </c>
      <c r="G5" s="3" t="inlineStr"/>
      <c r="H5" s="3" t="inlineStr">
        <is>
          <t>Notes</t>
        </is>
      </c>
    </row>
    <row r="6" ht="18" customHeight="1">
      <c r="A6" t="inlineStr">
        <is>
          <t>SSLC Revenue (post-consolidation)</t>
        </is>
      </c>
      <c r="B6" s="15" t="n">
        <v>713000</v>
      </c>
      <c r="C6" s="15" t="n">
        <v>1387000</v>
      </c>
      <c r="D6" s="15" t="n">
        <v>1400000</v>
      </c>
      <c r="E6" s="15" t="n">
        <v>2000000</v>
      </c>
      <c r="F6" s="15">
        <f>SUM(B6:E6)</f>
        <v/>
      </c>
      <c r="H6" s="11" t="inlineStr">
        <is>
          <t>Q1 actual; Q2-Q4 management assumption distributing $5.5M FY27 total</t>
        </is>
      </c>
    </row>
    <row r="7" ht="18" customHeight="1">
      <c r="A7" t="inlineStr">
        <is>
          <t>Exos Standalone Revenue</t>
        </is>
      </c>
      <c r="B7" s="15" t="n">
        <v>550000</v>
      </c>
      <c r="C7" s="15" t="n">
        <v>700000</v>
      </c>
      <c r="D7" s="15" t="n">
        <v>700000</v>
      </c>
      <c r="E7" s="15" t="n">
        <v>650000</v>
      </c>
      <c r="F7" s="15">
        <f>SUM(B7:E7)</f>
        <v/>
      </c>
      <c r="H7" s="11" t="inlineStr">
        <is>
          <t>Management assumption; $2.6M FY27 total (v15 baseline excl. SSLC commission)</t>
        </is>
      </c>
    </row>
    <row r="8" ht="18" customHeight="1">
      <c r="A8" t="inlineStr">
        <is>
          <t>Less: Intercompany Eliminations</t>
        </is>
      </c>
      <c r="B8" s="15" t="n">
        <v>-125000</v>
      </c>
      <c r="C8" s="15" t="n">
        <v>-125000</v>
      </c>
      <c r="D8" s="15" t="n">
        <v>-125000</v>
      </c>
      <c r="E8" s="15" t="n">
        <v>-125000</v>
      </c>
      <c r="F8" s="15">
        <f>SUM(B8:E8)</f>
        <v/>
      </c>
      <c r="H8" s="11" t="inlineStr">
        <is>
          <t>Exos purchases from SSLC; $500K/yr eliminated</t>
        </is>
      </c>
    </row>
    <row r="9" ht="18" customHeight="1">
      <c r="A9" s="23" t="inlineStr">
        <is>
          <t>NET CONSOLIDATED REVENUE</t>
        </is>
      </c>
      <c r="B9" s="26">
        <f>B6+B7+B8</f>
        <v/>
      </c>
      <c r="C9" s="26">
        <f>C6+C7+C8</f>
        <v/>
      </c>
      <c r="D9" s="26">
        <f>D6+D7+D8</f>
        <v/>
      </c>
      <c r="E9" s="26">
        <f>E6+E7+E8</f>
        <v/>
      </c>
      <c r="F9" s="26">
        <f>SUM(B9:E9)</f>
        <v/>
      </c>
      <c r="G9" s="23" t="n"/>
      <c r="H9" s="23" t="inlineStr"/>
    </row>
    <row r="11">
      <c r="A11" s="13" t="inlineStr">
        <is>
          <t>COST OF GOODS SOLD</t>
        </is>
      </c>
    </row>
    <row r="12" ht="18" customHeight="1">
      <c r="A12" t="inlineStr">
        <is>
          <t>SSLC COGS (52% of SSLC rev)</t>
        </is>
      </c>
      <c r="B12" s="27">
        <f>B6*Assumptions!B45</f>
        <v/>
      </c>
      <c r="C12" s="27">
        <f>C6*Assumptions!B45</f>
        <v/>
      </c>
      <c r="D12" s="27">
        <f>D6*Assumptions!B45</f>
        <v/>
      </c>
      <c r="E12" s="27">
        <f>E6*Assumptions!B45</f>
        <v/>
      </c>
      <c r="F12" s="27">
        <f>SUM(B12:E12)</f>
        <v/>
      </c>
      <c r="H12" s="22" t="inlineStr">
        <is>
          <t>52% management assumption; derived from FY26</t>
        </is>
      </c>
    </row>
    <row r="13" ht="18" customHeight="1">
      <c r="A13" t="inlineStr">
        <is>
          <t>Exos COGS (45% of Exos rev)</t>
        </is>
      </c>
      <c r="B13" s="27">
        <f>B7*0.45</f>
        <v/>
      </c>
      <c r="C13" s="27">
        <f>C7*0.45</f>
        <v/>
      </c>
      <c r="D13" s="27">
        <f>D7*0.45</f>
        <v/>
      </c>
      <c r="E13" s="27">
        <f>E7*0.45</f>
        <v/>
      </c>
      <c r="F13" s="27">
        <f>SUM(B13:E13)</f>
        <v/>
      </c>
      <c r="H13" s="22" t="inlineStr">
        <is>
          <t>45% management assumption (launch vehicle hardware-heavy)</t>
        </is>
      </c>
    </row>
    <row r="14" ht="18" customHeight="1">
      <c r="A14" s="28" t="inlineStr">
        <is>
          <t>TOTAL COGS</t>
        </is>
      </c>
      <c r="B14" s="29">
        <f>B12+B13</f>
        <v/>
      </c>
      <c r="C14" s="29">
        <f>C12+C13</f>
        <v/>
      </c>
      <c r="D14" s="29">
        <f>D12+D13</f>
        <v/>
      </c>
      <c r="E14" s="29">
        <f>E12+E13</f>
        <v/>
      </c>
      <c r="F14" s="29">
        <f>SUM(B14:E14)</f>
        <v/>
      </c>
      <c r="H14" s="22" t="inlineStr"/>
    </row>
    <row r="15" ht="18" customHeight="1">
      <c r="A15" s="28" t="inlineStr">
        <is>
          <t>GROSS PROFIT</t>
        </is>
      </c>
      <c r="B15" s="29">
        <f>B9-B14</f>
        <v/>
      </c>
      <c r="C15" s="29">
        <f>C9-C14</f>
        <v/>
      </c>
      <c r="D15" s="29">
        <f>D9-D14</f>
        <v/>
      </c>
      <c r="E15" s="29">
        <f>E9-E14</f>
        <v/>
      </c>
      <c r="F15" s="29">
        <f>SUM(B15:E15)</f>
        <v/>
      </c>
      <c r="H15" s="22" t="inlineStr"/>
    </row>
    <row r="16" ht="18" customHeight="1">
      <c r="A16" t="inlineStr">
        <is>
          <t>Gross Margin %</t>
        </is>
      </c>
      <c r="B16" s="27">
        <f>IF(B9&lt;&gt;0,B15/B9,0)</f>
        <v/>
      </c>
      <c r="C16" s="27">
        <f>IF(C9&lt;&gt;0,C15/C9,0)</f>
        <v/>
      </c>
      <c r="D16" s="27">
        <f>IF(D9&lt;&gt;0,D15/D9,0)</f>
        <v/>
      </c>
      <c r="E16" s="27">
        <f>IF(E9&lt;&gt;0,E15/E9,0)</f>
        <v/>
      </c>
      <c r="F16" s="27">
        <f>SUM(B16:E16)</f>
        <v/>
      </c>
      <c r="H16" s="22" t="inlineStr"/>
    </row>
    <row r="18">
      <c r="A18" s="13" t="inlineStr">
        <is>
          <t>OPERATING EXPENSES (combined)</t>
        </is>
      </c>
    </row>
    <row r="19" ht="18" customHeight="1">
      <c r="A19" t="inlineStr">
        <is>
          <t>SSLC OpEx</t>
        </is>
      </c>
      <c r="B19" s="15" t="n">
        <v>350000</v>
      </c>
      <c r="C19" s="15" t="n">
        <v>350000</v>
      </c>
      <c r="D19" s="15" t="n">
        <v>350000</v>
      </c>
      <c r="E19" s="15" t="n">
        <v>350000</v>
      </c>
      <c r="F19" s="15">
        <f>SUM(B19:E19)</f>
        <v/>
      </c>
      <c r="H19" s="22" t="inlineStr">
        <is>
          <t>FY27 $1.4M / 4 quarters</t>
        </is>
      </c>
    </row>
    <row r="20" ht="18" customHeight="1">
      <c r="A20" t="inlineStr">
        <is>
          <t>Exos OpEx (excl. R&amp;D)</t>
        </is>
      </c>
      <c r="B20" s="15" t="n">
        <v>650000</v>
      </c>
      <c r="C20" s="15" t="n">
        <v>650000</v>
      </c>
      <c r="D20" s="15" t="n">
        <v>650000</v>
      </c>
      <c r="E20" s="15" t="n">
        <v>650000</v>
      </c>
      <c r="F20" s="15">
        <f>SUM(B20:E20)</f>
        <v/>
      </c>
      <c r="H20" s="22" t="inlineStr">
        <is>
          <t>Exos G&amp;A / payroll (management assumption)</t>
        </is>
      </c>
    </row>
    <row r="21" ht="18" customHeight="1">
      <c r="A21" t="inlineStr">
        <is>
          <t>Exos R&amp;D / BLK3 dev</t>
        </is>
      </c>
      <c r="B21" s="15" t="n">
        <v>500000</v>
      </c>
      <c r="C21" s="15" t="n">
        <v>500000</v>
      </c>
      <c r="D21" s="15" t="n">
        <v>500000</v>
      </c>
      <c r="E21" s="15" t="n">
        <v>500000</v>
      </c>
      <c r="F21" s="15">
        <f>SUM(B21:E21)</f>
        <v/>
      </c>
      <c r="H21" s="22" t="inlineStr">
        <is>
          <t>BLK3 development; ramps down post-flight</t>
        </is>
      </c>
    </row>
    <row r="22" ht="18" customHeight="1">
      <c r="A22" s="30" t="inlineStr">
        <is>
          <t>TOTAL OPEX</t>
        </is>
      </c>
      <c r="B22" s="31">
        <f>SUM(B19:B21)</f>
        <v/>
      </c>
      <c r="C22" s="31">
        <f>SUM(C19:C21)</f>
        <v/>
      </c>
      <c r="D22" s="31">
        <f>SUM(D19:D21)</f>
        <v/>
      </c>
      <c r="E22" s="31">
        <f>SUM(E19:E21)</f>
        <v/>
      </c>
      <c r="F22" s="31">
        <f>SUM(B22:E22)</f>
        <v/>
      </c>
      <c r="H22" s="22" t="inlineStr"/>
    </row>
    <row r="24" ht="18" customHeight="1">
      <c r="A24" s="23" t="inlineStr">
        <is>
          <t>EBITDA</t>
        </is>
      </c>
      <c r="B24" s="26">
        <f>B15-B22</f>
        <v/>
      </c>
      <c r="C24" s="26">
        <f>C15-C22</f>
        <v/>
      </c>
      <c r="D24" s="26">
        <f>D15-D22</f>
        <v/>
      </c>
      <c r="E24" s="26">
        <f>E15-E22</f>
        <v/>
      </c>
      <c r="F24" s="26">
        <f>SUM(B24:E24)</f>
        <v/>
      </c>
      <c r="H24" s="22" t="inlineStr"/>
    </row>
    <row r="25" ht="18" customHeight="1">
      <c r="A25" t="inlineStr">
        <is>
          <t>EBITDA Margin %</t>
        </is>
      </c>
      <c r="B25" s="27">
        <f>IF(B9&lt;&gt;0,B24/B9,0)</f>
        <v/>
      </c>
      <c r="C25" s="27">
        <f>IF(C9&lt;&gt;0,C24/C9,0)</f>
        <v/>
      </c>
      <c r="D25" s="27">
        <f>IF(D9&lt;&gt;0,D24/D9,0)</f>
        <v/>
      </c>
      <c r="E25" s="27">
        <f>IF(E9&lt;&gt;0,E24/E9,0)</f>
        <v/>
      </c>
      <c r="F25" s="27">
        <f>SUM(B25:E25)</f>
        <v/>
      </c>
      <c r="H25" s="22" t="inlineStr"/>
    </row>
    <row r="26" ht="18" customHeight="1">
      <c r="A26" t="inlineStr">
        <is>
          <t>D&amp;A (est.)</t>
        </is>
      </c>
      <c r="B26" s="15" t="n">
        <v>-40000</v>
      </c>
      <c r="C26" s="15" t="n">
        <v>-40000</v>
      </c>
      <c r="D26" s="15" t="n">
        <v>-40000</v>
      </c>
      <c r="E26" s="15" t="n">
        <v>-40000</v>
      </c>
      <c r="F26" s="15">
        <f>SUM(B26:E26)</f>
        <v/>
      </c>
      <c r="H26" s="22" t="inlineStr">
        <is>
          <t>$160K FY27 SSLC + Exos combined; management assumption</t>
        </is>
      </c>
    </row>
    <row r="27" ht="18" customHeight="1">
      <c r="A27" s="23" t="inlineStr">
        <is>
          <t>EBIT</t>
        </is>
      </c>
      <c r="B27" s="26">
        <f>B24+B26</f>
        <v/>
      </c>
      <c r="C27" s="26">
        <f>C24+C26</f>
        <v/>
      </c>
      <c r="D27" s="26">
        <f>D24+D26</f>
        <v/>
      </c>
      <c r="E27" s="26">
        <f>E24+E26</f>
        <v/>
      </c>
      <c r="F27" s="26">
        <f>SUM(B27:E27)</f>
        <v/>
      </c>
      <c r="H27" s="22" t="inlineStr"/>
    </row>
    <row r="28" ht="18" customHeight="1">
      <c r="A28" t="inlineStr">
        <is>
          <t>Interest / one-time</t>
        </is>
      </c>
      <c r="B28" s="15" t="inlineStr">
        <is>
          <t>0</t>
        </is>
      </c>
      <c r="C28" s="15" t="inlineStr">
        <is>
          <t>0</t>
        </is>
      </c>
      <c r="D28" s="15" t="inlineStr">
        <is>
          <t>0</t>
        </is>
      </c>
      <c r="E28" s="15" t="inlineStr">
        <is>
          <t>0</t>
        </is>
      </c>
      <c r="F28" s="15">
        <f>SUM(B28:E28)</f>
        <v/>
      </c>
      <c r="H28" s="22" t="inlineStr">
        <is>
          <t>Acquisition-related one-time costs in Q1 (separate line)</t>
        </is>
      </c>
    </row>
    <row r="29" ht="18" customHeight="1">
      <c r="A29" s="23" t="inlineStr">
        <is>
          <t>Pre-Tax Income</t>
        </is>
      </c>
      <c r="B29" s="26">
        <f>B27+B28</f>
        <v/>
      </c>
      <c r="C29" s="26">
        <f>C27+C28</f>
        <v/>
      </c>
      <c r="D29" s="26">
        <f>D27+D28</f>
        <v/>
      </c>
      <c r="E29" s="26">
        <f>E27+E28</f>
        <v/>
      </c>
      <c r="F29" s="26">
        <f>SUM(B29:E29)</f>
        <v/>
      </c>
      <c r="H29" s="22" t="inlineStr"/>
    </row>
    <row r="31">
      <c r="A31" s="9" t="inlineStr">
        <is>
          <t>FY27 QUARTERLY — CASH FLOW (simplified)</t>
        </is>
      </c>
    </row>
    <row r="32" ht="18" customHeight="1">
      <c r="A32" t="inlineStr">
        <is>
          <t>Beginning Cash (Exos + SSLC at close)</t>
        </is>
      </c>
      <c r="B32" s="15" t="n">
        <v>198000</v>
      </c>
      <c r="C32" s="15">
        <f>E32+E33+E34</f>
        <v/>
      </c>
      <c r="D32" s="15">
        <f>E33+E34+E35</f>
        <v/>
      </c>
      <c r="E32" s="15">
        <f>E34+E35+E36</f>
        <v/>
      </c>
      <c r="F32" s="15" t="inlineStr"/>
      <c r="H32" s="22" t="inlineStr">
        <is>
          <t>SSLC cash $198K at QB date</t>
        </is>
      </c>
    </row>
    <row r="33" ht="18" customHeight="1">
      <c r="A33" t="inlineStr">
        <is>
          <t>SSLC acquisition cash out</t>
        </is>
      </c>
      <c r="B33" s="15" t="n">
        <v>-2510000</v>
      </c>
      <c r="C33" s="15" t="n">
        <v>0</v>
      </c>
      <c r="D33" s="15" t="n">
        <v>0</v>
      </c>
      <c r="E33" s="15" t="n">
        <v>0</v>
      </c>
      <c r="F33" s="15" t="inlineStr"/>
      <c r="H33" s="22" t="inlineStr">
        <is>
          <t>Deal cash at close (Q1)</t>
        </is>
      </c>
    </row>
    <row r="34" ht="18" customHeight="1">
      <c r="A34" t="inlineStr">
        <is>
          <t>Working capital injection</t>
        </is>
      </c>
      <c r="B34" s="15" t="n">
        <v>-500000</v>
      </c>
      <c r="C34" s="15" t="n">
        <v>0</v>
      </c>
      <c r="D34" s="15" t="n">
        <v>0</v>
      </c>
      <c r="E34" s="15" t="n">
        <v>0</v>
      </c>
      <c r="F34" s="15" t="inlineStr"/>
      <c r="H34" s="22" t="inlineStr">
        <is>
          <t>SSLC bridge; Q1</t>
        </is>
      </c>
    </row>
    <row r="35" ht="18" customHeight="1">
      <c r="A35" t="inlineStr">
        <is>
          <t>Operating cash (EBITDA proxy)</t>
        </is>
      </c>
      <c r="B35" s="15">
        <f>B24</f>
        <v/>
      </c>
      <c r="C35" s="15">
        <f>C24</f>
        <v/>
      </c>
      <c r="D35" s="15">
        <f>D24</f>
        <v/>
      </c>
      <c r="E35" s="15">
        <f>E24</f>
        <v/>
      </c>
      <c r="F35" s="15" t="inlineStr"/>
      <c r="H35" s="22" t="inlineStr">
        <is>
          <t>EBITDA proxy; ± WC changes not modeled</t>
        </is>
      </c>
    </row>
    <row r="36" ht="18" customHeight="1">
      <c r="A36" t="inlineStr">
        <is>
          <t>Series A proceeds allocated</t>
        </is>
      </c>
      <c r="B36" s="15" t="n">
        <v>3010000</v>
      </c>
      <c r="C36" s="15" t="n">
        <v>0</v>
      </c>
      <c r="D36" s="15" t="n">
        <v>0</v>
      </c>
      <c r="E36" s="15" t="n">
        <v>0</v>
      </c>
      <c r="F36" s="15" t="inlineStr"/>
      <c r="H36" s="22" t="inlineStr">
        <is>
          <t>Acquisition ($2.51M) + WC bridge ($0.5M) from first close</t>
        </is>
      </c>
    </row>
    <row r="37" ht="18" customHeight="1">
      <c r="A37" s="23" t="inlineStr">
        <is>
          <t>ENDING CASH</t>
        </is>
      </c>
      <c r="B37" s="26">
        <f>SUM(B32:B36)</f>
        <v/>
      </c>
      <c r="C37" s="26">
        <f>C32+C33+C34+C35+C36</f>
        <v/>
      </c>
      <c r="D37" s="26">
        <f>D32+D33+D34+D35+D36</f>
        <v/>
      </c>
      <c r="E37" s="26">
        <f>E32+E33+E34+E35+E36</f>
        <v/>
      </c>
      <c r="F37" s="26">
        <f>E37</f>
        <v/>
      </c>
      <c r="H37" s="22" t="inlineStr"/>
    </row>
    <row r="40">
      <c r="A40" s="9" t="inlineStr">
        <is>
          <t>5-YEAR ANNUAL P&amp;L — FY27–FY31 (Exos+SSLC Consolidated)</t>
        </is>
      </c>
    </row>
    <row r="41">
      <c r="A41" s="3" t="inlineStr">
        <is>
          <t>Line Item</t>
        </is>
      </c>
      <c r="B41" s="3" t="inlineStr">
        <is>
          <t>FY27</t>
        </is>
      </c>
      <c r="C41" s="3" t="inlineStr">
        <is>
          <t>FY28</t>
        </is>
      </c>
      <c r="D41" s="3" t="inlineStr">
        <is>
          <t>FY29</t>
        </is>
      </c>
      <c r="E41" s="3" t="inlineStr">
        <is>
          <t>FY30</t>
        </is>
      </c>
      <c r="F41" s="3" t="inlineStr">
        <is>
          <t>FY31</t>
        </is>
      </c>
      <c r="G41" s="3" t="inlineStr">
        <is>
          <t>FY27-31 CAGR</t>
        </is>
      </c>
      <c r="H41" s="3" t="inlineStr">
        <is>
          <t>Notes</t>
        </is>
      </c>
    </row>
    <row r="42" ht="18" customHeight="1">
      <c r="A42" t="inlineStr">
        <is>
          <t>SSLC Revenue</t>
        </is>
      </c>
      <c r="B42" s="15">
        <f>Assumptions!B37+Assumptions!B44</f>
        <v/>
      </c>
      <c r="C42" s="15">
        <f>Assumptions!B48</f>
        <v/>
      </c>
      <c r="D42" s="15">
        <f>Assumptions!B49</f>
        <v/>
      </c>
      <c r="E42" s="15">
        <f>Assumptions!B50</f>
        <v/>
      </c>
      <c r="F42" s="15">
        <f>Assumptions!B51</f>
        <v/>
      </c>
      <c r="H42" s="11" t="inlineStr">
        <is>
          <t>SSLC actual + IM firm FY27; projections FY28+</t>
        </is>
      </c>
    </row>
    <row r="43" ht="18" customHeight="1">
      <c r="A43" t="inlineStr">
        <is>
          <t>Exos Standalone Revenue</t>
        </is>
      </c>
      <c r="B43" s="15">
        <f>Assumptions!B56</f>
        <v/>
      </c>
      <c r="C43" s="15">
        <f>Assumptions!B57</f>
        <v/>
      </c>
      <c r="D43" s="15">
        <f>Assumptions!B58</f>
        <v/>
      </c>
      <c r="E43" s="15">
        <f>Assumptions!B59</f>
        <v/>
      </c>
      <c r="F43" s="15">
        <f>Assumptions!B60</f>
        <v/>
      </c>
      <c r="H43" s="11" t="inlineStr">
        <is>
          <t>v15 baseline excl. SSLC commission</t>
        </is>
      </c>
    </row>
    <row r="44" ht="18" customHeight="1">
      <c r="A44" t="inlineStr">
        <is>
          <t>Less: Intercompany</t>
        </is>
      </c>
      <c r="B44" s="15" t="n">
        <v>-500000</v>
      </c>
      <c r="C44" s="15" t="n">
        <v>-575000</v>
      </c>
      <c r="D44" s="15" t="n">
        <v>-661000</v>
      </c>
      <c r="E44" s="15" t="n">
        <v>-760000</v>
      </c>
      <c r="F44" s="15" t="n">
        <v>-874000</v>
      </c>
      <c r="H44" s="11" t="inlineStr">
        <is>
          <t>Exos tank purchases from SSLC; interco elim.</t>
        </is>
      </c>
    </row>
    <row r="45" ht="18" customHeight="1">
      <c r="A45" s="23" t="inlineStr">
        <is>
          <t>NET CONSOLIDATED REVENUE</t>
        </is>
      </c>
      <c r="B45" s="26">
        <f>B42+B43+B44</f>
        <v/>
      </c>
      <c r="C45" s="26">
        <f>C42+C43+C44</f>
        <v/>
      </c>
      <c r="D45" s="26">
        <f>D42+D43+D44</f>
        <v/>
      </c>
      <c r="E45" s="26">
        <f>E42+E43+E44</f>
        <v/>
      </c>
      <c r="F45" s="26">
        <f>F42+F43+F44</f>
        <v/>
      </c>
      <c r="G45" s="32">
        <f>IFERROR((F45/B45)^(1/4)-1,0)</f>
        <v/>
      </c>
      <c r="H45" s="11" t="inlineStr"/>
    </row>
    <row r="46">
      <c r="A46" s="33" t="inlineStr">
        <is>
          <t>GROSS PROFIT</t>
        </is>
      </c>
    </row>
    <row r="47" ht="18" customHeight="1">
      <c r="A47" t="inlineStr">
        <is>
          <t>SSLC Gross Profit (48%)</t>
        </is>
      </c>
      <c r="B47" s="27">
        <f>B42*(1-Assumptions!B45)</f>
        <v/>
      </c>
      <c r="C47" s="27">
        <f>C42*(1-Assumptions!B45)</f>
        <v/>
      </c>
      <c r="D47" s="27">
        <f>D42*(1-Assumptions!B45)</f>
        <v/>
      </c>
      <c r="E47" s="27">
        <f>E42*(1-Assumptions!B45)</f>
        <v/>
      </c>
      <c r="F47" s="27">
        <f>F42*(1-Assumptions!B45)</f>
        <v/>
      </c>
      <c r="H47" s="11" t="inlineStr"/>
    </row>
    <row r="48" ht="18" customHeight="1">
      <c r="A48" t="inlineStr">
        <is>
          <t>Exos Gross Profit (55%)</t>
        </is>
      </c>
      <c r="B48" s="27">
        <f>B43*0.55</f>
        <v/>
      </c>
      <c r="C48" s="27">
        <f>C43*0.55</f>
        <v/>
      </c>
      <c r="D48" s="27">
        <f>D43*0.55</f>
        <v/>
      </c>
      <c r="E48" s="27">
        <f>E43*0.55</f>
        <v/>
      </c>
      <c r="F48" s="27">
        <f>F43*0.55</f>
        <v/>
      </c>
      <c r="H48" s="11" t="inlineStr">
        <is>
          <t>45% COGS on standalone</t>
        </is>
      </c>
    </row>
    <row r="49" ht="18" customHeight="1">
      <c r="A49" s="23" t="inlineStr">
        <is>
          <t>GROSS PROFIT</t>
        </is>
      </c>
      <c r="B49" s="26">
        <f>B47+B48</f>
        <v/>
      </c>
      <c r="C49" s="26">
        <f>C47+C48</f>
        <v/>
      </c>
      <c r="D49" s="26">
        <f>D47+D48</f>
        <v/>
      </c>
      <c r="E49" s="26">
        <f>E47+E48</f>
        <v/>
      </c>
      <c r="F49" s="26">
        <f>F47+F48</f>
        <v/>
      </c>
      <c r="G49" s="23" t="n"/>
      <c r="H49" s="11" t="inlineStr"/>
    </row>
    <row r="50" ht="18" customHeight="1">
      <c r="A50" t="inlineStr">
        <is>
          <t>Gross Margin %</t>
        </is>
      </c>
      <c r="B50" s="27">
        <f>IF(B45&lt;&gt;0,B49/B45,0)</f>
        <v/>
      </c>
      <c r="C50" s="27">
        <f>IF(C45&lt;&gt;0,C49/C45,0)</f>
        <v/>
      </c>
      <c r="D50" s="27">
        <f>IF(D45&lt;&gt;0,D49/D45,0)</f>
        <v/>
      </c>
      <c r="E50" s="27">
        <f>IF(E45&lt;&gt;0,E49/E45,0)</f>
        <v/>
      </c>
      <c r="F50" s="27">
        <f>IF(F45&lt;&gt;0,F49/F45,0)</f>
        <v/>
      </c>
      <c r="H50" s="11" t="inlineStr"/>
    </row>
    <row r="51">
      <c r="A51" s="33" t="inlineStr">
        <is>
          <t>EBITDA</t>
        </is>
      </c>
    </row>
    <row r="52" ht="18" customHeight="1">
      <c r="A52" s="34" t="inlineStr">
        <is>
          <t>SSLC EBITDA</t>
        </is>
      </c>
      <c r="B52" s="35">
        <f>B42*(1-Assumptions!B45)-Assumptions!B46</f>
        <v/>
      </c>
      <c r="C52" s="35">
        <f>C42*(1-Assumptions!B45)-Assumptions!B46*(1+Assumptions!B47)</f>
        <v/>
      </c>
      <c r="D52" s="35">
        <f>D42*(1-Assumptions!B45)-Assumptions!B46*(1+Assumptions!B47)^2</f>
        <v/>
      </c>
      <c r="E52" s="35">
        <f>E42*(1-Assumptions!B45)-Assumptions!B46*(1+Assumptions!B47)^3</f>
        <v/>
      </c>
      <c r="F52" s="35">
        <f>F42*(1-Assumptions!B45)-Assumptions!B46*(1+Assumptions!B47)^4</f>
        <v/>
      </c>
      <c r="H52" s="11" t="inlineStr"/>
    </row>
    <row r="53" ht="18" customHeight="1">
      <c r="A53" s="34" t="inlineStr">
        <is>
          <t>Exos Standalone EBITDA</t>
        </is>
      </c>
      <c r="B53" s="35">
        <f>Assumptions!B61</f>
        <v/>
      </c>
      <c r="C53" s="35">
        <f>Assumptions!B62</f>
        <v/>
      </c>
      <c r="D53" s="35">
        <f>Assumptions!B63</f>
        <v/>
      </c>
      <c r="E53" s="35">
        <f>Assumptions!B64</f>
        <v/>
      </c>
      <c r="F53" s="35">
        <f>Assumptions!B65</f>
        <v/>
      </c>
      <c r="H53" s="11" t="inlineStr">
        <is>
          <t>Management assumption; see Assumptions sheet</t>
        </is>
      </c>
    </row>
    <row r="54" ht="18" customHeight="1">
      <c r="A54" s="23" t="inlineStr">
        <is>
          <t>CONSOLIDATED EBITDA</t>
        </is>
      </c>
      <c r="B54" s="26">
        <f>B52+B53</f>
        <v/>
      </c>
      <c r="C54" s="26">
        <f>C52+C53</f>
        <v/>
      </c>
      <c r="D54" s="26">
        <f>D52+D53</f>
        <v/>
      </c>
      <c r="E54" s="26">
        <f>E52+E53</f>
        <v/>
      </c>
      <c r="F54" s="26">
        <f>F52+F53</f>
        <v/>
      </c>
      <c r="G54" s="32">
        <f>IFERROR((F54/B54)^(1/4)-1,0)</f>
        <v/>
      </c>
      <c r="H54" s="11" t="inlineStr"/>
    </row>
    <row r="55" ht="18" customHeight="1">
      <c r="A55" t="inlineStr">
        <is>
          <t>EBITDA Margin %</t>
        </is>
      </c>
      <c r="B55" s="27">
        <f>IF(B45&lt;&gt;0,B54/B45,0)</f>
        <v/>
      </c>
      <c r="C55" s="27">
        <f>IF(C45&lt;&gt;0,C54/C45,0)</f>
        <v/>
      </c>
      <c r="D55" s="27">
        <f>IF(D45&lt;&gt;0,D54/D45,0)</f>
        <v/>
      </c>
      <c r="E55" s="27">
        <f>IF(E45&lt;&gt;0,E54/E45,0)</f>
        <v/>
      </c>
      <c r="F55" s="27">
        <f>IF(F45&lt;&gt;0,F54/F45,0)</f>
        <v/>
      </c>
      <c r="H55" s="11" t="inlineStr"/>
    </row>
    <row r="56">
      <c r="A56" s="33" t="inlineStr">
        <is>
          <t>BENCHMARK COMPARISON (Option B vs v15 old acquisition model)</t>
        </is>
      </c>
    </row>
    <row r="57" ht="18" customHeight="1">
      <c r="A57" t="inlineStr">
        <is>
          <t>— v15 benchmark SSLC acq rev (old model)</t>
        </is>
      </c>
      <c r="B57" s="15">
        <f>Assumptions!B52</f>
        <v/>
      </c>
      <c r="C57" s="15" t="inlineStr"/>
      <c r="D57" s="15" t="inlineStr"/>
      <c r="E57" s="15" t="inlineStr"/>
      <c r="F57" s="15">
        <f>Assumptions!B53</f>
        <v/>
      </c>
      <c r="H57" s="11" t="inlineStr">
        <is>
          <t>Old pre-commission acquisition model; Option B exceeds benchmark</t>
        </is>
      </c>
    </row>
    <row r="58" ht="18" customHeight="1">
      <c r="A58" t="inlineStr">
        <is>
          <t>— Option B SSLC revenue vs benchmark</t>
        </is>
      </c>
      <c r="B58" s="15">
        <f>B42-B57</f>
        <v/>
      </c>
      <c r="C58" s="15" t="inlineStr"/>
      <c r="D58" s="15" t="inlineStr"/>
      <c r="E58" s="15" t="inlineStr"/>
      <c r="F58" s="15">
        <f>F42-F57</f>
        <v/>
      </c>
      <c r="H58" s="11" t="inlineStr">
        <is>
          <t>Positive = Option B SSLC rev exceeds old benchmark</t>
        </is>
      </c>
    </row>
  </sheetData>
  <mergeCells count="10">
    <mergeCell ref="A18:H18"/>
    <mergeCell ref="A4:H4"/>
    <mergeCell ref="A56:H56"/>
    <mergeCell ref="A2:H2"/>
    <mergeCell ref="A51:H51"/>
    <mergeCell ref="A11:H11"/>
    <mergeCell ref="A1:H1"/>
    <mergeCell ref="A46:H46"/>
    <mergeCell ref="A31:H31"/>
    <mergeCell ref="A40:H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 ht="22" customHeight="1">
      <c r="A1" s="36" t="inlineStr">
        <is>
          <t>SSLC Option B — Returns, Dilution &amp; Benchmark Comparison</t>
        </is>
      </c>
    </row>
    <row r="3">
      <c r="A3" s="3" t="inlineStr">
        <is>
          <t>Metric</t>
        </is>
      </c>
      <c r="B3" s="3" t="inlineStr">
        <is>
          <t>Low</t>
        </is>
      </c>
      <c r="C3" s="3" t="inlineStr">
        <is>
          <t>Base</t>
        </is>
      </c>
      <c r="D3" s="3" t="inlineStr">
        <is>
          <t>High</t>
        </is>
      </c>
      <c r="E3" s="3" t="inlineStr">
        <is>
          <t>v15 Benchmark</t>
        </is>
      </c>
      <c r="F3" s="3" t="inlineStr">
        <is>
          <t>Notes</t>
        </is>
      </c>
    </row>
    <row r="4" ht="18" customHeight="1">
      <c r="A4" t="inlineStr">
        <is>
          <t>FY27 SSLC revenue (Option B)</t>
        </is>
      </c>
      <c r="B4" s="21">
        <f>'PL and Cash Flow'!B42</f>
        <v/>
      </c>
      <c r="C4" s="21">
        <f>'PL and Cash Flow'!B42</f>
        <v/>
      </c>
      <c r="D4" s="21">
        <f>'PL and Cash Flow'!B42</f>
        <v/>
      </c>
      <c r="E4" s="21">
        <f>Assumptions!B52</f>
        <v/>
      </c>
      <c r="F4" s="11" t="inlineStr"/>
    </row>
    <row r="5" ht="18" customHeight="1">
      <c r="A5" t="inlineStr">
        <is>
          <t>FY31 SSLC revenue (Option B)</t>
        </is>
      </c>
      <c r="B5" s="21">
        <f>'PL and Cash Flow'!F42</f>
        <v/>
      </c>
      <c r="C5" s="21">
        <f>'PL and Cash Flow'!F42</f>
        <v/>
      </c>
      <c r="D5" s="21">
        <f>'PL and Cash Flow'!F42</f>
        <v/>
      </c>
      <c r="E5" s="21">
        <f>Assumptions!B53</f>
        <v/>
      </c>
      <c r="F5" s="11" t="inlineStr"/>
    </row>
    <row r="6" ht="18" customHeight="1">
      <c r="A6" t="inlineStr">
        <is>
          <t>FY27 SSLC rev vs benchmark ($+)</t>
        </is>
      </c>
      <c r="B6" s="21">
        <f>B4-D4</f>
        <v/>
      </c>
      <c r="C6" s="21">
        <f>C4-D4</f>
        <v/>
      </c>
      <c r="D6" s="21">
        <f>D4-E4</f>
        <v/>
      </c>
      <c r="E6" s="21" t="inlineStr">
        <is>
          <t>—</t>
        </is>
      </c>
      <c r="F6" s="11" t="inlineStr">
        <is>
          <t>Positive = Option B exceeds old model</t>
        </is>
      </c>
    </row>
    <row r="7" ht="18" customHeight="1">
      <c r="A7" t="inlineStr">
        <is>
          <t>FY31 SSLC rev vs benchmark ($+)</t>
        </is>
      </c>
      <c r="B7" s="21">
        <f>B5-E4</f>
        <v/>
      </c>
      <c r="C7" s="21">
        <f>C5-E4</f>
        <v/>
      </c>
      <c r="D7" s="21">
        <f>D5-E5</f>
        <v/>
      </c>
      <c r="E7" s="21" t="inlineStr">
        <is>
          <t>—</t>
        </is>
      </c>
      <c r="F7" s="11" t="inlineStr">
        <is>
          <t>Substantial delta; IM tank confirmation changes picture</t>
        </is>
      </c>
    </row>
    <row r="9" ht="18" customHeight="1">
      <c r="A9" t="inlineStr">
        <is>
          <t>Total consideration (all-in)</t>
        </is>
      </c>
      <c r="B9" s="21">
        <f>'Deal Structure'!B35</f>
        <v/>
      </c>
      <c r="C9" s="21">
        <f>'Deal Structure'!C35</f>
        <v/>
      </c>
      <c r="D9" s="21">
        <f>'Deal Structure'!D35</f>
        <v/>
      </c>
      <c r="E9" s="21" t="inlineStr">
        <is>
          <t>n/a</t>
        </is>
      </c>
      <c r="F9" s="11" t="inlineStr">
        <is>
          <t>Base price + earn-out + assumed debt</t>
        </is>
      </c>
    </row>
    <row r="10" ht="18" customHeight="1">
      <c r="A10" t="inlineStr">
        <is>
          <t>Implied 100% SSLC value</t>
        </is>
      </c>
      <c r="B10" s="27">
        <f>'Deal Structure'!B36</f>
        <v/>
      </c>
      <c r="C10" s="27">
        <f>'Deal Structure'!C36</f>
        <v/>
      </c>
      <c r="D10" s="27">
        <f>'Deal Structure'!D36</f>
        <v/>
      </c>
      <c r="E10" s="27" t="inlineStr">
        <is>
          <t>n/a</t>
        </is>
      </c>
      <c r="F10" s="11" t="inlineStr"/>
    </row>
    <row r="11" ht="18" customHeight="1">
      <c r="A11" t="inlineStr">
        <is>
          <t>Exos FY31 SSLC EBITDA</t>
        </is>
      </c>
      <c r="B11" s="21">
        <f>'PL and Cash Flow'!B52</f>
        <v/>
      </c>
      <c r="C11" s="21">
        <f>'PL and Cash Flow'!B52</f>
        <v/>
      </c>
      <c r="D11" s="21">
        <f>'PL and Cash Flow'!F52</f>
        <v/>
      </c>
      <c r="E11" s="21" t="inlineStr">
        <is>
          <t>n/a</t>
        </is>
      </c>
      <c r="F11" s="11" t="inlineStr">
        <is>
          <t>SSLC standalone EBITDA contribution</t>
        </is>
      </c>
    </row>
    <row r="12" ht="18" customHeight="1">
      <c r="A12" t="inlineStr">
        <is>
          <t>SSLC FY31 EBITDA × 10x (value)</t>
        </is>
      </c>
      <c r="B12" s="21">
        <f>B11*10</f>
        <v/>
      </c>
      <c r="C12" s="21">
        <f>C11*10</f>
        <v/>
      </c>
      <c r="D12" s="21">
        <f>D11*10</f>
        <v/>
      </c>
      <c r="E12" s="21" t="inlineStr">
        <is>
          <t>n/a</t>
        </is>
      </c>
      <c r="F12" s="11" t="inlineStr">
        <is>
          <t>Indicative exit value at 10× EBITDA</t>
        </is>
      </c>
    </row>
    <row r="13" ht="18" customHeight="1">
      <c r="A13" t="inlineStr">
        <is>
          <t>Acquisition ROI (FY31 val/cost)</t>
        </is>
      </c>
      <c r="B13" s="27">
        <f>B12/B9</f>
        <v/>
      </c>
      <c r="C13" s="27">
        <f>C12/C9</f>
        <v/>
      </c>
      <c r="D13" s="27">
        <f>D12/D9</f>
        <v/>
      </c>
      <c r="E13" s="27" t="inlineStr">
        <is>
          <t>n/a</t>
        </is>
      </c>
      <c r="F13" s="11" t="inlineStr">
        <is>
          <t>Illustrative; not a guarantee</t>
        </is>
      </c>
    </row>
    <row r="14">
      <c r="A14" s="14" t="inlineStr">
        <is>
          <t>EARN-OUT DILUTION ANALYSIS</t>
        </is>
      </c>
    </row>
    <row r="15" ht="18" customHeight="1">
      <c r="A15" t="inlineStr">
        <is>
          <t>Earn-out ii: Exos stock (low)</t>
        </is>
      </c>
      <c r="B15" s="21">
        <f>Assumptions!B28</f>
        <v/>
      </c>
      <c r="C15" s="21" t="inlineStr"/>
      <c r="D15" s="21" t="inlineStr"/>
      <c r="E15" s="21" t="inlineStr"/>
      <c r="F15" s="11" t="inlineStr">
        <is>
          <t>% of FD shares issued for earn-out</t>
        </is>
      </c>
    </row>
    <row r="16" ht="18" customHeight="1">
      <c r="A16" t="inlineStr">
        <is>
          <t>Earn-out ii: Exos stock (base)</t>
        </is>
      </c>
      <c r="B16" s="21" t="inlineStr"/>
      <c r="C16" s="21">
        <f>Assumptions!B29</f>
        <v/>
      </c>
      <c r="D16" s="21" t="inlineStr"/>
      <c r="E16" s="21" t="inlineStr"/>
      <c r="F16" s="11" t="inlineStr"/>
    </row>
    <row r="17" ht="18" customHeight="1">
      <c r="A17" t="inlineStr">
        <is>
          <t>Earn-out ii: Exos stock (high)</t>
        </is>
      </c>
      <c r="B17" s="21" t="inlineStr"/>
      <c r="C17" s="21" t="inlineStr"/>
      <c r="D17" s="21">
        <f>Assumptions!B30</f>
        <v/>
      </c>
      <c r="E17" s="21" t="inlineStr"/>
      <c r="F17" s="11" t="inlineStr"/>
    </row>
    <row r="18" ht="18" customHeight="1">
      <c r="A18" t="inlineStr">
        <is>
          <t>Earn-out stock dilution</t>
        </is>
      </c>
      <c r="B18" s="37">
        <f>B15</f>
        <v/>
      </c>
      <c r="C18" s="37">
        <f>C16</f>
        <v/>
      </c>
      <c r="D18" s="37">
        <f>D17</f>
        <v/>
      </c>
      <c r="E18" s="37" t="inlineStr">
        <is>
          <t>n/a</t>
        </is>
      </c>
      <c r="F18" s="11" t="inlineStr">
        <is>
          <t>Non-material; well within Series A dilution</t>
        </is>
      </c>
    </row>
    <row r="19">
      <c r="A19" s="14" t="inlineStr">
        <is>
          <t>CASH DEPLOYMENT SUMMARY</t>
        </is>
      </c>
    </row>
    <row r="20" ht="18" customHeight="1">
      <c r="A20" t="inlineStr">
        <is>
          <t>FY27 net cash deployment</t>
        </is>
      </c>
      <c r="B20" s="21">
        <f>Assumptions!B10+Assumptions!B16</f>
        <v/>
      </c>
      <c r="C20" s="21">
        <f>Assumptions!B10+Assumptions!B16</f>
        <v/>
      </c>
      <c r="D20" s="21">
        <f>Assumptions!B10+Assumptions!B16</f>
        <v/>
      </c>
      <c r="E20" s="21" t="inlineStr">
        <is>
          <t>n/a</t>
        </is>
      </c>
      <c r="F20" s="11" t="inlineStr">
        <is>
          <t>Acquisition + WC bridge; from Series A</t>
        </is>
      </c>
    </row>
    <row r="21" ht="18" customHeight="1">
      <c r="A21" t="inlineStr">
        <is>
          <t>Series A first close</t>
        </is>
      </c>
      <c r="B21" s="21">
        <f>Assumptions!B17</f>
        <v/>
      </c>
      <c r="C21" s="21">
        <f>Assumptions!B17</f>
        <v/>
      </c>
      <c r="D21" s="21">
        <f>Assumptions!B17</f>
        <v/>
      </c>
      <c r="E21" s="21" t="inlineStr">
        <is>
          <t>n/a</t>
        </is>
      </c>
      <c r="F21" s="11" t="inlineStr">
        <is>
          <t>$10M; well covers acquisition+bridge</t>
        </is>
      </c>
    </row>
    <row r="22" ht="18" customHeight="1">
      <c r="A22" t="inlineStr">
        <is>
          <t>Remaining for Exos ops post-acq</t>
        </is>
      </c>
      <c r="B22" s="21">
        <f>B21-B20</f>
        <v/>
      </c>
      <c r="C22" s="21">
        <f>C21-C20</f>
        <v/>
      </c>
      <c r="D22" s="21">
        <f>D21-D20</f>
        <v/>
      </c>
      <c r="E22" s="21" t="inlineStr">
        <is>
          <t>n/a</t>
        </is>
      </c>
      <c r="F22" s="11" t="inlineStr">
        <is>
          <t>Available for BLK3, R&amp;D, G&amp;A after SSLC</t>
        </is>
      </c>
    </row>
  </sheetData>
  <mergeCells count="3">
    <mergeCell ref="A19:F19"/>
    <mergeCell ref="A14:F14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30" customWidth="1" min="3" max="3"/>
  </cols>
  <sheetData>
    <row r="1" ht="22" customHeight="1">
      <c r="A1" s="36" t="inlineStr">
        <is>
          <t>SSLC Option B — Funding Structure &amp; Risks</t>
        </is>
      </c>
    </row>
    <row r="3" ht="28" customHeight="1">
      <c r="A3" s="9" t="inlineStr">
        <is>
          <t>FUNDING OVERVIEW</t>
        </is>
      </c>
    </row>
    <row r="4" ht="28" customHeight="1">
      <c r="A4" s="5" t="inlineStr">
        <is>
          <t>Acquisition is funded from Exos-only post-RTO proceeds</t>
        </is>
      </c>
      <c r="B4" t="inlineStr">
        <is>
          <t>Investor requirement</t>
        </is>
      </c>
      <c r="C4" s="7" t="inlineStr">
        <is>
          <t>SSLC stays OUT of RTO perimeter (Jon 10/2 remarks to SSLC board)</t>
        </is>
      </c>
    </row>
    <row r="5" ht="28" customHeight="1">
      <c r="A5" s="5" t="inlineStr">
        <is>
          <t>Series A first close ($)</t>
        </is>
      </c>
      <c r="B5" s="8">
        <f>Assumptions!B17</f>
        <v/>
      </c>
      <c r="C5" s="7" t="inlineStr">
        <is>
          <t>D1 of record; $10M</t>
        </is>
      </c>
    </row>
    <row r="6" ht="28" customHeight="1">
      <c r="A6" s="5" t="inlineStr">
        <is>
          <t xml:space="preserve">  Allocated to SSLC acquisition</t>
        </is>
      </c>
      <c r="B6" s="8">
        <f>Assumptions!B10</f>
        <v/>
      </c>
      <c r="C6" s="7" t="inlineStr">
        <is>
          <t>Cash deal price</t>
        </is>
      </c>
    </row>
    <row r="7" ht="28" customHeight="1">
      <c r="A7" s="5" t="inlineStr">
        <is>
          <t xml:space="preserve">  Allocated to SSLC WC bridge</t>
        </is>
      </c>
      <c r="B7" s="8">
        <f>Assumptions!B16</f>
        <v/>
      </c>
      <c r="C7" s="7" t="inlineStr">
        <is>
          <t>$0.3–0.7M; mid=$500K</t>
        </is>
      </c>
    </row>
    <row r="8" ht="28" customHeight="1">
      <c r="A8" s="5" t="inlineStr">
        <is>
          <t xml:space="preserve">  Remaining for Exos operations</t>
        </is>
      </c>
      <c r="B8" s="8">
        <f>B5-B6-B7</f>
        <v/>
      </c>
      <c r="C8" s="7" t="inlineStr"/>
    </row>
    <row r="9" ht="28" customHeight="1">
      <c r="A9" s="5" t="inlineStr">
        <is>
          <t>Pre-RTO convertible note ($)</t>
        </is>
      </c>
      <c r="B9" s="8">
        <f>Assumptions!B20</f>
        <v/>
      </c>
      <c r="C9" s="7" t="inlineStr">
        <is>
          <t>FNEX/Ainigma; primary Exos development capital</t>
        </is>
      </c>
    </row>
    <row r="10" ht="28" customHeight="1">
      <c r="A10" s="5" t="inlineStr">
        <is>
          <t>TOTAL FINANCING AT CLOSE</t>
        </is>
      </c>
      <c r="B10" s="8">
        <f>B5</f>
        <v/>
      </c>
      <c r="C10" s="7" t="inlineStr">
        <is>
          <t>Series A covers acquisition + WC bridge</t>
        </is>
      </c>
    </row>
    <row r="12" ht="28" customHeight="1">
      <c r="A12" s="13" t="inlineStr">
        <is>
          <t>§3 FINANCING TRIGGER GAP (CRITICAL RISK)</t>
        </is>
      </c>
    </row>
    <row r="13" ht="28" customHeight="1">
      <c r="A13" s="5" t="inlineStr">
        <is>
          <t>FNEX/Ainigma role</t>
        </is>
      </c>
      <c r="B13" t="inlineStr">
        <is>
          <t>Advisor / broker-dealer</t>
        </is>
      </c>
      <c r="C13" s="7" t="inlineStr">
        <is>
          <t>FNEX is NOT itself the 'investor or lender' under §3</t>
        </is>
      </c>
    </row>
    <row r="14" ht="28" customHeight="1">
      <c r="A14" s="5" t="inlineStr">
        <is>
          <t>Risk: SSLC counsel (Danny) challenges trigger</t>
        </is>
      </c>
      <c r="B14" s="38" t="inlineStr">
        <is>
          <t>HIGH</t>
        </is>
      </c>
      <c r="C14" s="7" t="inlineStr">
        <is>
          <t>§3 requires 'investor or lender capable of financing'; advisory mandate may not qualify</t>
        </is>
      </c>
    </row>
    <row r="15" ht="28" customHeight="1">
      <c r="A15" s="5" t="inlineStr">
        <is>
          <t>Mitigation required</t>
        </is>
      </c>
      <c r="B15" t="inlineStr">
        <is>
          <t>Attach FNEX countersigned agreement + investor/sponsor use-of-proceeds letter naming SSLC asset purchase</t>
        </is>
      </c>
      <c r="C15" s="7" t="inlineStr">
        <is>
          <t>[Confirm FNEX agreement countersigned per D-7281974 10/6]</t>
        </is>
      </c>
    </row>
    <row r="16" ht="28" customHeight="1">
      <c r="A16" s="5" t="inlineStr">
        <is>
          <t>§3 extension right</t>
        </is>
      </c>
      <c r="B16" t="inlineStr">
        <is>
          <t>SSLC shall not unreasonably withhold</t>
        </is>
      </c>
      <c r="C16" s="7" t="inlineStr">
        <is>
          <t>90-day window from exclusivity grant; request extension proactively while good-faith progress shown</t>
        </is>
      </c>
    </row>
    <row r="17" ht="28" customHeight="1">
      <c r="A17" s="5" t="inlineStr">
        <is>
          <t>Timing: 90-day exclusivity ends</t>
        </is>
      </c>
      <c r="B17" t="inlineStr">
        <is>
          <t>~Jan 6, 2027</t>
        </is>
      </c>
      <c r="C17" s="7" t="inlineStr">
        <is>
          <t>From ~Oct 8 grant; RTO is 4-5 months; need extension</t>
        </is>
      </c>
    </row>
    <row r="19" ht="28" customHeight="1">
      <c r="A19" s="13" t="inlineStr">
        <is>
          <t>RELATED-PARTY DISCLOSURES</t>
        </is>
      </c>
    </row>
    <row r="20" ht="28" customHeight="1">
      <c r="A20" s="5" t="inlineStr">
        <is>
          <t>Jon sits on BOTH boards</t>
        </is>
      </c>
      <c r="B20" t="inlineStr">
        <is>
          <t>Conflict of interest</t>
        </is>
      </c>
      <c r="C20" s="7" t="inlineStr">
        <is>
          <t>Jon must RECUSE from SSLC vote; send as Exos CEO only</t>
        </is>
      </c>
    </row>
    <row r="21" ht="28" customHeight="1">
      <c r="A21" s="5" t="inlineStr">
        <is>
          <t>Fairness opinion</t>
        </is>
      </c>
      <c r="B21" t="inlineStr">
        <is>
          <t>Required (Eqvista engaged)</t>
        </is>
      </c>
      <c r="C21" s="7" t="inlineStr">
        <is>
          <t>Eqvista engaged for 409A + fairness opinion per D1-D4 of record</t>
        </is>
      </c>
    </row>
    <row r="22" ht="28" customHeight="1">
      <c r="A22" s="5" t="inlineStr">
        <is>
          <t>Disinterested director approval</t>
        </is>
      </c>
      <c r="B22" t="inlineStr">
        <is>
          <t>Required (SSLC side)</t>
        </is>
      </c>
      <c r="C22" s="7" t="inlineStr">
        <is>
          <t>Markus Rufer and Bob as disinterested directors approve; Jon abstains</t>
        </is>
      </c>
    </row>
    <row r="23" ht="28" customHeight="1">
      <c r="A23" s="5" t="inlineStr">
        <is>
          <t>Legal review</t>
        </is>
      </c>
      <c r="B23" t="inlineStr">
        <is>
          <t>Deferred (Jon 10/7)</t>
        </is>
      </c>
      <c r="C23" s="7" t="inlineStr">
        <is>
          <t>Negotiation stage; no legal review until Jon calls it</t>
        </is>
      </c>
    </row>
    <row r="25" ht="28" customHeight="1">
      <c r="A25" s="13" t="inlineStr">
        <is>
          <t>HE-TANK DISPUTE RISK</t>
        </is>
      </c>
    </row>
    <row r="26" ht="28" customHeight="1">
      <c r="A26" s="5" t="inlineStr">
        <is>
          <t>Rev3 tank leaks at boss post-Hysol</t>
        </is>
      </c>
      <c r="B26" t="inlineStr">
        <is>
          <t>RISK</t>
        </is>
      </c>
      <c r="C26" s="7" t="inlineStr">
        <is>
          <t>10/1 hydro fail; Morey questions as flight article. Plan B: qualified COPV ≤$250K (MC #3056, D-7281994)</t>
        </is>
      </c>
    </row>
    <row r="27" ht="28" customHeight="1">
      <c r="A27" s="5" t="inlineStr">
        <is>
          <t>Impact on acquisition</t>
        </is>
      </c>
      <c r="B27" t="inlineStr">
        <is>
          <t>SSLC demonstrably can't deliver BLK3 flight article</t>
        </is>
      </c>
      <c r="C27" s="7" t="inlineStr">
        <is>
          <t>Customer-hat PO default (due 9/24/2025) kept in reserve; resolves post-acquisition</t>
        </is>
      </c>
    </row>
    <row r="29" ht="28" customHeight="1">
      <c r="A29" s="13" t="inlineStr">
        <is>
          <t>SSLC CASH RISK</t>
        </is>
      </c>
    </row>
    <row r="30" ht="28" customHeight="1">
      <c r="A30" s="5" t="inlineStr">
        <is>
          <t>SSLC cash at close (est.)</t>
        </is>
      </c>
      <c r="B30" s="8">
        <f>Assumptions!B42+Assumptions!B41-Assumptions!B16</f>
        <v/>
      </c>
      <c r="C30" s="7" t="inlineStr">
        <is>
          <t>FY27 Q1 cash + billed-ahead minus WC need</t>
        </is>
      </c>
    </row>
    <row r="31" ht="28" customHeight="1">
      <c r="A31" s="5" t="inlineStr">
        <is>
          <t>Risk: SSLC runs out of cash before close</t>
        </is>
      </c>
      <c r="B31" s="39" t="inlineStr">
        <is>
          <t>MEDIUM</t>
        </is>
      </c>
      <c r="C31" s="7" t="inlineStr">
        <is>
          <t>Cash $198K + collections on $984K prepaid; needs $0.3-0.7M to finish work</t>
        </is>
      </c>
    </row>
    <row r="32" ht="28" customHeight="1">
      <c r="A32" s="5" t="inlineStr">
        <is>
          <t>Mitigation: Option C pre-cliff bridge</t>
        </is>
      </c>
      <c r="B32" t="inlineStr">
        <is>
          <t>Secured prepaid BLK3 tank PO $300-700K</t>
        </is>
      </c>
      <c r="C32" s="7" t="inlineStr">
        <is>
          <t>Use only disclosed SSLC numbers; Option C held for follow-up</t>
        </is>
      </c>
    </row>
    <row r="34" ht="28" customHeight="1">
      <c r="A34" s="13" t="inlineStr">
        <is>
          <t>DATA NOT VERIFIED IN SSLC QB (CRITICAL GAPS)</t>
        </is>
      </c>
    </row>
    <row r="35" ht="28" customHeight="1">
      <c r="A35" s="5" t="inlineStr">
        <is>
          <t>SSLC total liabilities / AP</t>
        </is>
      </c>
      <c r="B35" t="inlineStr">
        <is>
          <t>~$500K est. — TO VERIFY IN SSLC QB</t>
        </is>
      </c>
      <c r="C35" s="7" t="inlineStr">
        <is>
          <t>QB session expired 10/7; cannot confirm Microcosm/Wertz note amounts. Must verify before signing.</t>
        </is>
      </c>
    </row>
    <row r="36" ht="28" customHeight="1">
      <c r="A36" s="5" t="inlineStr">
        <is>
          <t>SSLC total debt assumed at face</t>
        </is>
      </c>
      <c r="B36" t="inlineStr">
        <is>
          <t>TO VERIFY IN SSLC QB</t>
        </is>
      </c>
      <c r="C36" s="7" t="inlineStr">
        <is>
          <t>Critical for Bob/Jim: personal path to yes depends on debt payoff amount</t>
        </is>
      </c>
    </row>
    <row r="37" ht="28" customHeight="1">
      <c r="A37" s="5" t="inlineStr">
        <is>
          <t>Exos loan to SSLC status in QB</t>
        </is>
      </c>
      <c r="B37" t="inlineStr">
        <is>
          <t>~$38K — cancelled per Jon 10/2</t>
        </is>
      </c>
      <c r="C37" s="7" t="inlineStr">
        <is>
          <t>Verify cancellation documented in QB</t>
        </is>
      </c>
    </row>
  </sheetData>
  <mergeCells count="7">
    <mergeCell ref="A25:C25"/>
    <mergeCell ref="A19:C19"/>
    <mergeCell ref="A1:C1"/>
    <mergeCell ref="A3:C3"/>
    <mergeCell ref="A34:C34"/>
    <mergeCell ref="A12:C12"/>
    <mergeCell ref="A29:C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2026-10-07T17:41:54Z</dcterms:created>
  <dcterms:modified xmlns:dcterms="http://purl.org/dc/terms/" xmlns:xsi="http://www.w3.org/2001/XMLSchema-instance" xsi:type="dcterms:W3CDTF">2026-10-07T17:41:54Z</dcterms:modified>
</cp:coreProperties>
</file>