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 Payout 2027-0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-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SSLC investor payout projection: close Jan 15, 2027 (DRAFT, negotiating terms; projection, not a guarantee)</t>
        </is>
      </c>
    </row>
    <row r="2">
      <c r="A2" t="inlineStr">
        <is>
          <t>Line</t>
        </is>
      </c>
      <c r="B2" t="inlineStr">
        <is>
          <t>Low</t>
        </is>
      </c>
      <c r="C2" t="inlineStr">
        <is>
          <t>Base</t>
        </is>
      </c>
      <c r="D2" t="inlineStr">
        <is>
          <t>High</t>
        </is>
      </c>
      <c r="E2" t="inlineStr">
        <is>
          <t>Source / assumption</t>
        </is>
      </c>
    </row>
    <row r="3">
      <c r="A3" t="inlineStr">
        <is>
          <t>Exos cash purchase price to SSLC</t>
        </is>
      </c>
      <c r="B3" s="2" t="n">
        <v>2510000</v>
      </c>
      <c r="C3" s="2" t="n">
        <v>2510000</v>
      </c>
      <c r="D3" s="2" t="n">
        <v>2510000</v>
      </c>
      <c r="E3" t="inlineStr">
        <is>
          <t>Offer ① cash</t>
        </is>
      </c>
    </row>
    <row r="4">
      <c r="A4" t="inlineStr">
        <is>
          <t>SSLC's own cash at close (retained, cash-free/debt-free)</t>
        </is>
      </c>
      <c r="B4" s="2" t="n">
        <v>590344</v>
      </c>
      <c r="C4" s="2" t="n">
        <v>675000</v>
      </c>
      <c r="D4" s="2" t="n">
        <v>761113</v>
      </c>
      <c r="E4" t="inlineStr">
        <is>
          <t>10/11 QB $590K → 12/31 projection $761K (Markus pace)</t>
        </is>
      </c>
    </row>
    <row r="5">
      <c r="A5" t="inlineStr">
        <is>
          <t>Less: loans &amp; notes (SSLC pays its own debt)</t>
        </is>
      </c>
      <c r="B5" s="2" t="n">
        <v>-1027783</v>
      </c>
      <c r="C5" s="2" t="n">
        <v>-1027783</v>
      </c>
      <c r="D5" s="2" t="n">
        <v>-1027783</v>
      </c>
      <c r="E5" t="inlineStr">
        <is>
          <t>10/11 QB: Microcosm 451,429; Bookstore 320,582; EIDL 132,072; Wertz 92,500; Exos 31,200</t>
        </is>
      </c>
    </row>
    <row r="6">
      <c r="A6" t="inlineStr">
        <is>
          <t>Less: accrued Exos loan interest to 1/15/27</t>
        </is>
      </c>
      <c r="B6" s="2" t="n">
        <v>-7945</v>
      </c>
      <c r="C6" s="2" t="n">
        <v>-7945</v>
      </c>
      <c r="D6" s="2" t="n">
        <v>-7945</v>
      </c>
      <c r="E6" t="inlineStr">
        <is>
          <t>11% on $31,200; ~$6,958 at 10/2 + to 1/15</t>
        </is>
      </c>
    </row>
    <row r="7">
      <c r="A7" t="inlineStr">
        <is>
          <t>Less: other current liabilities (AP, cards, accrued vacation, payroll)</t>
        </is>
      </c>
      <c r="B7" s="2" t="n">
        <v>-148738</v>
      </c>
      <c r="C7" s="2" t="n">
        <v>-148738</v>
      </c>
      <c r="D7" s="2" t="n">
        <v>-148738</v>
      </c>
      <c r="E7" t="inlineStr">
        <is>
          <t>10/11 QB current liabilities $268,738 less $120K deposits</t>
        </is>
      </c>
    </row>
    <row r="8">
      <c r="A8" t="inlineStr">
        <is>
          <t>Less: customer deposits transferred with IM contracts</t>
        </is>
      </c>
      <c r="B8" s="2" t="n">
        <v>-120000</v>
      </c>
      <c r="C8" s="2" t="n">
        <v>-120000</v>
      </c>
      <c r="D8" s="2" t="n">
        <v>-120000</v>
      </c>
      <c r="E8" t="inlineStr">
        <is>
          <t>Acct 2380; buyer assumes performance</t>
        </is>
      </c>
    </row>
    <row r="9">
      <c r="A9" t="inlineStr">
        <is>
          <t>Less: genuinely billed-ahead work transferred to Exos</t>
        </is>
      </c>
      <c r="B9" s="2" t="n">
        <v>-390000</v>
      </c>
      <c r="C9" s="2" t="n">
        <v>-250000</v>
      </c>
      <c r="D9" s="2" t="n">
        <v>-100000</v>
      </c>
      <c r="E9" t="inlineStr">
        <is>
          <t>Exos assessment: $942K overstated; true $100K–$390K</t>
        </is>
      </c>
    </row>
    <row r="10">
      <c r="A10" t="inlineStr">
        <is>
          <t>Less: 5% escrow holdback (released at 12 months)</t>
        </is>
      </c>
      <c r="B10" s="2">
        <f>-0.05*B3</f>
        <v/>
      </c>
      <c r="C10" s="2">
        <f>-0.05*C3</f>
        <v/>
      </c>
      <c r="D10" s="2">
        <f>-0.05*D3</f>
        <v/>
      </c>
      <c r="E10" t="inlineStr">
        <is>
          <t>AAA §7; 5% of cash price</t>
        </is>
      </c>
    </row>
    <row r="11">
      <c r="A11" s="1" t="inlineStr">
        <is>
          <t>NET CASH DISTRIBUTABLE AT CLOSE</t>
        </is>
      </c>
      <c r="B11" s="3">
        <f>SUM(B3:B10)</f>
        <v/>
      </c>
      <c r="C11" s="3">
        <f>SUM(C3:C10)</f>
        <v/>
      </c>
      <c r="D11" s="3">
        <f>SUM(D3:D10)</f>
        <v/>
      </c>
      <c r="E11" t="inlineStr">
        <is>
          <t>To SSLC shareholders</t>
        </is>
      </c>
    </row>
    <row r="12">
      <c r="A12" t="inlineStr">
        <is>
          <t xml:space="preserve">  If Exos's 18.06% share is credited/forgone (via $790K stake credit): to other holders</t>
        </is>
      </c>
      <c r="B12" s="2">
        <f>B11</f>
        <v/>
      </c>
      <c r="C12" s="2">
        <f>C11</f>
        <v/>
      </c>
      <c r="D12" s="2">
        <f>D11</f>
        <v/>
      </c>
      <c r="E12" t="inlineStr">
        <is>
          <t>Structure A</t>
        </is>
      </c>
    </row>
    <row r="13">
      <c r="A13" t="inlineStr">
        <is>
          <t xml:space="preserve">  If distributed pro rata: other holders (81.94%)</t>
        </is>
      </c>
      <c r="B13" s="2">
        <f>B11*0.8194</f>
        <v/>
      </c>
      <c r="C13" s="2">
        <f>C11*0.8194</f>
        <v/>
      </c>
      <c r="D13" s="2">
        <f>D11*0.8194</f>
        <v/>
      </c>
      <c r="E13" t="inlineStr">
        <is>
          <t>Structure B</t>
        </is>
      </c>
    </row>
    <row r="14">
      <c r="A14" t="inlineStr">
        <is>
          <t>Plus: Exos stock (EAI units, Rule 504), at 409A</t>
        </is>
      </c>
      <c r="B14" s="2" t="n">
        <v>1000000</v>
      </c>
      <c r="C14" s="2" t="n">
        <v>1000000</v>
      </c>
      <c r="D14" s="2" t="n">
        <v>1000000</v>
      </c>
      <c r="E14" t="inlineStr">
        <is>
          <t>At financing close; freely tradeable at RTO listing</t>
        </is>
      </c>
    </row>
    <row r="15">
      <c r="A15" t="inlineStr">
        <is>
          <t>Plus: escrow release at 12 months</t>
        </is>
      </c>
      <c r="B15" s="2">
        <f>-B10</f>
        <v/>
      </c>
      <c r="C15" s="2">
        <f>-C10</f>
        <v/>
      </c>
      <c r="D15" s="2">
        <f>-D10</f>
        <v/>
      </c>
      <c r="E15" t="inlineStr">
        <is>
          <t>Barring claims</t>
        </is>
      </c>
    </row>
    <row r="16">
      <c r="A16" t="inlineStr">
        <is>
          <t>Plus: earn-outs FY27–FY31</t>
        </is>
      </c>
      <c r="B16" s="2" t="n">
        <v>950000</v>
      </c>
      <c r="C16" s="2" t="n">
        <v>2525000</v>
      </c>
      <c r="D16" s="2" t="n">
        <v>4100000</v>
      </c>
      <c r="E16" t="inlineStr">
        <is>
          <t>Tank 5% (cap $300K/yr) + milestones + stock earn-out</t>
        </is>
      </c>
    </row>
    <row r="17">
      <c r="A17" s="1" t="inlineStr">
        <is>
          <t>TOTAL TO SSLC HOLDERS OVER 5 YRS (Structure A)</t>
        </is>
      </c>
      <c r="B17" s="3">
        <f>B12+B14+B15+B16</f>
        <v/>
      </c>
      <c r="C17" s="3">
        <f>C12+C14+C15+C16</f>
        <v/>
      </c>
      <c r="D17" s="3">
        <f>D12+D14+D15+D16</f>
        <v/>
      </c>
      <c r="E17" t="inlineStr">
        <is>
          <t>Cash + stock + escrow + earn-outs</t>
        </is>
      </c>
    </row>
    <row r="19">
      <c r="A19" t="inlineStr">
        <is>
          <t>Upside not included: Microcosm facility-cost offset vs the $451K owed to Microcosm (~$805K facility costs since Jan 2024, none charged back). Any offset reduces debt and raises the distribution.</t>
        </is>
      </c>
    </row>
    <row r="20">
      <c r="A20" t="inlineStr">
        <is>
          <t>Risk not included: if the 6/30/2026 true-ups ($515K) are unsupported, FY26 revenue is overstated; the EXOS-133 $171K accrual is a claim against Exos.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2026-10-12T03:16:21Z</dcterms:created>
  <dcterms:modified xmlns:dcterms="http://purl.org/dc/terms/" xmlns:xsi="http://www.w3.org/2001/XMLSchema-instance" xsi:type="dcterms:W3CDTF">2026-10-12T03:16:21Z</dcterms:modified>
</cp:coreProperties>
</file>