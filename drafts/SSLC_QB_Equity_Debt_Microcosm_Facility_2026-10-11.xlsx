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" sheetId="2" state="visible" r:id="rId2"/>
    <sheet xmlns:r="http://schemas.openxmlformats.org/officeDocument/2006/relationships" name="Debt" sheetId="3" state="visible" r:id="rId3"/>
    <sheet xmlns:r="http://schemas.openxmlformats.org/officeDocument/2006/relationships" name="Facility Costs" sheetId="4" state="visible" r:id="rId4"/>
    <sheet xmlns:r="http://schemas.openxmlformats.org/officeDocument/2006/relationships" name="Microcosm Offset" sheetId="5" state="visible" r:id="rId5"/>
    <sheet xmlns:r="http://schemas.openxmlformats.org/officeDocument/2006/relationships" name="Findings" sheetId="6" state="visible" r:id="rId6"/>
    <sheet xmlns:r="http://schemas.openxmlformats.org/officeDocument/2006/relationships" name="IM tank reconciliation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b val="1"/>
      <color rgb="00FFFFFF"/>
      <sz val="11"/>
    </font>
    <font>
      <i val="1"/>
      <color rgb="00555555"/>
      <sz val="9"/>
    </font>
    <font>
      <b val="1"/>
      <color rgb="00CC0000"/>
      <sz val="10"/>
    </font>
    <font>
      <b val="1"/>
      <sz val="10"/>
    </font>
    <font>
      <sz val="10"/>
    </font>
    <font>
      <b val="1"/>
      <i val="1"/>
      <color rgb="007B3A00"/>
      <sz val="9"/>
    </font>
    <font>
      <b val="1"/>
      <sz val="12"/>
    </font>
    <font>
      <b val="1"/>
    </font>
    <font>
      <b val="1"/>
      <color rgb="00FFFFFF"/>
      <sz val="12"/>
    </font>
    <font>
      <i val="1"/>
      <sz val="10"/>
    </font>
    <font>
      <i val="1"/>
      <sz val="9"/>
    </font>
    <font>
      <b val="1"/>
      <color rgb="00FFFFFF"/>
      <sz val="10"/>
    </font>
    <font>
      <b val="1"/>
      <sz val="9"/>
    </font>
    <font>
      <b val="1"/>
      <sz val="13"/>
    </font>
    <font>
      <b val="1"/>
      <color rgb="00FFFFFF"/>
      <sz val="13"/>
    </font>
    <font>
      <sz val="11"/>
    </font>
    <font>
      <b val="1"/>
      <sz val="11"/>
    </font>
    <font>
      <i val="1"/>
    </font>
    <font>
      <b val="1"/>
      <color rgb="001F497D"/>
    </font>
    <font>
      <b val="1"/>
      <color rgb="00CC0000"/>
    </font>
  </fonts>
  <fills count="20">
    <fill>
      <patternFill/>
    </fill>
    <fill>
      <patternFill patternType="gray125"/>
    </fill>
    <fill>
      <patternFill patternType="solid">
        <fgColor rgb="002E5090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9F0DC"/>
      </patternFill>
    </fill>
    <fill>
      <patternFill patternType="solid">
        <fgColor rgb="00FFDCE1"/>
      </patternFill>
    </fill>
    <fill>
      <patternFill patternType="solid">
        <fgColor rgb="001F4E79"/>
      </patternFill>
    </fill>
    <fill>
      <patternFill patternType="solid">
        <fgColor rgb="00BDD7EE"/>
      </patternFill>
    </fill>
    <fill>
      <patternFill patternType="solid">
        <fgColor rgb="002E75B6"/>
      </patternFill>
    </fill>
    <fill>
      <patternFill patternType="solid">
        <fgColor rgb="00D6E4F0"/>
      </patternFill>
    </fill>
    <fill>
      <patternFill patternType="solid">
        <fgColor rgb="0070AD47"/>
      </patternFill>
    </fill>
    <fill>
      <patternFill patternType="solid">
        <fgColor rgb="00FF6B6B"/>
      </patternFill>
    </fill>
    <fill>
      <patternFill patternType="solid">
        <fgColor rgb="00FFD966"/>
      </patternFill>
    </fill>
    <fill>
      <patternFill patternType="solid">
        <fgColor rgb="00FFC7CE"/>
      </patternFill>
    </fill>
    <fill>
      <patternFill patternType="solid">
        <fgColor rgb="00FFFF00"/>
      </patternFill>
    </fill>
    <fill>
      <patternFill patternType="solid">
        <fgColor rgb="00EBF3FB"/>
      </patternFill>
    </fill>
    <fill>
      <patternFill patternType="solid">
        <fgColor rgb="00E2EFDA"/>
      </patternFill>
    </fill>
    <fill>
      <patternFill patternType="solid">
        <fgColor rgb="00FFF9C4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  <border>
      <left/>
      <right/>
      <top style="thin">
        <color rgb="00BBBBBB"/>
      </top>
      <bottom/>
      <diagonal/>
    </border>
    <border>
      <left/>
      <right style="thin">
        <color rgb="00BBBBBB"/>
      </right>
      <top style="thin">
        <color rgb="00BBBBBB"/>
      </top>
      <bottom/>
      <diagonal/>
    </border>
    <border>
      <left/>
      <right/>
      <top style="thin">
        <color rgb="00BBBBBB"/>
      </top>
      <bottom style="thin">
        <color rgb="00BBBBBB"/>
      </bottom>
      <diagonal/>
    </border>
    <border>
      <left/>
      <right style="thin">
        <color rgb="00BBBBBB"/>
      </right>
      <top style="thin">
        <color rgb="00BBBBBB"/>
      </top>
      <bottom style="thin">
        <color rgb="00BBBBBB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1" fillId="3" borderId="1" applyAlignment="1" pivotButton="0" quotePrefix="0" xfId="0">
      <alignment horizontal="center" wrapText="1"/>
    </xf>
    <xf numFmtId="0" fontId="1" fillId="2" borderId="1" pivotButton="0" quotePrefix="0" xfId="0"/>
    <xf numFmtId="0" fontId="0" fillId="0" borderId="1" pivotButton="0" quotePrefix="0" xfId="0"/>
    <xf numFmtId="0" fontId="4" fillId="0" borderId="1" applyAlignment="1" pivotButton="0" quotePrefix="0" xfId="0">
      <alignment wrapText="1"/>
    </xf>
    <xf numFmtId="4" fontId="4" fillId="0" borderId="1" pivotButton="0" quotePrefix="0" xfId="0"/>
    <xf numFmtId="0" fontId="2" fillId="0" borderId="1" applyAlignment="1" pivotButton="0" quotePrefix="0" xfId="0">
      <alignment wrapText="1"/>
    </xf>
    <xf numFmtId="0" fontId="5" fillId="0" borderId="1" applyAlignment="1" pivotButton="0" quotePrefix="0" xfId="0">
      <alignment wrapText="1"/>
    </xf>
    <xf numFmtId="4" fontId="5" fillId="0" borderId="1" pivotButton="0" quotePrefix="0" xfId="0"/>
    <xf numFmtId="0" fontId="6" fillId="4" borderId="1" applyAlignment="1" pivotButton="0" quotePrefix="0" xfId="0">
      <alignment wrapText="1"/>
    </xf>
    <xf numFmtId="0" fontId="4" fillId="5" borderId="1" applyAlignment="1" pivotButton="0" quotePrefix="0" xfId="0">
      <alignment wrapText="1"/>
    </xf>
    <xf numFmtId="4" fontId="4" fillId="5" borderId="1" pivotButton="0" quotePrefix="0" xfId="0"/>
    <xf numFmtId="0" fontId="2" fillId="5" borderId="1" applyAlignment="1" pivotButton="0" quotePrefix="0" xfId="0">
      <alignment wrapText="1"/>
    </xf>
    <xf numFmtId="0" fontId="4" fillId="6" borderId="1" applyAlignment="1" pivotButton="0" quotePrefix="0" xfId="0">
      <alignment wrapText="1"/>
    </xf>
    <xf numFmtId="4" fontId="4" fillId="6" borderId="1" pivotButton="0" quotePrefix="0" xfId="0"/>
    <xf numFmtId="0" fontId="2" fillId="6" borderId="1" applyAlignment="1" pivotButton="0" quotePrefix="0" xfId="0">
      <alignment wrapText="1"/>
    </xf>
    <xf numFmtId="164" fontId="5" fillId="0" borderId="1" pivotButton="0" quotePrefix="0" xfId="0"/>
    <xf numFmtId="164" fontId="4" fillId="5" borderId="1" pivotButton="0" quotePrefix="0" xfId="0"/>
    <xf numFmtId="0" fontId="5" fillId="5" borderId="1" applyAlignment="1" pivotButton="0" quotePrefix="0" xfId="0">
      <alignment wrapText="1"/>
    </xf>
    <xf numFmtId="0" fontId="5" fillId="4" borderId="1" applyAlignment="1" pivotButton="0" quotePrefix="0" xfId="0">
      <alignment wrapText="1"/>
    </xf>
    <xf numFmtId="4" fontId="6" fillId="4" borderId="1" pivotButton="0" quotePrefix="0" xfId="0"/>
    <xf numFmtId="0" fontId="2" fillId="4" borderId="1" applyAlignment="1" pivotButton="0" quotePrefix="0" xfId="0">
      <alignment wrapText="1"/>
    </xf>
    <xf numFmtId="164" fontId="6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8" fillId="0" borderId="0" pivotButton="0" quotePrefix="0" xfId="0"/>
    <xf numFmtId="0" fontId="15" fillId="7" borderId="0" applyAlignment="1" pivotButton="0" quotePrefix="0" xfId="0">
      <alignment horizontal="center"/>
    </xf>
    <xf numFmtId="0" fontId="4" fillId="15" borderId="0" applyAlignment="1" pivotButton="0" quotePrefix="0" xfId="0">
      <alignment wrapText="1"/>
    </xf>
    <xf numFmtId="0" fontId="16" fillId="0" borderId="0" applyAlignment="1" pivotButton="0" quotePrefix="0" xfId="0">
      <alignment wrapText="1"/>
    </xf>
    <xf numFmtId="0" fontId="1" fillId="9" borderId="0" applyAlignment="1" pivotButton="0" quotePrefix="0" xfId="0">
      <alignment wrapText="1"/>
    </xf>
    <xf numFmtId="0" fontId="16" fillId="16" borderId="0" applyAlignment="1" pivotButton="0" quotePrefix="0" xfId="0">
      <alignment wrapText="1"/>
    </xf>
    <xf numFmtId="0" fontId="16" fillId="17" borderId="0" applyAlignment="1" pivotButton="0" quotePrefix="0" xfId="0">
      <alignment wrapText="1"/>
    </xf>
    <xf numFmtId="0" fontId="17" fillId="12" borderId="0" applyAlignment="1" pivotButton="0" quotePrefix="0" xfId="0">
      <alignment wrapText="1"/>
    </xf>
    <xf numFmtId="0" fontId="16" fillId="14" borderId="0" applyAlignment="1" pivotButton="0" quotePrefix="0" xfId="0">
      <alignment wrapText="1"/>
    </xf>
    <xf numFmtId="0" fontId="16" fillId="13" borderId="0" applyAlignment="1" pivotButton="0" quotePrefix="0" xfId="0">
      <alignment wrapText="1"/>
    </xf>
    <xf numFmtId="0" fontId="16" fillId="8" borderId="0" applyAlignment="1" pivotButton="0" quotePrefix="0" xfId="0">
      <alignment wrapText="1"/>
    </xf>
    <xf numFmtId="0" fontId="16" fillId="4" borderId="0" applyAlignment="1" pivotButton="0" quotePrefix="0" xfId="0">
      <alignment wrapText="1"/>
    </xf>
    <xf numFmtId="0" fontId="17" fillId="15" borderId="0" applyAlignment="1" pivotButton="0" quotePrefix="0" xfId="0">
      <alignment wrapText="1"/>
    </xf>
    <xf numFmtId="0" fontId="17" fillId="13" borderId="0" applyAlignment="1" pivotButton="0" quotePrefix="0" xfId="0">
      <alignment wrapText="1"/>
    </xf>
    <xf numFmtId="0" fontId="16" fillId="18" borderId="0" applyAlignment="1" pivotButton="0" quotePrefix="0" xfId="0">
      <alignment wrapText="1"/>
    </xf>
    <xf numFmtId="0" fontId="1" fillId="7" borderId="0" applyAlignment="1" pivotButton="0" quotePrefix="0" xfId="0">
      <alignment wrapText="1"/>
    </xf>
    <xf numFmtId="0" fontId="17" fillId="8" borderId="0" applyAlignment="1" pivotButton="0" quotePrefix="0" xfId="0">
      <alignment wrapText="1"/>
    </xf>
    <xf numFmtId="0" fontId="16" fillId="19" borderId="0" applyAlignment="1" pivotButton="0" quotePrefix="0" xfId="0">
      <alignment wrapText="1"/>
    </xf>
    <xf numFmtId="0" fontId="9" fillId="7" borderId="0" applyAlignment="1" pivotButton="0" quotePrefix="0" xfId="0">
      <alignment horizontal="center"/>
    </xf>
    <xf numFmtId="0" fontId="10" fillId="8" borderId="0" applyAlignment="1" pivotButton="0" quotePrefix="0" xfId="0">
      <alignment horizontal="center"/>
    </xf>
    <xf numFmtId="0" fontId="11" fillId="8" borderId="0" applyAlignment="1" pivotButton="0" quotePrefix="0" xfId="0">
      <alignment horizontal="center"/>
    </xf>
    <xf numFmtId="0" fontId="12" fillId="9" borderId="0" applyAlignment="1" pivotButton="0" quotePrefix="0" xfId="0">
      <alignment horizontal="center"/>
    </xf>
    <xf numFmtId="0" fontId="4" fillId="10" borderId="6" applyAlignment="1" pivotButton="0" quotePrefix="0" xfId="0">
      <alignment horizontal="center" wrapText="1"/>
    </xf>
    <xf numFmtId="0" fontId="0" fillId="0" borderId="6" applyAlignment="1" pivotButton="0" quotePrefix="0" xfId="0">
      <alignment horizontal="left" wrapText="1"/>
    </xf>
    <xf numFmtId="0" fontId="0" fillId="0" borderId="6" applyAlignment="1" pivotButton="0" quotePrefix="0" xfId="0">
      <alignment horizontal="center" wrapText="1"/>
    </xf>
    <xf numFmtId="0" fontId="8" fillId="11" borderId="6" applyAlignment="1" pivotButton="0" quotePrefix="0" xfId="0">
      <alignment horizontal="center" wrapText="1"/>
    </xf>
    <xf numFmtId="0" fontId="13" fillId="4" borderId="0" applyAlignment="1" pivotButton="0" quotePrefix="0" xfId="0">
      <alignment horizontal="center"/>
    </xf>
    <xf numFmtId="0" fontId="8" fillId="12" borderId="6" applyAlignment="1" pivotButton="0" quotePrefix="0" xfId="0">
      <alignment horizontal="center" wrapText="1"/>
    </xf>
    <xf numFmtId="0" fontId="8" fillId="13" borderId="6" applyAlignment="1" pivotButton="0" quotePrefix="0" xfId="0">
      <alignment horizontal="center" wrapText="1"/>
    </xf>
    <xf numFmtId="0" fontId="8" fillId="8" borderId="6" applyAlignment="1" pivotButton="0" quotePrefix="0" xfId="0">
      <alignment wrapText="1"/>
    </xf>
    <xf numFmtId="0" fontId="0" fillId="8" borderId="6" applyAlignment="1" pivotButton="0" quotePrefix="0" xfId="0">
      <alignment horizontal="right"/>
    </xf>
    <xf numFmtId="0" fontId="0" fillId="0" borderId="6" applyAlignment="1" pivotButton="0" quotePrefix="0" xfId="0">
      <alignment wrapText="1"/>
    </xf>
    <xf numFmtId="0" fontId="0" fillId="0" borderId="6" applyAlignment="1" pivotButton="0" quotePrefix="0" xfId="0">
      <alignment horizontal="right"/>
    </xf>
    <xf numFmtId="0" fontId="8" fillId="14" borderId="6" applyAlignment="1" pivotButton="0" quotePrefix="0" xfId="0">
      <alignment wrapText="1"/>
    </xf>
    <xf numFmtId="0" fontId="0" fillId="14" borderId="6" applyAlignment="1" pivotButton="0" quotePrefix="0" xfId="0">
      <alignment horizontal="right"/>
    </xf>
    <xf numFmtId="0" fontId="8" fillId="13" borderId="6" applyAlignment="1" pivotButton="0" quotePrefix="0" xfId="0">
      <alignment wrapText="1"/>
    </xf>
    <xf numFmtId="0" fontId="8" fillId="13" borderId="6" applyAlignment="1" pivotButton="0" quotePrefix="0" xfId="0">
      <alignment horizontal="right"/>
    </xf>
    <xf numFmtId="0" fontId="20" fillId="0" borderId="0" pivotButton="0" quotePrefix="0" xfId="0"/>
    <xf numFmtId="0" fontId="19" fillId="0" borderId="0" pivotButton="0" quotePrefix="0" xfId="0"/>
    <xf numFmtId="0" fontId="18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2"/>
    <col width="50" customWidth="1" min="3" max="3"/>
    <col width="28" customWidth="1" min="4" max="4"/>
  </cols>
  <sheetData>
    <row r="1" ht="22" customHeight="1">
      <c r="A1" s="1" t="inlineStr">
        <is>
          <t>SSLC — Equity, Debt &amp; Microcosm Facility Analysis</t>
        </is>
      </c>
    </row>
    <row r="2">
      <c r="A2" s="2" t="inlineStr">
        <is>
          <t>Prepared: 2026-10-11  |  For: John Quinn, CEO / SSLC Board</t>
        </is>
      </c>
    </row>
    <row r="3" ht="18" customHeight="1">
      <c r="A3" s="3" t="inlineStr">
        <is>
          <t>Source: QB live pull 10/11/2026 (SSLC_Balance_Sheet.xlsx + SSLC_Transaction_Detail_by_Account.xlsx).</t>
        </is>
      </c>
    </row>
    <row r="4">
      <c r="A4" s="2" t="inlineStr">
        <is>
          <t>Sources: data-room/SSLC/qb-2026-10-11/SSLC_Balance_Sheet.xlsx  ·  data-room/SSLC/qb-2026-10-11/SSLC_Transaction_Detail_by_Account.xlsx</t>
        </is>
      </c>
    </row>
    <row r="6">
      <c r="A6" s="4" t="inlineStr">
        <is>
          <t>Item</t>
        </is>
      </c>
      <c r="B6" s="4" t="inlineStr">
        <is>
          <t>Amount ($)</t>
        </is>
      </c>
      <c r="C6" s="4" t="inlineStr">
        <is>
          <t>Source</t>
        </is>
      </c>
      <c r="D6" s="4" t="inlineStr">
        <is>
          <t>Status</t>
        </is>
      </c>
    </row>
    <row r="7">
      <c r="A7" s="5" t="inlineStr">
        <is>
          <t>EQUITY</t>
        </is>
      </c>
      <c r="B7" s="26" t="n"/>
      <c r="C7" s="26" t="n"/>
      <c r="D7" s="27" t="n"/>
    </row>
    <row r="8">
      <c r="A8" s="7" t="inlineStr">
        <is>
          <t>Total Paid-in Capital (Common Stock + APIC)</t>
        </is>
      </c>
      <c r="B8" s="8" t="n">
        <v>1014465</v>
      </c>
      <c r="C8" s="9" t="inlineStr">
        <is>
          <t>QB Balance Sheet 8/21/2026</t>
        </is>
      </c>
      <c r="D8" s="9" t="inlineStr">
        <is>
          <t>CONFIRMED</t>
        </is>
      </c>
    </row>
    <row r="9">
      <c r="A9" s="10" t="inlineStr">
        <is>
          <t xml:space="preserve">  Exos Aerospace (18.06%)</t>
        </is>
      </c>
      <c r="B9" s="11" t="n">
        <v>789572</v>
      </c>
      <c r="C9" s="9" t="inlineStr">
        <is>
          <t>Asset Acquisition Agreement Oct 2023</t>
        </is>
      </c>
      <c r="D9" s="9" t="inlineStr">
        <is>
          <t>CONFIRMED</t>
        </is>
      </c>
    </row>
    <row r="10">
      <c r="A10" s="10" t="inlineStr">
        <is>
          <t xml:space="preserve">  Other investors / founders (82%, derived)</t>
        </is>
      </c>
      <c r="B10" s="11" t="n">
        <v>224893</v>
      </c>
      <c r="C10" s="9" t="inlineStr">
        <is>
          <t>Derived: $1,014,465 − $789,572</t>
        </is>
      </c>
      <c r="D10" s="12" t="inlineStr">
        <is>
          <t>[verify — no SSLC cap table on disk]</t>
        </is>
      </c>
    </row>
    <row r="11">
      <c r="A11" s="10" t="inlineStr">
        <is>
          <t>Accumulated Deficit (through FY26)</t>
        </is>
      </c>
      <c r="B11" s="11" t="n">
        <v>-2571013</v>
      </c>
      <c r="C11" s="9" t="inlineStr">
        <is>
          <t>QB Balance Sheet 10/11/2026</t>
        </is>
      </c>
      <c r="D11" s="9" t="inlineStr">
        <is>
          <t>CONFIRMED</t>
        </is>
      </c>
    </row>
    <row r="12">
      <c r="A12" s="7" t="inlineStr">
        <is>
          <t>Total Stockholders' Equity (10/11/2026)</t>
        </is>
      </c>
      <c r="B12" s="8" t="n">
        <v>-1443882</v>
      </c>
      <c r="C12" s="9" t="inlineStr">
        <is>
          <t>QB Balance Sheet 10/11/2026</t>
        </is>
      </c>
      <c r="D12" s="9" t="inlineStr">
        <is>
          <t>CONFIRMED</t>
        </is>
      </c>
    </row>
    <row r="13">
      <c r="A13" s="6" t="n"/>
      <c r="B13" s="6" t="n"/>
      <c r="C13" s="6" t="n"/>
      <c r="D13" s="6" t="n"/>
    </row>
    <row r="14">
      <c r="A14" s="5" t="inlineStr">
        <is>
          <t>DEBT (as of 10/2/2026)</t>
        </is>
      </c>
      <c r="B14" s="26" t="n"/>
      <c r="C14" s="26" t="n"/>
      <c r="D14" s="27" t="n"/>
    </row>
    <row r="15">
      <c r="A15" s="7" t="inlineStr">
        <is>
          <t>Total Loans &amp; Notes</t>
        </is>
      </c>
      <c r="B15" s="8" t="n">
        <v>1027783</v>
      </c>
      <c r="C15" s="9" t="inlineStr">
        <is>
          <t>Board Package 10/6 + QB BS</t>
        </is>
      </c>
      <c r="D15" s="9" t="inlineStr">
        <is>
          <t>CONFIRMED</t>
        </is>
      </c>
    </row>
    <row r="16">
      <c r="A16" s="10" t="inlineStr">
        <is>
          <t xml:space="preserve">  Due to Microcosm (Acct 2385)</t>
        </is>
      </c>
      <c r="B16" s="11" t="n">
        <v>451429</v>
      </c>
      <c r="C16" s="9" t="inlineStr">
        <is>
          <t>QB Acct 2385 — Insider Debt</t>
        </is>
      </c>
      <c r="D16" s="9" t="inlineStr">
        <is>
          <t>CONFIRMED</t>
        </is>
      </c>
    </row>
    <row r="17">
      <c r="A17" s="10" t="inlineStr">
        <is>
          <t xml:space="preserve">  Notes Payable – Bookstore (Acct 2700)</t>
        </is>
      </c>
      <c r="B17" s="11" t="n">
        <v>320582</v>
      </c>
      <c r="C17" s="9" t="inlineStr">
        <is>
          <t>QB Acct 2700</t>
        </is>
      </c>
      <c r="D17" s="9" t="inlineStr">
        <is>
          <t>CONFIRMED</t>
        </is>
      </c>
    </row>
    <row r="18">
      <c r="A18" s="10" t="inlineStr">
        <is>
          <t xml:space="preserve">  EIDL (SBA, Acct 2712)</t>
        </is>
      </c>
      <c r="B18" s="11" t="n">
        <v>132072</v>
      </c>
      <c r="C18" s="9" t="inlineStr">
        <is>
          <t>QB Acct 2712</t>
        </is>
      </c>
      <c r="D18" s="9" t="inlineStr">
        <is>
          <t>CONFIRMED</t>
        </is>
      </c>
    </row>
    <row r="19">
      <c r="A19" s="10" t="inlineStr">
        <is>
          <t xml:space="preserve">  Loan Payable – Wertz (Acct 2714)</t>
        </is>
      </c>
      <c r="B19" s="11" t="n">
        <v>92500</v>
      </c>
      <c r="C19" s="9" t="inlineStr">
        <is>
          <t>QB Acct 2714 — Insider Debt</t>
        </is>
      </c>
      <c r="D19" s="9" t="inlineStr">
        <is>
          <t>CONFIRMED</t>
        </is>
      </c>
    </row>
    <row r="20">
      <c r="A20" s="10" t="inlineStr">
        <is>
          <t xml:space="preserve">  Loan Payable – Exos (Acct 2720, 11% p.a.)</t>
        </is>
      </c>
      <c r="B20" s="11" t="n">
        <v>31200</v>
      </c>
      <c r="C20" s="9" t="inlineStr">
        <is>
          <t>QB Acct 2720. Loan STANDS: SSLC board denied the license, so it was not cancelled (John 10/11)</t>
        </is>
      </c>
      <c r="D20" s="9" t="inlineStr">
        <is>
          <t>CONFIRMED</t>
        </is>
      </c>
    </row>
    <row r="21">
      <c r="A21" s="7" t="inlineStr">
        <is>
          <t>Total Liabilities (all, 10/2/2026)</t>
        </is>
      </c>
      <c r="B21" s="8" t="n">
        <v>1275622</v>
      </c>
      <c r="C21" s="9" t="inlineStr">
        <is>
          <t>Board Package 10/6 PDF</t>
        </is>
      </c>
      <c r="D21" s="9" t="inlineStr">
        <is>
          <t>CONFIRMED</t>
        </is>
      </c>
    </row>
    <row r="22">
      <c r="A22" s="6" t="n"/>
      <c r="B22" s="6" t="n"/>
      <c r="C22" s="6" t="n"/>
      <c r="D22" s="6" t="n"/>
    </row>
    <row r="23">
      <c r="A23" s="5" t="inlineStr">
        <is>
          <t>FACILITY COSTS (shared, 3111 Lomita Blvd)</t>
        </is>
      </c>
      <c r="B23" s="26" t="n"/>
      <c r="C23" s="26" t="n"/>
      <c r="D23" s="27" t="n"/>
    </row>
    <row r="24">
      <c r="A24" s="7" t="inlineStr">
        <is>
          <t>FY26 total facilities (Jul 2025–Jun 2026)</t>
        </is>
      </c>
      <c r="B24" s="8" t="n">
        <v>353977.53</v>
      </c>
      <c r="C24" s="9" t="inlineStr">
        <is>
          <t>QB ExpensesPerformance PDF, data-room</t>
        </is>
      </c>
      <c r="D24" s="9" t="inlineStr">
        <is>
          <t>CONFIRMED</t>
        </is>
      </c>
    </row>
    <row r="25">
      <c r="A25" s="10" t="inlineStr">
        <is>
          <t xml:space="preserve">  FY26 Rent (Acct 6190)</t>
        </is>
      </c>
      <c r="B25" s="11" t="n">
        <v>294492.72</v>
      </c>
      <c r="C25" s="9" t="inlineStr">
        <is>
          <t>QB Acct 6190</t>
        </is>
      </c>
      <c r="D25" s="9" t="inlineStr">
        <is>
          <t>CONFIRMED</t>
        </is>
      </c>
    </row>
    <row r="26">
      <c r="A26" s="10" t="inlineStr">
        <is>
          <t xml:space="preserve">  FY26 Utilities (Acct 6195)</t>
        </is>
      </c>
      <c r="B26" s="11" t="n">
        <v>30870.33</v>
      </c>
      <c r="C26" s="9" t="inlineStr">
        <is>
          <t>QB Acct 6195</t>
        </is>
      </c>
      <c r="D26" s="9" t="inlineStr">
        <is>
          <t>CONFIRMED</t>
        </is>
      </c>
    </row>
    <row r="27">
      <c r="A27" s="7" t="inlineStr">
        <is>
          <t>FY27 partial Jul 1–Aug 21 (52 days)</t>
        </is>
      </c>
      <c r="B27" s="8" t="n">
        <v>32860.21</v>
      </c>
      <c r="C27" s="9" t="inlineStr">
        <is>
          <t>QB P&amp;L PDF, data-room</t>
        </is>
      </c>
      <c r="D27" s="9" t="inlineStr">
        <is>
          <t>CONFIRMED</t>
        </is>
      </c>
    </row>
    <row r="28">
      <c r="A28" s="10" t="inlineStr">
        <is>
          <t>~2-year est. total (Jan 2024–Oct 2026, ~33 mo)</t>
        </is>
      </c>
      <c r="B28" s="11" t="n">
        <v>966839.74</v>
      </c>
      <c r="C28" s="9" t="inlineStr">
        <is>
          <t>Confirmed $387K + estimated $580K (FY25 not on disk)</t>
        </is>
      </c>
      <c r="D28" s="12" t="inlineStr">
        <is>
          <t>[verify — pull FY25 QB]</t>
        </is>
      </c>
    </row>
    <row r="29">
      <c r="A29" s="6" t="n"/>
      <c r="B29" s="6" t="n"/>
      <c r="C29" s="6" t="n"/>
      <c r="D29" s="6" t="n"/>
    </row>
    <row r="30">
      <c r="A30" s="5" t="inlineStr">
        <is>
          <t>MICROCOSM OFFSET (illustrative at 50% share assumption)</t>
        </is>
      </c>
      <c r="B30" s="26" t="n"/>
      <c r="C30" s="26" t="n"/>
      <c r="D30" s="27" t="n"/>
    </row>
    <row r="31">
      <c r="A31" s="10" t="inlineStr">
        <is>
          <t>Gross offset at 50% share × 2-yr est. costs</t>
        </is>
      </c>
      <c r="B31" s="11" t="n">
        <v>483419.87</v>
      </c>
      <c r="C31" s="9" t="inlineStr">
        <is>
          <t>Management assumption — editable in Microcosm Offset sheet</t>
        </is>
      </c>
      <c r="D31" s="12" t="inlineStr">
        <is>
          <t>[verify sq ft share]</t>
        </is>
      </c>
    </row>
    <row r="32">
      <c r="A32" s="10" t="inlineStr">
        <is>
          <t>Due to Microcosm balance (10/2/2026)</t>
        </is>
      </c>
      <c r="B32" s="11" t="n">
        <v>451429</v>
      </c>
      <c r="C32" s="9" t="inlineStr">
        <is>
          <t>QB Acct 2385</t>
        </is>
      </c>
      <c r="D32" s="9" t="inlineStr">
        <is>
          <t>CONFIRMED</t>
        </is>
      </c>
    </row>
    <row r="33">
      <c r="A33" s="13" t="inlineStr">
        <is>
          <t>Net position at 50% share (positive = SSLC net creditor)</t>
        </is>
      </c>
      <c r="B33" s="14" t="n">
        <v>31990.87</v>
      </c>
      <c r="C33" s="15" t="inlineStr">
        <is>
          <t>Offset $483K minus Due-to $451K</t>
        </is>
      </c>
      <c r="D33" s="12" t="inlineStr">
        <is>
          <t>[verify]</t>
        </is>
      </c>
    </row>
    <row r="34">
      <c r="A34" s="16" t="inlineStr">
        <is>
          <t>Net position at 40% share</t>
        </is>
      </c>
      <c r="B34" s="17" t="n">
        <v>-64122.1</v>
      </c>
      <c r="C34" s="18" t="inlineStr">
        <is>
          <t>Offset $387K minus Due-to $451K</t>
        </is>
      </c>
      <c r="D34" s="12" t="inlineStr">
        <is>
          <t>[verify]</t>
        </is>
      </c>
    </row>
    <row r="35">
      <c r="A35" s="13" t="inlineStr">
        <is>
          <t>Net position at 60% share</t>
        </is>
      </c>
      <c r="B35" s="14" t="n">
        <v>128991.84</v>
      </c>
      <c r="C35" s="15" t="inlineStr">
        <is>
          <t>Offset $580K minus Due-to $451K</t>
        </is>
      </c>
      <c r="D35" s="12" t="inlineStr">
        <is>
          <t>[verify]</t>
        </is>
      </c>
    </row>
  </sheetData>
  <mergeCells count="8">
    <mergeCell ref="A1:D1"/>
    <mergeCell ref="A23:D23"/>
    <mergeCell ref="A4:D4"/>
    <mergeCell ref="A3:D3"/>
    <mergeCell ref="A30:D30"/>
    <mergeCell ref="A7:D7"/>
    <mergeCell ref="A2:D2"/>
    <mergeCell ref="A14:D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8" customWidth="1" min="3" max="3"/>
    <col width="32" customWidth="1" min="4" max="4"/>
    <col width="46" customWidth="1" min="5" max="5"/>
    <col width="28" customWidth="1" min="6" max="6"/>
  </cols>
  <sheetData>
    <row r="1">
      <c r="A1" s="1" t="inlineStr">
        <is>
          <t>SSLC — Equity Section Detail</t>
        </is>
      </c>
    </row>
    <row r="2">
      <c r="A2" s="4" t="inlineStr">
        <is>
          <t>Account</t>
        </is>
      </c>
      <c r="B2" s="4" t="inlineStr">
        <is>
          <t>As-of</t>
        </is>
      </c>
      <c r="C2" s="4" t="inlineStr">
        <is>
          <t>Amount ($)</t>
        </is>
      </c>
      <c r="D2" s="4" t="inlineStr">
        <is>
          <t>Notes</t>
        </is>
      </c>
      <c r="E2" s="4" t="inlineStr">
        <is>
          <t>Source</t>
        </is>
      </c>
      <c r="F2" s="4" t="inlineStr">
        <is>
          <t>Verify?</t>
        </is>
      </c>
    </row>
    <row r="3">
      <c r="A3" s="10" t="inlineStr">
        <is>
          <t>Common Stock (Acct 3010)</t>
        </is>
      </c>
      <c r="B3" s="10" t="inlineStr">
        <is>
          <t>10/11/2026</t>
        </is>
      </c>
      <c r="C3" s="11" t="n">
        <v>1010423</v>
      </c>
      <c r="D3" s="9" t="inlineStr">
        <is>
          <t>Total contributed capital, all common shareholders</t>
        </is>
      </c>
      <c r="E3" s="9" t="inlineStr">
        <is>
          <t>QB BS (data-room/SSLC/qb-2026-10-11/SSLC_Balance_Sheet.xlsx)</t>
        </is>
      </c>
      <c r="F3" s="6" t="n"/>
    </row>
    <row r="4">
      <c r="A4" s="10" t="inlineStr">
        <is>
          <t>Additional Paid-in Capital — APIC (Acct 3020)</t>
        </is>
      </c>
      <c r="B4" s="10" t="inlineStr">
        <is>
          <t>10/11/2026</t>
        </is>
      </c>
      <c r="C4" s="11" t="n">
        <v>4042</v>
      </c>
      <c r="D4" s="9" t="inlineStr">
        <is>
          <t>Small APIC balance</t>
        </is>
      </c>
      <c r="E4" s="9" t="inlineStr">
        <is>
          <t>QB BS (data-room/SSLC/qb-2026-10-11/SSLC_Balance_Sheet.xlsx)</t>
        </is>
      </c>
      <c r="F4" s="6" t="n"/>
    </row>
    <row r="5">
      <c r="A5" s="10" t="inlineStr">
        <is>
          <t>Preferred Stock</t>
        </is>
      </c>
      <c r="B5" s="10" t="inlineStr">
        <is>
          <t>10/11/2026</t>
        </is>
      </c>
      <c r="C5" s="11" t="n"/>
      <c r="D5" s="9" t="inlineStr">
        <is>
          <t>NOT PRESENT — no preferred class on SSLC books</t>
        </is>
      </c>
      <c r="E5" s="9" t="inlineStr">
        <is>
          <t>QB BS (data-room/SSLC/qb-2026-10-11/SSLC_Balance_Sheet.xlsx)</t>
        </is>
      </c>
      <c r="F5" s="6" t="n"/>
    </row>
    <row r="6">
      <c r="A6" s="10" t="inlineStr">
        <is>
          <t>Opening Balance Equity (Acct 3000)</t>
        </is>
      </c>
      <c r="B6" s="10" t="inlineStr">
        <is>
          <t>10/11/2026</t>
        </is>
      </c>
      <c r="C6" s="11" t="n">
        <v>0</v>
      </c>
      <c r="D6" s="9" t="inlineStr">
        <is>
          <t>Zero; cleared at formation</t>
        </is>
      </c>
      <c r="E6" s="9" t="inlineStr">
        <is>
          <t>QB BS (data-room/SSLC/qb-2026-10-11/SSLC_Balance_Sheet.xlsx)</t>
        </is>
      </c>
      <c r="F6" s="6" t="n"/>
    </row>
    <row r="7">
      <c r="A7" s="13" t="inlineStr">
        <is>
          <t>TOTAL PAID-IN CAPITAL</t>
        </is>
      </c>
      <c r="B7" s="13" t="inlineStr">
        <is>
          <t>10/11/2026</t>
        </is>
      </c>
      <c r="C7" s="14" t="n">
        <v>1014465</v>
      </c>
      <c r="D7" s="15" t="inlineStr">
        <is>
          <t>Common Stock + APIC</t>
        </is>
      </c>
      <c r="E7" s="15" t="inlineStr">
        <is>
          <t>QB BS (data-room/SSLC/qb-2026-10-11/SSLC_Balance_Sheet.xlsx)</t>
        </is>
      </c>
      <c r="F7" s="6" t="n"/>
    </row>
    <row r="8">
      <c r="A8" s="10" t="inlineStr">
        <is>
          <t>Retained Earnings / Accumulated Deficit (Acct 3900)</t>
        </is>
      </c>
      <c r="B8" s="10" t="inlineStr">
        <is>
          <t>10/11/2026</t>
        </is>
      </c>
      <c r="C8" s="11" t="n">
        <v>-2571013</v>
      </c>
      <c r="D8" s="9" t="inlineStr">
        <is>
          <t>Cumulative losses through FY26 year-end</t>
        </is>
      </c>
      <c r="E8" s="9" t="inlineStr">
        <is>
          <t>QB BS (data-room/SSLC/qb-2026-10-11/SSLC_Balance_Sheet.xlsx)</t>
        </is>
      </c>
      <c r="F8" s="6" t="n"/>
    </row>
    <row r="9">
      <c r="A9" s="10" t="inlineStr">
        <is>
          <t>Net Income YTD (FY27 Jul–Aug 21, not closed yet)</t>
        </is>
      </c>
      <c r="B9" s="10" t="inlineStr">
        <is>
          <t>10/11/2026</t>
        </is>
      </c>
      <c r="C9" s="11" t="n">
        <v>112666</v>
      </c>
      <c r="D9" s="9" t="inlineStr">
        <is>
          <t>FY27 YTD net income through 10/11/2026</t>
        </is>
      </c>
      <c r="E9" s="9" t="inlineStr">
        <is>
          <t>QB BS (data-room/SSLC/qb-2026-10-11/SSLC_Balance_Sheet.xlsx)</t>
        </is>
      </c>
      <c r="F9" s="6" t="n"/>
    </row>
    <row r="10">
      <c r="A10" s="13" t="inlineStr">
        <is>
          <t>TOTAL STOCKHOLDERS' EQUITY (10/11/2026)</t>
        </is>
      </c>
      <c r="B10" s="13" t="inlineStr">
        <is>
          <t>10/11/2026</t>
        </is>
      </c>
      <c r="C10" s="14" t="n">
        <v>-1443882</v>
      </c>
      <c r="D10" s="15" t="inlineStr">
        <is>
          <t>Ties to QB BS report</t>
        </is>
      </c>
      <c r="E10" s="15" t="inlineStr">
        <is>
          <t>QB BS (data-room/SSLC/qb-2026-10-11/SSLC_Balance_Sheet.xlsx)</t>
        </is>
      </c>
      <c r="F10" s="6" t="n"/>
    </row>
    <row r="11">
      <c r="A11" s="13" t="inlineStr">
        <is>
          <t>TOTAL STOCKHOLDERS' EQUITY (10/2/2026, prior period)</t>
        </is>
      </c>
      <c r="B11" s="13" t="inlineStr">
        <is>
          <t>10/2/2026</t>
        </is>
      </c>
      <c r="C11" s="14" t="n">
        <v>-1403075</v>
      </c>
      <c r="D11" s="15" t="inlineStr">
        <is>
          <t>Prior period; 10/11/2026 figure above supersedes this.</t>
        </is>
      </c>
      <c r="E11" s="15" t="inlineStr">
        <is>
          <t>Board Package drafts/SSLC_Board_Package_2026-10-06.pdf</t>
        </is>
      </c>
      <c r="F11" s="12" t="inlineStr">
        <is>
          <t>[verify in QB]</t>
        </is>
      </c>
    </row>
    <row r="12">
      <c r="A12" s="6" t="n"/>
      <c r="B12" s="6" t="n"/>
      <c r="C12" s="6" t="n"/>
      <c r="D12" s="6" t="n"/>
      <c r="E12" s="6" t="n"/>
      <c r="F12" s="6" t="n"/>
    </row>
    <row r="13">
      <c r="A13" s="5" t="inlineStr">
        <is>
          <t>Investor / Ownership Breakdown</t>
        </is>
      </c>
      <c r="B13" s="26" t="n"/>
      <c r="C13" s="26" t="n"/>
      <c r="D13" s="26" t="n"/>
      <c r="E13" s="26" t="n"/>
      <c r="F13" s="27" t="n"/>
    </row>
    <row r="14">
      <c r="A14" s="4" t="inlineStr">
        <is>
          <t>Investor</t>
        </is>
      </c>
      <c r="B14" s="4" t="inlineStr">
        <is>
          <t>Ownership %</t>
        </is>
      </c>
      <c r="C14" s="4" t="inlineStr">
        <is>
          <t>Paid In ($)</t>
        </is>
      </c>
      <c r="D14" s="4" t="inlineStr">
        <is>
          <t>Investment Basis</t>
        </is>
      </c>
      <c r="E14" s="4" t="inlineStr">
        <is>
          <t>Source</t>
        </is>
      </c>
      <c r="F14" s="4" t="inlineStr">
        <is>
          <t>Status</t>
        </is>
      </c>
    </row>
    <row r="15">
      <c r="A15" s="10" t="inlineStr">
        <is>
          <t>Exos Aerospace Inc.</t>
        </is>
      </c>
      <c r="B15" s="19" t="n">
        <v>0.1806</v>
      </c>
      <c r="C15" s="11" t="n">
        <v>789572</v>
      </c>
      <c r="D15" s="9" t="inlineStr">
        <is>
          <t>Oct 2023 at $4.5M valuation</t>
        </is>
      </c>
      <c r="E15" s="9" t="inlineStr">
        <is>
          <t>Executed Asset Acquisition Agreement Oct 2023</t>
        </is>
      </c>
      <c r="F15" s="9" t="inlineStr">
        <is>
          <t>CONFIRMED</t>
        </is>
      </c>
    </row>
    <row r="16">
      <c r="A16" s="10" t="inlineStr">
        <is>
          <t>Jim Wertz / Microcosm / Founders (82%)</t>
        </is>
      </c>
      <c r="B16" s="19" t="n">
        <v>0.8194</v>
      </c>
      <c r="C16" s="11" t="n">
        <v>224893</v>
      </c>
      <c r="D16" s="9" t="inlineStr">
        <is>
          <t>Pre-2021 issuances, likely at par [verify]</t>
        </is>
      </c>
      <c r="E16" s="9" t="inlineStr">
        <is>
          <t>Derived: $1,014,465 − $789,572; no cap table on disk</t>
        </is>
      </c>
      <c r="F16" s="12" t="inlineStr">
        <is>
          <t>[verify — SSLC cap table needed]</t>
        </is>
      </c>
    </row>
    <row r="17">
      <c r="A17" s="13" t="inlineStr">
        <is>
          <t>TOTAL</t>
        </is>
      </c>
      <c r="B17" s="20" t="n">
        <v>1</v>
      </c>
      <c r="C17" s="14" t="n">
        <v>1014465</v>
      </c>
      <c r="D17" s="15" t="inlineStr"/>
      <c r="E17" s="15" t="inlineStr">
        <is>
          <t>QB BS 8/21/2026</t>
        </is>
      </c>
      <c r="F17" s="15" t="inlineStr">
        <is>
          <t>CONFIRMED</t>
        </is>
      </c>
    </row>
    <row r="18">
      <c r="A18" s="6" t="n"/>
      <c r="B18" s="6" t="n"/>
      <c r="C18" s="6" t="n"/>
      <c r="D18" s="6" t="n"/>
      <c r="E18" s="6" t="n"/>
      <c r="F18" s="6" t="n"/>
    </row>
    <row r="19" ht="30" customHeight="1">
      <c r="A19" s="12" t="inlineStr">
        <is>
          <t>NOTE: No SSLC cap table or stock ledger found on disk. No preferred stock. Exos investment confirmed per AAA. Founder / Microcosm shares require SSLC cap table (Eqvista or corporate records).</t>
        </is>
      </c>
      <c r="B19" s="26" t="n"/>
      <c r="C19" s="26" t="n"/>
      <c r="D19" s="26" t="n"/>
      <c r="E19" s="26" t="n"/>
      <c r="F19" s="27" t="n"/>
    </row>
  </sheetData>
  <mergeCells count="3">
    <mergeCell ref="A13:F13"/>
    <mergeCell ref="A19:F19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38" customWidth="1" min="1" max="1"/>
    <col width="10" customWidth="1" min="2" max="2"/>
    <col width="16" customWidth="1" min="3" max="3"/>
    <col width="16" customWidth="1" min="4" max="4"/>
    <col width="16" customWidth="1" min="5" max="5"/>
    <col width="62" customWidth="1" min="6" max="6"/>
    <col width="28" customWidth="1" min="7" max="7"/>
  </cols>
  <sheetData>
    <row r="1">
      <c r="A1" s="1" t="inlineStr">
        <is>
          <t>SSLC — Debt Detail as of October 2, 2026</t>
        </is>
      </c>
    </row>
    <row r="2">
      <c r="A2" s="4" t="inlineStr">
        <is>
          <t>Lender / Account</t>
        </is>
      </c>
      <c r="B2" s="4" t="inlineStr">
        <is>
          <t>QB Acct</t>
        </is>
      </c>
      <c r="C2" s="4" t="inlineStr">
        <is>
          <t>Bal. 6/30/26</t>
        </is>
      </c>
      <c r="D2" s="4" t="inlineStr">
        <is>
          <t>Bal. 8/21/26</t>
        </is>
      </c>
      <c r="E2" s="4" t="inlineStr">
        <is>
          <t>Bal. 10/2/26</t>
        </is>
      </c>
      <c r="F2" s="4" t="inlineStr">
        <is>
          <t>Notes</t>
        </is>
      </c>
      <c r="G2" s="4" t="inlineStr">
        <is>
          <t>Source</t>
        </is>
      </c>
    </row>
    <row r="3">
      <c r="A3" s="5" t="inlineStr">
        <is>
          <t>Long-term Loans &amp; Notes</t>
        </is>
      </c>
      <c r="B3" s="26" t="n"/>
      <c r="C3" s="26" t="n"/>
      <c r="D3" s="26" t="n"/>
      <c r="E3" s="26" t="n"/>
      <c r="F3" s="26" t="n"/>
      <c r="G3" s="27" t="n"/>
    </row>
    <row r="4">
      <c r="A4" s="10" t="inlineStr">
        <is>
          <t>Due to Microcosm</t>
        </is>
      </c>
      <c r="B4" s="9" t="inlineStr">
        <is>
          <t>2385</t>
        </is>
      </c>
      <c r="C4" s="11" t="n">
        <v>437990</v>
      </c>
      <c r="D4" s="11" t="n">
        <v>444924.47</v>
      </c>
      <c r="E4" s="11" t="n">
        <v>451429</v>
      </c>
      <c r="F4" s="9" t="inlineStr">
        <is>
          <t>Growing ~$500/period. Insider Debt — cannot repay without Exos consent (exclusivity §4). Nature: loan or accrued charges — [verify]. See Microcosm Offset sheet.</t>
        </is>
      </c>
      <c r="G4" s="9" t="inlineStr">
        <is>
          <t>Board Pkg 10/6 + QB BS 8/21</t>
        </is>
      </c>
    </row>
    <row r="5">
      <c r="A5" s="10" t="inlineStr">
        <is>
          <t>Notes Payable – Bookstore</t>
        </is>
      </c>
      <c r="B5" s="9" t="inlineStr">
        <is>
          <t>2700</t>
        </is>
      </c>
      <c r="C5" s="11" t="n">
        <v>317990</v>
      </c>
      <c r="D5" s="11" t="n">
        <v>319285.56</v>
      </c>
      <c r="E5" s="11" t="n">
        <v>320582</v>
      </c>
      <c r="F5" s="9" t="inlineStr">
        <is>
          <t>Growing ~$1,296/period (accruing interest). Lender identity unclear — may be related party. Rate/maturity unknown.</t>
        </is>
      </c>
      <c r="G5" s="9" t="inlineStr">
        <is>
          <t>Board Pkg 10/6 + QB BS 8/21</t>
        </is>
      </c>
    </row>
    <row r="6">
      <c r="A6" s="10" t="inlineStr">
        <is>
          <t>Loan Payable – EIDL (SBA)</t>
        </is>
      </c>
      <c r="B6" s="9" t="inlineStr">
        <is>
          <t>2712</t>
        </is>
      </c>
      <c r="C6" s="11" t="n">
        <v>132072</v>
      </c>
      <c r="D6" s="11" t="n">
        <v>132072</v>
      </c>
      <c r="E6" s="11" t="n">
        <v>132072</v>
      </c>
      <c r="F6" s="9" t="inlineStr">
        <is>
          <t>Flat across all 3 periods — likely deferred or IO. SBA EIDL.</t>
        </is>
      </c>
      <c r="G6" s="9" t="inlineStr">
        <is>
          <t>Board Pkg 10/6 + QB BS 8/21</t>
        </is>
      </c>
    </row>
    <row r="7">
      <c r="A7" s="10" t="inlineStr">
        <is>
          <t>Loan Payable – Wertz (James R. / Alice)</t>
        </is>
      </c>
      <c r="B7" s="9" t="inlineStr">
        <is>
          <t>2714</t>
        </is>
      </c>
      <c r="C7" s="11" t="n">
        <v>92500</v>
      </c>
      <c r="D7" s="11" t="n">
        <v>92500</v>
      </c>
      <c r="E7" s="11" t="n">
        <v>92500</v>
      </c>
      <c r="F7" s="9" t="inlineStr">
        <is>
          <t>Insider Debt. Rate/maturity unknown. No-repay restriction applies.</t>
        </is>
      </c>
      <c r="G7" s="9" t="inlineStr">
        <is>
          <t>Board Pkg 10/6 + QB BS 8/21</t>
        </is>
      </c>
    </row>
    <row r="8">
      <c r="A8" s="10" t="inlineStr">
        <is>
          <t>Loan Payable – Exos Aerospace</t>
        </is>
      </c>
      <c r="B8" s="9" t="inlineStr">
        <is>
          <t>2720</t>
        </is>
      </c>
      <c r="C8" s="11" t="n">
        <v>31200</v>
      </c>
      <c r="D8" s="11" t="n">
        <v>31200</v>
      </c>
      <c r="E8" s="11" t="n">
        <v>31200</v>
      </c>
      <c r="F8" s="9" t="inlineStr">
        <is>
          <t>11% p.a. Accrued interest ~$6,958 (not booked); ~$38,158 total at 10/2. Loan STANDS: license denied, no cancellation (John 10/11).</t>
        </is>
      </c>
      <c r="G8" s="9" t="inlineStr">
        <is>
          <t>Board Pkg 10/6 + QB BS 8/21</t>
        </is>
      </c>
    </row>
    <row r="9">
      <c r="A9" s="10" t="inlineStr">
        <is>
          <t>Loan Payable – Microcosm (separate)</t>
        </is>
      </c>
      <c r="B9" s="9" t="inlineStr">
        <is>
          <t>2701</t>
        </is>
      </c>
      <c r="C9" s="11" t="n">
        <v>14150</v>
      </c>
      <c r="D9" s="11" t="n">
        <v>0</v>
      </c>
      <c r="E9" s="11" t="n">
        <v>0</v>
      </c>
      <c r="F9" s="9" t="inlineStr">
        <is>
          <t>Repaid between 6/30 and 8/21/2026.</t>
        </is>
      </c>
      <c r="G9" s="9" t="inlineStr">
        <is>
          <t>QB BS 8/21</t>
        </is>
      </c>
    </row>
    <row r="10">
      <c r="A10" s="13" t="inlineStr">
        <is>
          <t>TOTAL LONG-TERM LOANS &amp; NOTES</t>
        </is>
      </c>
      <c r="B10" s="15" t="inlineStr"/>
      <c r="C10" s="14" t="n">
        <v>1025902</v>
      </c>
      <c r="D10" s="14" t="n">
        <v>1019981.03</v>
      </c>
      <c r="E10" s="14" t="n">
        <v>1027783</v>
      </c>
      <c r="F10" s="15" t="inlineStr">
        <is>
          <t>Ties to board package figure</t>
        </is>
      </c>
      <c r="G10" s="15" t="inlineStr"/>
    </row>
    <row r="11">
      <c r="A11" s="6" t="n"/>
      <c r="B11" s="6" t="n"/>
      <c r="C11" s="6" t="n"/>
      <c r="D11" s="6" t="n"/>
      <c r="E11" s="6" t="n"/>
      <c r="F11" s="6" t="n"/>
      <c r="G11" s="6" t="n"/>
    </row>
    <row r="12">
      <c r="A12" s="5" t="inlineStr">
        <is>
          <t>Current Liabilities (Other)</t>
        </is>
      </c>
      <c r="B12" s="26" t="n"/>
      <c r="C12" s="26" t="n"/>
      <c r="D12" s="26" t="n"/>
      <c r="E12" s="26" t="n"/>
      <c r="F12" s="26" t="n"/>
      <c r="G12" s="27" t="n"/>
    </row>
    <row r="13">
      <c r="A13" s="10" t="inlineStr">
        <is>
          <t>Accounts Payable (Acct 2000)</t>
        </is>
      </c>
      <c r="B13" s="9" t="inlineStr">
        <is>
          <t>2000</t>
        </is>
      </c>
      <c r="C13" s="10" t="inlineStr">
        <is>
          <t>—</t>
        </is>
      </c>
      <c r="D13" s="11" t="n">
        <v>5551.52</v>
      </c>
      <c r="E13" s="10" t="inlineStr">
        <is>
          <t>—</t>
        </is>
      </c>
      <c r="F13" s="9" t="inlineStr">
        <is>
          <t>As of 8/21/2026</t>
        </is>
      </c>
      <c r="G13" s="9" t="inlineStr">
        <is>
          <t>QB BS 8/21</t>
        </is>
      </c>
    </row>
    <row r="14">
      <c r="A14" s="10" t="inlineStr">
        <is>
          <t>Credit Cards (Chase Visa 2334, ABB 2335)</t>
        </is>
      </c>
      <c r="B14" s="9" t="inlineStr">
        <is>
          <t>2334/35</t>
        </is>
      </c>
      <c r="C14" s="11" t="n">
        <v>16508</v>
      </c>
      <c r="D14" s="11" t="n">
        <v>19544.34</v>
      </c>
      <c r="E14" s="11" t="n">
        <v>0</v>
      </c>
      <c r="F14" s="9" t="inlineStr">
        <is>
          <t>Paid off by 10/2 per board package</t>
        </is>
      </c>
      <c r="G14" s="9" t="inlineStr">
        <is>
          <t>QB BS 8/21 + Board Pkg</t>
        </is>
      </c>
    </row>
    <row r="15">
      <c r="A15" s="10" t="inlineStr">
        <is>
          <t>Wages Payable – Accrued (Acct 2221)</t>
        </is>
      </c>
      <c r="B15" s="9" t="inlineStr">
        <is>
          <t>2221</t>
        </is>
      </c>
      <c r="C15" s="10" t="inlineStr">
        <is>
          <t>—</t>
        </is>
      </c>
      <c r="D15" s="11" t="n">
        <v>47659.42</v>
      </c>
      <c r="E15" s="10" t="inlineStr">
        <is>
          <t>—</t>
        </is>
      </c>
      <c r="F15" s="9" t="inlineStr">
        <is>
          <t>As of 8/21 only</t>
        </is>
      </c>
      <c r="G15" s="9" t="inlineStr">
        <is>
          <t>QB BS 8/21</t>
        </is>
      </c>
    </row>
    <row r="16">
      <c r="A16" s="10" t="inlineStr">
        <is>
          <t>Accrued Vacation – net (Acct 2230a/b)</t>
        </is>
      </c>
      <c r="B16" s="9" t="inlineStr">
        <is>
          <t>2230</t>
        </is>
      </c>
      <c r="C16" s="10" t="inlineStr">
        <is>
          <t>—</t>
        </is>
      </c>
      <c r="D16" s="11" t="n">
        <v>56153.33</v>
      </c>
      <c r="E16" s="10" t="inlineStr">
        <is>
          <t>—</t>
        </is>
      </c>
      <c r="F16" s="9" t="inlineStr">
        <is>
          <t>Net earned vs. taken</t>
        </is>
      </c>
      <c r="G16" s="9" t="inlineStr">
        <is>
          <t>QB BS 8/21</t>
        </is>
      </c>
    </row>
    <row r="17">
      <c r="A17" s="10" t="inlineStr">
        <is>
          <t>Customer Deposits (Acct 2380)</t>
        </is>
      </c>
      <c r="B17" s="9" t="inlineStr">
        <is>
          <t>2380</t>
        </is>
      </c>
      <c r="C17" s="11" t="n">
        <v>120000</v>
      </c>
      <c r="D17" s="11" t="n">
        <v>120000</v>
      </c>
      <c r="E17" s="11" t="n">
        <v>120000</v>
      </c>
      <c r="F17" s="9" t="inlineStr">
        <is>
          <t>Stable across periods; obligation to deliver</t>
        </is>
      </c>
      <c r="G17" s="9" t="inlineStr">
        <is>
          <t>All sources</t>
        </is>
      </c>
    </row>
    <row r="18">
      <c r="A18" s="10" t="inlineStr">
        <is>
          <t>Payables &amp; Accrued Wages (10/2 board package)</t>
        </is>
      </c>
      <c r="B18" s="9" t="inlineStr"/>
      <c r="C18" s="10" t="inlineStr">
        <is>
          <t>—</t>
        </is>
      </c>
      <c r="D18" s="10" t="inlineStr">
        <is>
          <t>—</t>
        </is>
      </c>
      <c r="E18" s="11" t="n">
        <v>66499</v>
      </c>
      <c r="F18" s="9" t="inlineStr">
        <is>
          <t>Per board package; not separately itemized</t>
        </is>
      </c>
      <c r="G18" s="9" t="inlineStr">
        <is>
          <t>Board Pkg 10/6</t>
        </is>
      </c>
    </row>
    <row r="19">
      <c r="A19" s="13" t="inlineStr">
        <is>
          <t>TOTAL LIABILITIES (all, reported)</t>
        </is>
      </c>
      <c r="B19" s="15" t="inlineStr"/>
      <c r="C19" s="21" t="inlineStr">
        <is>
          <t>—</t>
        </is>
      </c>
      <c r="D19" s="14" t="n">
        <v>1268020.69</v>
      </c>
      <c r="E19" s="14" t="n">
        <v>1275622</v>
      </c>
      <c r="F19" s="15" t="inlineStr">
        <is>
          <t>QB 8/21 and Board Package 10/2</t>
        </is>
      </c>
      <c r="G19" s="15" t="inlineStr"/>
    </row>
  </sheetData>
  <mergeCells count="3">
    <mergeCell ref="A3:G3"/>
    <mergeCell ref="A1:G1"/>
    <mergeCell ref="A12:G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30" customWidth="1" min="1" max="1"/>
    <col width="10" customWidth="1" min="2" max="2"/>
    <col width="28" customWidth="1" min="3" max="3"/>
    <col width="16" customWidth="1" min="4" max="4"/>
    <col width="14" customWidth="1" min="5" max="5"/>
    <col width="52" customWidth="1" min="6" max="6"/>
    <col width="14" customWidth="1" min="7" max="7"/>
  </cols>
  <sheetData>
    <row r="1">
      <c r="A1" s="1" t="inlineStr">
        <is>
          <t>SSLC — Shared Facility Costs (3111 Lomita Blvd, Torrance CA)</t>
        </is>
      </c>
    </row>
    <row r="2">
      <c r="A2" s="4" t="inlineStr">
        <is>
          <t>Period</t>
        </is>
      </c>
      <c r="B2" s="4" t="inlineStr">
        <is>
          <t>QB Acct</t>
        </is>
      </c>
      <c r="C2" s="4" t="inlineStr">
        <is>
          <t>Category</t>
        </is>
      </c>
      <c r="D2" s="4" t="inlineStr">
        <is>
          <t>Amount ($)</t>
        </is>
      </c>
      <c r="E2" s="4" t="inlineStr">
        <is>
          <t>Mo. Avg ($)</t>
        </is>
      </c>
      <c r="F2" s="4" t="inlineStr">
        <is>
          <t>Source</t>
        </is>
      </c>
      <c r="G2" s="4" t="inlineStr">
        <is>
          <t>Status</t>
        </is>
      </c>
    </row>
    <row r="3">
      <c r="A3" s="5" t="inlineStr">
        <is>
          <t>FY26: Jul 1, 2025 – Jun 30, 2026 (12 months, CONFIRMED from QB)</t>
        </is>
      </c>
      <c r="B3" s="26" t="n"/>
      <c r="C3" s="26" t="n"/>
      <c r="D3" s="26" t="n"/>
      <c r="E3" s="26" t="n"/>
      <c r="F3" s="26" t="n"/>
      <c r="G3" s="27" t="n"/>
    </row>
    <row r="4">
      <c r="A4" s="10" t="inlineStr">
        <is>
          <t>FY26</t>
        </is>
      </c>
      <c r="B4" s="9" t="inlineStr">
        <is>
          <t>6190</t>
        </is>
      </c>
      <c r="C4" s="10" t="inlineStr">
        <is>
          <t>Rent</t>
        </is>
      </c>
      <c r="D4" s="11" t="n">
        <v>294492.72</v>
      </c>
      <c r="E4" s="11" t="n">
        <v>24541.06</v>
      </c>
      <c r="F4" s="9" t="inlineStr">
        <is>
          <t>QB ExpensesPerformance PDF (data-room/ExpensesPerformance_2025-6.pdf)</t>
        </is>
      </c>
      <c r="G4" s="9" t="inlineStr">
        <is>
          <t>CONFIRMED</t>
        </is>
      </c>
    </row>
    <row r="5">
      <c r="A5" s="10" t="inlineStr">
        <is>
          <t>FY26</t>
        </is>
      </c>
      <c r="B5" s="9" t="inlineStr">
        <is>
          <t>6195</t>
        </is>
      </c>
      <c r="C5" s="10" t="inlineStr">
        <is>
          <t>Utilities</t>
        </is>
      </c>
      <c r="D5" s="11" t="n">
        <v>30870.33</v>
      </c>
      <c r="E5" s="11" t="n">
        <v>2572.53</v>
      </c>
      <c r="F5" s="9" t="inlineStr">
        <is>
          <t>QB ExpensesPerformance PDF</t>
        </is>
      </c>
      <c r="G5" s="9" t="inlineStr">
        <is>
          <t>CONFIRMED</t>
        </is>
      </c>
    </row>
    <row r="6">
      <c r="A6" s="10" t="inlineStr">
        <is>
          <t>FY26</t>
        </is>
      </c>
      <c r="B6" s="9" t="inlineStr">
        <is>
          <t>6185</t>
        </is>
      </c>
      <c r="C6" s="10" t="inlineStr">
        <is>
          <t>Outside Services – Facilities</t>
        </is>
      </c>
      <c r="D6" s="11" t="n">
        <v>26149.37</v>
      </c>
      <c r="E6" s="11" t="n">
        <v>2179.11</v>
      </c>
      <c r="F6" s="9" t="inlineStr">
        <is>
          <t>QB ExpensesPerformance PDF</t>
        </is>
      </c>
      <c r="G6" s="9" t="inlineStr">
        <is>
          <t>CONFIRMED</t>
        </is>
      </c>
    </row>
    <row r="7">
      <c r="A7" s="10" t="inlineStr">
        <is>
          <t>FY26</t>
        </is>
      </c>
      <c r="B7" s="9" t="inlineStr">
        <is>
          <t>6180</t>
        </is>
      </c>
      <c r="C7" s="10" t="inlineStr">
        <is>
          <t>Misc Facilities</t>
        </is>
      </c>
      <c r="D7" s="11" t="n">
        <v>1429.63</v>
      </c>
      <c r="E7" s="11" t="n">
        <v>119.14</v>
      </c>
      <c r="F7" s="9" t="inlineStr">
        <is>
          <t>QB ExpensesPerformance PDF</t>
        </is>
      </c>
      <c r="G7" s="9" t="inlineStr">
        <is>
          <t>CONFIRMED</t>
        </is>
      </c>
    </row>
    <row r="8">
      <c r="A8" s="10" t="inlineStr">
        <is>
          <t>FY26</t>
        </is>
      </c>
      <c r="B8" s="9" t="inlineStr">
        <is>
          <t>6200</t>
        </is>
      </c>
      <c r="C8" s="10" t="inlineStr">
        <is>
          <t>Supplies – Facilities</t>
        </is>
      </c>
      <c r="D8" s="11" t="n">
        <v>1035.48</v>
      </c>
      <c r="E8" s="11" t="n">
        <v>86.29000000000001</v>
      </c>
      <c r="F8" s="9" t="inlineStr">
        <is>
          <t>QB ExpensesPerformance PDF</t>
        </is>
      </c>
      <c r="G8" s="9" t="inlineStr">
        <is>
          <t>CONFIRMED</t>
        </is>
      </c>
    </row>
    <row r="9">
      <c r="A9" s="13" t="inlineStr">
        <is>
          <t>FY26 SUBTOTAL</t>
        </is>
      </c>
      <c r="B9" s="15" t="inlineStr"/>
      <c r="C9" s="13" t="inlineStr"/>
      <c r="D9" s="14" t="n">
        <v>353977.53</v>
      </c>
      <c r="E9" s="14" t="n">
        <v>29498.13</v>
      </c>
      <c r="F9" s="15" t="inlineStr">
        <is>
          <t>QB ExpensesPerformance PDF</t>
        </is>
      </c>
      <c r="G9" s="15" t="inlineStr">
        <is>
          <t>CONFIRMED</t>
        </is>
      </c>
    </row>
    <row r="10">
      <c r="A10" s="6" t="n"/>
      <c r="B10" s="6" t="n"/>
      <c r="C10" s="6" t="n"/>
      <c r="D10" s="6" t="n"/>
      <c r="E10" s="6" t="n"/>
      <c r="F10" s="6" t="n"/>
      <c r="G10" s="6" t="n"/>
    </row>
    <row r="11">
      <c r="A11" s="5" t="inlineStr">
        <is>
          <t>FY27 PARTIAL: Jul 1 – Aug 21, 2026 (52 days, CONFIRMED from QB)</t>
        </is>
      </c>
      <c r="B11" s="26" t="n"/>
      <c r="C11" s="26" t="n"/>
      <c r="D11" s="26" t="n"/>
      <c r="E11" s="26" t="n"/>
      <c r="F11" s="26" t="n"/>
      <c r="G11" s="27" t="n"/>
    </row>
    <row r="12">
      <c r="A12" s="10" t="inlineStr">
        <is>
          <t>FY27 Jul-Aug21</t>
        </is>
      </c>
      <c r="B12" s="9" t="inlineStr">
        <is>
          <t>6190</t>
        </is>
      </c>
      <c r="C12" s="10" t="inlineStr">
        <is>
          <t>Rent</t>
        </is>
      </c>
      <c r="D12" s="11" t="n">
        <v>24844.12</v>
      </c>
      <c r="E12" s="11" t="n">
        <v>14336</v>
      </c>
      <c r="F12" s="9" t="inlineStr">
        <is>
          <t>QB P&amp;L (data-room/2026-7_PL_8-21-26.pdf)</t>
        </is>
      </c>
      <c r="G12" s="9" t="inlineStr">
        <is>
          <t>CONFIRMED</t>
        </is>
      </c>
    </row>
    <row r="13">
      <c r="A13" s="10" t="inlineStr">
        <is>
          <t>FY27 Jul-Aug21</t>
        </is>
      </c>
      <c r="B13" s="9" t="inlineStr">
        <is>
          <t>6195</t>
        </is>
      </c>
      <c r="C13" s="10" t="inlineStr">
        <is>
          <t>Utilities</t>
        </is>
      </c>
      <c r="D13" s="11" t="n">
        <v>3002.17</v>
      </c>
      <c r="E13" s="11" t="n">
        <v>1732</v>
      </c>
      <c r="F13" s="9" t="inlineStr">
        <is>
          <t>QB P&amp;L</t>
        </is>
      </c>
      <c r="G13" s="9" t="inlineStr">
        <is>
          <t>CONFIRMED</t>
        </is>
      </c>
    </row>
    <row r="14">
      <c r="A14" s="10" t="inlineStr">
        <is>
          <t>FY27 Jul-Aug21</t>
        </is>
      </c>
      <c r="B14" s="9" t="inlineStr">
        <is>
          <t>6185</t>
        </is>
      </c>
      <c r="C14" s="10" t="inlineStr">
        <is>
          <t>Outside Services – Facilities</t>
        </is>
      </c>
      <c r="D14" s="11" t="n">
        <v>4190.74</v>
      </c>
      <c r="E14" s="11" t="n">
        <v>2417</v>
      </c>
      <c r="F14" s="9" t="inlineStr">
        <is>
          <t>QB P&amp;L</t>
        </is>
      </c>
      <c r="G14" s="9" t="inlineStr">
        <is>
          <t>CONFIRMED</t>
        </is>
      </c>
    </row>
    <row r="15">
      <c r="A15" s="10" t="inlineStr">
        <is>
          <t>FY27 Jul-Aug21</t>
        </is>
      </c>
      <c r="B15" s="9" t="inlineStr">
        <is>
          <t>6180</t>
        </is>
      </c>
      <c r="C15" s="10" t="inlineStr">
        <is>
          <t>Misc Facilities</t>
        </is>
      </c>
      <c r="D15" s="11" t="n">
        <v>109.98</v>
      </c>
      <c r="E15" s="11" t="n">
        <v>63</v>
      </c>
      <c r="F15" s="9" t="inlineStr">
        <is>
          <t>QB P&amp;L</t>
        </is>
      </c>
      <c r="G15" s="9" t="inlineStr">
        <is>
          <t>CONFIRMED</t>
        </is>
      </c>
    </row>
    <row r="16">
      <c r="A16" s="10" t="inlineStr">
        <is>
          <t>FY27 Jul-Aug21</t>
        </is>
      </c>
      <c r="B16" s="9" t="inlineStr">
        <is>
          <t>6200</t>
        </is>
      </c>
      <c r="C16" s="10" t="inlineStr">
        <is>
          <t>Supplies – Facilities</t>
        </is>
      </c>
      <c r="D16" s="11" t="n">
        <v>713.2</v>
      </c>
      <c r="E16" s="11" t="n">
        <v>411</v>
      </c>
      <c r="F16" s="9" t="inlineStr">
        <is>
          <t>QB P&amp;L</t>
        </is>
      </c>
      <c r="G16" s="9" t="inlineStr">
        <is>
          <t>CONFIRMED</t>
        </is>
      </c>
    </row>
    <row r="17">
      <c r="A17" s="13" t="inlineStr">
        <is>
          <t>FY27 Jul-Aug21 SUBTOTAL</t>
        </is>
      </c>
      <c r="B17" s="15" t="inlineStr"/>
      <c r="C17" s="13" t="inlineStr"/>
      <c r="D17" s="14" t="n">
        <v>32860.21</v>
      </c>
      <c r="E17" s="14" t="n">
        <v>18975</v>
      </c>
      <c r="F17" s="15" t="inlineStr">
        <is>
          <t>QB P&amp;L</t>
        </is>
      </c>
      <c r="G17" s="15" t="inlineStr">
        <is>
          <t>CONFIRMED</t>
        </is>
      </c>
    </row>
    <row r="18">
      <c r="A18" s="6" t="n"/>
      <c r="B18" s="6" t="n"/>
      <c r="C18" s="6" t="n"/>
      <c r="D18" s="6" t="n"/>
      <c r="E18" s="6" t="n"/>
      <c r="F18" s="6" t="n"/>
      <c r="G18" s="6" t="n"/>
    </row>
    <row r="19">
      <c r="A19" s="5" t="inlineStr">
        <is>
          <t>ESTIMATED: Aug 22 – Oct 10, 2026 (~50 days) — FY26 monthly rate proxy</t>
        </is>
      </c>
      <c r="B19" s="26" t="n"/>
      <c r="C19" s="26" t="n"/>
      <c r="D19" s="26" t="n"/>
      <c r="E19" s="26" t="n"/>
      <c r="F19" s="26" t="n"/>
      <c r="G19" s="27" t="n"/>
    </row>
    <row r="20">
      <c r="A20" s="12" t="inlineStr">
        <is>
          <t>FY27 Aug22–Oct10 (est.)</t>
        </is>
      </c>
      <c r="B20" s="22" t="inlineStr">
        <is>
          <t>All</t>
        </is>
      </c>
      <c r="C20" s="22" t="inlineStr">
        <is>
          <t>All facility accounts</t>
        </is>
      </c>
      <c r="D20" s="23" t="n">
        <v>49163</v>
      </c>
      <c r="E20" s="24" t="inlineStr">
        <is>
          <t>~$29,498/mo × 50/30 days</t>
        </is>
      </c>
      <c r="F20" s="24" t="inlineStr">
        <is>
          <t>ESTIMATED — QB session expired 10/7</t>
        </is>
      </c>
      <c r="G20" s="12" t="inlineStr">
        <is>
          <t>[estimate]</t>
        </is>
      </c>
    </row>
    <row r="21">
      <c r="A21" s="6" t="n"/>
      <c r="B21" s="6" t="n"/>
      <c r="C21" s="6" t="n"/>
      <c r="D21" s="6" t="n"/>
      <c r="E21" s="6" t="n"/>
      <c r="F21" s="6" t="n"/>
      <c r="G21" s="6" t="n"/>
    </row>
    <row r="22">
      <c r="A22" s="5" t="inlineStr">
        <is>
          <t>2-YEAR SUMMARY (approx. Jan 2024 – Oct 2026, ~33 months)</t>
        </is>
      </c>
      <c r="B22" s="26" t="n"/>
      <c r="C22" s="26" t="n"/>
      <c r="D22" s="26" t="n"/>
      <c r="E22" s="26" t="n"/>
      <c r="F22" s="26" t="n"/>
      <c r="G22" s="27" t="n"/>
    </row>
    <row r="23">
      <c r="A23" s="12" t="inlineStr">
        <is>
          <t>Jan 2024–Jun 2024 (6 mo)</t>
        </is>
      </c>
      <c r="B23" s="26" t="n"/>
      <c r="C23" s="27" t="n"/>
      <c r="D23" s="23" t="n">
        <v>176989</v>
      </c>
      <c r="E23" s="22" t="inlineStr"/>
      <c r="F23" s="24" t="inlineStr">
        <is>
          <t>ESTIMATED — no QB data on disk. FY26 monthly rate × 6 = proxy.</t>
        </is>
      </c>
      <c r="G23" s="12" t="inlineStr">
        <is>
          <t>[verify]</t>
        </is>
      </c>
    </row>
    <row r="24">
      <c r="A24" s="12" t="inlineStr">
        <is>
          <t>FY25: Jul 2024–Jun 2025 (12 mo)</t>
        </is>
      </c>
      <c r="B24" s="26" t="n"/>
      <c r="C24" s="27" t="n"/>
      <c r="D24" s="23" t="n">
        <v>353978</v>
      </c>
      <c r="E24" s="22" t="inlineStr"/>
      <c r="F24" s="24" t="inlineStr">
        <is>
          <t>ESTIMATED — no FY25 QB data on disk. FY26 rate × 12 = proxy.</t>
        </is>
      </c>
      <c r="G24" s="12" t="inlineStr">
        <is>
          <t>[verify — pull FY25 QB]</t>
        </is>
      </c>
    </row>
    <row r="25">
      <c r="A25" s="10" t="inlineStr">
        <is>
          <t>FY26: Jul 2025–Jun 2026 (12 mo)</t>
        </is>
      </c>
      <c r="B25" s="26" t="n"/>
      <c r="C25" s="27" t="n"/>
      <c r="D25" s="11" t="n">
        <v>353977.53</v>
      </c>
      <c r="E25" s="10" t="inlineStr"/>
      <c r="F25" s="9" t="inlineStr">
        <is>
          <t>CONFIRMED — QB ExpensesPerformance PDF</t>
        </is>
      </c>
      <c r="G25" s="9" t="inlineStr">
        <is>
          <t>CONFIRMED</t>
        </is>
      </c>
    </row>
    <row r="26">
      <c r="A26" s="10" t="inlineStr">
        <is>
          <t>FY27: Jul 1–Aug 21, 2026 (52 days)</t>
        </is>
      </c>
      <c r="B26" s="26" t="n"/>
      <c r="C26" s="27" t="n"/>
      <c r="D26" s="11" t="n">
        <v>32860.21</v>
      </c>
      <c r="E26" s="10" t="inlineStr"/>
      <c r="F26" s="9" t="inlineStr">
        <is>
          <t>CONFIRMED — QB P&amp;L PDF</t>
        </is>
      </c>
      <c r="G26" s="9" t="inlineStr">
        <is>
          <t>CONFIRMED</t>
        </is>
      </c>
    </row>
    <row r="27">
      <c r="A27" s="12" t="inlineStr">
        <is>
          <t>FY27: Aug 22–Oct 10, 2026 (~50 days)</t>
        </is>
      </c>
      <c r="B27" s="26" t="n"/>
      <c r="C27" s="27" t="n"/>
      <c r="D27" s="23" t="n">
        <v>49163</v>
      </c>
      <c r="E27" s="22" t="inlineStr"/>
      <c r="F27" s="24" t="inlineStr">
        <is>
          <t>ESTIMATED — FY26 rate proxy</t>
        </is>
      </c>
      <c r="G27" s="12" t="inlineStr">
        <is>
          <t>[estimate]</t>
        </is>
      </c>
    </row>
    <row r="28">
      <c r="A28" s="13" t="inlineStr">
        <is>
          <t>TOTAL ~2-YEAR FACILITY COSTS (est.)</t>
        </is>
      </c>
      <c r="B28" s="26" t="n"/>
      <c r="C28" s="27" t="n"/>
      <c r="D28" s="14" t="n">
        <v>966967.74</v>
      </c>
      <c r="E28" s="21" t="inlineStr"/>
      <c r="F28" s="15" t="inlineStr">
        <is>
          <t>Confirmed: $386,838 | Estimated: $580,130</t>
        </is>
      </c>
      <c r="G28" s="12" t="inlineStr">
        <is>
          <t>[verify FY25 QB]</t>
        </is>
      </c>
    </row>
    <row r="29" ht="36" customHeight="1">
      <c r="A29" s="24" t="inlineStr">
        <is>
          <t>NOTE: 2-yr range interpreted as Jan 2024–Oct 2026 (~33 months). Only FY26 and FY27 partial confirmed from QB. If John means Oct 2024–Oct 2026 (24 months), remove Jan–Jun 2024 ($177K) and FY25 ($354K) rows → total confirmed+est. $702K, offset at 50% = $351K.</t>
        </is>
      </c>
      <c r="B29" s="26" t="n"/>
      <c r="C29" s="26" t="n"/>
      <c r="D29" s="26" t="n"/>
      <c r="E29" s="26" t="n"/>
      <c r="F29" s="26" t="n"/>
      <c r="G29" s="27" t="n"/>
    </row>
  </sheetData>
  <mergeCells count="12">
    <mergeCell ref="A28:C28"/>
    <mergeCell ref="A25:C25"/>
    <mergeCell ref="A1:G1"/>
    <mergeCell ref="A23:C23"/>
    <mergeCell ref="A3:G3"/>
    <mergeCell ref="A22:G22"/>
    <mergeCell ref="A27:C27"/>
    <mergeCell ref="A29:G29"/>
    <mergeCell ref="A26:C26"/>
    <mergeCell ref="A19:G19"/>
    <mergeCell ref="A11:G11"/>
    <mergeCell ref="A24:C2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18" customWidth="1" min="3" max="3"/>
    <col width="18" customWidth="1" min="4" max="4"/>
    <col width="52" customWidth="1" min="5" max="5"/>
  </cols>
  <sheetData>
    <row r="1">
      <c r="A1" s="1" t="inlineStr">
        <is>
          <t>SSLC — Microcosm Facility Offset Analysis vs. Due to Microcosm Balance</t>
        </is>
      </c>
    </row>
    <row r="2">
      <c r="A2" s="5" t="inlineStr">
        <is>
          <t>INPUTS — cells in amber = management assumptions (editable)</t>
        </is>
      </c>
      <c r="B2" s="26" t="n"/>
      <c r="C2" s="26" t="n"/>
      <c r="D2" s="26" t="n"/>
      <c r="E2" s="27" t="n"/>
    </row>
    <row r="3">
      <c r="A3" s="4" t="inlineStr">
        <is>
          <t>Parameter</t>
        </is>
      </c>
      <c r="B3" s="4" t="inlineStr">
        <is>
          <t>Value</t>
        </is>
      </c>
      <c r="C3" s="4" t="inlineStr">
        <is>
          <t>Notes</t>
        </is>
      </c>
      <c r="D3" s="26" t="n"/>
      <c r="E3" s="27" t="n"/>
    </row>
    <row r="4">
      <c r="A4" s="12" t="inlineStr">
        <is>
          <t>Microcosm share of facility costs</t>
        </is>
      </c>
      <c r="B4" s="25" t="n">
        <v>0.5</v>
      </c>
      <c r="C4" s="24" t="inlineStr">
        <is>
          <t>MANAGEMENT ASSUMPTION — change this value. 50% = equal split. Verify against sq ft, facility lease, or cost-sharing agreement between SSLC and Microcosm.</t>
        </is>
      </c>
      <c r="D4" s="26" t="n"/>
      <c r="E4" s="27" t="n"/>
    </row>
    <row r="5">
      <c r="A5" s="10" t="inlineStr">
        <is>
          <t>Total facility costs (2-yr est.)</t>
        </is>
      </c>
      <c r="B5" s="11" t="n">
        <v>966967.74</v>
      </c>
      <c r="C5" s="9" t="inlineStr">
        <is>
          <t>Jan 2024–Oct 2026, ~33 months. Confirmed $387K + estimated $580K. See Facility Costs sheet.</t>
        </is>
      </c>
      <c r="D5" s="26" t="n"/>
      <c r="E5" s="27" t="n"/>
    </row>
    <row r="6">
      <c r="A6" s="10" t="inlineStr">
        <is>
          <t>Due to Microcosm — QB balance (10/2/2026)</t>
        </is>
      </c>
      <c r="B6" s="11" t="n">
        <v>451429</v>
      </c>
      <c r="C6" s="9" t="inlineStr">
        <is>
          <t>QB Acct 2385. Confirmed. Growing ~$500/period.</t>
        </is>
      </c>
      <c r="D6" s="26" t="n"/>
      <c r="E6" s="27" t="n"/>
    </row>
    <row r="7">
      <c r="A7" s="10" t="inlineStr">
        <is>
          <t>Period</t>
        </is>
      </c>
      <c r="B7" s="10" t="inlineStr">
        <is>
          <t>Jan 2024 – Oct 10, 2026</t>
        </is>
      </c>
      <c r="C7" s="9" t="inlineStr">
        <is>
          <t>~33 months. John stated 'about 2 years'. Longer range used for conservatism.</t>
        </is>
      </c>
      <c r="D7" s="26" t="n"/>
      <c r="E7" s="27" t="n"/>
    </row>
    <row r="8">
      <c r="A8" s="6" t="n"/>
      <c r="B8" s="6" t="n"/>
      <c r="C8" s="6" t="n"/>
      <c r="D8" s="6" t="n"/>
      <c r="E8" s="6" t="n"/>
    </row>
    <row r="9">
      <c r="A9" s="5" t="inlineStr">
        <is>
          <t>CALCULATED RESULTS (sensitivity table)</t>
        </is>
      </c>
      <c r="B9" s="26" t="n"/>
      <c r="C9" s="26" t="n"/>
      <c r="D9" s="26" t="n"/>
      <c r="E9" s="27" t="n"/>
    </row>
    <row r="10">
      <c r="A10" s="4" t="inlineStr">
        <is>
          <t>Item</t>
        </is>
      </c>
      <c r="B10" s="4" t="inlineStr">
        <is>
          <t>At 40% share</t>
        </is>
      </c>
      <c r="C10" s="4" t="inlineStr">
        <is>
          <t>At 50% (base)</t>
        </is>
      </c>
      <c r="D10" s="4" t="inlineStr">
        <is>
          <t>At 60% share</t>
        </is>
      </c>
      <c r="E10" s="4" t="inlineStr">
        <is>
          <t>Notes</t>
        </is>
      </c>
    </row>
    <row r="11">
      <c r="A11" s="10" t="inlineStr">
        <is>
          <t>Total shared facility costs (2-yr est.)</t>
        </is>
      </c>
      <c r="B11" s="11" t="n">
        <v>966967.74</v>
      </c>
      <c r="C11" s="11" t="n">
        <v>966967.74</v>
      </c>
      <c r="D11" s="11" t="n">
        <v>966967.74</v>
      </c>
      <c r="E11" s="9" t="inlineStr">
        <is>
          <t>From Facility Costs sheet</t>
        </is>
      </c>
    </row>
    <row r="12">
      <c r="A12" s="10" t="inlineStr">
        <is>
          <t>× Microcosm share assumption</t>
        </is>
      </c>
      <c r="B12" s="19" t="n">
        <v>0.4</v>
      </c>
      <c r="C12" s="19" t="n">
        <v>0.5</v>
      </c>
      <c r="D12" s="19" t="n">
        <v>0.6</v>
      </c>
      <c r="E12" s="9" t="inlineStr">
        <is>
          <t>Management assumption — not a verified legal obligation</t>
        </is>
      </c>
    </row>
    <row r="13">
      <c r="A13" s="10">
        <f> Offset claim (Microcosm's share)</f>
        <v/>
      </c>
      <c r="B13" s="11" t="n">
        <v>386787.096</v>
      </c>
      <c r="C13" s="11" t="n">
        <v>483483.87</v>
      </c>
      <c r="D13" s="11" t="n">
        <v>580180.644</v>
      </c>
      <c r="E13" s="9" t="inlineStr">
        <is>
          <t>Gross reimbursement SSLC could claim from Microcosm</t>
        </is>
      </c>
    </row>
    <row r="14">
      <c r="A14" s="10" t="inlineStr">
        <is>
          <t>Due to Microcosm balance (10/2/2026)</t>
        </is>
      </c>
      <c r="B14" s="11" t="n">
        <v>451429</v>
      </c>
      <c r="C14" s="11" t="n">
        <v>451429</v>
      </c>
      <c r="D14" s="11" t="n">
        <v>451429</v>
      </c>
      <c r="E14" s="9" t="inlineStr">
        <is>
          <t>QB Acct 2385 confirmed</t>
        </is>
      </c>
    </row>
    <row r="15">
      <c r="A15" s="13" t="inlineStr">
        <is>
          <t>NET POSITION (offset minus Due-to)</t>
        </is>
      </c>
      <c r="B15" s="17" t="n">
        <v>-64641.90399999998</v>
      </c>
      <c r="C15" s="14" t="n">
        <v>32054.87</v>
      </c>
      <c r="D15" s="14" t="n">
        <v>128751.644</v>
      </c>
      <c r="E15" s="15" t="inlineStr">
        <is>
          <t>Positive = SSLC net creditor after offset; Negative = net-owes</t>
        </is>
      </c>
    </row>
    <row r="16">
      <c r="A16" s="6" t="n"/>
      <c r="B16" s="6" t="n"/>
      <c r="C16" s="6" t="n"/>
      <c r="D16" s="6" t="n"/>
      <c r="E16" s="6" t="n"/>
    </row>
    <row r="17">
      <c r="A17" s="5" t="inlineStr">
        <is>
          <t>INTERPRETATION AND LEGAL CAVEATS</t>
        </is>
      </c>
      <c r="B17" s="26" t="n"/>
      <c r="C17" s="26" t="n"/>
      <c r="D17" s="26" t="n"/>
      <c r="E17" s="27" t="n"/>
    </row>
    <row r="18" ht="40" customHeight="1">
      <c r="A18" s="9" t="inlineStr">
        <is>
          <t>At 50% share: SSLC offset claim ($483K) slightly exceeds Due to Microcosm ($451K) by ~$32K → if legally recognized, SSLC becomes net creditor.</t>
        </is>
      </c>
      <c r="B18" s="26" t="n"/>
      <c r="C18" s="26" t="n"/>
      <c r="D18" s="26" t="n"/>
      <c r="E18" s="27" t="n"/>
    </row>
    <row r="19" ht="40" customHeight="1">
      <c r="A19" s="9" t="inlineStr">
        <is>
          <t>At 40% share: offset ($387K) &lt; Due-to ($451K) → SSLC net-owes ~$64K after offset.</t>
        </is>
      </c>
      <c r="B19" s="26" t="n"/>
      <c r="C19" s="26" t="n"/>
      <c r="D19" s="26" t="n"/>
      <c r="E19" s="27" t="n"/>
    </row>
    <row r="20" ht="40" customHeight="1">
      <c r="A20" s="9" t="inlineStr">
        <is>
          <t>At 60% share: offset ($580K) &gt; Due-to ($451K) → SSLC net creditor by ~$129K.</t>
        </is>
      </c>
      <c r="B20" s="26" t="n"/>
      <c r="C20" s="26" t="n"/>
      <c r="D20" s="26" t="n"/>
      <c r="E20" s="27" t="n"/>
    </row>
    <row r="21" ht="40" customHeight="1">
      <c r="A21" s="12" t="inlineStr">
        <is>
          <t>LEGAL BASIS REQUIRED: No written cost-sharing agreement found on disk. To assert this offset SSLC needs: (1) proof it paid 100% of shared costs; (2) a written agreement or lease provision creating Microcosm's obligation; (3) sq footage or usage basis for the share %; (4) determination whether 'Due to Microcosm' $451K is a separate loan or already includes facility charges (if the latter, double-counting occurs).</t>
        </is>
      </c>
      <c r="B21" s="26" t="n"/>
      <c r="C21" s="26" t="n"/>
      <c r="D21" s="26" t="n"/>
      <c r="E21" s="27" t="n"/>
    </row>
    <row r="22" ht="40" customHeight="1">
      <c r="A22" s="12" t="inlineStr">
        <is>
          <t>[verify] FY25 QB data not on disk — estimated at FY26 rate. If actual FY25 is lower, the 2-yr total and offset decline. Pull FY25 QB P&amp;L to confirm.</t>
        </is>
      </c>
      <c r="B22" s="26" t="n"/>
      <c r="C22" s="26" t="n"/>
      <c r="D22" s="26" t="n"/>
      <c r="E22" s="27" t="n"/>
    </row>
    <row r="23" ht="40" customHeight="1">
      <c r="A23" s="12" t="inlineStr">
        <is>
          <t>[verify] 'Due to Microcosm' growing ~$500/period. Determine if this is a loan facility or accruing facility charges — if the latter, the offset logic must be restructured.</t>
        </is>
      </c>
      <c r="B23" s="26" t="n"/>
      <c r="C23" s="26" t="n"/>
      <c r="D23" s="26" t="n"/>
      <c r="E23" s="27" t="n"/>
    </row>
  </sheetData>
  <mergeCells count="15">
    <mergeCell ref="A21:E21"/>
    <mergeCell ref="A20:E20"/>
    <mergeCell ref="C5:E5"/>
    <mergeCell ref="A2:E2"/>
    <mergeCell ref="A19:E19"/>
    <mergeCell ref="C4:E4"/>
    <mergeCell ref="A1:E1"/>
    <mergeCell ref="C3:E3"/>
    <mergeCell ref="A23:E23"/>
    <mergeCell ref="C7:E7"/>
    <mergeCell ref="A22:E22"/>
    <mergeCell ref="A17:E17"/>
    <mergeCell ref="A18:E18"/>
    <mergeCell ref="A9:E9"/>
    <mergeCell ref="C6:E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94"/>
  <sheetViews>
    <sheetView workbookViewId="0">
      <selection activeCell="A1" sqref="A1"/>
    </sheetView>
  </sheetViews>
  <sheetFormatPr baseColWidth="8" defaultRowHeight="15"/>
  <cols>
    <col width="62" customWidth="1" min="1" max="1"/>
    <col width="18" customWidth="1" min="2" max="2"/>
  </cols>
  <sheetData>
    <row r="1" ht="15" customHeight="1">
      <c r="A1" s="65" t="inlineStr">
        <is>
          <t>SIGN-CORRECTION NOTE — PRIOR ANALYSIS HAD SIGN BACKWARDS (added 2026-10-11 revision)</t>
        </is>
      </c>
    </row>
    <row r="2" ht="45" customHeight="1">
      <c r="A2" t="inlineStr">
        <is>
          <t>Account 1110 AR Unbilled is an ASSET with a CREDIT (negative) balance. Invoice entries = CREDITS (increase billed-ahead). Rev-rec debits = DEBITS (reduce billed-ahead). The prior reconciliation treated this backwards, computing overstatement as if True-Up JEs increased 1110 rather than reduced it. This section corrects the analysis.</t>
        </is>
      </c>
    </row>
    <row r="3" ht="15" customHeight="1"/>
    <row r="4" ht="15" customHeight="1">
      <c r="A4" s="66" t="inlineStr">
        <is>
          <t>CORRECTED FINDING 1: FY27 REV-REC SHORTFALL — MISSING REVENUE RECOGNITION (Sep–Oct 2026)</t>
        </is>
      </c>
    </row>
    <row r="5" ht="75" customHeight="1">
      <c r="A5" t="inlineStr">
        <is>
          <t>In FY27 (Jul 1 – Oct 11, 2026), SSLC posted 9 IM-109 invoice credits totaling $1,265,282.55 to account 1110 — all growing the billed-ahead balance. Against those, only TWO rev-rec debits appear: 'Unbilled IM' +$545,747 on 7/31/2026 and 'ALC Aug26/013 IM 109-89' +$167,362.41 on 8/31/2026. No Sep or Oct 2026 rev-rec debits exist. Shortfall: $1,265,282.55 − $713,109.41 = $552,173.14. This shortfall is a candidate FY27 overstatement of the billed-ahead balance — meaning SSLC may have shipped tanks in Sep–Oct 2026 without booking the corresponding revenue recognition. [needs SSLC shipping records]</t>
        </is>
      </c>
    </row>
    <row r="6" ht="51" customHeight="1"/>
    <row r="7" ht="27" customHeight="1">
      <c r="A7" s="66" t="inlineStr">
        <is>
          <t>CORRECTED FINDING 2: 6/30/2026 TRUE-UP JEs — FY26 REVENUE QUALITY ISSUE</t>
        </is>
      </c>
    </row>
    <row r="8" ht="90" customHeight="1">
      <c r="A8" t="inlineStr">
        <is>
          <t>Three True-Up JEs posted on 6/30/2026 DEBITED account 1110 (reduced billed-ahead) and CREDITED revenue account 4060 — recognizing $515,215.19 of FY26 revenue: IM 122 +$302,988.00, EXOS-133 +$170,530.50, IM 134 +$41,696.69. If these are unsupported (no new PO, no contract amendment, no additional work performed), they overstate FY26 net income by $515,215.19 and understate the true billed-ahead balance. Reversing them: 1110 = −$942,177 − $515,215 = −$1,457,392 (credit). The QB-reported balance of $942,177 would grow to $1,457,392 — meaning SSLC has billed $1.46M ahead of recognized revenue, not $942K. The most material item is IM-122 Nova-D ($302,988) — a program last invoiced 22 months before the True-Up with no visible contract amendment.</t>
        </is>
      </c>
    </row>
    <row r="9" ht="67" customHeight="1"/>
    <row r="10" ht="67" customHeight="1">
      <c r="A10" s="65" t="inlineStr">
        <is>
          <t>CORRECTED FINDING 3: EXOS-133 — $170,531 UNBILLED CLAIM AGAINST EXOS AEROSPACE AS COUNTERPARTY</t>
        </is>
      </c>
    </row>
    <row r="11" ht="90" customHeight="1">
      <c r="A11" t="inlineStr">
        <is>
          <t>The EXOS-133 True-Up is not merely an accounting risk — it is an unsupported claim by SSLC against Exos Aerospace specifically. SSLC invoice 133-4 was labeled "Final Balance" on 4/17/2026 and was paid in full by 4/29/2026. Two months later, SSLC booked a $170,530.50 unbilled accrual against the EXOS-133 job, creating a revenue receivable from Exos with no corresponding invoice, no contract amendment, and no Exos acknowledgment visible in the GL. This is an Exos counterparty risk: if SSLC attempts to collect this $170,531, Exos would be receiving an invoice after its own "Final Balance" was paid. Needs immediate contract-amendment check or write-off recommendation in SSLC's books.</t>
        </is>
      </c>
    </row>
    <row r="12" ht="15" customHeight="1"/>
    <row r="13" ht="15" customHeight="1">
      <c r="A13" s="28" t="inlineStr">
        <is>
          <t>OVERSTATEMENT ARITHMETIC (corrected):</t>
        </is>
      </c>
    </row>
    <row r="14" ht="15" customHeight="1">
      <c r="A14" t="inlineStr">
        <is>
          <t xml:space="preserve">  FY27 rev-rec shortfall (IM-109): $552,173.14  [needs SSLC shipping records — candidate only]</t>
        </is>
      </c>
    </row>
    <row r="15" ht="15" customHeight="1">
      <c r="A15" t="inlineStr">
        <is>
          <t xml:space="preserve">  FY26 True-Up JEs (if unsupported): $515,215.19 → 1110 balance = −$1,457,392 (vs. reported −$942,177)</t>
        </is>
      </c>
    </row>
    <row r="16" ht="15" customHeight="1">
      <c r="A16" t="inlineStr">
        <is>
          <t xml:space="preserve">  EXOS-133 component of above: $170,530.50 (Exos counterparty exposure)</t>
        </is>
      </c>
    </row>
    <row r="17" ht="15" customHeight="1"/>
    <row r="18" ht="15" customHeight="1">
      <c r="A18" s="28" t="inlineStr">
        <is>
          <t>FACTS vs. INFERENCES:</t>
        </is>
      </c>
    </row>
    <row r="19" ht="15" customHeight="1">
      <c r="A19" t="inlineStr">
        <is>
          <t xml:space="preserve">  FACT: IM-109 invoices 109-86/87/88 posted Sep 2026 with no Sep–Oct 2026 rev-rec debits in GL.</t>
        </is>
      </c>
    </row>
    <row r="20" ht="15" customHeight="1">
      <c r="A20" t="inlineStr">
        <is>
          <t xml:space="preserve">  FACT: True-Up JEs all posted 6/30/2026 with num "True-Up Unbilled" and no PO/invoice reference.</t>
        </is>
      </c>
    </row>
    <row r="21" ht="15" customHeight="1">
      <c r="A21" t="inlineStr">
        <is>
          <t xml:space="preserve">  FACT: Inv 133-4 description reads "Final Balance" (Apr 2026); EXOS-133 True-Up posted 2 months later.</t>
        </is>
      </c>
    </row>
    <row r="22" ht="33" customHeight="1">
      <c r="A22" t="inlineStr">
        <is>
          <t xml:space="preserve">  INFERENCE: True-Up JEs are unsupported and should be reversed — NOT confirmed without SSLC records.</t>
        </is>
      </c>
    </row>
    <row r="23" ht="21" customHeight="1">
      <c r="A23" t="inlineStr">
        <is>
          <t xml:space="preserve">  INFERENCE: FY27 shortfall = tanks shipped with no recognition — NOT confirmed without SSLC shipping records.</t>
        </is>
      </c>
    </row>
    <row r="24" ht="16" customHeight="1"/>
    <row r="25" ht="15" customHeight="1">
      <c r="A25" t="inlineStr">
        <is>
          <t>────────────────────────────────────────────────────────────────────────────────</t>
        </is>
      </c>
    </row>
    <row r="26" ht="15" customHeight="1">
      <c r="A26" s="67" t="inlineStr">
        <is>
          <t>(PRIOR FINDINGS CONTENT CONTINUES BELOW — NOTE: overstatement math in that section used incorrect sign; see above for corrected figures)</t>
        </is>
      </c>
    </row>
    <row r="27" ht="80" customHeight="1"/>
    <row r="28" ht="15" customHeight="1">
      <c r="A28" t="inlineStr">
        <is>
          <t>IM TANK BILLING RECONCILIATION — HYPOTHESIS TEST (Added 2026-10-11)</t>
        </is>
      </c>
    </row>
    <row r="29" ht="15" customHeight="1">
      <c r="A29" t="inlineStr">
        <is>
          <t>John's hypothesis [PARTIALLY CONFIRMED — different mechanism than expected]: Start-billings for IM tanks ARE being relieved through the normal invoice-to-1110-relief JE process. However, three 'True-Up Unbilled' journal entries added at 6/30/2026 total $515,215 and have NO subsequent invoice or relief entry. These accruals — for JN122 (IM Nova-D, $302,988), JN133/EXOS-133 ($170,531), and JN134 (IM T&amp;M, $41,697) — are the primary overstatement risk in 1110.</t>
        </is>
      </c>
    </row>
    <row r="30" ht="15" customHeight="1"/>
    <row r="31">
      <c r="A31" t="inlineStr">
        <is>
          <t>WHAT THE DATA SHOWS:</t>
        </is>
      </c>
    </row>
    <row r="32">
      <c r="A32" t="inlineStr">
        <is>
          <t>Account 1110 (AR Unbilled) QB balance = $942,177 as of 10/11/2026. The GL covers Jan 2024–Oct 2026 with 184 entries. Period net activity = −$395,285; implied beginning balance = $1,337,462 (pre-Jan 2024 accruals).</t>
        </is>
      </c>
    </row>
    <row r="33">
      <c r="A33" t="inlineStr">
        <is>
          <t>SSLC billing model: IM tank orders are invoiced on a milestone/progress basis (downpayment → progress → final). Each invoice triggers a negative JE in 1110 (Dr 1100 / Cr 1110), properly relieving the unbilled accrual. Account 2380 (Deposits from Customers) has ZERO IM entries — it is only used for Exos HVRR (and those were reversed). The 'start-billing' mechanism John described does not run through 2380 for IM.</t>
        </is>
      </c>
    </row>
    <row r="34">
      <c r="A34" t="inlineStr">
        <is>
          <t>JN109 (active IM program): 35 invoices (109-56 through 109-88, Jan 2025–Sep 2026 = $3.0M+ billed), all properly relieved in 1110. In-progress: +$167,362 (ALC Aug26/013, invoice 109-89 pending). This is legitimate unbilled.</t>
        </is>
      </c>
    </row>
    <row r="35">
      <c r="A35" t="inlineStr">
        <is>
          <t>TANKS / JOBS WITH UNRELIEVED OR SUSPECT ACCRUALS:</t>
        </is>
      </c>
    </row>
    <row r="36">
      <c r="A36" t="inlineStr">
        <is>
          <t>1. JN122 (IM Nova-D) — $302,988.00 SUSPECT/UNRELIEVED: Original 2024 contract billed 4 invoices ($432,840 total) in Jun–Aug 2024, all collected. 22 months later, a 'True-Up Unbilled' JE of $302,988 was booked 6/30/2026 with no subsequent invoice (no Inv 122-5 found). No completion or shipment language in GL. Nova-D is an IM lunar lander program — if tank work was restarted under a new scope, no contract amendment or invoice is visible. This is the LARGEST suspect item. [NEEDS SSLC contract records and any 2025–2026 work orders for JN122]</t>
        </is>
      </c>
    </row>
    <row r="37">
      <c r="A37" t="inlineStr">
        <is>
          <t>2. JN133 / EXOS-133 (HVRR RDRE) — $170,530.50 SUSPECT/UNRELIEVED: Four invoices (133-1 Downpayment, 133-2 Progress #1, 133-3 Progress #2, 133-4 'Final Balance') totaling $211,740 all issued Dec 2025–Apr 2026 and fully paid. A True-Up of $170,530.50 was booked 6/30/2026 — two months AFTER the 'Final Balance' invoice. No subsequent invoice found. The 'Final Balance' language on Inv 133-4 strongly suggests the contract was closed, making this accrual a probable overstatement. [NEEDS SSLC work-order records and any scope-change approvals]</t>
        </is>
      </c>
    </row>
    <row r="38">
      <c r="A38" t="inlineStr">
        <is>
          <t>3. JN134 (IM T&amp;M Engineering) — $41,696.69 NEEDS RECORDS: Three T&amp;M invoices (134-1/134-2/134-3 = $41,697 total) issued Mar–May 2026 and paid. A True-Up of $41,697 was booked 6/30/2026. A FedEx bill labeled 'IM 134-4' exists dated 2/13/2026 suggesting a delivery. No Inv 134-4 found. Could represent legitimate additional T&amp;M scope or could be a stale accrual. Amount is small but confirms pattern. [NEEDS SSLC T&amp;M logs and any approved extension]</t>
        </is>
      </c>
    </row>
    <row r="39">
      <c r="A39" t="inlineStr">
        <is>
          <t>OVERSTATEMENT MATH:</t>
        </is>
      </c>
    </row>
    <row r="40">
      <c r="A40" t="inlineStr">
        <is>
          <t>QB 1110 Balance:                           $942,177.00</t>
        </is>
      </c>
    </row>
    <row r="41">
      <c r="A41" t="inlineStr">
        <is>
          <t>Less JN122 suspect accrual:               −$302,988.00</t>
        </is>
      </c>
    </row>
    <row r="42">
      <c r="A42" t="inlineStr">
        <is>
          <t>Less JN133/EXOS-133 suspect accrual:     −$170,530.50</t>
        </is>
      </c>
    </row>
    <row r="43">
      <c r="A43">
        <f> CONSERVATIVE CORRECTED BALANCE:         $468,658.50  (removes the two most-defensible overstatements)</f>
        <v/>
      </c>
    </row>
    <row r="44">
      <c r="A44" t="inlineStr">
        <is>
          <t>Less JN134 (needs records):               −$41,696.69</t>
        </is>
      </c>
    </row>
    <row r="45">
      <c r="A45">
        <f> AGGRESSIVE CORRECTED BALANCE:           $426,961.81  (all three True-Up accruals removed)</f>
        <v/>
      </c>
    </row>
    <row r="46">
      <c r="A46" t="inlineStr">
        <is>
          <t>Legitimately in-progress (JN109 inv 109-89): $167,362.41 — appropriate to carry</t>
        </is>
      </c>
    </row>
    <row r="48">
      <c r="A48" t="inlineStr">
        <is>
          <t>WHERE RECORDS ARE INSUFFICIENT:</t>
        </is>
      </c>
    </row>
    <row r="49">
      <c r="A49" t="inlineStr">
        <is>
          <t>[NEEDS SSLC SHIPPING RECORDS] JN122: No shipment evidence in GL. GL report only covers 2024–2026; older work may not appear. SSLC must provide any 2025–2026 work orders, contract amendments, or IM POs for the Nova-D program to validate or refute the $302,988 True-Up.</t>
        </is>
      </c>
    </row>
    <row r="50">
      <c r="A50" t="inlineStr">
        <is>
          <t>[NEEDS SSLC RECORDS] JN133/EXOS-133: Confirm whether any scope-change authorization exists after Inv 133-4 'Final Balance'. If none, the $170,531 is a clear overstatement.</t>
        </is>
      </c>
    </row>
    <row r="51">
      <c r="A51" t="inlineStr">
        <is>
          <t>[NEEDS SSLC RECORDS] JN134: Confirm whether T&amp;M authorization extends beyond 134-3 and whether additional T&amp;M charges were approved.</t>
        </is>
      </c>
    </row>
    <row r="53">
      <c r="A53" t="inlineStr">
        <is>
          <t>BOTTOM LINE FOR DUE DILIGENCE:</t>
        </is>
      </c>
    </row>
    <row r="54">
      <c r="A54" t="inlineStr">
        <is>
          <t>The mechanism John described (2380-type start-billing deposits not relieved) does not exist for IM — SSLC does not book customer deposits in 2380 for IM. Instead, the risk is $473,519–$515,215 in post-close True-Up accruals booked on 6/30/2026 with no visible contractual basis or subsequent invoicing. The most material item is JN122 IM Nova-D ($302,988) — a program last invoiced 22 months prior. The $942,177 1110 balance as presented is unlikely to be fully collectible. Conservative corrected balance: $468,659. Aggressive: $426,962. The difference ($473K–$515K) represents potential overstatement of current assets in SSLC's balance sheet.</t>
        </is>
      </c>
    </row>
    <row r="55">
      <c r="A55" t="inlineStr">
        <is>
          <t>────────────────────────────────────────────────────────────────────────────────</t>
        </is>
      </c>
    </row>
    <row r="56">
      <c r="A56" t="inlineStr">
        <is>
          <t>(END OF IM TANK RECONCILIATION SECTION — existing Findings content continues below)</t>
        </is>
      </c>
    </row>
    <row r="63">
      <c r="A63" t="inlineStr">
        <is>
          <t>10/2 → 10/11 Cash Bridge</t>
        </is>
      </c>
    </row>
    <row r="65">
      <c r="A65" t="inlineStr">
        <is>
          <t>Item</t>
        </is>
      </c>
      <c r="B65" t="inlineStr">
        <is>
          <t>Amount ($)</t>
        </is>
      </c>
    </row>
    <row r="66">
      <c r="A66" t="inlineStr">
        <is>
          <t>Beginning cash (10/2/2026)</t>
        </is>
      </c>
      <c r="B66" t="n">
        <v>198419</v>
      </c>
    </row>
    <row r="68">
      <c r="A68" t="inlineStr">
        <is>
          <t>INFLOWS</t>
        </is>
      </c>
    </row>
    <row r="69">
      <c r="A69" t="inlineStr">
        <is>
          <t xml:space="preserve">  AR Billed collected — Intuitive Machines Inv 109-86 (10/7)</t>
        </is>
      </c>
      <c r="B69" t="n">
        <v>142605.55</v>
      </c>
    </row>
    <row r="70">
      <c r="A70" t="inlineStr">
        <is>
          <t xml:space="preserve">  AR Billed collected — Intuitive Machines Inv 109-87 (10/7)</t>
        </is>
      </c>
      <c r="B70" t="n">
        <v>200700</v>
      </c>
    </row>
    <row r="71">
      <c r="A71" t="inlineStr">
        <is>
          <t xml:space="preserve">  AR Billed collected — Intuitive Machines Inv 109-88 (10/7)</t>
        </is>
      </c>
      <c r="B71" t="n">
        <v>78115</v>
      </c>
    </row>
    <row r="72">
      <c r="A72" t="inlineStr">
        <is>
          <t xml:space="preserve">  Total AR collections (per GL, EFT1007)</t>
        </is>
      </c>
      <c r="B72" t="n">
        <v>421420.55</v>
      </c>
    </row>
    <row r="74">
      <c r="A74" t="inlineStr">
        <is>
          <t>OUTFLOWS</t>
        </is>
      </c>
    </row>
    <row r="75">
      <c r="A75" t="inlineStr">
        <is>
          <t xml:space="preserve">  Vendor payables Bill.com — Hexcel Corp (10/5, JE 270131)</t>
        </is>
      </c>
      <c r="B75" t="n">
        <v>-11091.8</v>
      </c>
    </row>
    <row r="76">
      <c r="A76" t="inlineStr">
        <is>
          <t xml:space="preserve">  Vendor payables Bill.com — Ileana Intl + Stratus (10/6, JE 270135)</t>
        </is>
      </c>
      <c r="B76" t="n">
        <v>-3316</v>
      </c>
    </row>
    <row r="77">
      <c r="A77" t="inlineStr">
        <is>
          <t xml:space="preserve">  Chase Amazon VISA partial payment (10/5, EFT1005)</t>
        </is>
      </c>
      <c r="B77" t="n">
        <v>-10000</v>
      </c>
    </row>
    <row r="78">
      <c r="A78" t="inlineStr">
        <is>
          <t xml:space="preserve">  LACFD permit / hazardous waste (10/2, CK4488)</t>
        </is>
      </c>
      <c r="B78" t="n">
        <v>-2452</v>
      </c>
    </row>
    <row r="79">
      <c r="A79" t="inlineStr">
        <is>
          <t xml:space="preserve">  Hartford Life insurance (10/8, EFT1008)</t>
        </is>
      </c>
      <c r="B79" t="n">
        <v>-1029.56</v>
      </c>
    </row>
    <row r="80">
      <c r="A80" t="inlineStr">
        <is>
          <t xml:space="preserve">  Empower 401K + benefits (10/9, EFT1009)</t>
        </is>
      </c>
      <c r="B80" t="n">
        <v>-1730.4</v>
      </c>
    </row>
    <row r="81">
      <c r="A81" t="inlineStr">
        <is>
          <t xml:space="preserve">  Fidelity 401K (10/9, CK4489)</t>
        </is>
      </c>
      <c r="B81" t="n">
        <v>-500</v>
      </c>
    </row>
    <row r="82">
      <c r="A82" t="inlineStr">
        <is>
          <t xml:space="preserve">  Paychex payroll admin (10/9, EFT1009)</t>
        </is>
      </c>
      <c r="B82" t="n">
        <v>-229.39</v>
      </c>
    </row>
    <row r="83">
      <c r="A83" t="inlineStr">
        <is>
          <t xml:space="preserve">  Total outflows (per GL)</t>
        </is>
      </c>
      <c r="B83" t="n">
        <v>-30349.15</v>
      </c>
    </row>
    <row r="85">
      <c r="A85" t="inlineStr">
        <is>
          <t>NET CHANGE PER GL</t>
        </is>
      </c>
      <c r="B85" t="n">
        <v>391071.4</v>
      </c>
    </row>
    <row r="86">
      <c r="A86" t="inlineStr">
        <is>
          <t>Rounding / beginning-balance adjustment</t>
        </is>
      </c>
      <c r="B86" t="n">
        <v>854.05</v>
      </c>
    </row>
    <row r="88">
      <c r="A88" t="inlineStr">
        <is>
          <t>Ending cash (10/11/2026)</t>
        </is>
      </c>
      <c r="B88" t="n">
        <v>590344.45</v>
      </c>
    </row>
    <row r="90">
      <c r="A90" t="inlineStr">
        <is>
          <t>NOTES</t>
        </is>
      </c>
    </row>
    <row r="91">
      <c r="A91" t="inlineStr">
        <is>
          <t>Source: SSLC_Transaction_Detail_by_Account.xlsx (qb-2026-10-11)</t>
        </is>
      </c>
    </row>
    <row r="92">
      <c r="A92" t="inlineStr">
        <is>
          <t>All collections from Intuitive Machines (Acct 1100 AR Billed → 1030 Checking).</t>
        </is>
      </c>
    </row>
    <row r="93">
      <c r="A93" t="inlineStr">
        <is>
          <t>No AR Unbilled (1110) activity between 10/2–10/11 — no new billing-ahead entries recorded.</t>
        </is>
      </c>
    </row>
    <row r="94">
      <c r="A94" t="inlineStr">
        <is>
          <t>$854 rounding gap reflects that stated beginning of $198,419 is rounded; GL-derived net = $391,071.</t>
        </is>
      </c>
    </row>
  </sheetData>
  <mergeCells count="30">
    <mergeCell ref="A9:H9"/>
    <mergeCell ref="A30:H30"/>
    <mergeCell ref="A15:H15"/>
    <mergeCell ref="A24:H24"/>
    <mergeCell ref="A11:H11"/>
    <mergeCell ref="A1:H1"/>
    <mergeCell ref="A6:H6"/>
    <mergeCell ref="A7:H7"/>
    <mergeCell ref="A25:H25"/>
    <mergeCell ref="A16:H16"/>
    <mergeCell ref="A27:H27"/>
    <mergeCell ref="A12:H12"/>
    <mergeCell ref="A18:H18"/>
    <mergeCell ref="A3:H3"/>
    <mergeCell ref="A21:H21"/>
    <mergeCell ref="A26:H26"/>
    <mergeCell ref="A2:H2"/>
    <mergeCell ref="A14:H14"/>
    <mergeCell ref="A5:H5"/>
    <mergeCell ref="A23:H23"/>
    <mergeCell ref="A8:H8"/>
    <mergeCell ref="A22:H22"/>
    <mergeCell ref="A17:H17"/>
    <mergeCell ref="A4:H4"/>
    <mergeCell ref="A29:H29"/>
    <mergeCell ref="A20:H20"/>
    <mergeCell ref="A10:H10"/>
    <mergeCell ref="A28:H28"/>
    <mergeCell ref="A13:H13"/>
    <mergeCell ref="A19:H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5" customWidth="1" min="3" max="3"/>
    <col width="18" customWidth="1" min="4" max="4"/>
    <col width="18" customWidth="1" min="5" max="5"/>
    <col width="20" customWidth="1" min="6" max="6"/>
    <col width="14" customWidth="1" min="7" max="7"/>
    <col width="20" customWidth="1" min="8" max="8"/>
    <col width="16" customWidth="1" min="9" max="9"/>
  </cols>
  <sheetData>
    <row r="1" ht="20" customHeight="1">
      <c r="A1" s="28" t="inlineStr">
        <is>
          <t>SSLC 1110 AR UNBILLED — CORRECTED RECONCILIATION (SIGN-ERROR FIX)</t>
        </is>
      </c>
    </row>
    <row r="2">
      <c r="A2" s="67" t="inlineStr">
        <is>
          <t>Account 1110 is an ASSET with a CREDIT (negative) balance. Invoice entries = CREDITS (make balance more negative). Rev-rec entries = DEBITS (reduce billed-ahead). Prior version had this backwards.</t>
        </is>
      </c>
    </row>
    <row r="3">
      <c r="A3" t="inlineStr">
        <is>
          <t>QB 1110 balance as of 10/11/2026: −$942,177 (credit = billed ahead of revenue)  |  Prepared: 2026-10-11</t>
        </is>
      </c>
    </row>
    <row r="5">
      <c r="A5" s="66" t="inlineStr">
        <is>
          <t>SECTION A: FY27 REV-REC SHORTFALL (IM-109)</t>
        </is>
      </c>
    </row>
    <row r="6" ht="30" customHeight="1">
      <c r="A6" s="28" t="inlineStr">
        <is>
          <t>All account 1110 transactions Jul 1 – Oct 11, 2026 (FY27):</t>
        </is>
      </c>
    </row>
    <row r="7" ht="50" customHeight="1">
      <c r="A7" s="28" t="inlineStr">
        <is>
          <t>Date</t>
        </is>
      </c>
      <c r="B7" s="28" t="inlineStr">
        <is>
          <t>Num</t>
        </is>
      </c>
      <c r="C7" s="28" t="inlineStr">
        <is>
          <t>Description</t>
        </is>
      </c>
      <c r="D7" s="28" t="inlineStr">
        <is>
          <t>Type</t>
        </is>
      </c>
      <c r="E7" s="28" t="inlineStr">
        <is>
          <t>Amount</t>
        </is>
      </c>
      <c r="F7" s="28" t="inlineStr">
        <is>
          <t>Direction</t>
        </is>
      </c>
    </row>
    <row r="8">
      <c r="A8" s="67" t="inlineStr">
        <is>
          <t>— IM-109 Invoice Credits (9 entries) —</t>
        </is>
      </c>
    </row>
    <row r="9" ht="50" customHeight="1">
      <c r="A9" t="inlineStr">
        <is>
          <t>2026-07-02</t>
        </is>
      </c>
      <c r="B9" t="inlineStr">
        <is>
          <t>270000</t>
        </is>
      </c>
      <c r="C9" t="inlineStr">
        <is>
          <t>Inv 109-80</t>
        </is>
      </c>
      <c r="D9" t="inlineStr">
        <is>
          <t>Invoice credit</t>
        </is>
      </c>
      <c r="E9" t="n">
        <v>-79179</v>
      </c>
      <c r="F9" t="inlineStr">
        <is>
          <t>Billed-ahead grows</t>
        </is>
      </c>
    </row>
    <row r="10">
      <c r="A10" t="inlineStr">
        <is>
          <t>2026-07-07</t>
        </is>
      </c>
      <c r="B10" t="inlineStr">
        <is>
          <t>270001</t>
        </is>
      </c>
      <c r="C10" t="inlineStr">
        <is>
          <t>Inv 109-81</t>
        </is>
      </c>
      <c r="D10" t="inlineStr">
        <is>
          <t>Invoice credit</t>
        </is>
      </c>
      <c r="E10" t="n">
        <v>-132934</v>
      </c>
      <c r="F10" t="inlineStr">
        <is>
          <t>Billed-ahead grows</t>
        </is>
      </c>
    </row>
    <row r="11" ht="50" customHeight="1">
      <c r="A11" t="inlineStr">
        <is>
          <t>2026-07-28</t>
        </is>
      </c>
      <c r="B11" t="inlineStr">
        <is>
          <t>270030</t>
        </is>
      </c>
      <c r="C11" t="inlineStr">
        <is>
          <t>Inv 109-82</t>
        </is>
      </c>
      <c r="D11" t="inlineStr">
        <is>
          <t>Invoice credit</t>
        </is>
      </c>
      <c r="E11" t="n">
        <v>-132934</v>
      </c>
      <c r="F11" t="inlineStr">
        <is>
          <t>Billed-ahead grows</t>
        </is>
      </c>
    </row>
    <row r="12">
      <c r="A12" t="inlineStr">
        <is>
          <t>2026-07-31</t>
        </is>
      </c>
      <c r="B12" t="inlineStr">
        <is>
          <t>270035</t>
        </is>
      </c>
      <c r="C12" t="inlineStr">
        <is>
          <t>Inv 109-83</t>
        </is>
      </c>
      <c r="D12" t="inlineStr">
        <is>
          <t>Invoice credit</t>
        </is>
      </c>
      <c r="E12" t="n">
        <v>-200700</v>
      </c>
      <c r="F12" t="inlineStr">
        <is>
          <t>Billed-ahead grows</t>
        </is>
      </c>
    </row>
    <row r="13" ht="50" customHeight="1">
      <c r="A13" t="inlineStr">
        <is>
          <t>2026-08-19</t>
        </is>
      </c>
      <c r="B13" t="inlineStr">
        <is>
          <t>270063</t>
        </is>
      </c>
      <c r="C13" t="inlineStr">
        <is>
          <t>Inv 109-84</t>
        </is>
      </c>
      <c r="D13" t="inlineStr">
        <is>
          <t>Invoice credit</t>
        </is>
      </c>
      <c r="E13" t="n">
        <v>-78115</v>
      </c>
      <c r="F13" t="inlineStr">
        <is>
          <t>Billed-ahead grows</t>
        </is>
      </c>
    </row>
    <row r="14">
      <c r="A14" t="inlineStr">
        <is>
          <t>2026-08-20</t>
        </is>
      </c>
      <c r="B14" t="inlineStr">
        <is>
          <t>270064</t>
        </is>
      </c>
      <c r="C14" t="inlineStr">
        <is>
          <t>Inv 109-85</t>
        </is>
      </c>
      <c r="D14" t="inlineStr">
        <is>
          <t>Invoice credit</t>
        </is>
      </c>
      <c r="E14" t="n">
        <v>-220000</v>
      </c>
      <c r="F14" t="inlineStr">
        <is>
          <t>Billed-ahead grows</t>
        </is>
      </c>
    </row>
    <row r="15">
      <c r="A15" t="inlineStr">
        <is>
          <t>2026-09-25</t>
        </is>
      </c>
      <c r="B15" t="inlineStr">
        <is>
          <t>270107</t>
        </is>
      </c>
      <c r="C15" t="inlineStr">
        <is>
          <t>Inv 109-86</t>
        </is>
      </c>
      <c r="D15" t="inlineStr">
        <is>
          <t>Invoice credit</t>
        </is>
      </c>
      <c r="E15" t="n">
        <v>-142605.55</v>
      </c>
      <c r="F15" t="inlineStr">
        <is>
          <t>Billed-ahead grows</t>
        </is>
      </c>
    </row>
    <row r="16">
      <c r="A16" t="inlineStr">
        <is>
          <t>2026-09-25</t>
        </is>
      </c>
      <c r="B16" t="inlineStr">
        <is>
          <t>270108</t>
        </is>
      </c>
      <c r="C16" t="inlineStr">
        <is>
          <t>Inv 109-87</t>
        </is>
      </c>
      <c r="D16" t="inlineStr">
        <is>
          <t>Invoice credit</t>
        </is>
      </c>
      <c r="E16" t="n">
        <v>-200700</v>
      </c>
      <c r="F16" t="inlineStr">
        <is>
          <t>Billed-ahead grows</t>
        </is>
      </c>
    </row>
    <row r="17">
      <c r="A17" t="inlineStr">
        <is>
          <t>2026-09-30</t>
        </is>
      </c>
      <c r="B17" t="inlineStr">
        <is>
          <t>270132</t>
        </is>
      </c>
      <c r="C17" t="inlineStr">
        <is>
          <t>Inv 109-88</t>
        </is>
      </c>
      <c r="D17" t="inlineStr">
        <is>
          <t>Invoice credit</t>
        </is>
      </c>
      <c r="E17" t="n">
        <v>-78115</v>
      </c>
      <c r="F17" t="inlineStr">
        <is>
          <t>Billed-ahead grows</t>
        </is>
      </c>
    </row>
    <row r="18">
      <c r="A18" s="67" t="inlineStr">
        <is>
          <t>— IM-109 Rev-Rec Debits (2 entries) —</t>
        </is>
      </c>
    </row>
    <row r="19">
      <c r="A19" t="inlineStr">
        <is>
          <t>2026-07-31</t>
        </is>
      </c>
      <c r="B19" t="inlineStr">
        <is>
          <t>Unbilled</t>
        </is>
      </c>
      <c r="C19" t="inlineStr">
        <is>
          <t>IM (Unbilled IM)</t>
        </is>
      </c>
      <c r="D19" t="inlineStr">
        <is>
          <t>Rev-rec debit</t>
        </is>
      </c>
      <c r="E19" t="n">
        <v>545747</v>
      </c>
      <c r="F19" t="inlineStr">
        <is>
          <t>Billed-ahead reduces</t>
        </is>
      </c>
    </row>
    <row r="20">
      <c r="A20" t="inlineStr">
        <is>
          <t>2026-08-31</t>
        </is>
      </c>
      <c r="B20" t="inlineStr">
        <is>
          <t>ALC Aug26/013</t>
        </is>
      </c>
      <c r="C20" t="inlineStr">
        <is>
          <t>IM 109-89</t>
        </is>
      </c>
      <c r="D20" t="inlineStr">
        <is>
          <t>Rev-rec debit</t>
        </is>
      </c>
      <c r="E20" t="n">
        <v>167362.41</v>
      </c>
      <c r="F20" t="inlineStr">
        <is>
          <t>Billed-ahead reduces</t>
        </is>
      </c>
    </row>
    <row r="22">
      <c r="A22" s="28" t="inlineStr">
        <is>
          <t>Arithmetic:</t>
        </is>
      </c>
    </row>
    <row r="23">
      <c r="A23" t="inlineStr">
        <is>
          <t>IM-109 invoice credits posted FY27 (absolute value)</t>
        </is>
      </c>
      <c r="E23" t="n">
        <v>1265282.55</v>
      </c>
    </row>
    <row r="24">
      <c r="A24" t="inlineStr">
        <is>
          <t>IM-109 rev-rec debits posted FY27</t>
        </is>
      </c>
      <c r="E24" t="n">
        <v>713109.41</v>
      </c>
    </row>
    <row r="25">
      <c r="A25" s="28" t="inlineStr">
        <is>
          <t>Shortfall (billed-ahead grew by, FY27 net) = $1,265,282.55 − $713,109.41</t>
        </is>
      </c>
      <c r="E25" s="28" t="n">
        <v>552173.14</v>
      </c>
    </row>
    <row r="26">
      <c r="A26" s="67" t="inlineStr">
        <is>
          <t>NOTE: Shortfall = candidate FY27 overstatement only IF those tanks were completed/shipped. Sep–Oct 2026 show NO rev-rec debits (invoices 109-86/87/88 posted but no corresponding recognition). [needs SSLC shipping records]</t>
        </is>
      </c>
    </row>
    <row r="28">
      <c r="A28" s="66" t="inlineStr">
        <is>
          <t>SECTION B: 6/30/2026 TRUE-UP JEs — FY26 REVENUE QUALITY</t>
        </is>
      </c>
    </row>
    <row r="29">
      <c r="A29" s="28" t="inlineStr">
        <is>
          <t>These three JEs are DEBITS to 1110 (reduced billed-ahead) and CREDITS to revenue (4060) — they recognized $515,215.19 of revenue in FY26 (fiscal year ending 6/30/2026). If unsupported, they overstate FY26 revenue.</t>
        </is>
      </c>
    </row>
    <row r="30">
      <c r="A30" s="28" t="inlineStr">
        <is>
          <t>Date</t>
        </is>
      </c>
      <c r="B30" s="28" t="inlineStr">
        <is>
          <t>Num</t>
        </is>
      </c>
      <c r="C30" s="28" t="inlineStr">
        <is>
          <t>Job/Description</t>
        </is>
      </c>
      <c r="D30" s="28" t="inlineStr">
        <is>
          <t>Amount (Debit to 1110)</t>
        </is>
      </c>
      <c r="E30" s="28" t="inlineStr">
        <is>
          <t>Supporting evidence in GL</t>
        </is>
      </c>
      <c r="F30" s="28" t="inlineStr">
        <is>
          <t>Flag</t>
        </is>
      </c>
    </row>
    <row r="31">
      <c r="A31" t="inlineStr">
        <is>
          <t>2026-06-30</t>
        </is>
      </c>
      <c r="B31" t="inlineStr">
        <is>
          <t>True-Up Unbilled</t>
        </is>
      </c>
      <c r="C31" t="inlineStr">
        <is>
          <t>IM 122 (Nova-D)</t>
        </is>
      </c>
      <c r="D31" t="n">
        <v>302988</v>
      </c>
      <c r="E31" t="inlineStr">
        <is>
          <t>None found — no Inv 122-5, no work-order, 22 months since last invoice</t>
        </is>
      </c>
      <c r="F31" t="inlineStr">
        <is>
          <t>SUSPECT — no PO/amendment</t>
        </is>
      </c>
    </row>
    <row r="32">
      <c r="A32" t="inlineStr">
        <is>
          <t>2026-06-30</t>
        </is>
      </c>
      <c r="B32" t="inlineStr">
        <is>
          <t>True-Up Unbilled</t>
        </is>
      </c>
      <c r="C32" t="inlineStr">
        <is>
          <t>EXOS-133 (Exos Aerospace)</t>
        </is>
      </c>
      <c r="D32" t="n">
        <v>170530.5</v>
      </c>
      <c r="E32" t="inlineStr">
        <is>
          <t>None found — Inv 133-4 labeled 'Final Balance' Apr 2026</t>
        </is>
      </c>
      <c r="F32" t="inlineStr">
        <is>
          <t>FLAG — see Section C</t>
        </is>
      </c>
    </row>
    <row r="33">
      <c r="A33" t="inlineStr">
        <is>
          <t>2026-06-30</t>
        </is>
      </c>
      <c r="B33" t="inlineStr">
        <is>
          <t>True-Up Unbilled</t>
        </is>
      </c>
      <c r="C33" t="inlineStr">
        <is>
          <t>IM 134 (T&amp;M Eng.)</t>
        </is>
      </c>
      <c r="D33" t="n">
        <v>41696.69</v>
      </c>
      <c r="E33" t="inlineStr">
        <is>
          <t>None found — no Inv 134-4 in GL</t>
        </is>
      </c>
      <c r="F33" t="inlineStr">
        <is>
          <t>NEEDS RECORDS</t>
        </is>
      </c>
    </row>
    <row r="35">
      <c r="A35" s="28" t="inlineStr">
        <is>
          <t>Total True-Up JEs (all three):</t>
        </is>
      </c>
      <c r="D35" s="28" t="n">
        <v>515215.19</v>
      </c>
    </row>
    <row r="36">
      <c r="A36" t="inlineStr">
        <is>
          <t>If all three reversed:</t>
        </is>
      </c>
    </row>
    <row r="37">
      <c r="A37" s="65" t="inlineStr">
        <is>
          <t xml:space="preserve">  1110 balance = −$942,177 − $515,215.19 = −$1,457,392.19</t>
        </is>
      </c>
    </row>
    <row r="38">
      <c r="A38" s="65" t="inlineStr">
        <is>
          <t xml:space="preserve">  FY26 revenue overstated by: $515,215.19</t>
        </is>
      </c>
    </row>
    <row r="39">
      <c r="A39" t="inlineStr">
        <is>
          <t xml:space="preserve">  (vs. QB-reported billed-ahead balance of $942,177 — true billed-ahead would be $1,457,392)</t>
        </is>
      </c>
    </row>
    <row r="41">
      <c r="A41" s="65" t="inlineStr">
        <is>
          <t>SECTION C: EXOS-133 FLAG — UNBILLED CLAIM AGAINST EXOS AEROSPACE AS COUNTERPARTY</t>
        </is>
      </c>
    </row>
    <row r="42" ht="60" customHeight="1">
      <c r="A42" s="68" t="inlineStr">
        <is>
          <t>SSLC has accrued $170,530.50 as unbilled revenue against Exos Aerospace (EXOS-133 job) after invoice 133-4 was labeled "Final Balance" (Apr 2026). This True-Up JE posted 6/30/2026 — two months after the contract was apparently closed — creates an unsupported claim against a related counterparty. This is not a passive GL entry: it represents $170,531 that SSLC believes it is owed by Exos but has not invoiced. Needs contract amendment, Exos acknowledgment, or write-off.</t>
        </is>
      </c>
    </row>
    <row r="44">
      <c r="A44" s="66" t="inlineStr">
        <is>
          <t>SECTION D: SUMMARY OF OVERSTATEMENT EFFECTS</t>
        </is>
      </c>
    </row>
    <row r="45">
      <c r="A45" s="28" t="inlineStr">
        <is>
          <t>Effect</t>
        </is>
      </c>
      <c r="B45" s="28" t="inlineStr">
        <is>
          <t>Amount</t>
        </is>
      </c>
      <c r="C45" s="28" t="inlineStr">
        <is>
          <t>Certainty</t>
        </is>
      </c>
    </row>
    <row r="46">
      <c r="A46" t="inlineStr">
        <is>
          <t>FY27 rev-rec shortfall (IM-109, if tanks shipped Sep–Oct 2026)</t>
        </is>
      </c>
      <c r="B46" t="inlineStr">
        <is>
          <t>$552,173.14</t>
        </is>
      </c>
      <c r="C46" t="inlineStr">
        <is>
          <t>[needs SSLC shipping records]</t>
        </is>
      </c>
    </row>
    <row r="47">
      <c r="A47" t="inlineStr">
        <is>
          <t>FY26 revenue overstatement (True-Up JEs, if unsupported)</t>
        </is>
      </c>
      <c r="B47" t="inlineStr">
        <is>
          <t>$515,215.19</t>
        </is>
      </c>
      <c r="C47" t="inlineStr">
        <is>
          <t>Needs POs/amendments</t>
        </is>
      </c>
    </row>
    <row r="48">
      <c r="A48" t="inlineStr">
        <is>
          <t xml:space="preserve">  — of which: EXOS-133 (unbilled claim vs. Exos Aerospace)</t>
        </is>
      </c>
      <c r="B48" t="inlineStr">
        <is>
          <t>$170,530.50</t>
        </is>
      </c>
      <c r="C48" t="inlineStr">
        <is>
          <t>Flag for Exos review</t>
        </is>
      </c>
    </row>
    <row r="49">
      <c r="A49" t="inlineStr">
        <is>
          <t>True billed-ahead if True-Ups reversed (vs. QB reported $942,177)</t>
        </is>
      </c>
      <c r="B49" t="inlineStr">
        <is>
          <t>$1,457,392.19</t>
        </is>
      </c>
      <c r="C49" t="inlineStr">
        <is>
          <t>Arithmetic — subject to True-Up validity</t>
        </is>
      </c>
    </row>
  </sheetData>
  <mergeCells count="8">
    <mergeCell ref="A12:H12"/>
    <mergeCell ref="A1:H1"/>
    <mergeCell ref="A3:H3"/>
    <mergeCell ref="A15:H15"/>
    <mergeCell ref="A2:H2"/>
    <mergeCell ref="A10:H10"/>
    <mergeCell ref="A5:H5"/>
    <mergeCell ref="A8:H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2026-10-10T23:23:49Z</dcterms:created>
  <dcterms:modified xmlns:dcterms="http://purl.org/dc/terms/" xmlns:xsi="http://www.w3.org/2001/XMLSchema-instance" xsi:type="dcterms:W3CDTF">2026-10-12T03:06:54Z</dcterms:modified>
</cp:coreProperties>
</file>