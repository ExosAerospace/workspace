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quity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Facility Costs" sheetId="4" state="visible" r:id="rId4"/>
    <sheet xmlns:r="http://schemas.openxmlformats.org/officeDocument/2006/relationships" name="Microcosm Offset" sheetId="5" state="visible" r:id="rId5"/>
    <sheet xmlns:r="http://schemas.openxmlformats.org/officeDocument/2006/relationships" name="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9"/>
    </font>
    <font>
      <b val="1"/>
      <color rgb="00CC0000"/>
      <sz val="10"/>
    </font>
    <font>
      <b val="1"/>
      <sz val="10"/>
    </font>
    <font>
      <sz val="10"/>
    </font>
    <font>
      <b val="1"/>
      <i val="1"/>
      <color rgb="007B3A00"/>
      <sz val="9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F0DC"/>
      </patternFill>
    </fill>
    <fill>
      <patternFill patternType="solid">
        <fgColor rgb="00FFDCE1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2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wrapText="1"/>
    </xf>
    <xf numFmtId="4" fontId="4" fillId="0" borderId="1" pivotButton="0" quotePrefix="0" xfId="0"/>
    <xf numFmtId="0" fontId="2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4" fontId="5" fillId="0" borderId="1" pivotButton="0" quotePrefix="0" xfId="0"/>
    <xf numFmtId="0" fontId="6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4" fontId="4" fillId="5" borderId="1" pivotButton="0" quotePrefix="0" xfId="0"/>
    <xf numFmtId="0" fontId="2" fillId="5" borderId="1" applyAlignment="1" pivotButton="0" quotePrefix="0" xfId="0">
      <alignment wrapText="1"/>
    </xf>
    <xf numFmtId="0" fontId="4" fillId="6" borderId="1" applyAlignment="1" pivotButton="0" quotePrefix="0" xfId="0">
      <alignment wrapText="1"/>
    </xf>
    <xf numFmtId="4" fontId="4" fillId="6" borderId="1" pivotButton="0" quotePrefix="0" xfId="0"/>
    <xf numFmtId="0" fontId="2" fillId="6" borderId="1" applyAlignment="1" pivotButton="0" quotePrefix="0" xfId="0">
      <alignment wrapText="1"/>
    </xf>
    <xf numFmtId="164" fontId="5" fillId="0" borderId="1" pivotButton="0" quotePrefix="0" xfId="0"/>
    <xf numFmtId="164" fontId="4" fillId="5" borderId="1" pivotButton="0" quotePrefix="0" xfId="0"/>
    <xf numFmtId="0" fontId="5" fillId="5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4" fontId="6" fillId="4" borderId="1" pivotButton="0" quotePrefix="0" xfId="0"/>
    <xf numFmtId="0" fontId="2" fillId="4" borderId="1" applyAlignment="1" pivotButton="0" quotePrefix="0" xfId="0">
      <alignment wrapText="1"/>
    </xf>
    <xf numFmtId="164" fontId="6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50" customWidth="1" min="3" max="3"/>
    <col width="28" customWidth="1" min="4" max="4"/>
  </cols>
  <sheetData>
    <row r="1" ht="22" customHeight="1">
      <c r="A1" s="1" t="inlineStr">
        <is>
          <t>SSLC — Equity, Debt &amp; Microcosm Facility Analysis</t>
        </is>
      </c>
    </row>
    <row r="2">
      <c r="A2" s="2" t="inlineStr">
        <is>
          <t>Prepared: 2026-10-11  |  For: John Quinn, CEO / SSLC Board</t>
        </is>
      </c>
    </row>
    <row r="3" ht="18" customHeight="1">
      <c r="A3" s="3" t="inlineStr">
        <is>
          <t>Source: QB live pull 10/11/2026 (SSLC_Balance_Sheet.xlsx + SSLC_Transaction_Detail_by_Account.xlsx).</t>
        </is>
      </c>
    </row>
    <row r="4">
      <c r="A4" s="2" t="inlineStr">
        <is>
          <t>Sources: data-room/SSLC/qb-2026-10-11/SSLC_Balance_Sheet.xlsx  ·  data-room/SSLC/qb-2026-10-11/SSLC_Transaction_Detail_by_Account.xlsx</t>
        </is>
      </c>
    </row>
    <row r="6">
      <c r="A6" s="4" t="inlineStr">
        <is>
          <t>Item</t>
        </is>
      </c>
      <c r="B6" s="4" t="inlineStr">
        <is>
          <t>Amount ($)</t>
        </is>
      </c>
      <c r="C6" s="4" t="inlineStr">
        <is>
          <t>Source</t>
        </is>
      </c>
      <c r="D6" s="4" t="inlineStr">
        <is>
          <t>Status</t>
        </is>
      </c>
    </row>
    <row r="7">
      <c r="A7" s="5" t="inlineStr">
        <is>
          <t>EQUITY</t>
        </is>
      </c>
      <c r="B7" s="26" t="n"/>
      <c r="C7" s="26" t="n"/>
      <c r="D7" s="27" t="n"/>
    </row>
    <row r="8">
      <c r="A8" s="7" t="inlineStr">
        <is>
          <t>Total Paid-in Capital (Common Stock + APIC)</t>
        </is>
      </c>
      <c r="B8" s="8" t="n">
        <v>1014465</v>
      </c>
      <c r="C8" s="9" t="inlineStr">
        <is>
          <t>QB Balance Sheet 8/21/2026</t>
        </is>
      </c>
      <c r="D8" s="9" t="inlineStr">
        <is>
          <t>CONFIRMED</t>
        </is>
      </c>
    </row>
    <row r="9">
      <c r="A9" s="10" t="inlineStr">
        <is>
          <t xml:space="preserve">  Exos Aerospace (18.06%)</t>
        </is>
      </c>
      <c r="B9" s="11" t="n">
        <v>789572</v>
      </c>
      <c r="C9" s="9" t="inlineStr">
        <is>
          <t>Asset Acquisition Agreement Oct 2023</t>
        </is>
      </c>
      <c r="D9" s="9" t="inlineStr">
        <is>
          <t>CONFIRMED</t>
        </is>
      </c>
    </row>
    <row r="10">
      <c r="A10" s="10" t="inlineStr">
        <is>
          <t xml:space="preserve">  Other investors / founders (82%, derived)</t>
        </is>
      </c>
      <c r="B10" s="11" t="n">
        <v>224893</v>
      </c>
      <c r="C10" s="9" t="inlineStr">
        <is>
          <t>Derived: $1,014,465 − $789,572</t>
        </is>
      </c>
      <c r="D10" s="12" t="inlineStr">
        <is>
          <t>[verify — no SSLC cap table on disk]</t>
        </is>
      </c>
    </row>
    <row r="11">
      <c r="A11" s="10" t="inlineStr">
        <is>
          <t>Accumulated Deficit (through FY26)</t>
        </is>
      </c>
      <c r="B11" s="11" t="n">
        <v>-2571013</v>
      </c>
      <c r="C11" s="9" t="inlineStr">
        <is>
          <t>QB Balance Sheet 10/11/2026</t>
        </is>
      </c>
      <c r="D11" s="9" t="inlineStr">
        <is>
          <t>CONFIRMED</t>
        </is>
      </c>
    </row>
    <row r="12">
      <c r="A12" s="7" t="inlineStr">
        <is>
          <t>Total Stockholders' Equity (10/11/2026)</t>
        </is>
      </c>
      <c r="B12" s="8" t="n">
        <v>-1443882</v>
      </c>
      <c r="C12" s="9" t="inlineStr">
        <is>
          <t>QB Balance Sheet 10/11/2026</t>
        </is>
      </c>
      <c r="D12" s="9" t="inlineStr">
        <is>
          <t>CONFIRMED</t>
        </is>
      </c>
    </row>
    <row r="13">
      <c r="A13" s="6" t="n"/>
      <c r="B13" s="6" t="n"/>
      <c r="C13" s="6" t="n"/>
      <c r="D13" s="6" t="n"/>
    </row>
    <row r="14">
      <c r="A14" s="5" t="inlineStr">
        <is>
          <t>DEBT (as of 10/2/2026)</t>
        </is>
      </c>
      <c r="B14" s="26" t="n"/>
      <c r="C14" s="26" t="n"/>
      <c r="D14" s="27" t="n"/>
    </row>
    <row r="15">
      <c r="A15" s="7" t="inlineStr">
        <is>
          <t>Total Loans &amp; Notes</t>
        </is>
      </c>
      <c r="B15" s="8" t="n">
        <v>1027783</v>
      </c>
      <c r="C15" s="9" t="inlineStr">
        <is>
          <t>Board Package 10/6 + QB BS</t>
        </is>
      </c>
      <c r="D15" s="9" t="inlineStr">
        <is>
          <t>CONFIRMED</t>
        </is>
      </c>
    </row>
    <row r="16">
      <c r="A16" s="10" t="inlineStr">
        <is>
          <t xml:space="preserve">  Due to Microcosm (Acct 2385)</t>
        </is>
      </c>
      <c r="B16" s="11" t="n">
        <v>451429</v>
      </c>
      <c r="C16" s="9" t="inlineStr">
        <is>
          <t>QB Acct 2385 — Insider Debt</t>
        </is>
      </c>
      <c r="D16" s="9" t="inlineStr">
        <is>
          <t>CONFIRMED</t>
        </is>
      </c>
    </row>
    <row r="17">
      <c r="A17" s="10" t="inlineStr">
        <is>
          <t xml:space="preserve">  Notes Payable – Bookstore (Acct 2700)</t>
        </is>
      </c>
      <c r="B17" s="11" t="n">
        <v>320582</v>
      </c>
      <c r="C17" s="9" t="inlineStr">
        <is>
          <t>QB Acct 2700</t>
        </is>
      </c>
      <c r="D17" s="9" t="inlineStr">
        <is>
          <t>CONFIRMED</t>
        </is>
      </c>
    </row>
    <row r="18">
      <c r="A18" s="10" t="inlineStr">
        <is>
          <t xml:space="preserve">  EIDL (SBA, Acct 2712)</t>
        </is>
      </c>
      <c r="B18" s="11" t="n">
        <v>132072</v>
      </c>
      <c r="C18" s="9" t="inlineStr">
        <is>
          <t>QB Acct 2712</t>
        </is>
      </c>
      <c r="D18" s="9" t="inlineStr">
        <is>
          <t>CONFIRMED</t>
        </is>
      </c>
    </row>
    <row r="19">
      <c r="A19" s="10" t="inlineStr">
        <is>
          <t xml:space="preserve">  Loan Payable – Wertz (Acct 2714)</t>
        </is>
      </c>
      <c r="B19" s="11" t="n">
        <v>92500</v>
      </c>
      <c r="C19" s="9" t="inlineStr">
        <is>
          <t>QB Acct 2714 — Insider Debt</t>
        </is>
      </c>
      <c r="D19" s="9" t="inlineStr">
        <is>
          <t>CONFIRMED</t>
        </is>
      </c>
    </row>
    <row r="20">
      <c r="A20" s="10" t="inlineStr">
        <is>
          <t xml:space="preserve">  Loan Payable – Exos (Acct 2720, 11% p.a.)</t>
        </is>
      </c>
      <c r="B20" s="11" t="n">
        <v>31200</v>
      </c>
      <c r="C20" s="9" t="inlineStr">
        <is>
          <t>QB Acct 2720. Loan STANDS: SSLC board denied the license, so it was not cancelled (John 10/11)</t>
        </is>
      </c>
      <c r="D20" s="9" t="inlineStr">
        <is>
          <t>CONFIRMED</t>
        </is>
      </c>
    </row>
    <row r="21">
      <c r="A21" s="7" t="inlineStr">
        <is>
          <t>Total Liabilities (all, 10/2/2026)</t>
        </is>
      </c>
      <c r="B21" s="8" t="n">
        <v>1275622</v>
      </c>
      <c r="C21" s="9" t="inlineStr">
        <is>
          <t>Board Package 10/6 PDF</t>
        </is>
      </c>
      <c r="D21" s="9" t="inlineStr">
        <is>
          <t>CONFIRMED</t>
        </is>
      </c>
    </row>
    <row r="22">
      <c r="A22" s="6" t="n"/>
      <c r="B22" s="6" t="n"/>
      <c r="C22" s="6" t="n"/>
      <c r="D22" s="6" t="n"/>
    </row>
    <row r="23">
      <c r="A23" s="5" t="inlineStr">
        <is>
          <t>FACILITY COSTS (shared, 3111 Lomita Blvd)</t>
        </is>
      </c>
      <c r="B23" s="26" t="n"/>
      <c r="C23" s="26" t="n"/>
      <c r="D23" s="27" t="n"/>
    </row>
    <row r="24">
      <c r="A24" s="7" t="inlineStr">
        <is>
          <t>FY26 total facilities (Jul 2025–Jun 2026)</t>
        </is>
      </c>
      <c r="B24" s="8" t="n">
        <v>353977.53</v>
      </c>
      <c r="C24" s="9" t="inlineStr">
        <is>
          <t>QB ExpensesPerformance PDF, data-room</t>
        </is>
      </c>
      <c r="D24" s="9" t="inlineStr">
        <is>
          <t>CONFIRMED</t>
        </is>
      </c>
    </row>
    <row r="25">
      <c r="A25" s="10" t="inlineStr">
        <is>
          <t xml:space="preserve">  FY26 Rent (Acct 6190)</t>
        </is>
      </c>
      <c r="B25" s="11" t="n">
        <v>294492.72</v>
      </c>
      <c r="C25" s="9" t="inlineStr">
        <is>
          <t>QB Acct 6190</t>
        </is>
      </c>
      <c r="D25" s="9" t="inlineStr">
        <is>
          <t>CONFIRMED</t>
        </is>
      </c>
    </row>
    <row r="26">
      <c r="A26" s="10" t="inlineStr">
        <is>
          <t xml:space="preserve">  FY26 Utilities (Acct 6195)</t>
        </is>
      </c>
      <c r="B26" s="11" t="n">
        <v>30870.33</v>
      </c>
      <c r="C26" s="9" t="inlineStr">
        <is>
          <t>QB Acct 6195</t>
        </is>
      </c>
      <c r="D26" s="9" t="inlineStr">
        <is>
          <t>CONFIRMED</t>
        </is>
      </c>
    </row>
    <row r="27">
      <c r="A27" s="7" t="inlineStr">
        <is>
          <t>FY27 partial Jul 1–Aug 21 (52 days)</t>
        </is>
      </c>
      <c r="B27" s="8" t="n">
        <v>32860.21</v>
      </c>
      <c r="C27" s="9" t="inlineStr">
        <is>
          <t>QB P&amp;L PDF, data-room</t>
        </is>
      </c>
      <c r="D27" s="9" t="inlineStr">
        <is>
          <t>CONFIRMED</t>
        </is>
      </c>
    </row>
    <row r="28">
      <c r="A28" s="10" t="inlineStr">
        <is>
          <t>~2-year est. total (Jan 2024–Oct 2026, ~33 mo)</t>
        </is>
      </c>
      <c r="B28" s="11" t="n">
        <v>966839.74</v>
      </c>
      <c r="C28" s="9" t="inlineStr">
        <is>
          <t>Confirmed $387K + estimated $580K (FY25 not on disk)</t>
        </is>
      </c>
      <c r="D28" s="12" t="inlineStr">
        <is>
          <t>[verify — pull FY25 QB]</t>
        </is>
      </c>
    </row>
    <row r="29">
      <c r="A29" s="6" t="n"/>
      <c r="B29" s="6" t="n"/>
      <c r="C29" s="6" t="n"/>
      <c r="D29" s="6" t="n"/>
    </row>
    <row r="30">
      <c r="A30" s="5" t="inlineStr">
        <is>
          <t>MICROCOSM OFFSET (illustrative at 50% share assumption)</t>
        </is>
      </c>
      <c r="B30" s="26" t="n"/>
      <c r="C30" s="26" t="n"/>
      <c r="D30" s="27" t="n"/>
    </row>
    <row r="31">
      <c r="A31" s="10" t="inlineStr">
        <is>
          <t>Gross offset at 50% share × 2-yr est. costs</t>
        </is>
      </c>
      <c r="B31" s="11" t="n">
        <v>483419.87</v>
      </c>
      <c r="C31" s="9" t="inlineStr">
        <is>
          <t>Management assumption — editable in Microcosm Offset sheet</t>
        </is>
      </c>
      <c r="D31" s="12" t="inlineStr">
        <is>
          <t>[verify sq ft share]</t>
        </is>
      </c>
    </row>
    <row r="32">
      <c r="A32" s="10" t="inlineStr">
        <is>
          <t>Due to Microcosm balance (10/2/2026)</t>
        </is>
      </c>
      <c r="B32" s="11" t="n">
        <v>451429</v>
      </c>
      <c r="C32" s="9" t="inlineStr">
        <is>
          <t>QB Acct 2385</t>
        </is>
      </c>
      <c r="D32" s="9" t="inlineStr">
        <is>
          <t>CONFIRMED</t>
        </is>
      </c>
    </row>
    <row r="33">
      <c r="A33" s="13" t="inlineStr">
        <is>
          <t>Net position at 50% share (positive = SSLC net creditor)</t>
        </is>
      </c>
      <c r="B33" s="14" t="n">
        <v>31990.87</v>
      </c>
      <c r="C33" s="15" t="inlineStr">
        <is>
          <t>Offset $483K minus Due-to $451K</t>
        </is>
      </c>
      <c r="D33" s="12" t="inlineStr">
        <is>
          <t>[verify]</t>
        </is>
      </c>
    </row>
    <row r="34">
      <c r="A34" s="16" t="inlineStr">
        <is>
          <t>Net position at 40% share</t>
        </is>
      </c>
      <c r="B34" s="17" t="n">
        <v>-64122.1</v>
      </c>
      <c r="C34" s="18" t="inlineStr">
        <is>
          <t>Offset $387K minus Due-to $451K</t>
        </is>
      </c>
      <c r="D34" s="12" t="inlineStr">
        <is>
          <t>[verify]</t>
        </is>
      </c>
    </row>
    <row r="35">
      <c r="A35" s="13" t="inlineStr">
        <is>
          <t>Net position at 60% share</t>
        </is>
      </c>
      <c r="B35" s="14" t="n">
        <v>128991.84</v>
      </c>
      <c r="C35" s="15" t="inlineStr">
        <is>
          <t>Offset $580K minus Due-to $451K</t>
        </is>
      </c>
      <c r="D35" s="12" t="inlineStr">
        <is>
          <t>[verify]</t>
        </is>
      </c>
    </row>
  </sheetData>
  <mergeCells count="8">
    <mergeCell ref="A1:D1"/>
    <mergeCell ref="A23:D23"/>
    <mergeCell ref="A4:D4"/>
    <mergeCell ref="A3:D3"/>
    <mergeCell ref="A30:D30"/>
    <mergeCell ref="A7:D7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32" customWidth="1" min="4" max="4"/>
    <col width="46" customWidth="1" min="5" max="5"/>
    <col width="28" customWidth="1" min="6" max="6"/>
  </cols>
  <sheetData>
    <row r="1">
      <c r="A1" s="1" t="inlineStr">
        <is>
          <t>SSLC — Equity Section Detail</t>
        </is>
      </c>
    </row>
    <row r="2">
      <c r="A2" s="4" t="inlineStr">
        <is>
          <t>Account</t>
        </is>
      </c>
      <c r="B2" s="4" t="inlineStr">
        <is>
          <t>As-of</t>
        </is>
      </c>
      <c r="C2" s="4" t="inlineStr">
        <is>
          <t>Amount ($)</t>
        </is>
      </c>
      <c r="D2" s="4" t="inlineStr">
        <is>
          <t>Notes</t>
        </is>
      </c>
      <c r="E2" s="4" t="inlineStr">
        <is>
          <t>Source</t>
        </is>
      </c>
      <c r="F2" s="4" t="inlineStr">
        <is>
          <t>Verify?</t>
        </is>
      </c>
    </row>
    <row r="3">
      <c r="A3" s="10" t="inlineStr">
        <is>
          <t>Common Stock (Acct 3010)</t>
        </is>
      </c>
      <c r="B3" s="10" t="inlineStr">
        <is>
          <t>10/11/2026</t>
        </is>
      </c>
      <c r="C3" s="11" t="n">
        <v>1010423</v>
      </c>
      <c r="D3" s="9" t="inlineStr">
        <is>
          <t>Total contributed capital, all common shareholders</t>
        </is>
      </c>
      <c r="E3" s="9" t="inlineStr">
        <is>
          <t>QB BS (data-room/SSLC/qb-2026-10-11/SSLC_Balance_Sheet.xlsx)</t>
        </is>
      </c>
      <c r="F3" s="6" t="n"/>
    </row>
    <row r="4">
      <c r="A4" s="10" t="inlineStr">
        <is>
          <t>Additional Paid-in Capital — APIC (Acct 3020)</t>
        </is>
      </c>
      <c r="B4" s="10" t="inlineStr">
        <is>
          <t>10/11/2026</t>
        </is>
      </c>
      <c r="C4" s="11" t="n">
        <v>4042</v>
      </c>
      <c r="D4" s="9" t="inlineStr">
        <is>
          <t>Small APIC balance</t>
        </is>
      </c>
      <c r="E4" s="9" t="inlineStr">
        <is>
          <t>QB BS (data-room/SSLC/qb-2026-10-11/SSLC_Balance_Sheet.xlsx)</t>
        </is>
      </c>
      <c r="F4" s="6" t="n"/>
    </row>
    <row r="5">
      <c r="A5" s="10" t="inlineStr">
        <is>
          <t>Preferred Stock</t>
        </is>
      </c>
      <c r="B5" s="10" t="inlineStr">
        <is>
          <t>10/11/2026</t>
        </is>
      </c>
      <c r="C5" s="11" t="n"/>
      <c r="D5" s="9" t="inlineStr">
        <is>
          <t>NOT PRESENT — no preferred class on SSLC books</t>
        </is>
      </c>
      <c r="E5" s="9" t="inlineStr">
        <is>
          <t>QB BS (data-room/SSLC/qb-2026-10-11/SSLC_Balance_Sheet.xlsx)</t>
        </is>
      </c>
      <c r="F5" s="6" t="n"/>
    </row>
    <row r="6">
      <c r="A6" s="10" t="inlineStr">
        <is>
          <t>Opening Balance Equity (Acct 3000)</t>
        </is>
      </c>
      <c r="B6" s="10" t="inlineStr">
        <is>
          <t>10/11/2026</t>
        </is>
      </c>
      <c r="C6" s="11" t="n">
        <v>0</v>
      </c>
      <c r="D6" s="9" t="inlineStr">
        <is>
          <t>Zero; cleared at formation</t>
        </is>
      </c>
      <c r="E6" s="9" t="inlineStr">
        <is>
          <t>QB BS (data-room/SSLC/qb-2026-10-11/SSLC_Balance_Sheet.xlsx)</t>
        </is>
      </c>
      <c r="F6" s="6" t="n"/>
    </row>
    <row r="7">
      <c r="A7" s="13" t="inlineStr">
        <is>
          <t>TOTAL PAID-IN CAPITAL</t>
        </is>
      </c>
      <c r="B7" s="13" t="inlineStr">
        <is>
          <t>10/11/2026</t>
        </is>
      </c>
      <c r="C7" s="14" t="n">
        <v>1014465</v>
      </c>
      <c r="D7" s="15" t="inlineStr">
        <is>
          <t>Common Stock + APIC</t>
        </is>
      </c>
      <c r="E7" s="15" t="inlineStr">
        <is>
          <t>QB BS (data-room/SSLC/qb-2026-10-11/SSLC_Balance_Sheet.xlsx)</t>
        </is>
      </c>
      <c r="F7" s="6" t="n"/>
    </row>
    <row r="8">
      <c r="A8" s="10" t="inlineStr">
        <is>
          <t>Retained Earnings / Accumulated Deficit (Acct 3900)</t>
        </is>
      </c>
      <c r="B8" s="10" t="inlineStr">
        <is>
          <t>10/11/2026</t>
        </is>
      </c>
      <c r="C8" s="11" t="n">
        <v>-2571013</v>
      </c>
      <c r="D8" s="9" t="inlineStr">
        <is>
          <t>Cumulative losses through FY26 year-end</t>
        </is>
      </c>
      <c r="E8" s="9" t="inlineStr">
        <is>
          <t>QB BS (data-room/SSLC/qb-2026-10-11/SSLC_Balance_Sheet.xlsx)</t>
        </is>
      </c>
      <c r="F8" s="6" t="n"/>
    </row>
    <row r="9">
      <c r="A9" s="10" t="inlineStr">
        <is>
          <t>Net Income YTD (FY27 Jul–Aug 21, not closed yet)</t>
        </is>
      </c>
      <c r="B9" s="10" t="inlineStr">
        <is>
          <t>10/11/2026</t>
        </is>
      </c>
      <c r="C9" s="11" t="n">
        <v>112666</v>
      </c>
      <c r="D9" s="9" t="inlineStr">
        <is>
          <t>FY27 YTD net income through 10/11/2026</t>
        </is>
      </c>
      <c r="E9" s="9" t="inlineStr">
        <is>
          <t>QB BS (data-room/SSLC/qb-2026-10-11/SSLC_Balance_Sheet.xlsx)</t>
        </is>
      </c>
      <c r="F9" s="6" t="n"/>
    </row>
    <row r="10">
      <c r="A10" s="13" t="inlineStr">
        <is>
          <t>TOTAL STOCKHOLDERS' EQUITY (10/11/2026)</t>
        </is>
      </c>
      <c r="B10" s="13" t="inlineStr">
        <is>
          <t>10/11/2026</t>
        </is>
      </c>
      <c r="C10" s="14" t="n">
        <v>-1443882</v>
      </c>
      <c r="D10" s="15" t="inlineStr">
        <is>
          <t>Ties to QB BS report</t>
        </is>
      </c>
      <c r="E10" s="15" t="inlineStr">
        <is>
          <t>QB BS (data-room/SSLC/qb-2026-10-11/SSLC_Balance_Sheet.xlsx)</t>
        </is>
      </c>
      <c r="F10" s="6" t="n"/>
    </row>
    <row r="11">
      <c r="A11" s="13" t="inlineStr">
        <is>
          <t>TOTAL STOCKHOLDERS' EQUITY (10/2/2026, prior period)</t>
        </is>
      </c>
      <c r="B11" s="13" t="inlineStr">
        <is>
          <t>10/2/2026</t>
        </is>
      </c>
      <c r="C11" s="14" t="n">
        <v>-1403075</v>
      </c>
      <c r="D11" s="15" t="inlineStr">
        <is>
          <t>Prior period; 10/11/2026 figure above supersedes this.</t>
        </is>
      </c>
      <c r="E11" s="15" t="inlineStr">
        <is>
          <t>Board Package drafts/SSLC_Board_Package_2026-10-06.pdf</t>
        </is>
      </c>
      <c r="F11" s="12" t="inlineStr">
        <is>
          <t>[verify in QB]</t>
        </is>
      </c>
    </row>
    <row r="12">
      <c r="A12" s="6" t="n"/>
      <c r="B12" s="6" t="n"/>
      <c r="C12" s="6" t="n"/>
      <c r="D12" s="6" t="n"/>
      <c r="E12" s="6" t="n"/>
      <c r="F12" s="6" t="n"/>
    </row>
    <row r="13">
      <c r="A13" s="5" t="inlineStr">
        <is>
          <t>Investor / Ownership Breakdown</t>
        </is>
      </c>
      <c r="B13" s="26" t="n"/>
      <c r="C13" s="26" t="n"/>
      <c r="D13" s="26" t="n"/>
      <c r="E13" s="26" t="n"/>
      <c r="F13" s="27" t="n"/>
    </row>
    <row r="14">
      <c r="A14" s="4" t="inlineStr">
        <is>
          <t>Investor</t>
        </is>
      </c>
      <c r="B14" s="4" t="inlineStr">
        <is>
          <t>Ownership %</t>
        </is>
      </c>
      <c r="C14" s="4" t="inlineStr">
        <is>
          <t>Paid In ($)</t>
        </is>
      </c>
      <c r="D14" s="4" t="inlineStr">
        <is>
          <t>Investment Basis</t>
        </is>
      </c>
      <c r="E14" s="4" t="inlineStr">
        <is>
          <t>Source</t>
        </is>
      </c>
      <c r="F14" s="4" t="inlineStr">
        <is>
          <t>Status</t>
        </is>
      </c>
    </row>
    <row r="15">
      <c r="A15" s="10" t="inlineStr">
        <is>
          <t>Exos Aerospace Inc.</t>
        </is>
      </c>
      <c r="B15" s="19" t="n">
        <v>0.1806</v>
      </c>
      <c r="C15" s="11" t="n">
        <v>789572</v>
      </c>
      <c r="D15" s="9" t="inlineStr">
        <is>
          <t>Oct 2023 at $4.5M valuation</t>
        </is>
      </c>
      <c r="E15" s="9" t="inlineStr">
        <is>
          <t>Executed Asset Acquisition Agreement Oct 2023</t>
        </is>
      </c>
      <c r="F15" s="9" t="inlineStr">
        <is>
          <t>CONFIRMED</t>
        </is>
      </c>
    </row>
    <row r="16">
      <c r="A16" s="10" t="inlineStr">
        <is>
          <t>Jim Wertz / Microcosm / Founders (82%)</t>
        </is>
      </c>
      <c r="B16" s="19" t="n">
        <v>0.8194</v>
      </c>
      <c r="C16" s="11" t="n">
        <v>224893</v>
      </c>
      <c r="D16" s="9" t="inlineStr">
        <is>
          <t>Pre-2021 issuances, likely at par [verify]</t>
        </is>
      </c>
      <c r="E16" s="9" t="inlineStr">
        <is>
          <t>Derived: $1,014,465 − $789,572; no cap table on disk</t>
        </is>
      </c>
      <c r="F16" s="12" t="inlineStr">
        <is>
          <t>[verify — SSLC cap table needed]</t>
        </is>
      </c>
    </row>
    <row r="17">
      <c r="A17" s="13" t="inlineStr">
        <is>
          <t>TOTAL</t>
        </is>
      </c>
      <c r="B17" s="20" t="n">
        <v>1</v>
      </c>
      <c r="C17" s="14" t="n">
        <v>1014465</v>
      </c>
      <c r="D17" s="15" t="inlineStr"/>
      <c r="E17" s="15" t="inlineStr">
        <is>
          <t>QB BS 8/21/2026</t>
        </is>
      </c>
      <c r="F17" s="15" t="inlineStr">
        <is>
          <t>CONFIRMED</t>
        </is>
      </c>
    </row>
    <row r="18">
      <c r="A18" s="6" t="n"/>
      <c r="B18" s="6" t="n"/>
      <c r="C18" s="6" t="n"/>
      <c r="D18" s="6" t="n"/>
      <c r="E18" s="6" t="n"/>
      <c r="F18" s="6" t="n"/>
    </row>
    <row r="19" ht="30" customHeight="1">
      <c r="A19" s="12" t="inlineStr">
        <is>
          <t>NOTE: No SSLC cap table or stock ledger found on disk. No preferred stock. Exos investment confirmed per AAA. Founder / Microcosm shares require SSLC cap table (Eqvista or corporate records).</t>
        </is>
      </c>
      <c r="B19" s="26" t="n"/>
      <c r="C19" s="26" t="n"/>
      <c r="D19" s="26" t="n"/>
      <c r="E19" s="26" t="n"/>
      <c r="F19" s="27" t="n"/>
    </row>
  </sheetData>
  <mergeCells count="3">
    <mergeCell ref="A13:F13"/>
    <mergeCell ref="A19:F19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6" customWidth="1" min="4" max="4"/>
    <col width="16" customWidth="1" min="5" max="5"/>
    <col width="62" customWidth="1" min="6" max="6"/>
    <col width="28" customWidth="1" min="7" max="7"/>
  </cols>
  <sheetData>
    <row r="1">
      <c r="A1" s="1" t="inlineStr">
        <is>
          <t>SSLC — Debt Detail as of October 2, 2026</t>
        </is>
      </c>
    </row>
    <row r="2">
      <c r="A2" s="4" t="inlineStr">
        <is>
          <t>Lender / Account</t>
        </is>
      </c>
      <c r="B2" s="4" t="inlineStr">
        <is>
          <t>QB Acct</t>
        </is>
      </c>
      <c r="C2" s="4" t="inlineStr">
        <is>
          <t>Bal. 6/30/26</t>
        </is>
      </c>
      <c r="D2" s="4" t="inlineStr">
        <is>
          <t>Bal. 8/21/26</t>
        </is>
      </c>
      <c r="E2" s="4" t="inlineStr">
        <is>
          <t>Bal. 10/2/26</t>
        </is>
      </c>
      <c r="F2" s="4" t="inlineStr">
        <is>
          <t>Notes</t>
        </is>
      </c>
      <c r="G2" s="4" t="inlineStr">
        <is>
          <t>Source</t>
        </is>
      </c>
    </row>
    <row r="3">
      <c r="A3" s="5" t="inlineStr">
        <is>
          <t>Long-term Loans &amp; Notes</t>
        </is>
      </c>
      <c r="B3" s="26" t="n"/>
      <c r="C3" s="26" t="n"/>
      <c r="D3" s="26" t="n"/>
      <c r="E3" s="26" t="n"/>
      <c r="F3" s="26" t="n"/>
      <c r="G3" s="27" t="n"/>
    </row>
    <row r="4">
      <c r="A4" s="10" t="inlineStr">
        <is>
          <t>Due to Microcosm</t>
        </is>
      </c>
      <c r="B4" s="9" t="inlineStr">
        <is>
          <t>2385</t>
        </is>
      </c>
      <c r="C4" s="11" t="n">
        <v>437990</v>
      </c>
      <c r="D4" s="11" t="n">
        <v>444924.47</v>
      </c>
      <c r="E4" s="11" t="n">
        <v>451429</v>
      </c>
      <c r="F4" s="9" t="inlineStr">
        <is>
          <t>Growing ~$500/period. Insider Debt — cannot repay without Exos consent (exclusivity §4). Nature: loan or accrued charges — [verify]. See Microcosm Offset sheet.</t>
        </is>
      </c>
      <c r="G4" s="9" t="inlineStr">
        <is>
          <t>Board Pkg 10/6 + QB BS 8/21</t>
        </is>
      </c>
    </row>
    <row r="5">
      <c r="A5" s="10" t="inlineStr">
        <is>
          <t>Notes Payable – Bookstore</t>
        </is>
      </c>
      <c r="B5" s="9" t="inlineStr">
        <is>
          <t>2700</t>
        </is>
      </c>
      <c r="C5" s="11" t="n">
        <v>317990</v>
      </c>
      <c r="D5" s="11" t="n">
        <v>319285.56</v>
      </c>
      <c r="E5" s="11" t="n">
        <v>320582</v>
      </c>
      <c r="F5" s="9" t="inlineStr">
        <is>
          <t>Growing ~$1,296/period (accruing interest). Lender identity unclear — may be related party. Rate/maturity unknown.</t>
        </is>
      </c>
      <c r="G5" s="9" t="inlineStr">
        <is>
          <t>Board Pkg 10/6 + QB BS 8/21</t>
        </is>
      </c>
    </row>
    <row r="6">
      <c r="A6" s="10" t="inlineStr">
        <is>
          <t>Loan Payable – EIDL (SBA)</t>
        </is>
      </c>
      <c r="B6" s="9" t="inlineStr">
        <is>
          <t>2712</t>
        </is>
      </c>
      <c r="C6" s="11" t="n">
        <v>132072</v>
      </c>
      <c r="D6" s="11" t="n">
        <v>132072</v>
      </c>
      <c r="E6" s="11" t="n">
        <v>132072</v>
      </c>
      <c r="F6" s="9" t="inlineStr">
        <is>
          <t>Flat across all 3 periods — likely deferred or IO. SBA EIDL.</t>
        </is>
      </c>
      <c r="G6" s="9" t="inlineStr">
        <is>
          <t>Board Pkg 10/6 + QB BS 8/21</t>
        </is>
      </c>
    </row>
    <row r="7">
      <c r="A7" s="10" t="inlineStr">
        <is>
          <t>Loan Payable – Wertz (James R. / Alice)</t>
        </is>
      </c>
      <c r="B7" s="9" t="inlineStr">
        <is>
          <t>2714</t>
        </is>
      </c>
      <c r="C7" s="11" t="n">
        <v>92500</v>
      </c>
      <c r="D7" s="11" t="n">
        <v>92500</v>
      </c>
      <c r="E7" s="11" t="n">
        <v>92500</v>
      </c>
      <c r="F7" s="9" t="inlineStr">
        <is>
          <t>Insider Debt. Rate/maturity unknown. No-repay restriction applies.</t>
        </is>
      </c>
      <c r="G7" s="9" t="inlineStr">
        <is>
          <t>Board Pkg 10/6 + QB BS 8/21</t>
        </is>
      </c>
    </row>
    <row r="8">
      <c r="A8" s="10" t="inlineStr">
        <is>
          <t>Loan Payable – Exos Aerospace</t>
        </is>
      </c>
      <c r="B8" s="9" t="inlineStr">
        <is>
          <t>2720</t>
        </is>
      </c>
      <c r="C8" s="11" t="n">
        <v>31200</v>
      </c>
      <c r="D8" s="11" t="n">
        <v>31200</v>
      </c>
      <c r="E8" s="11" t="n">
        <v>31200</v>
      </c>
      <c r="F8" s="9" t="inlineStr">
        <is>
          <t>11% p.a. Accrued interest ~$6,958 (not booked); ~$38,158 total at 10/2. Loan STANDS: license denied, no cancellation (John 10/11).</t>
        </is>
      </c>
      <c r="G8" s="9" t="inlineStr">
        <is>
          <t>Board Pkg 10/6 + QB BS 8/21</t>
        </is>
      </c>
    </row>
    <row r="9">
      <c r="A9" s="10" t="inlineStr">
        <is>
          <t>Loan Payable – Microcosm (separate)</t>
        </is>
      </c>
      <c r="B9" s="9" t="inlineStr">
        <is>
          <t>2701</t>
        </is>
      </c>
      <c r="C9" s="11" t="n">
        <v>14150</v>
      </c>
      <c r="D9" s="11" t="n">
        <v>0</v>
      </c>
      <c r="E9" s="11" t="n">
        <v>0</v>
      </c>
      <c r="F9" s="9" t="inlineStr">
        <is>
          <t>Repaid between 6/30 and 8/21/2026.</t>
        </is>
      </c>
      <c r="G9" s="9" t="inlineStr">
        <is>
          <t>QB BS 8/21</t>
        </is>
      </c>
    </row>
    <row r="10">
      <c r="A10" s="13" t="inlineStr">
        <is>
          <t>TOTAL LONG-TERM LOANS &amp; NOTES</t>
        </is>
      </c>
      <c r="B10" s="15" t="inlineStr"/>
      <c r="C10" s="14" t="n">
        <v>1025902</v>
      </c>
      <c r="D10" s="14" t="n">
        <v>1019981.03</v>
      </c>
      <c r="E10" s="14" t="n">
        <v>1027783</v>
      </c>
      <c r="F10" s="15" t="inlineStr">
        <is>
          <t>Ties to board package figure</t>
        </is>
      </c>
      <c r="G10" s="15" t="inlineStr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5" t="inlineStr">
        <is>
          <t>Current Liabilities (Other)</t>
        </is>
      </c>
      <c r="B12" s="26" t="n"/>
      <c r="C12" s="26" t="n"/>
      <c r="D12" s="26" t="n"/>
      <c r="E12" s="26" t="n"/>
      <c r="F12" s="26" t="n"/>
      <c r="G12" s="27" t="n"/>
    </row>
    <row r="13">
      <c r="A13" s="10" t="inlineStr">
        <is>
          <t>Accounts Payable (Acct 2000)</t>
        </is>
      </c>
      <c r="B13" s="9" t="inlineStr">
        <is>
          <t>2000</t>
        </is>
      </c>
      <c r="C13" s="10" t="inlineStr">
        <is>
          <t>—</t>
        </is>
      </c>
      <c r="D13" s="11" t="n">
        <v>5551.52</v>
      </c>
      <c r="E13" s="10" t="inlineStr">
        <is>
          <t>—</t>
        </is>
      </c>
      <c r="F13" s="9" t="inlineStr">
        <is>
          <t>As of 8/21/2026</t>
        </is>
      </c>
      <c r="G13" s="9" t="inlineStr">
        <is>
          <t>QB BS 8/21</t>
        </is>
      </c>
    </row>
    <row r="14">
      <c r="A14" s="10" t="inlineStr">
        <is>
          <t>Credit Cards (Chase Visa 2334, ABB 2335)</t>
        </is>
      </c>
      <c r="B14" s="9" t="inlineStr">
        <is>
          <t>2334/35</t>
        </is>
      </c>
      <c r="C14" s="11" t="n">
        <v>16508</v>
      </c>
      <c r="D14" s="11" t="n">
        <v>19544.34</v>
      </c>
      <c r="E14" s="11" t="n">
        <v>0</v>
      </c>
      <c r="F14" s="9" t="inlineStr">
        <is>
          <t>Paid off by 10/2 per board package</t>
        </is>
      </c>
      <c r="G14" s="9" t="inlineStr">
        <is>
          <t>QB BS 8/21 + Board Pkg</t>
        </is>
      </c>
    </row>
    <row r="15">
      <c r="A15" s="10" t="inlineStr">
        <is>
          <t>Wages Payable – Accrued (Acct 2221)</t>
        </is>
      </c>
      <c r="B15" s="9" t="inlineStr">
        <is>
          <t>2221</t>
        </is>
      </c>
      <c r="C15" s="10" t="inlineStr">
        <is>
          <t>—</t>
        </is>
      </c>
      <c r="D15" s="11" t="n">
        <v>47659.42</v>
      </c>
      <c r="E15" s="10" t="inlineStr">
        <is>
          <t>—</t>
        </is>
      </c>
      <c r="F15" s="9" t="inlineStr">
        <is>
          <t>As of 8/21 only</t>
        </is>
      </c>
      <c r="G15" s="9" t="inlineStr">
        <is>
          <t>QB BS 8/21</t>
        </is>
      </c>
    </row>
    <row r="16">
      <c r="A16" s="10" t="inlineStr">
        <is>
          <t>Accrued Vacation – net (Acct 2230a/b)</t>
        </is>
      </c>
      <c r="B16" s="9" t="inlineStr">
        <is>
          <t>2230</t>
        </is>
      </c>
      <c r="C16" s="10" t="inlineStr">
        <is>
          <t>—</t>
        </is>
      </c>
      <c r="D16" s="11" t="n">
        <v>56153.33</v>
      </c>
      <c r="E16" s="10" t="inlineStr">
        <is>
          <t>—</t>
        </is>
      </c>
      <c r="F16" s="9" t="inlineStr">
        <is>
          <t>Net earned vs. taken</t>
        </is>
      </c>
      <c r="G16" s="9" t="inlineStr">
        <is>
          <t>QB BS 8/21</t>
        </is>
      </c>
    </row>
    <row r="17">
      <c r="A17" s="10" t="inlineStr">
        <is>
          <t>Customer Deposits (Acct 2380)</t>
        </is>
      </c>
      <c r="B17" s="9" t="inlineStr">
        <is>
          <t>2380</t>
        </is>
      </c>
      <c r="C17" s="11" t="n">
        <v>120000</v>
      </c>
      <c r="D17" s="11" t="n">
        <v>120000</v>
      </c>
      <c r="E17" s="11" t="n">
        <v>120000</v>
      </c>
      <c r="F17" s="9" t="inlineStr">
        <is>
          <t>Stable across periods; obligation to deliver</t>
        </is>
      </c>
      <c r="G17" s="9" t="inlineStr">
        <is>
          <t>All sources</t>
        </is>
      </c>
    </row>
    <row r="18">
      <c r="A18" s="10" t="inlineStr">
        <is>
          <t>Payables &amp; Accrued Wages (10/2 board package)</t>
        </is>
      </c>
      <c r="B18" s="9" t="inlineStr"/>
      <c r="C18" s="10" t="inlineStr">
        <is>
          <t>—</t>
        </is>
      </c>
      <c r="D18" s="10" t="inlineStr">
        <is>
          <t>—</t>
        </is>
      </c>
      <c r="E18" s="11" t="n">
        <v>66499</v>
      </c>
      <c r="F18" s="9" t="inlineStr">
        <is>
          <t>Per board package; not separately itemized</t>
        </is>
      </c>
      <c r="G18" s="9" t="inlineStr">
        <is>
          <t>Board Pkg 10/6</t>
        </is>
      </c>
    </row>
    <row r="19">
      <c r="A19" s="13" t="inlineStr">
        <is>
          <t>TOTAL LIABILITIES (all, reported)</t>
        </is>
      </c>
      <c r="B19" s="15" t="inlineStr"/>
      <c r="C19" s="21" t="inlineStr">
        <is>
          <t>—</t>
        </is>
      </c>
      <c r="D19" s="14" t="n">
        <v>1268020.69</v>
      </c>
      <c r="E19" s="14" t="n">
        <v>1275622</v>
      </c>
      <c r="F19" s="15" t="inlineStr">
        <is>
          <t>QB 8/21 and Board Package 10/2</t>
        </is>
      </c>
      <c r="G19" s="15" t="inlineStr"/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8" customWidth="1" min="3" max="3"/>
    <col width="16" customWidth="1" min="4" max="4"/>
    <col width="14" customWidth="1" min="5" max="5"/>
    <col width="52" customWidth="1" min="6" max="6"/>
    <col width="14" customWidth="1" min="7" max="7"/>
  </cols>
  <sheetData>
    <row r="1">
      <c r="A1" s="1" t="inlineStr">
        <is>
          <t>SSLC — Shared Facility Costs (3111 Lomita Blvd, Torrance CA)</t>
        </is>
      </c>
    </row>
    <row r="2">
      <c r="A2" s="4" t="inlineStr">
        <is>
          <t>Period</t>
        </is>
      </c>
      <c r="B2" s="4" t="inlineStr">
        <is>
          <t>QB Acct</t>
        </is>
      </c>
      <c r="C2" s="4" t="inlineStr">
        <is>
          <t>Category</t>
        </is>
      </c>
      <c r="D2" s="4" t="inlineStr">
        <is>
          <t>Amount ($)</t>
        </is>
      </c>
      <c r="E2" s="4" t="inlineStr">
        <is>
          <t>Mo. Avg ($)</t>
        </is>
      </c>
      <c r="F2" s="4" t="inlineStr">
        <is>
          <t>Source</t>
        </is>
      </c>
      <c r="G2" s="4" t="inlineStr">
        <is>
          <t>Status</t>
        </is>
      </c>
    </row>
    <row r="3">
      <c r="A3" s="5" t="inlineStr">
        <is>
          <t>FY26: Jul 1, 2025 – Jun 30, 2026 (12 months, CONFIRMED from QB)</t>
        </is>
      </c>
      <c r="B3" s="26" t="n"/>
      <c r="C3" s="26" t="n"/>
      <c r="D3" s="26" t="n"/>
      <c r="E3" s="26" t="n"/>
      <c r="F3" s="26" t="n"/>
      <c r="G3" s="27" t="n"/>
    </row>
    <row r="4">
      <c r="A4" s="10" t="inlineStr">
        <is>
          <t>FY26</t>
        </is>
      </c>
      <c r="B4" s="9" t="inlineStr">
        <is>
          <t>6190</t>
        </is>
      </c>
      <c r="C4" s="10" t="inlineStr">
        <is>
          <t>Rent</t>
        </is>
      </c>
      <c r="D4" s="11" t="n">
        <v>294492.72</v>
      </c>
      <c r="E4" s="11" t="n">
        <v>24541.06</v>
      </c>
      <c r="F4" s="9" t="inlineStr">
        <is>
          <t>QB ExpensesPerformance PDF (data-room/ExpensesPerformance_2025-6.pdf)</t>
        </is>
      </c>
      <c r="G4" s="9" t="inlineStr">
        <is>
          <t>CONFIRMED</t>
        </is>
      </c>
    </row>
    <row r="5">
      <c r="A5" s="10" t="inlineStr">
        <is>
          <t>FY26</t>
        </is>
      </c>
      <c r="B5" s="9" t="inlineStr">
        <is>
          <t>6195</t>
        </is>
      </c>
      <c r="C5" s="10" t="inlineStr">
        <is>
          <t>Utilities</t>
        </is>
      </c>
      <c r="D5" s="11" t="n">
        <v>30870.33</v>
      </c>
      <c r="E5" s="11" t="n">
        <v>2572.53</v>
      </c>
      <c r="F5" s="9" t="inlineStr">
        <is>
          <t>QB ExpensesPerformance PDF</t>
        </is>
      </c>
      <c r="G5" s="9" t="inlineStr">
        <is>
          <t>CONFIRMED</t>
        </is>
      </c>
    </row>
    <row r="6">
      <c r="A6" s="10" t="inlineStr">
        <is>
          <t>FY26</t>
        </is>
      </c>
      <c r="B6" s="9" t="inlineStr">
        <is>
          <t>6185</t>
        </is>
      </c>
      <c r="C6" s="10" t="inlineStr">
        <is>
          <t>Outside Services – Facilities</t>
        </is>
      </c>
      <c r="D6" s="11" t="n">
        <v>26149.37</v>
      </c>
      <c r="E6" s="11" t="n">
        <v>2179.11</v>
      </c>
      <c r="F6" s="9" t="inlineStr">
        <is>
          <t>QB ExpensesPerformance PDF</t>
        </is>
      </c>
      <c r="G6" s="9" t="inlineStr">
        <is>
          <t>CONFIRMED</t>
        </is>
      </c>
    </row>
    <row r="7">
      <c r="A7" s="10" t="inlineStr">
        <is>
          <t>FY26</t>
        </is>
      </c>
      <c r="B7" s="9" t="inlineStr">
        <is>
          <t>6180</t>
        </is>
      </c>
      <c r="C7" s="10" t="inlineStr">
        <is>
          <t>Misc Facilities</t>
        </is>
      </c>
      <c r="D7" s="11" t="n">
        <v>1429.63</v>
      </c>
      <c r="E7" s="11" t="n">
        <v>119.14</v>
      </c>
      <c r="F7" s="9" t="inlineStr">
        <is>
          <t>QB ExpensesPerformance PDF</t>
        </is>
      </c>
      <c r="G7" s="9" t="inlineStr">
        <is>
          <t>CONFIRMED</t>
        </is>
      </c>
    </row>
    <row r="8">
      <c r="A8" s="10" t="inlineStr">
        <is>
          <t>FY26</t>
        </is>
      </c>
      <c r="B8" s="9" t="inlineStr">
        <is>
          <t>6200</t>
        </is>
      </c>
      <c r="C8" s="10" t="inlineStr">
        <is>
          <t>Supplies – Facilities</t>
        </is>
      </c>
      <c r="D8" s="11" t="n">
        <v>1035.48</v>
      </c>
      <c r="E8" s="11" t="n">
        <v>86.29000000000001</v>
      </c>
      <c r="F8" s="9" t="inlineStr">
        <is>
          <t>QB ExpensesPerformance PDF</t>
        </is>
      </c>
      <c r="G8" s="9" t="inlineStr">
        <is>
          <t>CONFIRMED</t>
        </is>
      </c>
    </row>
    <row r="9">
      <c r="A9" s="13" t="inlineStr">
        <is>
          <t>FY26 SUBTOTAL</t>
        </is>
      </c>
      <c r="B9" s="15" t="inlineStr"/>
      <c r="C9" s="13" t="inlineStr"/>
      <c r="D9" s="14" t="n">
        <v>353977.53</v>
      </c>
      <c r="E9" s="14" t="n">
        <v>29498.13</v>
      </c>
      <c r="F9" s="15" t="inlineStr">
        <is>
          <t>QB ExpensesPerformance PDF</t>
        </is>
      </c>
      <c r="G9" s="15" t="inlineStr">
        <is>
          <t>CONFIRMED</t>
        </is>
      </c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5" t="inlineStr">
        <is>
          <t>FY27 PARTIAL: Jul 1 – Aug 21, 2026 (52 days, CONFIRMED from QB)</t>
        </is>
      </c>
      <c r="B11" s="26" t="n"/>
      <c r="C11" s="26" t="n"/>
      <c r="D11" s="26" t="n"/>
      <c r="E11" s="26" t="n"/>
      <c r="F11" s="26" t="n"/>
      <c r="G11" s="27" t="n"/>
    </row>
    <row r="12">
      <c r="A12" s="10" t="inlineStr">
        <is>
          <t>FY27 Jul-Aug21</t>
        </is>
      </c>
      <c r="B12" s="9" t="inlineStr">
        <is>
          <t>6190</t>
        </is>
      </c>
      <c r="C12" s="10" t="inlineStr">
        <is>
          <t>Rent</t>
        </is>
      </c>
      <c r="D12" s="11" t="n">
        <v>24844.12</v>
      </c>
      <c r="E12" s="11" t="n">
        <v>14336</v>
      </c>
      <c r="F12" s="9" t="inlineStr">
        <is>
          <t>QB P&amp;L (data-room/2026-7_PL_8-21-26.pdf)</t>
        </is>
      </c>
      <c r="G12" s="9" t="inlineStr">
        <is>
          <t>CONFIRMED</t>
        </is>
      </c>
    </row>
    <row r="13">
      <c r="A13" s="10" t="inlineStr">
        <is>
          <t>FY27 Jul-Aug21</t>
        </is>
      </c>
      <c r="B13" s="9" t="inlineStr">
        <is>
          <t>6195</t>
        </is>
      </c>
      <c r="C13" s="10" t="inlineStr">
        <is>
          <t>Utilities</t>
        </is>
      </c>
      <c r="D13" s="11" t="n">
        <v>3002.17</v>
      </c>
      <c r="E13" s="11" t="n">
        <v>1732</v>
      </c>
      <c r="F13" s="9" t="inlineStr">
        <is>
          <t>QB P&amp;L</t>
        </is>
      </c>
      <c r="G13" s="9" t="inlineStr">
        <is>
          <t>CONFIRMED</t>
        </is>
      </c>
    </row>
    <row r="14">
      <c r="A14" s="10" t="inlineStr">
        <is>
          <t>FY27 Jul-Aug21</t>
        </is>
      </c>
      <c r="B14" s="9" t="inlineStr">
        <is>
          <t>6185</t>
        </is>
      </c>
      <c r="C14" s="10" t="inlineStr">
        <is>
          <t>Outside Services – Facilities</t>
        </is>
      </c>
      <c r="D14" s="11" t="n">
        <v>4190.74</v>
      </c>
      <c r="E14" s="11" t="n">
        <v>2417</v>
      </c>
      <c r="F14" s="9" t="inlineStr">
        <is>
          <t>QB P&amp;L</t>
        </is>
      </c>
      <c r="G14" s="9" t="inlineStr">
        <is>
          <t>CONFIRMED</t>
        </is>
      </c>
    </row>
    <row r="15">
      <c r="A15" s="10" t="inlineStr">
        <is>
          <t>FY27 Jul-Aug21</t>
        </is>
      </c>
      <c r="B15" s="9" t="inlineStr">
        <is>
          <t>6180</t>
        </is>
      </c>
      <c r="C15" s="10" t="inlineStr">
        <is>
          <t>Misc Facilities</t>
        </is>
      </c>
      <c r="D15" s="11" t="n">
        <v>109.98</v>
      </c>
      <c r="E15" s="11" t="n">
        <v>63</v>
      </c>
      <c r="F15" s="9" t="inlineStr">
        <is>
          <t>QB P&amp;L</t>
        </is>
      </c>
      <c r="G15" s="9" t="inlineStr">
        <is>
          <t>CONFIRMED</t>
        </is>
      </c>
    </row>
    <row r="16">
      <c r="A16" s="10" t="inlineStr">
        <is>
          <t>FY27 Jul-Aug21</t>
        </is>
      </c>
      <c r="B16" s="9" t="inlineStr">
        <is>
          <t>6200</t>
        </is>
      </c>
      <c r="C16" s="10" t="inlineStr">
        <is>
          <t>Supplies – Facilities</t>
        </is>
      </c>
      <c r="D16" s="11" t="n">
        <v>713.2</v>
      </c>
      <c r="E16" s="11" t="n">
        <v>411</v>
      </c>
      <c r="F16" s="9" t="inlineStr">
        <is>
          <t>QB P&amp;L</t>
        </is>
      </c>
      <c r="G16" s="9" t="inlineStr">
        <is>
          <t>CONFIRMED</t>
        </is>
      </c>
    </row>
    <row r="17">
      <c r="A17" s="13" t="inlineStr">
        <is>
          <t>FY27 Jul-Aug21 SUBTOTAL</t>
        </is>
      </c>
      <c r="B17" s="15" t="inlineStr"/>
      <c r="C17" s="13" t="inlineStr"/>
      <c r="D17" s="14" t="n">
        <v>32860.21</v>
      </c>
      <c r="E17" s="14" t="n">
        <v>18975</v>
      </c>
      <c r="F17" s="15" t="inlineStr">
        <is>
          <t>QB P&amp;L</t>
        </is>
      </c>
      <c r="G17" s="15" t="inlineStr">
        <is>
          <t>CONFIRMED</t>
        </is>
      </c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5" t="inlineStr">
        <is>
          <t>ESTIMATED: Aug 22 – Oct 10, 2026 (~50 days) — FY26 monthly rate proxy</t>
        </is>
      </c>
      <c r="B19" s="26" t="n"/>
      <c r="C19" s="26" t="n"/>
      <c r="D19" s="26" t="n"/>
      <c r="E19" s="26" t="n"/>
      <c r="F19" s="26" t="n"/>
      <c r="G19" s="27" t="n"/>
    </row>
    <row r="20">
      <c r="A20" s="12" t="inlineStr">
        <is>
          <t>FY27 Aug22–Oct10 (est.)</t>
        </is>
      </c>
      <c r="B20" s="22" t="inlineStr">
        <is>
          <t>All</t>
        </is>
      </c>
      <c r="C20" s="22" t="inlineStr">
        <is>
          <t>All facility accounts</t>
        </is>
      </c>
      <c r="D20" s="23" t="n">
        <v>49163</v>
      </c>
      <c r="E20" s="24" t="inlineStr">
        <is>
          <t>~$29,498/mo × 50/30 days</t>
        </is>
      </c>
      <c r="F20" s="24" t="inlineStr">
        <is>
          <t>ESTIMATED — QB session expired 10/7</t>
        </is>
      </c>
      <c r="G20" s="12" t="inlineStr">
        <is>
          <t>[estimate]</t>
        </is>
      </c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5" t="inlineStr">
        <is>
          <t>2-YEAR SUMMARY (approx. Jan 2024 – Oct 2026, ~33 months)</t>
        </is>
      </c>
      <c r="B22" s="26" t="n"/>
      <c r="C22" s="26" t="n"/>
      <c r="D22" s="26" t="n"/>
      <c r="E22" s="26" t="n"/>
      <c r="F22" s="26" t="n"/>
      <c r="G22" s="27" t="n"/>
    </row>
    <row r="23">
      <c r="A23" s="12" t="inlineStr">
        <is>
          <t>Jan 2024–Jun 2024 (6 mo)</t>
        </is>
      </c>
      <c r="B23" s="26" t="n"/>
      <c r="C23" s="27" t="n"/>
      <c r="D23" s="23" t="n">
        <v>176989</v>
      </c>
      <c r="E23" s="22" t="inlineStr"/>
      <c r="F23" s="24" t="inlineStr">
        <is>
          <t>ESTIMATED — no QB data on disk. FY26 monthly rate × 6 = proxy.</t>
        </is>
      </c>
      <c r="G23" s="12" t="inlineStr">
        <is>
          <t>[verify]</t>
        </is>
      </c>
    </row>
    <row r="24">
      <c r="A24" s="12" t="inlineStr">
        <is>
          <t>FY25: Jul 2024–Jun 2025 (12 mo)</t>
        </is>
      </c>
      <c r="B24" s="26" t="n"/>
      <c r="C24" s="27" t="n"/>
      <c r="D24" s="23" t="n">
        <v>353978</v>
      </c>
      <c r="E24" s="22" t="inlineStr"/>
      <c r="F24" s="24" t="inlineStr">
        <is>
          <t>ESTIMATED — no FY25 QB data on disk. FY26 rate × 12 = proxy.</t>
        </is>
      </c>
      <c r="G24" s="12" t="inlineStr">
        <is>
          <t>[verify — pull FY25 QB]</t>
        </is>
      </c>
    </row>
    <row r="25">
      <c r="A25" s="10" t="inlineStr">
        <is>
          <t>FY26: Jul 2025–Jun 2026 (12 mo)</t>
        </is>
      </c>
      <c r="B25" s="26" t="n"/>
      <c r="C25" s="27" t="n"/>
      <c r="D25" s="11" t="n">
        <v>353977.53</v>
      </c>
      <c r="E25" s="10" t="inlineStr"/>
      <c r="F25" s="9" t="inlineStr">
        <is>
          <t>CONFIRMED — QB ExpensesPerformance PDF</t>
        </is>
      </c>
      <c r="G25" s="9" t="inlineStr">
        <is>
          <t>CONFIRMED</t>
        </is>
      </c>
    </row>
    <row r="26">
      <c r="A26" s="10" t="inlineStr">
        <is>
          <t>FY27: Jul 1–Aug 21, 2026 (52 days)</t>
        </is>
      </c>
      <c r="B26" s="26" t="n"/>
      <c r="C26" s="27" t="n"/>
      <c r="D26" s="11" t="n">
        <v>32860.21</v>
      </c>
      <c r="E26" s="10" t="inlineStr"/>
      <c r="F26" s="9" t="inlineStr">
        <is>
          <t>CONFIRMED — QB P&amp;L PDF</t>
        </is>
      </c>
      <c r="G26" s="9" t="inlineStr">
        <is>
          <t>CONFIRMED</t>
        </is>
      </c>
    </row>
    <row r="27">
      <c r="A27" s="12" t="inlineStr">
        <is>
          <t>FY27: Aug 22–Oct 10, 2026 (~50 days)</t>
        </is>
      </c>
      <c r="B27" s="26" t="n"/>
      <c r="C27" s="27" t="n"/>
      <c r="D27" s="23" t="n">
        <v>49163</v>
      </c>
      <c r="E27" s="22" t="inlineStr"/>
      <c r="F27" s="24" t="inlineStr">
        <is>
          <t>ESTIMATED — FY26 rate proxy</t>
        </is>
      </c>
      <c r="G27" s="12" t="inlineStr">
        <is>
          <t>[estimate]</t>
        </is>
      </c>
    </row>
    <row r="28">
      <c r="A28" s="13" t="inlineStr">
        <is>
          <t>TOTAL ~2-YEAR FACILITY COSTS (est.)</t>
        </is>
      </c>
      <c r="B28" s="26" t="n"/>
      <c r="C28" s="27" t="n"/>
      <c r="D28" s="14" t="n">
        <v>966967.74</v>
      </c>
      <c r="E28" s="21" t="inlineStr"/>
      <c r="F28" s="15" t="inlineStr">
        <is>
          <t>Confirmed: $386,838 | Estimated: $580,130</t>
        </is>
      </c>
      <c r="G28" s="12" t="inlineStr">
        <is>
          <t>[verify FY25 QB]</t>
        </is>
      </c>
    </row>
    <row r="29" ht="36" customHeight="1">
      <c r="A29" s="24" t="inlineStr">
        <is>
          <t>NOTE: 2-yr range interpreted as Jan 2024–Oct 2026 (~33 months). Only FY26 and FY27 partial confirmed from QB. If John means Oct 2024–Oct 2026 (24 months), remove Jan–Jun 2024 ($177K) and FY25 ($354K) rows → total confirmed+est. $702K, offset at 50% = $351K.</t>
        </is>
      </c>
      <c r="B29" s="26" t="n"/>
      <c r="C29" s="26" t="n"/>
      <c r="D29" s="26" t="n"/>
      <c r="E29" s="26" t="n"/>
      <c r="F29" s="26" t="n"/>
      <c r="G29" s="27" t="n"/>
    </row>
  </sheetData>
  <mergeCells count="12">
    <mergeCell ref="A28:C28"/>
    <mergeCell ref="A25:C25"/>
    <mergeCell ref="A1:G1"/>
    <mergeCell ref="A23:C23"/>
    <mergeCell ref="A3:G3"/>
    <mergeCell ref="A22:G22"/>
    <mergeCell ref="A27:C27"/>
    <mergeCell ref="A29:G29"/>
    <mergeCell ref="A26:C26"/>
    <mergeCell ref="A19:G19"/>
    <mergeCell ref="A11:G11"/>
    <mergeCell ref="A24:C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52" customWidth="1" min="5" max="5"/>
  </cols>
  <sheetData>
    <row r="1">
      <c r="A1" s="1" t="inlineStr">
        <is>
          <t>SSLC — Microcosm Facility Offset Analysis vs. Due to Microcosm Balance</t>
        </is>
      </c>
    </row>
    <row r="2">
      <c r="A2" s="5" t="inlineStr">
        <is>
          <t>INPUTS — cells in amber = management assumptions (editable)</t>
        </is>
      </c>
      <c r="B2" s="26" t="n"/>
      <c r="C2" s="26" t="n"/>
      <c r="D2" s="26" t="n"/>
      <c r="E2" s="27" t="n"/>
    </row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Notes</t>
        </is>
      </c>
      <c r="D3" s="26" t="n"/>
      <c r="E3" s="27" t="n"/>
    </row>
    <row r="4">
      <c r="A4" s="12" t="inlineStr">
        <is>
          <t>Microcosm share of facility costs</t>
        </is>
      </c>
      <c r="B4" s="25" t="n">
        <v>0.5</v>
      </c>
      <c r="C4" s="24" t="inlineStr">
        <is>
          <t>MANAGEMENT ASSUMPTION — change this value. 50% = equal split. Verify against sq ft, facility lease, or cost-sharing agreement between SSLC and Microcosm.</t>
        </is>
      </c>
      <c r="D4" s="26" t="n"/>
      <c r="E4" s="27" t="n"/>
    </row>
    <row r="5">
      <c r="A5" s="10" t="inlineStr">
        <is>
          <t>Total facility costs (2-yr est.)</t>
        </is>
      </c>
      <c r="B5" s="11" t="n">
        <v>966967.74</v>
      </c>
      <c r="C5" s="9" t="inlineStr">
        <is>
          <t>Jan 2024–Oct 2026, ~33 months. Confirmed $387K + estimated $580K. See Facility Costs sheet.</t>
        </is>
      </c>
      <c r="D5" s="26" t="n"/>
      <c r="E5" s="27" t="n"/>
    </row>
    <row r="6">
      <c r="A6" s="10" t="inlineStr">
        <is>
          <t>Due to Microcosm — QB balance (10/2/2026)</t>
        </is>
      </c>
      <c r="B6" s="11" t="n">
        <v>451429</v>
      </c>
      <c r="C6" s="9" t="inlineStr">
        <is>
          <t>QB Acct 2385. Confirmed. Growing ~$500/period.</t>
        </is>
      </c>
      <c r="D6" s="26" t="n"/>
      <c r="E6" s="27" t="n"/>
    </row>
    <row r="7">
      <c r="A7" s="10" t="inlineStr">
        <is>
          <t>Period</t>
        </is>
      </c>
      <c r="B7" s="10" t="inlineStr">
        <is>
          <t>Jan 2024 – Oct 10, 2026</t>
        </is>
      </c>
      <c r="C7" s="9" t="inlineStr">
        <is>
          <t>~33 months. John stated 'about 2 years'. Longer range used for conservatism.</t>
        </is>
      </c>
      <c r="D7" s="26" t="n"/>
      <c r="E7" s="27" t="n"/>
    </row>
    <row r="8">
      <c r="A8" s="6" t="n"/>
      <c r="B8" s="6" t="n"/>
      <c r="C8" s="6" t="n"/>
      <c r="D8" s="6" t="n"/>
      <c r="E8" s="6" t="n"/>
    </row>
    <row r="9">
      <c r="A9" s="5" t="inlineStr">
        <is>
          <t>CALCULATED RESULTS (sensitivity table)</t>
        </is>
      </c>
      <c r="B9" s="26" t="n"/>
      <c r="C9" s="26" t="n"/>
      <c r="D9" s="26" t="n"/>
      <c r="E9" s="27" t="n"/>
    </row>
    <row r="10">
      <c r="A10" s="4" t="inlineStr">
        <is>
          <t>Item</t>
        </is>
      </c>
      <c r="B10" s="4" t="inlineStr">
        <is>
          <t>At 40% share</t>
        </is>
      </c>
      <c r="C10" s="4" t="inlineStr">
        <is>
          <t>At 50% (base)</t>
        </is>
      </c>
      <c r="D10" s="4" t="inlineStr">
        <is>
          <t>At 60% share</t>
        </is>
      </c>
      <c r="E10" s="4" t="inlineStr">
        <is>
          <t>Notes</t>
        </is>
      </c>
    </row>
    <row r="11">
      <c r="A11" s="10" t="inlineStr">
        <is>
          <t>Total shared facility costs (2-yr est.)</t>
        </is>
      </c>
      <c r="B11" s="11" t="n">
        <v>966967.74</v>
      </c>
      <c r="C11" s="11" t="n">
        <v>966967.74</v>
      </c>
      <c r="D11" s="11" t="n">
        <v>966967.74</v>
      </c>
      <c r="E11" s="9" t="inlineStr">
        <is>
          <t>From Facility Costs sheet</t>
        </is>
      </c>
    </row>
    <row r="12">
      <c r="A12" s="10" t="inlineStr">
        <is>
          <t>× Microcosm share assumption</t>
        </is>
      </c>
      <c r="B12" s="19" t="n">
        <v>0.4</v>
      </c>
      <c r="C12" s="19" t="n">
        <v>0.5</v>
      </c>
      <c r="D12" s="19" t="n">
        <v>0.6</v>
      </c>
      <c r="E12" s="9" t="inlineStr">
        <is>
          <t>Management assumption — not a verified legal obligation</t>
        </is>
      </c>
    </row>
    <row r="13">
      <c r="A13" s="10">
        <f> Offset claim (Microcosm's share)</f>
        <v/>
      </c>
      <c r="B13" s="11" t="n">
        <v>386787.096</v>
      </c>
      <c r="C13" s="11" t="n">
        <v>483483.87</v>
      </c>
      <c r="D13" s="11" t="n">
        <v>580180.644</v>
      </c>
      <c r="E13" s="9" t="inlineStr">
        <is>
          <t>Gross reimbursement SSLC could claim from Microcosm</t>
        </is>
      </c>
    </row>
    <row r="14">
      <c r="A14" s="10" t="inlineStr">
        <is>
          <t>Due to Microcosm balance (10/2/2026)</t>
        </is>
      </c>
      <c r="B14" s="11" t="n">
        <v>451429</v>
      </c>
      <c r="C14" s="11" t="n">
        <v>451429</v>
      </c>
      <c r="D14" s="11" t="n">
        <v>451429</v>
      </c>
      <c r="E14" s="9" t="inlineStr">
        <is>
          <t>QB Acct 2385 confirmed</t>
        </is>
      </c>
    </row>
    <row r="15">
      <c r="A15" s="13" t="inlineStr">
        <is>
          <t>NET POSITION (offset minus Due-to)</t>
        </is>
      </c>
      <c r="B15" s="17" t="n">
        <v>-64641.90399999998</v>
      </c>
      <c r="C15" s="14" t="n">
        <v>32054.87</v>
      </c>
      <c r="D15" s="14" t="n">
        <v>128751.644</v>
      </c>
      <c r="E15" s="15" t="inlineStr">
        <is>
          <t>Positive = SSLC net creditor after offset; Negative = net-owes</t>
        </is>
      </c>
    </row>
    <row r="16">
      <c r="A16" s="6" t="n"/>
      <c r="B16" s="6" t="n"/>
      <c r="C16" s="6" t="n"/>
      <c r="D16" s="6" t="n"/>
      <c r="E16" s="6" t="n"/>
    </row>
    <row r="17">
      <c r="A17" s="5" t="inlineStr">
        <is>
          <t>INTERPRETATION AND LEGAL CAVEATS</t>
        </is>
      </c>
      <c r="B17" s="26" t="n"/>
      <c r="C17" s="26" t="n"/>
      <c r="D17" s="26" t="n"/>
      <c r="E17" s="27" t="n"/>
    </row>
    <row r="18" ht="40" customHeight="1">
      <c r="A18" s="9" t="inlineStr">
        <is>
          <t>At 50% share: SSLC offset claim ($483K) slightly exceeds Due to Microcosm ($451K) by ~$32K → if legally recognized, SSLC becomes net creditor.</t>
        </is>
      </c>
      <c r="B18" s="26" t="n"/>
      <c r="C18" s="26" t="n"/>
      <c r="D18" s="26" t="n"/>
      <c r="E18" s="27" t="n"/>
    </row>
    <row r="19" ht="40" customHeight="1">
      <c r="A19" s="9" t="inlineStr">
        <is>
          <t>At 40% share: offset ($387K) &lt; Due-to ($451K) → SSLC net-owes ~$64K after offset.</t>
        </is>
      </c>
      <c r="B19" s="26" t="n"/>
      <c r="C19" s="26" t="n"/>
      <c r="D19" s="26" t="n"/>
      <c r="E19" s="27" t="n"/>
    </row>
    <row r="20" ht="40" customHeight="1">
      <c r="A20" s="9" t="inlineStr">
        <is>
          <t>At 60% share: offset ($580K) &gt; Due-to ($451K) → SSLC net creditor by ~$129K.</t>
        </is>
      </c>
      <c r="B20" s="26" t="n"/>
      <c r="C20" s="26" t="n"/>
      <c r="D20" s="26" t="n"/>
      <c r="E20" s="27" t="n"/>
    </row>
    <row r="21" ht="40" customHeight="1">
      <c r="A21" s="12" t="inlineStr">
        <is>
          <t>LEGAL BASIS REQUIRED: No written cost-sharing agreement found on disk. To assert this offset SSLC needs: (1) proof it paid 100% of shared costs; (2) a written agreement or lease provision creating Microcosm's obligation; (3) sq footage or usage basis for the share %; (4) determination whether 'Due to Microcosm' $451K is a separate loan or already includes facility charges (if the latter, double-counting occurs).</t>
        </is>
      </c>
      <c r="B21" s="26" t="n"/>
      <c r="C21" s="26" t="n"/>
      <c r="D21" s="26" t="n"/>
      <c r="E21" s="27" t="n"/>
    </row>
    <row r="22" ht="40" customHeight="1">
      <c r="A22" s="12" t="inlineStr">
        <is>
          <t>[verify] FY25 QB data not on disk — estimated at FY26 rate. If actual FY25 is lower, the 2-yr total and offset decline. Pull FY25 QB P&amp;L to confirm.</t>
        </is>
      </c>
      <c r="B22" s="26" t="n"/>
      <c r="C22" s="26" t="n"/>
      <c r="D22" s="26" t="n"/>
      <c r="E22" s="27" t="n"/>
    </row>
    <row r="23" ht="40" customHeight="1">
      <c r="A23" s="12" t="inlineStr">
        <is>
          <t>[verify] 'Due to Microcosm' growing ~$500/period. Determine if this is a loan facility or accruing facility charges — if the latter, the offset logic must be restructured.</t>
        </is>
      </c>
      <c r="B23" s="26" t="n"/>
      <c r="C23" s="26" t="n"/>
      <c r="D23" s="26" t="n"/>
      <c r="E23" s="27" t="n"/>
    </row>
  </sheetData>
  <mergeCells count="15">
    <mergeCell ref="A21:E21"/>
    <mergeCell ref="A20:E20"/>
    <mergeCell ref="C5:E5"/>
    <mergeCell ref="A2:E2"/>
    <mergeCell ref="A19:E19"/>
    <mergeCell ref="C4:E4"/>
    <mergeCell ref="A1:E1"/>
    <mergeCell ref="C3:E3"/>
    <mergeCell ref="A23:E23"/>
    <mergeCell ref="C7:E7"/>
    <mergeCell ref="A22:E22"/>
    <mergeCell ref="A17:E17"/>
    <mergeCell ref="A18:E18"/>
    <mergeCell ref="A9:E9"/>
    <mergeCell ref="C6:E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</cols>
  <sheetData>
    <row r="1">
      <c r="A1" s="28" t="inlineStr">
        <is>
          <t>10/2 → 10/11 Cash Bridge</t>
        </is>
      </c>
      <c r="B1" t="inlineStr"/>
    </row>
    <row r="2">
      <c r="A2" t="inlineStr"/>
      <c r="B2" t="inlineStr"/>
    </row>
    <row r="3">
      <c r="A3" s="28" t="inlineStr">
        <is>
          <t>Item</t>
        </is>
      </c>
      <c r="B3" t="inlineStr">
        <is>
          <t>Amount ($)</t>
        </is>
      </c>
    </row>
    <row r="4">
      <c r="A4" t="inlineStr">
        <is>
          <t>Beginning cash (10/2/2026)</t>
        </is>
      </c>
      <c r="B4" t="n">
        <v>198419</v>
      </c>
    </row>
    <row r="5">
      <c r="A5" t="inlineStr"/>
      <c r="B5" t="inlineStr"/>
    </row>
    <row r="6">
      <c r="A6" s="28" t="inlineStr">
        <is>
          <t>INFLOWS</t>
        </is>
      </c>
      <c r="B6" t="inlineStr"/>
    </row>
    <row r="7">
      <c r="A7" t="inlineStr">
        <is>
          <t xml:space="preserve">  AR Billed collected — Intuitive Machines Inv 109-86 (10/7)</t>
        </is>
      </c>
      <c r="B7" t="n">
        <v>142605.55</v>
      </c>
    </row>
    <row r="8">
      <c r="A8" t="inlineStr">
        <is>
          <t xml:space="preserve">  AR Billed collected — Intuitive Machines Inv 109-87 (10/7)</t>
        </is>
      </c>
      <c r="B8" t="n">
        <v>200700</v>
      </c>
    </row>
    <row r="9">
      <c r="A9" t="inlineStr">
        <is>
          <t xml:space="preserve">  AR Billed collected — Intuitive Machines Inv 109-88 (10/7)</t>
        </is>
      </c>
      <c r="B9" t="n">
        <v>78115</v>
      </c>
    </row>
    <row r="10">
      <c r="A10" t="inlineStr">
        <is>
          <t xml:space="preserve">  Total AR collections (per GL, EFT1007)</t>
        </is>
      </c>
      <c r="B10" t="n">
        <v>421420.55</v>
      </c>
    </row>
    <row r="11">
      <c r="A11" t="inlineStr"/>
      <c r="B11" t="inlineStr"/>
    </row>
    <row r="12">
      <c r="A12" s="28" t="inlineStr">
        <is>
          <t>OUTFLOWS</t>
        </is>
      </c>
      <c r="B12" t="inlineStr"/>
    </row>
    <row r="13">
      <c r="A13" t="inlineStr">
        <is>
          <t xml:space="preserve">  Vendor payables Bill.com — Hexcel Corp (10/5, JE 270131)</t>
        </is>
      </c>
      <c r="B13" t="n">
        <v>-11091.8</v>
      </c>
    </row>
    <row r="14">
      <c r="A14" t="inlineStr">
        <is>
          <t xml:space="preserve">  Vendor payables Bill.com — Ileana Intl + Stratus (10/6, JE 270135)</t>
        </is>
      </c>
      <c r="B14" t="n">
        <v>-3316</v>
      </c>
    </row>
    <row r="15">
      <c r="A15" t="inlineStr">
        <is>
          <t xml:space="preserve">  Chase Amazon VISA partial payment (10/5, EFT1005)</t>
        </is>
      </c>
      <c r="B15" t="n">
        <v>-10000</v>
      </c>
    </row>
    <row r="16">
      <c r="A16" t="inlineStr">
        <is>
          <t xml:space="preserve">  LACFD permit / hazardous waste (10/2, CK4488)</t>
        </is>
      </c>
      <c r="B16" t="n">
        <v>-2452</v>
      </c>
    </row>
    <row r="17">
      <c r="A17" t="inlineStr">
        <is>
          <t xml:space="preserve">  Hartford Life insurance (10/8, EFT1008)</t>
        </is>
      </c>
      <c r="B17" t="n">
        <v>-1029.56</v>
      </c>
    </row>
    <row r="18">
      <c r="A18" t="inlineStr">
        <is>
          <t xml:space="preserve">  Empower 401K + benefits (10/9, EFT1009)</t>
        </is>
      </c>
      <c r="B18" t="n">
        <v>-1730.4</v>
      </c>
    </row>
    <row r="19">
      <c r="A19" t="inlineStr">
        <is>
          <t xml:space="preserve">  Fidelity 401K (10/9, CK4489)</t>
        </is>
      </c>
      <c r="B19" t="n">
        <v>-500</v>
      </c>
    </row>
    <row r="20">
      <c r="A20" t="inlineStr">
        <is>
          <t xml:space="preserve">  Paychex payroll admin (10/9, EFT1009)</t>
        </is>
      </c>
      <c r="B20" t="n">
        <v>-229.39</v>
      </c>
    </row>
    <row r="21">
      <c r="A21" t="inlineStr">
        <is>
          <t xml:space="preserve">  Total outflows (per GL)</t>
        </is>
      </c>
      <c r="B21" t="n">
        <v>-30349.15</v>
      </c>
    </row>
    <row r="22">
      <c r="A22" s="28" t="inlineStr"/>
      <c r="B22" t="inlineStr"/>
    </row>
    <row r="23">
      <c r="A23" s="28" t="inlineStr">
        <is>
          <t>NET CHANGE PER GL</t>
        </is>
      </c>
      <c r="B23" t="n">
        <v>391071.4</v>
      </c>
    </row>
    <row r="24">
      <c r="A24" t="inlineStr">
        <is>
          <t>Rounding / beginning-balance adjustment</t>
        </is>
      </c>
      <c r="B24" t="n">
        <v>854.05</v>
      </c>
    </row>
    <row r="25">
      <c r="A25" t="inlineStr"/>
      <c r="B25" t="inlineStr"/>
    </row>
    <row r="26">
      <c r="A26" s="28" t="inlineStr">
        <is>
          <t>Ending cash (10/11/2026)</t>
        </is>
      </c>
      <c r="B26" t="n">
        <v>590344.45</v>
      </c>
    </row>
    <row r="27">
      <c r="A27" s="28" t="inlineStr"/>
      <c r="B27" t="inlineStr"/>
    </row>
    <row r="28">
      <c r="A28" t="inlineStr">
        <is>
          <t>NOTES</t>
        </is>
      </c>
      <c r="B28" t="inlineStr"/>
    </row>
    <row r="29">
      <c r="A29" t="inlineStr">
        <is>
          <t>Source: SSLC_Transaction_Detail_by_Account.xlsx (qb-2026-10-11)</t>
        </is>
      </c>
      <c r="B29" t="inlineStr"/>
    </row>
    <row r="30">
      <c r="A30" t="inlineStr">
        <is>
          <t>All collections from Intuitive Machines (Acct 1100 AR Billed → 1030 Checking).</t>
        </is>
      </c>
      <c r="B30" t="inlineStr"/>
    </row>
    <row r="31">
      <c r="A31" t="inlineStr">
        <is>
          <t>No AR Unbilled (1110) activity between 10/2–10/11 — no new billing-ahead entries recorded.</t>
        </is>
      </c>
      <c r="B31" t="inlineStr"/>
    </row>
    <row r="32">
      <c r="A32" t="inlineStr">
        <is>
          <t>$854 rounding gap reflects that stated beginning of $198,419 is rounded; GL-derived net = $391,071.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2026-10-10T23:23:49Z</dcterms:created>
  <dcterms:modified xmlns:dcterms="http://purl.org/dc/terms/" xmlns:xsi="http://www.w3.org/2001/XMLSchema-instance" xsi:type="dcterms:W3CDTF">2026-10-12T02:53:03Z</dcterms:modified>
</cp:coreProperties>
</file>