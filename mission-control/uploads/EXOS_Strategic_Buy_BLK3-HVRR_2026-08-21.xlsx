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y Group Summary" sheetId="2" state="visible" r:id="rId2"/>
    <sheet xmlns:r="http://schemas.openxmlformats.org/officeDocument/2006/relationships" name="Actuation  Motion" sheetId="3" state="visible" r:id="rId3"/>
    <sheet xmlns:r="http://schemas.openxmlformats.org/officeDocument/2006/relationships" name="Aircraft  Racing Hardware" sheetId="4" state="visible" r:id="rId4"/>
    <sheet xmlns:r="http://schemas.openxmlformats.org/officeDocument/2006/relationships" name="Avionics  Sensors  GNSS" sheetId="5" state="visible" r:id="rId5"/>
    <sheet xmlns:r="http://schemas.openxmlformats.org/officeDocument/2006/relationships" name="Batteries  Hobby" sheetId="6" state="visible" r:id="rId6"/>
    <sheet xmlns:r="http://schemas.openxmlformats.org/officeDocument/2006/relationships" name="Composite Structures" sheetId="7" state="visible" r:id="rId7"/>
    <sheet xmlns:r="http://schemas.openxmlformats.org/officeDocument/2006/relationships" name="Electronic Components" sheetId="8" state="visible" r:id="rId8"/>
    <sheet xmlns:r="http://schemas.openxmlformats.org/officeDocument/2006/relationships" name="Fluid Systems  Valves  Fitti" sheetId="9" state="visible" r:id="rId9"/>
    <sheet xmlns:r="http://schemas.openxmlformats.org/officeDocument/2006/relationships" name="MRO  Fasteners  Raw Stock" sheetId="10" state="visible" r:id="rId10"/>
    <sheet xmlns:r="http://schemas.openxmlformats.org/officeDocument/2006/relationships" name="Machining  Fabrication" sheetId="11" state="visible" r:id="rId11"/>
    <sheet xmlns:r="http://schemas.openxmlformats.org/officeDocument/2006/relationships" name="Metals  Titanium" sheetId="12" state="visible" r:id="rId12"/>
    <sheet xmlns:r="http://schemas.openxmlformats.org/officeDocument/2006/relationships" name="Other  Misc  ToCategorize" sheetId="13" state="visible" r:id="rId13"/>
    <sheet xmlns:r="http://schemas.openxmlformats.org/officeDocument/2006/relationships" name="RF  Microwave" sheetId="14" state="visible" r:id="rId14"/>
    <sheet xmlns:r="http://schemas.openxmlformats.org/officeDocument/2006/relationships" name="Recovery  Textiles  Firesle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a4a"/>
      <sz val="15"/>
    </font>
    <font>
      <i val="1"/>
      <color rgb="00606a78"/>
    </font>
    <font>
      <b val="1"/>
      <color rgb="000b2a4a"/>
    </font>
    <font>
      <b val="1"/>
      <color rgb="00FFFFFF"/>
    </font>
    <font>
      <b val="1"/>
      <color rgb="000b2a4a"/>
      <sz val="13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EXOS AEROSPACE — Strategic Buy / Competitive RFQ Package</t>
        </is>
      </c>
    </row>
    <row r="2">
      <c r="A2" s="2" t="inlineStr">
        <is>
          <t>BLK3 + HVRR BOMs · generated Aug 21, 2026</t>
        </is>
      </c>
    </row>
    <row r="3">
      <c r="A3" t="inlineStr"/>
    </row>
    <row r="4">
      <c r="A4" s="3" t="inlineStr">
        <is>
          <t>How to run the competitive buy:</t>
        </is>
      </c>
    </row>
    <row r="5">
      <c r="A5" t="inlineStr">
        <is>
          <t>1. Each tab is a BUY GROUP (a commodity family). Identical parts are aggregated across BLK3 + HVRR — buy once, more volume, better price.</t>
        </is>
      </c>
    </row>
    <row r="6">
      <c r="A6" t="inlineStr">
        <is>
          <t>2. Send the group's line list to the 3 qualified suppliers named at the top of each tab (primary + the two DIB-qualified backups).</t>
        </is>
      </c>
    </row>
    <row r="7">
      <c r="A7" t="inlineStr">
        <is>
          <t>3. Enter each supplier's unit quote in its column. 'Low Quote', 'Award To', and 'Savings vs Baseline' auto-compute.</t>
        </is>
      </c>
    </row>
    <row r="8">
      <c r="A8" t="inlineStr">
        <is>
          <t>4. Award to the lowest qualified bid. Confirm backups' supplier DD is GREEN before award (Gov/DIB Readiness Register).</t>
        </is>
      </c>
    </row>
    <row r="9">
      <c r="A9" t="inlineStr">
        <is>
          <t>5. Baseline $ = current BOM cost. Savings roll up on the Summary tab.</t>
        </is>
      </c>
    </row>
    <row r="10">
      <c r="A10" t="inlineStr"/>
    </row>
    <row r="11">
      <c r="A11" t="inlineStr">
        <is>
          <t>Only qualified (DD-cleared) suppliers should be solicited. Machining/fab and 'Other' groups need a buyer to confirm the alternate before RFQ.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26" customWidth="1" min="4" max="4"/>
    <col width="26" customWidth="1" min="5" max="5"/>
    <col width="26" customWidth="1" min="6" max="6"/>
  </cols>
  <sheetData>
    <row r="1">
      <c r="A1" s="4" t="inlineStr">
        <is>
          <t>Buy Group</t>
        </is>
      </c>
      <c r="B1" s="4" t="inlineStr">
        <is>
          <t>Unique Parts</t>
        </is>
      </c>
      <c r="C1" s="4" t="inlineStr">
        <is>
          <t>Baseline Ext $</t>
        </is>
      </c>
      <c r="D1" s="4" t="inlineStr">
        <is>
          <t>Recommended Bidders (RFQ to)</t>
        </is>
      </c>
      <c r="E1" s="4" t="inlineStr"/>
      <c r="F1" s="4" t="inlineStr"/>
    </row>
    <row r="2">
      <c r="A2" t="inlineStr">
        <is>
          <t>Composite Structures</t>
        </is>
      </c>
      <c r="B2" t="n">
        <v>15</v>
      </c>
      <c r="C2" t="n">
        <v>700964</v>
      </c>
      <c r="D2" t="inlineStr">
        <is>
          <t>Scorpius (affiliate)</t>
        </is>
      </c>
      <c r="E2" t="inlineStr">
        <is>
          <t>Infinite Composites Technologies</t>
        </is>
      </c>
      <c r="F2" t="inlineStr">
        <is>
          <t>Composite Technology Development (CTD)</t>
        </is>
      </c>
    </row>
    <row r="3">
      <c r="A3" t="inlineStr">
        <is>
          <t>Avionics · Sensors · GNSS</t>
        </is>
      </c>
      <c r="B3" t="n">
        <v>9</v>
      </c>
      <c r="C3" t="n">
        <v>92965.17999999999</v>
      </c>
      <c r="D3" t="inlineStr">
        <is>
          <t>Incumbent (EMCORE/JAVAD)</t>
        </is>
      </c>
      <c r="E3" t="inlineStr">
        <is>
          <t>VectorNav / NovAtel</t>
        </is>
      </c>
      <c r="F3" t="inlineStr">
        <is>
          <t>SBG / Septentrio</t>
        </is>
      </c>
    </row>
    <row r="4">
      <c r="A4" t="inlineStr">
        <is>
          <t>MRO · Fasteners · Raw Stock</t>
        </is>
      </c>
      <c r="B4" t="n">
        <v>207</v>
      </c>
      <c r="C4" t="n">
        <v>42477.53</v>
      </c>
      <c r="D4" t="inlineStr">
        <is>
          <t>McMaster-Carr</t>
        </is>
      </c>
      <c r="E4" t="inlineStr">
        <is>
          <t>Grainger</t>
        </is>
      </c>
      <c r="F4" t="inlineStr">
        <is>
          <t>MSC Industrial</t>
        </is>
      </c>
    </row>
    <row r="5">
      <c r="A5" t="inlineStr">
        <is>
          <t>Machining &amp; Fabrication</t>
        </is>
      </c>
      <c r="B5" t="n">
        <v>22</v>
      </c>
      <c r="C5" t="n">
        <v>37140.76</v>
      </c>
      <c r="D5" t="inlineStr">
        <is>
          <t>Xometry</t>
        </is>
      </c>
      <c r="E5" t="inlineStr">
        <is>
          <t>Protolabs</t>
        </is>
      </c>
      <c r="F5" t="inlineStr">
        <is>
          <t>Incumbent shop (qualify)</t>
        </is>
      </c>
    </row>
    <row r="6">
      <c r="A6" t="inlineStr">
        <is>
          <t>Recovery · Textiles · Firesleeve</t>
        </is>
      </c>
      <c r="B6" t="n">
        <v>8</v>
      </c>
      <c r="C6" t="n">
        <v>28320.04</v>
      </c>
      <c r="D6" t="inlineStr">
        <is>
          <t>Incumbent (WAMORE/Airborne)</t>
        </is>
      </c>
      <c r="E6" t="inlineStr">
        <is>
          <t>Bally Ribbon / Murdock Webbing</t>
        </is>
      </c>
      <c r="F6" t="inlineStr">
        <is>
          <t>Techflex</t>
        </is>
      </c>
    </row>
    <row r="7">
      <c r="A7" t="inlineStr">
        <is>
          <t>Electronic Components</t>
        </is>
      </c>
      <c r="B7" t="n">
        <v>122</v>
      </c>
      <c r="C7" t="n">
        <v>28047.01</v>
      </c>
      <c r="D7" t="inlineStr">
        <is>
          <t>DigiKey</t>
        </is>
      </c>
      <c r="E7" t="inlineStr">
        <is>
          <t>Mouser</t>
        </is>
      </c>
      <c r="F7" t="inlineStr">
        <is>
          <t>Newark (element14)</t>
        </is>
      </c>
    </row>
    <row r="8">
      <c r="A8" t="inlineStr">
        <is>
          <t>RF &amp; Microwave</t>
        </is>
      </c>
      <c r="B8" t="n">
        <v>23</v>
      </c>
      <c r="C8" t="n">
        <v>24894.32</v>
      </c>
      <c r="D8" t="inlineStr">
        <is>
          <t>Pasternack</t>
        </is>
      </c>
      <c r="E8" t="inlineStr">
        <is>
          <t>Fairview Microwave</t>
        </is>
      </c>
      <c r="F8" t="inlineStr">
        <is>
          <t>L-com</t>
        </is>
      </c>
    </row>
    <row r="9">
      <c r="A9" t="inlineStr">
        <is>
          <t>Fluid Systems · Valves · Fittings · Regulators</t>
        </is>
      </c>
      <c r="B9" t="n">
        <v>20</v>
      </c>
      <c r="C9" t="n">
        <v>17108.08</v>
      </c>
      <c r="D9" t="inlineStr">
        <is>
          <t>Swagelok</t>
        </is>
      </c>
      <c r="E9" t="inlineStr">
        <is>
          <t>Parker (Ham-Let)</t>
        </is>
      </c>
      <c r="F9" t="inlineStr">
        <is>
          <t>ASCO/Tescom (Emerson)</t>
        </is>
      </c>
    </row>
    <row r="10">
      <c r="A10" t="inlineStr">
        <is>
          <t>Actuation &amp; Motion</t>
        </is>
      </c>
      <c r="B10" t="n">
        <v>2</v>
      </c>
      <c r="C10" t="n">
        <v>12616</v>
      </c>
      <c r="D10" t="inlineStr">
        <is>
          <t>Ultramotion</t>
        </is>
      </c>
      <c r="E10" t="inlineStr">
        <is>
          <t>Thomson (Regal Rexnord)</t>
        </is>
      </c>
      <c r="F10" t="inlineStr">
        <is>
          <t>Moog</t>
        </is>
      </c>
    </row>
    <row r="11">
      <c r="A11" t="inlineStr">
        <is>
          <t>Aircraft &amp; Racing Hardware</t>
        </is>
      </c>
      <c r="B11" t="n">
        <v>58</v>
      </c>
      <c r="C11" t="n">
        <v>11892.18</v>
      </c>
      <c r="D11" t="inlineStr">
        <is>
          <t>Aircraft Spruce</t>
        </is>
      </c>
      <c r="E11" t="inlineStr">
        <is>
          <t>Wicks Aircraft</t>
        </is>
      </c>
      <c r="F11" t="inlineStr">
        <is>
          <t>Chief Aircraft / Jegs</t>
        </is>
      </c>
    </row>
    <row r="12">
      <c r="A12" t="inlineStr">
        <is>
          <t>Metals &amp; Titanium</t>
        </is>
      </c>
      <c r="B12" t="n">
        <v>3</v>
      </c>
      <c r="C12" t="n">
        <v>6686.4</v>
      </c>
      <c r="D12" t="inlineStr">
        <is>
          <t>TMS Titanium</t>
        </is>
      </c>
      <c r="E12" t="inlineStr">
        <is>
          <t>Titanium Industries</t>
        </is>
      </c>
      <c r="F12" t="inlineStr">
        <is>
          <t>Online Metals</t>
        </is>
      </c>
    </row>
    <row r="13">
      <c r="A13" t="inlineStr">
        <is>
          <t>Other · Misc / To-Categorize</t>
        </is>
      </c>
      <c r="B13" t="n">
        <v>44</v>
      </c>
      <c r="C13" t="n">
        <v>6634.16</v>
      </c>
      <c r="D13" t="inlineStr">
        <is>
          <t>(assign)</t>
        </is>
      </c>
      <c r="E13" t="inlineStr">
        <is>
          <t>(assign)</t>
        </is>
      </c>
      <c r="F13" t="inlineStr">
        <is>
          <t>(assign)</t>
        </is>
      </c>
    </row>
    <row r="14">
      <c r="A14" t="inlineStr">
        <is>
          <t>Batteries &amp; Hobby</t>
        </is>
      </c>
      <c r="B14" t="n">
        <v>2</v>
      </c>
      <c r="C14" t="n">
        <v>189.6</v>
      </c>
      <c r="D14" t="inlineStr">
        <is>
          <t>RCBattery</t>
        </is>
      </c>
      <c r="E14" t="inlineStr">
        <is>
          <t>HobbyKing</t>
        </is>
      </c>
      <c r="F14" t="inlineStr">
        <is>
          <t>MaxAmps / Tower Hobbies</t>
        </is>
      </c>
    </row>
    <row r="15">
      <c r="A15" s="3" t="inlineStr">
        <is>
          <t>TOTAL</t>
        </is>
      </c>
      <c r="B15" s="3" t="n">
        <v>535</v>
      </c>
      <c r="C15" s="3" t="n">
        <v>1009935.26</v>
      </c>
      <c r="D15" t="inlineStr"/>
      <c r="E15" t="inlineStr"/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Actuation &amp; Motion</t>
        </is>
      </c>
    </row>
    <row r="2">
      <c r="A2" s="3" t="inlineStr">
        <is>
          <t>RFQ to (qualified suppliers):</t>
        </is>
      </c>
      <c r="C2" t="inlineStr">
        <is>
          <t>1) Ultramotion    2) Thomson (Regal Rexnord)    3) Moog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Ultramotion $ea</t>
        </is>
      </c>
      <c r="J5" s="6" t="inlineStr">
        <is>
          <t>Thomson (Regal Rexnord) $ea</t>
        </is>
      </c>
      <c r="K5" s="6" t="inlineStr">
        <is>
          <t>Moog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8</v>
      </c>
      <c r="C6" s="7" t="inlineStr">
        <is>
          <t>BLK3+HVRR</t>
        </is>
      </c>
      <c r="D6" s="7" t="inlineStr">
        <is>
          <t>3-B.125-DC423_12-2-/6-1049</t>
        </is>
      </c>
      <c r="E6" s="7" t="inlineStr">
        <is>
          <t>Linear Actuator B2 Type 2" stroke W Pittman 12vdc motor</t>
        </is>
      </c>
      <c r="F6" s="7" t="inlineStr">
        <is>
          <t>Ultramotion</t>
        </is>
      </c>
      <c r="G6" s="7" t="n">
        <v>1542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4</v>
      </c>
      <c r="C7" s="7" t="inlineStr">
        <is>
          <t>BLK3+HVRR</t>
        </is>
      </c>
      <c r="D7" s="7" t="inlineStr">
        <is>
          <t>15380</t>
        </is>
      </c>
      <c r="E7" s="7" t="inlineStr">
        <is>
          <t>2" 1 piece Trunnion mount Collar 1.25"ID with smooth 1/4" pins for swivel</t>
        </is>
      </c>
      <c r="F7" s="7" t="inlineStr">
        <is>
          <t>Ultramotion</t>
        </is>
      </c>
      <c r="G7" s="7" t="n">
        <v>70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F8" s="3" t="inlineStr">
        <is>
          <t>GROUP TOTAL</t>
        </is>
      </c>
      <c r="H8" s="3">
        <f>SUM(H6:H7)</f>
        <v/>
      </c>
      <c r="N8" s="3">
        <f>SUM(N6:N7)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Aircraft &amp; Racing Hardware</t>
        </is>
      </c>
    </row>
    <row r="2">
      <c r="A2" s="3" t="inlineStr">
        <is>
          <t>RFQ to (qualified suppliers):</t>
        </is>
      </c>
      <c r="C2" t="inlineStr">
        <is>
          <t>1) Aircraft Spruce    2) Wicks Aircraft    3) Chief Aircraft / Jegs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Aircraft Spruce $ea</t>
        </is>
      </c>
      <c r="J5" s="6" t="inlineStr">
        <is>
          <t>Wicks Aircraft $ea</t>
        </is>
      </c>
      <c r="K5" s="6" t="inlineStr">
        <is>
          <t>Chief Aircraft / Jegs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8</v>
      </c>
      <c r="C6" s="7" t="inlineStr">
        <is>
          <t>BLK3+HVRR</t>
        </is>
      </c>
      <c r="D6" s="7" t="inlineStr">
        <is>
          <t>11-06846</t>
        </is>
      </c>
      <c r="E6" s="7" t="inlineStr">
        <is>
          <t>Comant Ci 310-22 Radiophone Antenna, MFR Model # CI 310-22</t>
        </is>
      </c>
      <c r="F6" s="7" t="inlineStr">
        <is>
          <t>Aircraft Spruce</t>
        </is>
      </c>
      <c r="G6" s="7" t="n">
        <v>772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2</v>
      </c>
      <c r="C7" s="7" t="inlineStr">
        <is>
          <t>BLK3+HVRR</t>
        </is>
      </c>
      <c r="D7" s="7" t="inlineStr">
        <is>
          <t>NOS-13700R-8NOS</t>
        </is>
      </c>
      <c r="E7" s="7" t="inlineStr">
        <is>
          <t>Nozzle Fogger, Annular Discharge, Stainless Steel, Natural, Set of 8</t>
        </is>
      </c>
      <c r="F7" s="7" t="inlineStr">
        <is>
          <t>Summit Racing</t>
        </is>
      </c>
      <c r="G7" s="7" t="n">
        <v>669.95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8</v>
      </c>
      <c r="C8" s="7" t="inlineStr">
        <is>
          <t>BLK3+HVRR</t>
        </is>
      </c>
      <c r="D8" s="7" t="inlineStr">
        <is>
          <t>11-01366</t>
        </is>
      </c>
      <c r="E8" s="7" t="inlineStr">
        <is>
          <t>RAY ALLEN RBS - BEZEL GEAR SWITCH</t>
        </is>
      </c>
      <c r="F8" s="7" t="inlineStr">
        <is>
          <t>Aircraft Spruce</t>
        </is>
      </c>
      <c r="G8" s="7" t="n">
        <v>87.90000000000001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4</v>
      </c>
      <c r="C9" s="7" t="inlineStr">
        <is>
          <t>BLK3+HVRR</t>
        </is>
      </c>
      <c r="D9" s="7" t="inlineStr">
        <is>
          <t>11-01366</t>
        </is>
      </c>
      <c r="E9" s="7" t="inlineStr">
        <is>
          <t>Ray Allen Rbs - Bezel Gear Switch</t>
        </is>
      </c>
      <c r="F9" s="7" t="inlineStr">
        <is>
          <t>Aircraft Spruce</t>
        </is>
      </c>
      <c r="G9" s="7" t="n">
        <v>129.85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8</v>
      </c>
      <c r="C10" s="7" t="inlineStr">
        <is>
          <t>BLK3+HVRR</t>
        </is>
      </c>
      <c r="D10" s="7" t="inlineStr">
        <is>
          <t>EAR-921110ERL</t>
        </is>
      </c>
      <c r="E10" s="7" t="inlineStr">
        <is>
          <t xml:space="preserve">Fitting, Adapter, AN to AN, 90 Degree, Aluminum, Blue Anodized, -10 AN, -10 AN, </t>
        </is>
      </c>
      <c r="F10" s="7" t="inlineStr">
        <is>
          <t>Summit Racing</t>
        </is>
      </c>
      <c r="G10" s="7" t="n">
        <v>56.99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4</v>
      </c>
      <c r="C11" s="7" t="inlineStr">
        <is>
          <t>BLK3+HVRR</t>
        </is>
      </c>
      <c r="D11" s="7" t="inlineStr">
        <is>
          <t>15560NOS</t>
        </is>
      </c>
      <c r="E11" s="7" t="inlineStr">
        <is>
          <t>Filter, In-Line, -4 AN to 1/4 in. NPT, Cheater or Pro-Fogger, Aluminum, Blue Ano</t>
        </is>
      </c>
      <c r="F11" s="7" t="inlineStr">
        <is>
          <t>Summit Racing</t>
        </is>
      </c>
      <c r="G11" s="7" t="n">
        <v>39.22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16</v>
      </c>
      <c r="C12" s="7" t="inlineStr">
        <is>
          <t>BLK3+HVRR</t>
        </is>
      </c>
      <c r="D12" s="7" t="inlineStr">
        <is>
          <t>EAR-997104ERL</t>
        </is>
      </c>
      <c r="E12" s="7" t="inlineStr">
        <is>
          <t>Fitting, Bung, Weld-In, Male 4 AN, Aluminum, Each</t>
        </is>
      </c>
      <c r="F12" s="7" t="inlineStr">
        <is>
          <t>Summit Racing</t>
        </is>
      </c>
      <c r="G12" s="7" t="n">
        <v>9.76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2</v>
      </c>
      <c r="C13" s="7" t="inlineStr">
        <is>
          <t>BLK3+HVRR</t>
        </is>
      </c>
      <c r="D13" s="7" t="inlineStr">
        <is>
          <t>AN426AD-3-3.5</t>
        </is>
      </c>
      <c r="E13" s="7" t="inlineStr">
        <is>
          <t>Rivets</t>
        </is>
      </c>
      <c r="F13" s="7" t="inlineStr">
        <is>
          <t>Aircraft Spruce</t>
        </is>
      </c>
      <c r="G13" s="7" t="n">
        <v>71.75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2</v>
      </c>
      <c r="C14" s="7" t="inlineStr">
        <is>
          <t>BLK3+HVRR</t>
        </is>
      </c>
      <c r="D14" s="7" t="inlineStr">
        <is>
          <t>AER-FBM2257</t>
        </is>
      </c>
      <c r="E14" s="7" t="inlineStr">
        <is>
          <t>Adapter Fitting, Female On The Run Tee, -10 AN Male x -10 AN Male x -10 AN Femal</t>
        </is>
      </c>
      <c r="F14" s="7" t="inlineStr">
        <is>
          <t>Summit Racing</t>
        </is>
      </c>
      <c r="G14" s="7" t="n">
        <v>56.99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A15" s="7" t="n">
        <v>10</v>
      </c>
      <c r="B15" s="7" t="n">
        <v>2</v>
      </c>
      <c r="C15" s="7" t="inlineStr">
        <is>
          <t>BLK3+HVRR</t>
        </is>
      </c>
      <c r="D15" s="7" t="inlineStr">
        <is>
          <t>EAR-921110ERL</t>
        </is>
      </c>
      <c r="E15" s="7" t="inlineStr">
        <is>
          <t>Fitting, Coupler, 90 Degree, Female -10 AN to Male -10 AN, Aluminum, Blue</t>
        </is>
      </c>
      <c r="F15" s="7" t="inlineStr">
        <is>
          <t>Summit Racing</t>
        </is>
      </c>
      <c r="G15" s="7" t="n">
        <v>53.25</v>
      </c>
      <c r="H15" s="7">
        <f>B15*G15</f>
        <v/>
      </c>
      <c r="I15" s="7" t="n"/>
      <c r="J15" s="7" t="n"/>
      <c r="K15" s="7" t="n"/>
      <c r="L15" s="7">
        <f>IFERROR(MIN(I15:K15),"")</f>
        <v/>
      </c>
      <c r="M15" s="7" t="inlineStr"/>
      <c r="N15" s="7">
        <f>IF(L15="","",(G15-L15)*B15)</f>
        <v/>
      </c>
    </row>
    <row r="16">
      <c r="A16" s="7" t="n">
        <v>11</v>
      </c>
      <c r="B16" s="7" t="n">
        <v>2</v>
      </c>
      <c r="C16" s="7" t="inlineStr">
        <is>
          <t>BLK3+HVRR</t>
        </is>
      </c>
      <c r="D16" s="7" t="inlineStr">
        <is>
          <t>AER-FBM3150</t>
        </is>
      </c>
      <c r="E16" s="7" t="inlineStr">
        <is>
          <t>Fitting, Coupler, 45 Degree, -10 AN Female to -10 AN Male, Aluminum, Red</t>
        </is>
      </c>
      <c r="F16" s="7" t="inlineStr">
        <is>
          <t>Summit Racing</t>
        </is>
      </c>
      <c r="G16" s="7" t="n">
        <v>52.99</v>
      </c>
      <c r="H16" s="7">
        <f>B16*G16</f>
        <v/>
      </c>
      <c r="I16" s="7" t="n"/>
      <c r="J16" s="7" t="n"/>
      <c r="K16" s="7" t="n"/>
      <c r="L16" s="7">
        <f>IFERROR(MIN(I16:K16),"")</f>
        <v/>
      </c>
      <c r="M16" s="7" t="inlineStr"/>
      <c r="N16" s="7">
        <f>IF(L16="","",(G16-L16)*B16)</f>
        <v/>
      </c>
    </row>
    <row r="17">
      <c r="A17" s="7" t="n">
        <v>12</v>
      </c>
      <c r="B17" s="7" t="n">
        <v>60</v>
      </c>
      <c r="C17" s="7" t="inlineStr">
        <is>
          <t>BLK3+HVRR</t>
        </is>
      </c>
      <c r="D17" s="7" t="inlineStr">
        <is>
          <t>04-05006</t>
        </is>
      </c>
      <c r="E17" s="7" t="inlineStr">
        <is>
          <t>04-05006 Del Fitting Seal 3/8" OD Aluminum</t>
        </is>
      </c>
      <c r="F17" s="7" t="inlineStr">
        <is>
          <t>AIRCRAFT SPRUCE</t>
        </is>
      </c>
      <c r="G17" s="7" t="n">
        <v>1.75</v>
      </c>
      <c r="H17" s="7">
        <f>B17*G17</f>
        <v/>
      </c>
      <c r="I17" s="7" t="n"/>
      <c r="J17" s="7" t="n"/>
      <c r="K17" s="7" t="n"/>
      <c r="L17" s="7">
        <f>IFERROR(MIN(I17:K17),"")</f>
        <v/>
      </c>
      <c r="M17" s="7" t="inlineStr"/>
      <c r="N17" s="7">
        <f>IF(L17="","",(G17-L17)*B17)</f>
        <v/>
      </c>
    </row>
    <row r="18">
      <c r="A18" s="7" t="n">
        <v>13</v>
      </c>
      <c r="B18" s="7" t="n">
        <v>4</v>
      </c>
      <c r="C18" s="7" t="inlineStr">
        <is>
          <t>BLK3+HVRR</t>
        </is>
      </c>
      <c r="D18" s="7" t="inlineStr">
        <is>
          <t>922-04-04-1</t>
        </is>
      </c>
      <c r="E18" s="7" t="inlineStr">
        <is>
          <t>Nitrous Filter, High-Pressure, -4 AN to 1/4 in. NPT, 90 Degree, Aluminum, Blue A</t>
        </is>
      </c>
      <c r="F18" s="7" t="inlineStr">
        <is>
          <t>Summit Racing</t>
        </is>
      </c>
      <c r="G18" s="7" t="n">
        <v>25.62</v>
      </c>
      <c r="H18" s="7">
        <f>B18*G18</f>
        <v/>
      </c>
      <c r="I18" s="7" t="n"/>
      <c r="J18" s="7" t="n"/>
      <c r="K18" s="7" t="n"/>
      <c r="L18" s="7">
        <f>IFERROR(MIN(I18:K18),"")</f>
        <v/>
      </c>
      <c r="M18" s="7" t="inlineStr"/>
      <c r="N18" s="7">
        <f>IF(L18="","",(G18-L18)*B18)</f>
        <v/>
      </c>
    </row>
    <row r="19">
      <c r="A19" s="7" t="n">
        <v>14</v>
      </c>
      <c r="B19" s="7" t="n">
        <v>2</v>
      </c>
      <c r="C19" s="7" t="inlineStr">
        <is>
          <t>BLK3+HVRR</t>
        </is>
      </c>
      <c r="D19" s="7" t="inlineStr">
        <is>
          <t>AT921110ERL</t>
        </is>
      </c>
      <c r="E19" s="7" t="inlineStr">
        <is>
          <t>Fitting, Adapter, AN to AN, 90 Degree, Aluminum, Black Anodized, -10 AN, -10 AN,</t>
        </is>
      </c>
      <c r="F19" s="7" t="inlineStr">
        <is>
          <t>Summit Racing</t>
        </is>
      </c>
      <c r="G19" s="7" t="n">
        <v>43.69</v>
      </c>
      <c r="H19" s="7">
        <f>B19*G19</f>
        <v/>
      </c>
      <c r="I19" s="7" t="n"/>
      <c r="J19" s="7" t="n"/>
      <c r="K19" s="7" t="n"/>
      <c r="L19" s="7">
        <f>IFERROR(MIN(I19:K19),"")</f>
        <v/>
      </c>
      <c r="M19" s="7" t="inlineStr"/>
      <c r="N19" s="7">
        <f>IF(L19="","",(G19-L19)*B19)</f>
        <v/>
      </c>
    </row>
    <row r="20">
      <c r="A20" s="7" t="n">
        <v>15</v>
      </c>
      <c r="B20" s="7" t="n">
        <v>8</v>
      </c>
      <c r="C20" s="7" t="inlineStr">
        <is>
          <t>BLK3+HVRR</t>
        </is>
      </c>
      <c r="D20" s="7" t="inlineStr">
        <is>
          <t>RUS-614210</t>
        </is>
      </c>
      <c r="E20" s="7" t="inlineStr">
        <is>
          <t xml:space="preserve">Fitting, Adapter, AN to NPT, Straight, Aluminum, Blue Anodized, -10 AN, 1/2 in. </t>
        </is>
      </c>
      <c r="F20" s="7" t="inlineStr">
        <is>
          <t>Summit Racing</t>
        </is>
      </c>
      <c r="G20" s="7" t="n">
        <v>9.949999999999999</v>
      </c>
      <c r="H20" s="7">
        <f>B20*G20</f>
        <v/>
      </c>
      <c r="I20" s="7" t="n"/>
      <c r="J20" s="7" t="n"/>
      <c r="K20" s="7" t="n"/>
      <c r="L20" s="7">
        <f>IFERROR(MIN(I20:K20),"")</f>
        <v/>
      </c>
      <c r="M20" s="7" t="inlineStr"/>
      <c r="N20" s="7">
        <f>IF(L20="","",(G20-L20)*B20)</f>
        <v/>
      </c>
    </row>
    <row r="21">
      <c r="A21" s="7" t="n">
        <v>16</v>
      </c>
      <c r="B21" s="7" t="n">
        <v>2</v>
      </c>
      <c r="C21" s="7" t="inlineStr">
        <is>
          <t>BLK3+HVRR</t>
        </is>
      </c>
      <c r="D21" s="7" t="inlineStr">
        <is>
          <t>MSD-34039</t>
        </is>
      </c>
      <c r="E21" s="7" t="inlineStr">
        <is>
          <t>Spark Plug Wire, Super Conductor, Spiral Core, 8.5mm, Red, 6 ft. Length</t>
        </is>
      </c>
      <c r="F21" s="7" t="inlineStr">
        <is>
          <t>Summit Racing</t>
        </is>
      </c>
      <c r="G21" s="7" t="n">
        <v>39.5</v>
      </c>
      <c r="H21" s="7">
        <f>B21*G21</f>
        <v/>
      </c>
      <c r="I21" s="7" t="n"/>
      <c r="J21" s="7" t="n"/>
      <c r="K21" s="7" t="n"/>
      <c r="L21" s="7">
        <f>IFERROR(MIN(I21:K21),"")</f>
        <v/>
      </c>
      <c r="M21" s="7" t="inlineStr"/>
      <c r="N21" s="7">
        <f>IF(L21="","",(G21-L21)*B21)</f>
        <v/>
      </c>
    </row>
    <row r="22">
      <c r="A22" s="7" t="n">
        <v>17</v>
      </c>
      <c r="B22" s="7" t="n">
        <v>6</v>
      </c>
      <c r="C22" s="7" t="inlineStr">
        <is>
          <t>BLK3+HVRR</t>
        </is>
      </c>
      <c r="D22" s="7" t="inlineStr">
        <is>
          <t>SUM-220051</t>
        </is>
      </c>
      <c r="E22" s="7" t="inlineStr">
        <is>
          <t>Fitting, Adapter, AN to NPT, 90 Degree, Aluminum, Blue Anodized, -10 AN, 1/2 in.</t>
        </is>
      </c>
      <c r="F22" s="7" t="inlineStr">
        <is>
          <t>Summit Racing</t>
        </is>
      </c>
      <c r="G22" s="7" t="n">
        <v>12.99</v>
      </c>
      <c r="H22" s="7">
        <f>B22*G22</f>
        <v/>
      </c>
      <c r="I22" s="7" t="n"/>
      <c r="J22" s="7" t="n"/>
      <c r="K22" s="7" t="n"/>
      <c r="L22" s="7">
        <f>IFERROR(MIN(I22:K22),"")</f>
        <v/>
      </c>
      <c r="M22" s="7" t="inlineStr"/>
      <c r="N22" s="7">
        <f>IF(L22="","",(G22-L22)*B22)</f>
        <v/>
      </c>
    </row>
    <row r="23">
      <c r="A23" s="7" t="n">
        <v>18</v>
      </c>
      <c r="B23" s="7" t="n">
        <v>10</v>
      </c>
      <c r="C23" s="7" t="inlineStr">
        <is>
          <t>BLK3+HVRR</t>
        </is>
      </c>
      <c r="D23" s="7" t="inlineStr">
        <is>
          <t>MS21047L08K</t>
        </is>
      </c>
      <c r="E23" s="7" t="inlineStr">
        <is>
          <t>Rivet Nuts</t>
        </is>
      </c>
      <c r="F23" s="7" t="inlineStr">
        <is>
          <t>Aircraft Spruce</t>
        </is>
      </c>
      <c r="G23" s="7" t="n">
        <v>7.65</v>
      </c>
      <c r="H23" s="7">
        <f>B23*G23</f>
        <v/>
      </c>
      <c r="I23" s="7" t="n"/>
      <c r="J23" s="7" t="n"/>
      <c r="K23" s="7" t="n"/>
      <c r="L23" s="7">
        <f>IFERROR(MIN(I23:K23),"")</f>
        <v/>
      </c>
      <c r="M23" s="7" t="inlineStr"/>
      <c r="N23" s="7">
        <f>IF(L23="","",(G23-L23)*B23)</f>
        <v/>
      </c>
    </row>
    <row r="24">
      <c r="A24" s="7" t="n">
        <v>19</v>
      </c>
      <c r="B24" s="7" t="n">
        <v>40</v>
      </c>
      <c r="C24" s="7" t="inlineStr">
        <is>
          <t>BLK3+HVRR</t>
        </is>
      </c>
      <c r="D24" s="7" t="inlineStr">
        <is>
          <t>04-05004</t>
        </is>
      </c>
      <c r="E24" s="7" t="inlineStr">
        <is>
          <t>DEL FITTING SEALS ALUMINUM AN-4, 1/4"</t>
        </is>
      </c>
      <c r="F24" s="7" t="inlineStr">
        <is>
          <t>Aircraft Spruce</t>
        </is>
      </c>
      <c r="G24" s="7" t="n">
        <v>1.75</v>
      </c>
      <c r="H24" s="7">
        <f>B24*G24</f>
        <v/>
      </c>
      <c r="I24" s="7" t="n"/>
      <c r="J24" s="7" t="n"/>
      <c r="K24" s="7" t="n"/>
      <c r="L24" s="7">
        <f>IFERROR(MIN(I24:K24),"")</f>
        <v/>
      </c>
      <c r="M24" s="7" t="inlineStr"/>
      <c r="N24" s="7">
        <f>IF(L24="","",(G24-L24)*B24)</f>
        <v/>
      </c>
    </row>
    <row r="25">
      <c r="A25" s="7" t="n">
        <v>20</v>
      </c>
      <c r="B25" s="7" t="n">
        <v>40</v>
      </c>
      <c r="C25" s="7" t="inlineStr">
        <is>
          <t>BLK3+HVRR</t>
        </is>
      </c>
      <c r="D25" s="7" t="inlineStr">
        <is>
          <t>04-05004</t>
        </is>
      </c>
      <c r="E25" s="7" t="inlineStr">
        <is>
          <t>04-05004 Del Fitting Seal 1/4" OD Aluminum</t>
        </is>
      </c>
      <c r="F25" s="7" t="inlineStr">
        <is>
          <t>AIRCRAFT SPRUCE</t>
        </is>
      </c>
      <c r="G25" s="7" t="n">
        <v>1.75</v>
      </c>
      <c r="H25" s="7">
        <f>B25*G25</f>
        <v/>
      </c>
      <c r="I25" s="7" t="n"/>
      <c r="J25" s="7" t="n"/>
      <c r="K25" s="7" t="n"/>
      <c r="L25" s="7">
        <f>IFERROR(MIN(I25:K25),"")</f>
        <v/>
      </c>
      <c r="M25" s="7" t="inlineStr"/>
      <c r="N25" s="7">
        <f>IF(L25="","",(G25-L25)*B25)</f>
        <v/>
      </c>
    </row>
    <row r="26">
      <c r="A26" s="7" t="n">
        <v>21</v>
      </c>
      <c r="B26" s="7" t="n">
        <v>14</v>
      </c>
      <c r="C26" s="7" t="inlineStr">
        <is>
          <t>BLK3+HVRR</t>
        </is>
      </c>
      <c r="D26" s="7" t="inlineStr">
        <is>
          <t>101-0034</t>
        </is>
      </c>
      <c r="E26" s="7" t="inlineStr">
        <is>
          <t>Bung, Weld-In, Aluminum, Male Threads, Universal, Flanged, -10 AN, Each</t>
        </is>
      </c>
      <c r="F26" s="7" t="inlineStr">
        <is>
          <t>Summit Racing</t>
        </is>
      </c>
      <c r="G26" s="7" t="n">
        <v>4.99</v>
      </c>
      <c r="H26" s="7">
        <f>B26*G26</f>
        <v/>
      </c>
      <c r="I26" s="7" t="n"/>
      <c r="J26" s="7" t="n"/>
      <c r="K26" s="7" t="n"/>
      <c r="L26" s="7">
        <f>IFERROR(MIN(I26:K26),"")</f>
        <v/>
      </c>
      <c r="M26" s="7" t="inlineStr"/>
      <c r="N26" s="7">
        <f>IF(L26="","",(G26-L26)*B26)</f>
        <v/>
      </c>
    </row>
    <row r="27">
      <c r="A27" s="7" t="n">
        <v>22</v>
      </c>
      <c r="B27" s="7" t="n">
        <v>6</v>
      </c>
      <c r="C27" s="7" t="inlineStr">
        <is>
          <t>BLK3+HVRR</t>
        </is>
      </c>
      <c r="D27" s="7" t="inlineStr">
        <is>
          <t>AER-FBM2723</t>
        </is>
      </c>
      <c r="E27" s="7" t="inlineStr">
        <is>
          <t xml:space="preserve">Fitting, Adapter, AN to NPT, Straight, Steel, Yellow Dichromate, -4 AN, 1/4 in. </t>
        </is>
      </c>
      <c r="F27" s="7" t="inlineStr">
        <is>
          <t>Summit Racing</t>
        </is>
      </c>
      <c r="G27" s="7" t="n">
        <v>10.99</v>
      </c>
      <c r="H27" s="7">
        <f>B27*G27</f>
        <v/>
      </c>
      <c r="I27" s="7" t="n"/>
      <c r="J27" s="7" t="n"/>
      <c r="K27" s="7" t="n"/>
      <c r="L27" s="7">
        <f>IFERROR(MIN(I27:K27),"")</f>
        <v/>
      </c>
      <c r="M27" s="7" t="inlineStr"/>
      <c r="N27" s="7">
        <f>IF(L27="","",(G27-L27)*B27)</f>
        <v/>
      </c>
    </row>
    <row r="28">
      <c r="A28" s="7" t="n">
        <v>23</v>
      </c>
      <c r="B28" s="7" t="n">
        <v>4</v>
      </c>
      <c r="C28" s="7" t="inlineStr">
        <is>
          <t>BLK3+HVRR</t>
        </is>
      </c>
      <c r="D28" s="7" t="inlineStr">
        <is>
          <t>AER-FBM2061</t>
        </is>
      </c>
      <c r="E28" s="7" t="inlineStr">
        <is>
          <t>Fitting, Adapter, Union Tee, -4 AN Male, Aluminum, Blue</t>
        </is>
      </c>
      <c r="F28" s="7" t="inlineStr">
        <is>
          <t>Summit Racing</t>
        </is>
      </c>
      <c r="G28" s="7" t="n">
        <v>15.99</v>
      </c>
      <c r="H28" s="7">
        <f>B28*G28</f>
        <v/>
      </c>
      <c r="I28" s="7" t="n"/>
      <c r="J28" s="7" t="n"/>
      <c r="K28" s="7" t="n"/>
      <c r="L28" s="7">
        <f>IFERROR(MIN(I28:K28),"")</f>
        <v/>
      </c>
      <c r="M28" s="7" t="inlineStr"/>
      <c r="N28" s="7">
        <f>IF(L28="","",(G28-L28)*B28)</f>
        <v/>
      </c>
    </row>
    <row r="29">
      <c r="A29" s="7" t="n">
        <v>24</v>
      </c>
      <c r="B29" s="7" t="n">
        <v>8</v>
      </c>
      <c r="C29" s="7" t="inlineStr">
        <is>
          <t>BLK3+HVRR</t>
        </is>
      </c>
      <c r="D29" s="7" t="inlineStr">
        <is>
          <t>SUM-220655</t>
        </is>
      </c>
      <c r="E29" s="7" t="inlineStr">
        <is>
          <t xml:space="preserve">Fitting, Adapter, AN to NPT, 45 Degree, Aluminum, Blue Anodized, -6 AN, 1/4 in. </t>
        </is>
      </c>
      <c r="F29" s="7" t="inlineStr">
        <is>
          <t>Summit Racing</t>
        </is>
      </c>
      <c r="G29" s="7" t="n">
        <v>7.99</v>
      </c>
      <c r="H29" s="7">
        <f>B29*G29</f>
        <v/>
      </c>
      <c r="I29" s="7" t="n"/>
      <c r="J29" s="7" t="n"/>
      <c r="K29" s="7" t="n"/>
      <c r="L29" s="7">
        <f>IFERROR(MIN(I29:K29),"")</f>
        <v/>
      </c>
      <c r="M29" s="7" t="inlineStr"/>
      <c r="N29" s="7">
        <f>IF(L29="","",(G29-L29)*B29)</f>
        <v/>
      </c>
    </row>
    <row r="30">
      <c r="A30" s="7" t="n">
        <v>25</v>
      </c>
      <c r="B30" s="7" t="n">
        <v>6</v>
      </c>
      <c r="C30" s="7" t="inlineStr">
        <is>
          <t>BLK3+HVRR</t>
        </is>
      </c>
      <c r="D30" s="7" t="inlineStr">
        <is>
          <t>SUM-2200620</t>
        </is>
      </c>
      <c r="E30" s="7" t="inlineStr">
        <is>
          <t>Fitting, Bung, Weld-in, Aluminum, -20AN, Male Threads</t>
        </is>
      </c>
      <c r="F30" s="7" t="inlineStr">
        <is>
          <t>Summit Racing</t>
        </is>
      </c>
      <c r="G30" s="7" t="n">
        <v>9.99</v>
      </c>
      <c r="H30" s="7">
        <f>B30*G30</f>
        <v/>
      </c>
      <c r="I30" s="7" t="n"/>
      <c r="J30" s="7" t="n"/>
      <c r="K30" s="7" t="n"/>
      <c r="L30" s="7">
        <f>IFERROR(MIN(I30:K30),"")</f>
        <v/>
      </c>
      <c r="M30" s="7" t="inlineStr"/>
      <c r="N30" s="7">
        <f>IF(L30="","",(G30-L30)*B30)</f>
        <v/>
      </c>
    </row>
    <row r="31">
      <c r="A31" s="7" t="n">
        <v>26</v>
      </c>
      <c r="B31" s="7" t="n">
        <v>12</v>
      </c>
      <c r="C31" s="7" t="inlineStr">
        <is>
          <t>BLK3+HVRR</t>
        </is>
      </c>
      <c r="D31" s="7" t="inlineStr">
        <is>
          <t>101-0034</t>
        </is>
      </c>
      <c r="E31" s="7" t="inlineStr">
        <is>
          <t>Fitting, Bung, Weld-In, Male Threads, Aluminum, 10 AN, Each</t>
        </is>
      </c>
      <c r="F31" s="7" t="inlineStr">
        <is>
          <t>Summit Racing</t>
        </is>
      </c>
      <c r="G31" s="7" t="n">
        <v>4.99</v>
      </c>
      <c r="H31" s="7">
        <f>B31*G31</f>
        <v/>
      </c>
      <c r="I31" s="7" t="n"/>
      <c r="J31" s="7" t="n"/>
      <c r="K31" s="7" t="n"/>
      <c r="L31" s="7">
        <f>IFERROR(MIN(I31:K31),"")</f>
        <v/>
      </c>
      <c r="M31" s="7" t="inlineStr"/>
      <c r="N31" s="7">
        <f>IF(L31="","",(G31-L31)*B31)</f>
        <v/>
      </c>
    </row>
    <row r="32">
      <c r="A32" s="7" t="n">
        <v>27</v>
      </c>
      <c r="B32" s="7" t="n">
        <v>32</v>
      </c>
      <c r="C32" s="7" t="inlineStr">
        <is>
          <t>BLK3+HVRR</t>
        </is>
      </c>
      <c r="D32" s="7" t="inlineStr">
        <is>
          <t>04-05006</t>
        </is>
      </c>
      <c r="E32" s="7" t="inlineStr">
        <is>
          <t>DEL FITTING SEAL 3/8" OD ALUMINUM</t>
        </is>
      </c>
      <c r="F32" s="7" t="inlineStr">
        <is>
          <t>Aircraft Spruce</t>
        </is>
      </c>
      <c r="G32" s="7" t="n">
        <v>1.75</v>
      </c>
      <c r="H32" s="7">
        <f>B32*G32</f>
        <v/>
      </c>
      <c r="I32" s="7" t="n"/>
      <c r="J32" s="7" t="n"/>
      <c r="K32" s="7" t="n"/>
      <c r="L32" s="7">
        <f>IFERROR(MIN(I32:K32),"")</f>
        <v/>
      </c>
      <c r="M32" s="7" t="inlineStr"/>
      <c r="N32" s="7">
        <f>IF(L32="","",(G32-L32)*B32)</f>
        <v/>
      </c>
    </row>
    <row r="33">
      <c r="A33" s="7" t="n">
        <v>28</v>
      </c>
      <c r="B33" s="7" t="n">
        <v>30</v>
      </c>
      <c r="C33" s="7" t="inlineStr">
        <is>
          <t>BLK3+HVRR</t>
        </is>
      </c>
      <c r="D33" s="7" t="inlineStr">
        <is>
          <t>04-05010</t>
        </is>
      </c>
      <c r="E33" s="7" t="inlineStr">
        <is>
          <t>DEL FITTING SEALS ALUMINUM AN-10, 5/8"</t>
        </is>
      </c>
      <c r="F33" s="7" t="inlineStr">
        <is>
          <t>Aircraft Spruce</t>
        </is>
      </c>
      <c r="G33" s="7" t="n">
        <v>1.75</v>
      </c>
      <c r="H33" s="7">
        <f>B33*G33</f>
        <v/>
      </c>
      <c r="I33" s="7" t="n"/>
      <c r="J33" s="7" t="n"/>
      <c r="K33" s="7" t="n"/>
      <c r="L33" s="7">
        <f>IFERROR(MIN(I33:K33),"")</f>
        <v/>
      </c>
      <c r="M33" s="7" t="inlineStr"/>
      <c r="N33" s="7">
        <f>IF(L33="","",(G33-L33)*B33)</f>
        <v/>
      </c>
    </row>
    <row r="34">
      <c r="A34" s="7" t="n">
        <v>29</v>
      </c>
      <c r="B34" s="7" t="n">
        <v>4</v>
      </c>
      <c r="C34" s="7" t="inlineStr">
        <is>
          <t>BLK3+HVRR</t>
        </is>
      </c>
      <c r="D34" s="7" t="inlineStr">
        <is>
          <t>SUM-220051</t>
        </is>
      </c>
      <c r="E34" s="7" t="inlineStr">
        <is>
          <t>Fitting, Adapter, 90 Degree, Male -10 AN to Male 1/2 in. NPT, Aluminum, Blue Ano</t>
        </is>
      </c>
      <c r="F34" s="7" t="inlineStr">
        <is>
          <t>Summit Racing</t>
        </is>
      </c>
      <c r="G34" s="7" t="n">
        <v>12.99</v>
      </c>
      <c r="H34" s="7">
        <f>B34*G34</f>
        <v/>
      </c>
      <c r="I34" s="7" t="n"/>
      <c r="J34" s="7" t="n"/>
      <c r="K34" s="7" t="n"/>
      <c r="L34" s="7">
        <f>IFERROR(MIN(I34:K34),"")</f>
        <v/>
      </c>
      <c r="M34" s="7" t="inlineStr"/>
      <c r="N34" s="7">
        <f>IF(L34="","",(G34-L34)*B34)</f>
        <v/>
      </c>
    </row>
    <row r="35">
      <c r="A35" s="7" t="n">
        <v>30</v>
      </c>
      <c r="B35" s="7" t="n">
        <v>4</v>
      </c>
      <c r="C35" s="7" t="inlineStr">
        <is>
          <t>BLK3+HVRR</t>
        </is>
      </c>
      <c r="D35" s="7" t="inlineStr">
        <is>
          <t>EAR-992910ERL</t>
        </is>
      </c>
      <c r="E35" s="7" t="inlineStr">
        <is>
          <t>Fitting, Cap, -10 AN, Aluminum, Blue Anodized, Each</t>
        </is>
      </c>
      <c r="F35" s="7" t="inlineStr">
        <is>
          <t>Summit Racing</t>
        </is>
      </c>
      <c r="G35" s="7" t="n">
        <v>12.57</v>
      </c>
      <c r="H35" s="7">
        <f>B35*G35</f>
        <v/>
      </c>
      <c r="I35" s="7" t="n"/>
      <c r="J35" s="7" t="n"/>
      <c r="K35" s="7" t="n"/>
      <c r="L35" s="7">
        <f>IFERROR(MIN(I35:K35),"")</f>
        <v/>
      </c>
      <c r="M35" s="7" t="inlineStr"/>
      <c r="N35" s="7">
        <f>IF(L35="","",(G35-L35)*B35)</f>
        <v/>
      </c>
    </row>
    <row r="36">
      <c r="A36" s="7" t="n">
        <v>31</v>
      </c>
      <c r="B36" s="7" t="n">
        <v>4</v>
      </c>
      <c r="C36" s="7" t="inlineStr">
        <is>
          <t>BLK3+HVRR</t>
        </is>
      </c>
      <c r="D36" s="7" t="inlineStr">
        <is>
          <t>FRA-497304</t>
        </is>
      </c>
      <c r="E36" s="7" t="inlineStr">
        <is>
          <t>Fitting, Reducer, AN to AN, Straight, Aluminum, Blue Anodized, -4 AN, -3 AN, Swi</t>
        </is>
      </c>
      <c r="F36" s="7" t="inlineStr">
        <is>
          <t>Summit Racing</t>
        </is>
      </c>
      <c r="G36" s="7" t="n">
        <v>10.79</v>
      </c>
      <c r="H36" s="7">
        <f>B36*G36</f>
        <v/>
      </c>
      <c r="I36" s="7" t="n"/>
      <c r="J36" s="7" t="n"/>
      <c r="K36" s="7" t="n"/>
      <c r="L36" s="7">
        <f>IFERROR(MIN(I36:K36),"")</f>
        <v/>
      </c>
      <c r="M36" s="7" t="inlineStr"/>
      <c r="N36" s="7">
        <f>IF(L36="","",(G36-L36)*B36)</f>
        <v/>
      </c>
    </row>
    <row r="37">
      <c r="A37" s="7" t="n">
        <v>32</v>
      </c>
      <c r="B37" s="7" t="n">
        <v>2</v>
      </c>
      <c r="C37" s="7" t="inlineStr">
        <is>
          <t>BLK3+HVRR</t>
        </is>
      </c>
      <c r="D37" s="7" t="inlineStr">
        <is>
          <t>ICB-WPCIL30</t>
        </is>
      </c>
      <c r="E37" s="7" t="inlineStr">
        <is>
          <t>Wiring Pigtail, Ignition Coil, 4-pin, Female, Chevy, Each</t>
        </is>
      </c>
      <c r="F37" s="7" t="inlineStr">
        <is>
          <t>Summit Racing</t>
        </is>
      </c>
      <c r="G37" s="7" t="n">
        <v>18.99</v>
      </c>
      <c r="H37" s="7">
        <f>B37*G37</f>
        <v/>
      </c>
      <c r="I37" s="7" t="n"/>
      <c r="J37" s="7" t="n"/>
      <c r="K37" s="7" t="n"/>
      <c r="L37" s="7">
        <f>IFERROR(MIN(I37:K37),"")</f>
        <v/>
      </c>
      <c r="M37" s="7" t="inlineStr"/>
      <c r="N37" s="7">
        <f>IF(L37="","",(G37-L37)*B37)</f>
        <v/>
      </c>
    </row>
    <row r="38">
      <c r="A38" s="7" t="n">
        <v>33</v>
      </c>
      <c r="B38" s="7" t="n">
        <v>4</v>
      </c>
      <c r="C38" s="7" t="inlineStr">
        <is>
          <t>BLK3+HVRR</t>
        </is>
      </c>
      <c r="D38" s="7" t="inlineStr">
        <is>
          <t>SUM-220451</t>
        </is>
      </c>
      <c r="E38" s="7" t="inlineStr">
        <is>
          <t xml:space="preserve">Fitting, Adapter, AN to NPT, 90 Degree, Aluminum, Blue Anodized, -4 AN, 1/4 in. </t>
        </is>
      </c>
      <c r="F38" s="7" t="inlineStr">
        <is>
          <t>Summit Racing</t>
        </is>
      </c>
      <c r="G38" s="7" t="n">
        <v>8.99</v>
      </c>
      <c r="H38" s="7">
        <f>B38*G38</f>
        <v/>
      </c>
      <c r="I38" s="7" t="n"/>
      <c r="J38" s="7" t="n"/>
      <c r="K38" s="7" t="n"/>
      <c r="L38" s="7">
        <f>IFERROR(MIN(I38:K38),"")</f>
        <v/>
      </c>
      <c r="M38" s="7" t="inlineStr"/>
      <c r="N38" s="7">
        <f>IF(L38="","",(G38-L38)*B38)</f>
        <v/>
      </c>
    </row>
    <row r="39">
      <c r="A39" s="7" t="n">
        <v>34</v>
      </c>
      <c r="B39" s="7" t="n">
        <v>2</v>
      </c>
      <c r="C39" s="7" t="inlineStr">
        <is>
          <t>BLK3+HVRR</t>
        </is>
      </c>
      <c r="D39" s="7" t="inlineStr">
        <is>
          <t>EAR-916104ERL</t>
        </is>
      </c>
      <c r="E39" s="7" t="inlineStr">
        <is>
          <t>Fitting, Adapter, AN to NPT, Straight, Aluminum, Blue Anodized, -4 AN, 1/8 in. N</t>
        </is>
      </c>
      <c r="F39" s="7" t="inlineStr">
        <is>
          <t>Summit Racing</t>
        </is>
      </c>
      <c r="G39" s="7" t="n">
        <v>16.8</v>
      </c>
      <c r="H39" s="7">
        <f>B39*G39</f>
        <v/>
      </c>
      <c r="I39" s="7" t="n"/>
      <c r="J39" s="7" t="n"/>
      <c r="K39" s="7" t="n"/>
      <c r="L39" s="7">
        <f>IFERROR(MIN(I39:K39),"")</f>
        <v/>
      </c>
      <c r="M39" s="7" t="inlineStr"/>
      <c r="N39" s="7">
        <f>IF(L39="","",(G39-L39)*B39)</f>
        <v/>
      </c>
    </row>
    <row r="40">
      <c r="A40" s="7" t="n">
        <v>35</v>
      </c>
      <c r="B40" s="7" t="n">
        <v>8</v>
      </c>
      <c r="C40" s="7" t="inlineStr">
        <is>
          <t>BLK3+HVRR</t>
        </is>
      </c>
      <c r="D40" s="7" t="inlineStr">
        <is>
          <t>SUM-220647</t>
        </is>
      </c>
      <c r="E40" s="7" t="inlineStr">
        <is>
          <t>Aluminum AN-6 x 1/4" NPT adapter straight</t>
        </is>
      </c>
      <c r="F40" s="7" t="inlineStr">
        <is>
          <t>Summit Racing</t>
        </is>
      </c>
      <c r="G40" s="7" t="n">
        <v>3.99</v>
      </c>
      <c r="H40" s="7">
        <f>B40*G40</f>
        <v/>
      </c>
      <c r="I40" s="7" t="n"/>
      <c r="J40" s="7" t="n"/>
      <c r="K40" s="7" t="n"/>
      <c r="L40" s="7">
        <f>IFERROR(MIN(I40:K40),"")</f>
        <v/>
      </c>
      <c r="M40" s="7" t="inlineStr"/>
      <c r="N40" s="7">
        <f>IF(L40="","",(G40-L40)*B40)</f>
        <v/>
      </c>
    </row>
    <row r="41">
      <c r="A41" s="7" t="n">
        <v>36</v>
      </c>
      <c r="B41" s="7" t="n">
        <v>18</v>
      </c>
      <c r="C41" s="7" t="inlineStr">
        <is>
          <t>BLK3+HVRR</t>
        </is>
      </c>
      <c r="D41" s="7" t="inlineStr">
        <is>
          <t>04-05004</t>
        </is>
      </c>
      <c r="E41" s="7" t="inlineStr">
        <is>
          <t>DEL FITTING SEAL 1/4" OD ALUMINUM</t>
        </is>
      </c>
      <c r="F41" s="7" t="inlineStr">
        <is>
          <t>Aircraft Spruce</t>
        </is>
      </c>
      <c r="G41" s="7" t="n">
        <v>1.75</v>
      </c>
      <c r="H41" s="7">
        <f>B41*G41</f>
        <v/>
      </c>
      <c r="I41" s="7" t="n"/>
      <c r="J41" s="7" t="n"/>
      <c r="K41" s="7" t="n"/>
      <c r="L41" s="7">
        <f>IFERROR(MIN(I41:K41),"")</f>
        <v/>
      </c>
      <c r="M41" s="7" t="inlineStr"/>
      <c r="N41" s="7">
        <f>IF(L41="","",(G41-L41)*B41)</f>
        <v/>
      </c>
    </row>
    <row r="42">
      <c r="A42" s="7" t="n">
        <v>37</v>
      </c>
      <c r="B42" s="7" t="n">
        <v>2</v>
      </c>
      <c r="C42" s="7" t="inlineStr">
        <is>
          <t>BLK3+HVRR</t>
        </is>
      </c>
      <c r="D42" s="7" t="inlineStr">
        <is>
          <t>AN832-10D</t>
        </is>
      </c>
      <c r="E42" s="7" t="inlineStr">
        <is>
          <t>Bulkhead mounted AN-10 aluminum Coupling</t>
        </is>
      </c>
      <c r="F42" s="7" t="inlineStr">
        <is>
          <t>Aircraft Spruce</t>
        </is>
      </c>
      <c r="G42" s="7" t="n">
        <v>14.75</v>
      </c>
      <c r="H42" s="7">
        <f>B42*G42</f>
        <v/>
      </c>
      <c r="I42" s="7" t="n"/>
      <c r="J42" s="7" t="n"/>
      <c r="K42" s="7" t="n"/>
      <c r="L42" s="7">
        <f>IFERROR(MIN(I42:K42),"")</f>
        <v/>
      </c>
      <c r="M42" s="7" t="inlineStr"/>
      <c r="N42" s="7">
        <f>IF(L42="","",(G42-L42)*B42)</f>
        <v/>
      </c>
    </row>
    <row r="43">
      <c r="A43" s="7" t="n">
        <v>38</v>
      </c>
      <c r="B43" s="7" t="n">
        <v>8</v>
      </c>
      <c r="C43" s="7" t="inlineStr">
        <is>
          <t>BLK3+HVRR</t>
        </is>
      </c>
      <c r="D43" s="7" t="inlineStr">
        <is>
          <t>AN7-13A</t>
        </is>
      </c>
      <c r="E43" s="7" t="inlineStr">
        <is>
          <t>AN7 BOLTS 7/16-20</t>
        </is>
      </c>
      <c r="F43" s="7" t="inlineStr">
        <is>
          <t>Aircraft Spruce</t>
        </is>
      </c>
      <c r="G43" s="7" t="n">
        <v>3.6</v>
      </c>
      <c r="H43" s="7">
        <f>B43*G43</f>
        <v/>
      </c>
      <c r="I43" s="7" t="n"/>
      <c r="J43" s="7" t="n"/>
      <c r="K43" s="7" t="n"/>
      <c r="L43" s="7">
        <f>IFERROR(MIN(I43:K43),"")</f>
        <v/>
      </c>
      <c r="M43" s="7" t="inlineStr"/>
      <c r="N43" s="7">
        <f>IF(L43="","",(G43-L43)*B43)</f>
        <v/>
      </c>
    </row>
    <row r="44">
      <c r="A44" s="7" t="n">
        <v>39</v>
      </c>
      <c r="B44" s="7" t="n">
        <v>16</v>
      </c>
      <c r="C44" s="7" t="inlineStr">
        <is>
          <t>BLK3+HVRR</t>
        </is>
      </c>
      <c r="D44" s="7" t="inlineStr">
        <is>
          <t>04-05006</t>
        </is>
      </c>
      <c r="E44" s="7" t="inlineStr">
        <is>
          <t>04-05006 DEL FITTING SEAL 3/8" OD ALUMINUM (dash 6 seal)</t>
        </is>
      </c>
      <c r="F44" s="7" t="inlineStr">
        <is>
          <t>Aircraft Spruce</t>
        </is>
      </c>
      <c r="G44" s="7" t="n">
        <v>1.75</v>
      </c>
      <c r="H44" s="7">
        <f>B44*G44</f>
        <v/>
      </c>
      <c r="I44" s="7" t="n"/>
      <c r="J44" s="7" t="n"/>
      <c r="K44" s="7" t="n"/>
      <c r="L44" s="7">
        <f>IFERROR(MIN(I44:K44),"")</f>
        <v/>
      </c>
      <c r="M44" s="7" t="inlineStr"/>
      <c r="N44" s="7">
        <f>IF(L44="","",(G44-L44)*B44)</f>
        <v/>
      </c>
    </row>
    <row r="45">
      <c r="A45" s="7" t="n">
        <v>40</v>
      </c>
      <c r="B45" s="7" t="n">
        <v>2</v>
      </c>
      <c r="C45" s="7" t="inlineStr">
        <is>
          <t>BLK3+HVRR</t>
        </is>
      </c>
      <c r="D45" s="7" t="inlineStr">
        <is>
          <t>SUM-220054</t>
        </is>
      </c>
      <c r="E45" s="7" t="inlineStr">
        <is>
          <t>Fitting, Adapter, AN to NPT, 45 Degree, Aluminum, Blue Anodized, -10 AN, 1/2 in.</t>
        </is>
      </c>
      <c r="F45" s="7" t="inlineStr">
        <is>
          <t>Summit Racing</t>
        </is>
      </c>
      <c r="G45" s="7" t="n">
        <v>12.99</v>
      </c>
      <c r="H45" s="7">
        <f>B45*G45</f>
        <v/>
      </c>
      <c r="I45" s="7" t="n"/>
      <c r="J45" s="7" t="n"/>
      <c r="K45" s="7" t="n"/>
      <c r="L45" s="7">
        <f>IFERROR(MIN(I45:K45),"")</f>
        <v/>
      </c>
      <c r="M45" s="7" t="inlineStr"/>
      <c r="N45" s="7">
        <f>IF(L45="","",(G45-L45)*B45)</f>
        <v/>
      </c>
    </row>
    <row r="46">
      <c r="A46" s="7" t="n">
        <v>41</v>
      </c>
      <c r="B46" s="7" t="n">
        <v>2</v>
      </c>
      <c r="C46" s="7" t="inlineStr">
        <is>
          <t>BLK3+HVRR</t>
        </is>
      </c>
      <c r="D46" s="7" t="inlineStr">
        <is>
          <t>KYS-100-43821-10</t>
        </is>
      </c>
      <c r="E46" s="7" t="inlineStr">
        <is>
          <t xml:space="preserve">Fitting, Adapter, AN to AN, 90 Degree, Aluminum, Blue Anodized, -10 AN, -10 AN, </t>
        </is>
      </c>
      <c r="F46" s="7" t="inlineStr">
        <is>
          <t>Summit Racing</t>
        </is>
      </c>
      <c r="G46" s="7" t="n">
        <v>12.99</v>
      </c>
      <c r="H46" s="7">
        <f>B46*G46</f>
        <v/>
      </c>
      <c r="I46" s="7" t="n"/>
      <c r="J46" s="7" t="n"/>
      <c r="K46" s="7" t="n"/>
      <c r="L46" s="7">
        <f>IFERROR(MIN(I46:K46),"")</f>
        <v/>
      </c>
      <c r="M46" s="7" t="inlineStr"/>
      <c r="N46" s="7">
        <f>IF(L46="","",(G46-L46)*B46)</f>
        <v/>
      </c>
    </row>
    <row r="47">
      <c r="A47" s="7" t="n">
        <v>42</v>
      </c>
      <c r="B47" s="7" t="n">
        <v>2</v>
      </c>
      <c r="C47" s="7" t="inlineStr">
        <is>
          <t>BLK3+HVRR</t>
        </is>
      </c>
      <c r="D47" s="7" t="inlineStr">
        <is>
          <t>FRA-482510</t>
        </is>
      </c>
      <c r="E47" s="7" t="inlineStr">
        <is>
          <t>Fitting, Adapter, Tee, -10 AN Male, Aluminum, Blue Anodized</t>
        </is>
      </c>
      <c r="F47" s="7" t="inlineStr">
        <is>
          <t>Summit Racing</t>
        </is>
      </c>
      <c r="G47" s="7" t="n">
        <v>12.99</v>
      </c>
      <c r="H47" s="7">
        <f>B47*G47</f>
        <v/>
      </c>
      <c r="I47" s="7" t="n"/>
      <c r="J47" s="7" t="n"/>
      <c r="K47" s="7" t="n"/>
      <c r="L47" s="7">
        <f>IFERROR(MIN(I47:K47),"")</f>
        <v/>
      </c>
      <c r="M47" s="7" t="inlineStr"/>
      <c r="N47" s="7">
        <f>IF(L47="","",(G47-L47)*B47)</f>
        <v/>
      </c>
    </row>
    <row r="48">
      <c r="A48" s="7" t="n">
        <v>43</v>
      </c>
      <c r="B48" s="7" t="n">
        <v>2</v>
      </c>
      <c r="C48" s="7" t="inlineStr">
        <is>
          <t>BLK3+HVRR</t>
        </is>
      </c>
      <c r="D48" s="7" t="inlineStr">
        <is>
          <t>FRA-496304</t>
        </is>
      </c>
      <c r="E48" s="7" t="inlineStr">
        <is>
          <t>Fitting, Coupler, Union, AN to AN, 90 Degree, Aluminum, Blue Anodized, -4 AN, -4</t>
        </is>
      </c>
      <c r="F48" s="7" t="inlineStr">
        <is>
          <t>Summit Racing</t>
        </is>
      </c>
      <c r="G48" s="7" t="n">
        <v>10.79</v>
      </c>
      <c r="H48" s="7">
        <f>B48*G48</f>
        <v/>
      </c>
      <c r="I48" s="7" t="n"/>
      <c r="J48" s="7" t="n"/>
      <c r="K48" s="7" t="n"/>
      <c r="L48" s="7">
        <f>IFERROR(MIN(I48:K48),"")</f>
        <v/>
      </c>
      <c r="M48" s="7" t="inlineStr"/>
      <c r="N48" s="7">
        <f>IF(L48="","",(G48-L48)*B48)</f>
        <v/>
      </c>
    </row>
    <row r="49">
      <c r="A49" s="7" t="n">
        <v>44</v>
      </c>
      <c r="B49" s="7" t="n">
        <v>2</v>
      </c>
      <c r="C49" s="7" t="inlineStr">
        <is>
          <t>BLK3+HVRR</t>
        </is>
      </c>
      <c r="D49" s="7" t="inlineStr">
        <is>
          <t>EAR-992908ERL</t>
        </is>
      </c>
      <c r="E49" s="7" t="inlineStr">
        <is>
          <t>Fitting, Cap, -8 AN, Aluminum, Blue Anodized, Each</t>
        </is>
      </c>
      <c r="F49" s="7" t="inlineStr">
        <is>
          <t>Summit Racing</t>
        </is>
      </c>
      <c r="G49" s="7" t="n">
        <v>9.779999999999999</v>
      </c>
      <c r="H49" s="7">
        <f>B49*G49</f>
        <v/>
      </c>
      <c r="I49" s="7" t="n"/>
      <c r="J49" s="7" t="n"/>
      <c r="K49" s="7" t="n"/>
      <c r="L49" s="7">
        <f>IFERROR(MIN(I49:K49),"")</f>
        <v/>
      </c>
      <c r="M49" s="7" t="inlineStr"/>
      <c r="N49" s="7">
        <f>IF(L49="","",(G49-L49)*B49)</f>
        <v/>
      </c>
    </row>
    <row r="50">
      <c r="A50" s="7" t="n">
        <v>45</v>
      </c>
      <c r="B50" s="7" t="n">
        <v>2</v>
      </c>
      <c r="C50" s="7" t="inlineStr">
        <is>
          <t>BLK3+HVRR</t>
        </is>
      </c>
      <c r="D50" s="7" t="inlineStr">
        <is>
          <t>FRA-597110</t>
        </is>
      </c>
      <c r="E50" s="7" t="inlineStr">
        <is>
          <t>AN-10 Male weld bung Stainless</t>
        </is>
      </c>
      <c r="F50" s="7" t="inlineStr">
        <is>
          <t>Summit Racing</t>
        </is>
      </c>
      <c r="G50" s="7" t="n">
        <v>8.99</v>
      </c>
      <c r="H50" s="7">
        <f>B50*G50</f>
        <v/>
      </c>
      <c r="I50" s="7" t="n"/>
      <c r="J50" s="7" t="n"/>
      <c r="K50" s="7" t="n"/>
      <c r="L50" s="7">
        <f>IFERROR(MIN(I50:K50),"")</f>
        <v/>
      </c>
      <c r="M50" s="7" t="inlineStr"/>
      <c r="N50" s="7">
        <f>IF(L50="","",(G50-L50)*B50)</f>
        <v/>
      </c>
    </row>
    <row r="51">
      <c r="A51" s="7" t="n">
        <v>46</v>
      </c>
      <c r="B51" s="7" t="n">
        <v>2</v>
      </c>
      <c r="C51" s="7" t="inlineStr">
        <is>
          <t>BLK3+HVRR</t>
        </is>
      </c>
      <c r="D51" s="7" t="inlineStr">
        <is>
          <t>SUM-220062</t>
        </is>
      </c>
      <c r="E51" s="7" t="inlineStr">
        <is>
          <t>AN -10 weld fitting for gas inlet on manifold (weld on bung)</t>
        </is>
      </c>
      <c r="F51" s="7" t="inlineStr">
        <is>
          <t>Summit Racing</t>
        </is>
      </c>
      <c r="G51" s="7" t="n">
        <v>8.92</v>
      </c>
      <c r="H51" s="7">
        <f>B51*G51</f>
        <v/>
      </c>
      <c r="I51" s="7" t="n"/>
      <c r="J51" s="7" t="n"/>
      <c r="K51" s="7" t="n"/>
      <c r="L51" s="7">
        <f>IFERROR(MIN(I51:K51),"")</f>
        <v/>
      </c>
      <c r="M51" s="7" t="inlineStr"/>
      <c r="N51" s="7">
        <f>IF(L51="","",(G51-L51)*B51)</f>
        <v/>
      </c>
    </row>
    <row r="52">
      <c r="A52" s="7" t="n">
        <v>47</v>
      </c>
      <c r="B52" s="7" t="n">
        <v>2</v>
      </c>
      <c r="C52" s="7" t="inlineStr">
        <is>
          <t>BLK3+HVRR</t>
        </is>
      </c>
      <c r="D52" s="7" t="inlineStr">
        <is>
          <t>NOS-13760-28NOS</t>
        </is>
      </c>
      <c r="E52" s="7" t="inlineStr">
        <is>
          <t>Nitrous Oxide Jet, Flare, .028 in., Stainless SteeL, Each</t>
        </is>
      </c>
      <c r="F52" s="7" t="inlineStr">
        <is>
          <t>Summit Racing</t>
        </is>
      </c>
      <c r="G52" s="7" t="n">
        <v>8.67</v>
      </c>
      <c r="H52" s="7">
        <f>B52*G52</f>
        <v/>
      </c>
      <c r="I52" s="7" t="n"/>
      <c r="J52" s="7" t="n"/>
      <c r="K52" s="7" t="n"/>
      <c r="L52" s="7">
        <f>IFERROR(MIN(I52:K52),"")</f>
        <v/>
      </c>
      <c r="M52" s="7" t="inlineStr"/>
      <c r="N52" s="7">
        <f>IF(L52="","",(G52-L52)*B52)</f>
        <v/>
      </c>
    </row>
    <row r="53">
      <c r="A53" s="7" t="n">
        <v>48</v>
      </c>
      <c r="B53" s="7" t="n">
        <v>2</v>
      </c>
      <c r="C53" s="7" t="inlineStr">
        <is>
          <t>BLK3+HVRR</t>
        </is>
      </c>
      <c r="D53" s="7" t="inlineStr">
        <is>
          <t>NOS-13760-44NOS</t>
        </is>
      </c>
      <c r="E53" s="7" t="inlineStr">
        <is>
          <t>Nitrous Oxide Jet, Flare, .044 in., Stainless Steel, Each</t>
        </is>
      </c>
      <c r="F53" s="7" t="inlineStr">
        <is>
          <t>Summit Racing</t>
        </is>
      </c>
      <c r="G53" s="7" t="n">
        <v>8.67</v>
      </c>
      <c r="H53" s="7">
        <f>B53*G53</f>
        <v/>
      </c>
      <c r="I53" s="7" t="n"/>
      <c r="J53" s="7" t="n"/>
      <c r="K53" s="7" t="n"/>
      <c r="L53" s="7">
        <f>IFERROR(MIN(I53:K53),"")</f>
        <v/>
      </c>
      <c r="M53" s="7" t="inlineStr"/>
      <c r="N53" s="7">
        <f>IF(L53="","",(G53-L53)*B53)</f>
        <v/>
      </c>
    </row>
    <row r="54">
      <c r="A54" s="7" t="n">
        <v>49</v>
      </c>
      <c r="B54" s="7" t="n">
        <v>2</v>
      </c>
      <c r="C54" s="7" t="inlineStr">
        <is>
          <t>BLK3+HVRR</t>
        </is>
      </c>
      <c r="D54" s="7" t="inlineStr">
        <is>
          <t>SUM-220441</t>
        </is>
      </c>
      <c r="E54" s="7" t="inlineStr">
        <is>
          <t xml:space="preserve">Fitting, Coupler, Union, AN to AN, Straight, Aluminum, Blue Anodized, -4 AN, -4 </t>
        </is>
      </c>
      <c r="F54" s="7" t="inlineStr">
        <is>
          <t>Summit Racing</t>
        </is>
      </c>
      <c r="G54" s="7" t="n">
        <v>7.99</v>
      </c>
      <c r="H54" s="7">
        <f>B54*G54</f>
        <v/>
      </c>
      <c r="I54" s="7" t="n"/>
      <c r="J54" s="7" t="n"/>
      <c r="K54" s="7" t="n"/>
      <c r="L54" s="7">
        <f>IFERROR(MIN(I54:K54),"")</f>
        <v/>
      </c>
      <c r="M54" s="7" t="inlineStr"/>
      <c r="N54" s="7">
        <f>IF(L54="","",(G54-L54)*B54)</f>
        <v/>
      </c>
    </row>
    <row r="55">
      <c r="A55" s="7" t="n">
        <v>50</v>
      </c>
      <c r="B55" s="7" t="n">
        <v>2</v>
      </c>
      <c r="C55" s="7" t="inlineStr">
        <is>
          <t>BLK3+HVRR</t>
        </is>
      </c>
      <c r="D55" s="7" t="inlineStr">
        <is>
          <t>AN924-10D</t>
        </is>
      </c>
      <c r="E55" s="7" t="inlineStr">
        <is>
          <t>Bulkhead Nut for AN-10 Bulkhead Coupling</t>
        </is>
      </c>
      <c r="F55" s="7" t="inlineStr">
        <is>
          <t>Aircraft Spruce</t>
        </is>
      </c>
      <c r="G55" s="7" t="n">
        <v>5.95</v>
      </c>
      <c r="H55" s="7">
        <f>B55*G55</f>
        <v/>
      </c>
      <c r="I55" s="7" t="n"/>
      <c r="J55" s="7" t="n"/>
      <c r="K55" s="7" t="n"/>
      <c r="L55" s="7">
        <f>IFERROR(MIN(I55:K55),"")</f>
        <v/>
      </c>
      <c r="M55" s="7" t="inlineStr"/>
      <c r="N55" s="7">
        <f>IF(L55="","",(G55-L55)*B55)</f>
        <v/>
      </c>
    </row>
    <row r="56">
      <c r="A56" s="7" t="n">
        <v>51</v>
      </c>
      <c r="B56" s="7" t="n">
        <v>56</v>
      </c>
      <c r="C56" s="7" t="inlineStr">
        <is>
          <t>BLK3+HVRR</t>
        </is>
      </c>
      <c r="D56" s="7" t="inlineStr">
        <is>
          <t>AN525-10R7</t>
        </is>
      </c>
      <c r="E56" s="7" t="inlineStr">
        <is>
          <t>SCREW, WASHER HEAD AN525-10R7</t>
        </is>
      </c>
      <c r="F56" s="7" t="inlineStr">
        <is>
          <t>Aircraft Spruce</t>
        </is>
      </c>
      <c r="G56" s="7" t="n">
        <v>0.19</v>
      </c>
      <c r="H56" s="7">
        <f>B56*G56</f>
        <v/>
      </c>
      <c r="I56" s="7" t="n"/>
      <c r="J56" s="7" t="n"/>
      <c r="K56" s="7" t="n"/>
      <c r="L56" s="7">
        <f>IFERROR(MIN(I56:K56),"")</f>
        <v/>
      </c>
      <c r="M56" s="7" t="inlineStr"/>
      <c r="N56" s="7">
        <f>IF(L56="","",(G56-L56)*B56)</f>
        <v/>
      </c>
    </row>
    <row r="57">
      <c r="A57" s="7" t="n">
        <v>52</v>
      </c>
      <c r="B57" s="7" t="n">
        <v>2</v>
      </c>
      <c r="C57" s="7" t="inlineStr">
        <is>
          <t>BLK3+HVRR</t>
        </is>
      </c>
      <c r="D57" s="7" t="inlineStr">
        <is>
          <t>101-0034</t>
        </is>
      </c>
      <c r="E57" s="7" t="inlineStr">
        <is>
          <t>AN-10 male weld Bung Aluminum</t>
        </is>
      </c>
      <c r="F57" s="7" t="inlineStr">
        <is>
          <t>Summit Racing</t>
        </is>
      </c>
      <c r="G57" s="7" t="n">
        <v>4.99</v>
      </c>
      <c r="H57" s="7">
        <f>B57*G57</f>
        <v/>
      </c>
      <c r="I57" s="7" t="n"/>
      <c r="J57" s="7" t="n"/>
      <c r="K57" s="7" t="n"/>
      <c r="L57" s="7">
        <f>IFERROR(MIN(I57:K57),"")</f>
        <v/>
      </c>
      <c r="M57" s="7" t="inlineStr"/>
      <c r="N57" s="7">
        <f>IF(L57="","",(G57-L57)*B57)</f>
        <v/>
      </c>
    </row>
    <row r="58">
      <c r="A58" s="7" t="n">
        <v>53</v>
      </c>
      <c r="B58" s="7" t="n">
        <v>2</v>
      </c>
      <c r="C58" s="7" t="inlineStr">
        <is>
          <t>BLK3+HVRR</t>
        </is>
      </c>
      <c r="D58" s="7" t="inlineStr">
        <is>
          <t>SUM-2200608</t>
        </is>
      </c>
      <c r="E58" s="7" t="inlineStr">
        <is>
          <t>Fitting, Bung, Weld-In, Male Threads, Aluminum, 8 AN, Each</t>
        </is>
      </c>
      <c r="F58" s="7" t="inlineStr">
        <is>
          <t>Summit Racing</t>
        </is>
      </c>
      <c r="G58" s="7" t="n">
        <v>3.99</v>
      </c>
      <c r="H58" s="7">
        <f>B58*G58</f>
        <v/>
      </c>
      <c r="I58" s="7" t="n"/>
      <c r="J58" s="7" t="n"/>
      <c r="K58" s="7" t="n"/>
      <c r="L58" s="7">
        <f>IFERROR(MIN(I58:K58),"")</f>
        <v/>
      </c>
      <c r="M58" s="7" t="inlineStr"/>
      <c r="N58" s="7">
        <f>IF(L58="","",(G58-L58)*B58)</f>
        <v/>
      </c>
    </row>
    <row r="59">
      <c r="A59" s="7" t="n">
        <v>54</v>
      </c>
      <c r="B59" s="7" t="n">
        <v>2</v>
      </c>
      <c r="C59" s="7" t="inlineStr">
        <is>
          <t>BLK3+HVRR</t>
        </is>
      </c>
      <c r="D59" s="7" t="inlineStr">
        <is>
          <t>SUM-220047</t>
        </is>
      </c>
      <c r="E59" s="7" t="inlineStr">
        <is>
          <t>Fitting, Adapter, Straight, Male -10 AN to Male 1/2 in. NPT, Aluminum, Blue Anod</t>
        </is>
      </c>
      <c r="F59" s="7" t="inlineStr">
        <is>
          <t>Summit Racing</t>
        </is>
      </c>
      <c r="G59" s="7" t="n">
        <v>3.99</v>
      </c>
      <c r="H59" s="7">
        <f>B59*G59</f>
        <v/>
      </c>
      <c r="I59" s="7" t="n"/>
      <c r="J59" s="7" t="n"/>
      <c r="K59" s="7" t="n"/>
      <c r="L59" s="7">
        <f>IFERROR(MIN(I59:K59),"")</f>
        <v/>
      </c>
      <c r="M59" s="7" t="inlineStr"/>
      <c r="N59" s="7">
        <f>IF(L59="","",(G59-L59)*B59)</f>
        <v/>
      </c>
    </row>
    <row r="60">
      <c r="A60" s="7" t="n">
        <v>55</v>
      </c>
      <c r="B60" s="7" t="n">
        <v>4</v>
      </c>
      <c r="C60" s="7" t="inlineStr">
        <is>
          <t>BLK3+HVRR</t>
        </is>
      </c>
      <c r="D60" s="7" t="inlineStr">
        <is>
          <t>AN7-5A</t>
        </is>
      </c>
      <c r="E60" s="7" t="inlineStr">
        <is>
          <t>Bolt Undrilled AN7-5A, MFR P/N 12619-1</t>
        </is>
      </c>
      <c r="F60" s="7" t="inlineStr">
        <is>
          <t>Aircraft Spruce</t>
        </is>
      </c>
      <c r="G60" s="7" t="n">
        <v>1.62</v>
      </c>
      <c r="H60" s="7">
        <f>B60*G60</f>
        <v/>
      </c>
      <c r="I60" s="7" t="n"/>
      <c r="J60" s="7" t="n"/>
      <c r="K60" s="7" t="n"/>
      <c r="L60" s="7">
        <f>IFERROR(MIN(I60:K60),"")</f>
        <v/>
      </c>
      <c r="M60" s="7" t="inlineStr"/>
      <c r="N60" s="7">
        <f>IF(L60="","",(G60-L60)*B60)</f>
        <v/>
      </c>
    </row>
    <row r="61">
      <c r="A61" s="7" t="n">
        <v>56</v>
      </c>
      <c r="B61" s="7" t="n">
        <v>32</v>
      </c>
      <c r="C61" s="7" t="inlineStr">
        <is>
          <t>BLK3+HVRR</t>
        </is>
      </c>
      <c r="D61" s="7" t="inlineStr">
        <is>
          <t>AN525-10R6</t>
        </is>
      </c>
      <c r="E61" s="7" t="inlineStr">
        <is>
          <t>SCREW, WASHER HEAD AN525-10R6</t>
        </is>
      </c>
      <c r="F61" s="7" t="inlineStr">
        <is>
          <t>Aircraft Spruce</t>
        </is>
      </c>
      <c r="G61" s="7" t="n">
        <v>0.19</v>
      </c>
      <c r="H61" s="7">
        <f>B61*G61</f>
        <v/>
      </c>
      <c r="I61" s="7" t="n"/>
      <c r="J61" s="7" t="n"/>
      <c r="K61" s="7" t="n"/>
      <c r="L61" s="7">
        <f>IFERROR(MIN(I61:K61),"")</f>
        <v/>
      </c>
      <c r="M61" s="7" t="inlineStr"/>
      <c r="N61" s="7">
        <f>IF(L61="","",(G61-L61)*B61)</f>
        <v/>
      </c>
    </row>
    <row r="62">
      <c r="A62" s="7" t="n">
        <v>57</v>
      </c>
      <c r="B62" s="7" t="n">
        <v>2</v>
      </c>
      <c r="C62" s="7" t="inlineStr">
        <is>
          <t>BLK3+HVRR</t>
        </is>
      </c>
      <c r="D62" s="7" t="inlineStr">
        <is>
          <t>04-05010</t>
        </is>
      </c>
      <c r="E62" s="7" t="inlineStr">
        <is>
          <t>DEL FITTING SEAL 5/8" OD ALUMINUM</t>
        </is>
      </c>
      <c r="F62" s="7" t="inlineStr">
        <is>
          <t>Aircraft Spruce</t>
        </is>
      </c>
      <c r="G62" s="7" t="n">
        <v>1.75</v>
      </c>
      <c r="H62" s="7">
        <f>B62*G62</f>
        <v/>
      </c>
      <c r="I62" s="7" t="n"/>
      <c r="J62" s="7" t="n"/>
      <c r="K62" s="7" t="n"/>
      <c r="L62" s="7">
        <f>IFERROR(MIN(I62:K62),"")</f>
        <v/>
      </c>
      <c r="M62" s="7" t="inlineStr"/>
      <c r="N62" s="7">
        <f>IF(L62="","",(G62-L62)*B62)</f>
        <v/>
      </c>
    </row>
    <row r="63">
      <c r="A63" s="7" t="n">
        <v>58</v>
      </c>
      <c r="B63" s="7" t="n">
        <v>14</v>
      </c>
      <c r="C63" s="7" t="inlineStr">
        <is>
          <t>BLK3+HVRR</t>
        </is>
      </c>
      <c r="D63" s="7" t="inlineStr">
        <is>
          <t>AN525-10R12</t>
        </is>
      </c>
      <c r="E63" s="7" t="inlineStr">
        <is>
          <t>Screw, Washer Head AN525-10R12, MFR # 11280-25 10/32</t>
        </is>
      </c>
      <c r="F63" s="7" t="inlineStr">
        <is>
          <t>Aircraft Spruce</t>
        </is>
      </c>
      <c r="G63" s="7" t="n">
        <v>0.15</v>
      </c>
      <c r="H63" s="7">
        <f>B63*G63</f>
        <v/>
      </c>
      <c r="I63" s="7" t="n"/>
      <c r="J63" s="7" t="n"/>
      <c r="K63" s="7" t="n"/>
      <c r="L63" s="7">
        <f>IFERROR(MIN(I63:K63),"")</f>
        <v/>
      </c>
      <c r="M63" s="7" t="inlineStr"/>
      <c r="N63" s="7">
        <f>IF(L63="","",(G63-L63)*B63)</f>
        <v/>
      </c>
    </row>
    <row r="64">
      <c r="F64" s="3" t="inlineStr">
        <is>
          <t>GROUP TOTAL</t>
        </is>
      </c>
      <c r="H64" s="3">
        <f>SUM(H6:H63)</f>
        <v/>
      </c>
      <c r="N64" s="3">
        <f>SUM(N6:N63)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Avionics · Sensors · GNSS</t>
        </is>
      </c>
    </row>
    <row r="2">
      <c r="A2" s="3" t="inlineStr">
        <is>
          <t>RFQ to (qualified suppliers):</t>
        </is>
      </c>
      <c r="C2" t="inlineStr">
        <is>
          <t>1) Incumbent (EMCORE/JAVAD)    2) VectorNav / NovAtel    3) SBG / Septentrio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Incumbent (EMCORE/JAVAD) $ea</t>
        </is>
      </c>
      <c r="J5" s="6" t="inlineStr">
        <is>
          <t>VectorNav / NovAtel $ea</t>
        </is>
      </c>
      <c r="K5" s="6" t="inlineStr">
        <is>
          <t>SBG / Septentrio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2</v>
      </c>
      <c r="C6" s="7" t="inlineStr">
        <is>
          <t>BLK3+HVRR</t>
        </is>
      </c>
      <c r="D6" s="7" t="inlineStr">
        <is>
          <t>SDI505-AF00</t>
        </is>
      </c>
      <c r="E6" s="7" t="inlineStr">
        <is>
          <t>IMU</t>
        </is>
      </c>
      <c r="F6" s="7" t="inlineStr">
        <is>
          <t>EMCORE</t>
        </is>
      </c>
      <c r="G6" s="7" t="n">
        <v>32178.34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2</v>
      </c>
      <c r="C7" s="7" t="inlineStr">
        <is>
          <t>BLK3+HVRR</t>
        </is>
      </c>
      <c r="D7" s="7" t="inlineStr">
        <is>
          <t>GPS</t>
        </is>
      </c>
      <c r="E7" s="7" t="inlineStr">
        <is>
          <t>TRS-3S-HAD</t>
        </is>
      </c>
      <c r="F7" s="7" t="inlineStr">
        <is>
          <t>JAVAD</t>
        </is>
      </c>
      <c r="G7" s="7" t="n">
        <v>7150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2</v>
      </c>
      <c r="C8" s="7" t="inlineStr">
        <is>
          <t>BLK3+HVRR</t>
        </is>
      </c>
      <c r="D8" s="7" t="inlineStr">
        <is>
          <t>ATH4-E3940-8G064N</t>
        </is>
      </c>
      <c r="E8" s="7" t="inlineStr">
        <is>
          <t>Athena IV E3940 CPU</t>
        </is>
      </c>
      <c r="F8" s="7" t="inlineStr">
        <is>
          <t>Diamond Systems</t>
        </is>
      </c>
      <c r="G8" s="7" t="n">
        <v>2387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4</v>
      </c>
      <c r="C9" s="7" t="inlineStr">
        <is>
          <t>BLK3+HVRR</t>
        </is>
      </c>
      <c r="D9" s="7" t="inlineStr">
        <is>
          <t>DMM-32DX-AT</t>
        </is>
      </c>
      <c r="E9" s="7" t="inlineStr">
        <is>
          <t>Diamond Systems Analog I/O</t>
        </is>
      </c>
      <c r="F9" s="7" t="inlineStr">
        <is>
          <t>Diamond Systems</t>
        </is>
      </c>
      <c r="G9" s="7" t="n">
        <v>1073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2</v>
      </c>
      <c r="C10" s="7" t="inlineStr">
        <is>
          <t>BLK3+HVRR</t>
        </is>
      </c>
      <c r="D10" s="7" t="inlineStr">
        <is>
          <t>C009045B001A</t>
        </is>
      </c>
      <c r="E10" s="7" t="inlineStr">
        <is>
          <t>Cambium 900MHz PTP 450 Connectorized Radio, 902 - 928 MHz</t>
        </is>
      </c>
      <c r="F10" s="7" t="inlineStr">
        <is>
          <t>Business Systems Connections</t>
        </is>
      </c>
      <c r="G10" s="7" t="n">
        <v>895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4</v>
      </c>
      <c r="C11" s="7" t="inlineStr">
        <is>
          <t>BLK3+HVRR</t>
        </is>
      </c>
      <c r="D11" s="7" t="inlineStr">
        <is>
          <t>G3Ant-3AT1</t>
        </is>
      </c>
      <c r="E11" s="7" t="inlineStr">
        <is>
          <t>G3Ant-3AT1 GPS</t>
        </is>
      </c>
      <c r="F11" s="7" t="inlineStr">
        <is>
          <t>NavtechGPS</t>
        </is>
      </c>
      <c r="G11" s="7" t="n">
        <v>300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2</v>
      </c>
      <c r="C12" s="7" t="inlineStr">
        <is>
          <t>BLK3+HVRR</t>
        </is>
      </c>
      <c r="D12" s="7" t="inlineStr">
        <is>
          <t>GPIO-MM-XT</t>
        </is>
      </c>
      <c r="E12" s="7" t="inlineStr">
        <is>
          <t>Digital IO + Counter/Timer/PWM</t>
        </is>
      </c>
      <c r="F12" s="7" t="inlineStr">
        <is>
          <t>Diamond Systems</t>
        </is>
      </c>
      <c r="G12" s="7" t="n">
        <v>501.75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2</v>
      </c>
      <c r="C13" s="7" t="inlineStr">
        <is>
          <t>BLK3+HVRR</t>
        </is>
      </c>
      <c r="D13" s="7" t="inlineStr"/>
      <c r="E13" s="7" t="inlineStr">
        <is>
          <t>K06 - Liquid Level Sensor PZ 1,00</t>
        </is>
      </c>
      <c r="F13" s="7" t="inlineStr">
        <is>
          <t>Teklab</t>
        </is>
      </c>
      <c r="G13" s="7" t="n">
        <v>345.5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2</v>
      </c>
      <c r="C14" s="7" t="inlineStr">
        <is>
          <t>BLK3+HVRR</t>
        </is>
      </c>
      <c r="D14" s="7" t="inlineStr">
        <is>
          <t>Micro-Track RTG HA</t>
        </is>
      </c>
      <c r="E14" s="7" t="inlineStr">
        <is>
          <t>APRS (Automatic Packing Reporting System)</t>
        </is>
      </c>
      <c r="F14" s="7" t="inlineStr">
        <is>
          <t>Byonics</t>
        </is>
      </c>
      <c r="G14" s="7" t="n">
        <v>279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F15" s="3" t="inlineStr">
        <is>
          <t>GROUP TOTAL</t>
        </is>
      </c>
      <c r="H15" s="3">
        <f>SUM(H6:H14)</f>
        <v/>
      </c>
      <c r="N15" s="3">
        <f>SUM(N6:N14)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Batteries &amp; Hobby</t>
        </is>
      </c>
    </row>
    <row r="2">
      <c r="A2" s="3" t="inlineStr">
        <is>
          <t>RFQ to (qualified suppliers):</t>
        </is>
      </c>
      <c r="C2" t="inlineStr">
        <is>
          <t>1) RCBattery    2) HobbyKing    3) MaxAmps / Tower Hobbies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RCBattery $ea</t>
        </is>
      </c>
      <c r="J5" s="6" t="inlineStr">
        <is>
          <t>HobbyKing $ea</t>
        </is>
      </c>
      <c r="K5" s="6" t="inlineStr">
        <is>
          <t>MaxAmps / Tower Hobbies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8</v>
      </c>
      <c r="C6" s="7" t="inlineStr">
        <is>
          <t>BLK3+HVRR</t>
        </is>
      </c>
      <c r="D6" s="7" t="inlineStr">
        <is>
          <t>TAXXAS P/N HAN122</t>
        </is>
      </c>
      <c r="E6" s="7" t="inlineStr">
        <is>
          <t>Hangar 9 Remote Glow Plug Adapter</t>
        </is>
      </c>
      <c r="F6" s="7" t="inlineStr">
        <is>
          <t>Hobby Town</t>
        </is>
      </c>
      <c r="G6" s="7" t="n">
        <v>13.75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8</v>
      </c>
      <c r="C7" s="7" t="inlineStr">
        <is>
          <t>BLK3+HVRR</t>
        </is>
      </c>
      <c r="D7" s="7" t="inlineStr">
        <is>
          <t>Traxxas P/N TRA3232X</t>
        </is>
      </c>
      <c r="E7" s="7" t="inlineStr">
        <is>
          <t>Traxxas Super-Duty Long Glow Plug (2.5 &amp; 3.3)</t>
        </is>
      </c>
      <c r="F7" s="7" t="inlineStr">
        <is>
          <t>HobbyTown</t>
        </is>
      </c>
      <c r="G7" s="7" t="n">
        <v>9.949999999999999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F8" s="3" t="inlineStr">
        <is>
          <t>GROUP TOTAL</t>
        </is>
      </c>
      <c r="H8" s="3">
        <f>SUM(H6:H7)</f>
        <v/>
      </c>
      <c r="N8" s="3">
        <f>SUM(N6:N7)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Composite Structures</t>
        </is>
      </c>
    </row>
    <row r="2">
      <c r="A2" s="3" t="inlineStr">
        <is>
          <t>RFQ to (qualified suppliers):</t>
        </is>
      </c>
      <c r="C2" t="inlineStr">
        <is>
          <t>1) Scorpius (affiliate)    2) Infinite Composites Technologies    3) Composite Technology Development (CTD)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Scorpius (affiliate) $ea</t>
        </is>
      </c>
      <c r="J5" s="6" t="inlineStr">
        <is>
          <t>Infinite Composites Technologies $ea</t>
        </is>
      </c>
      <c r="K5" s="6" t="inlineStr">
        <is>
          <t>Composite Technology Development (CTD)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2</v>
      </c>
      <c r="C6" s="7" t="inlineStr">
        <is>
          <t>BLK3+HVRR</t>
        </is>
      </c>
      <c r="D6" s="7" t="inlineStr"/>
      <c r="E6" s="7" t="inlineStr">
        <is>
          <t>LOX Tank</t>
        </is>
      </c>
      <c r="F6" s="7" t="inlineStr">
        <is>
          <t>SSLC</t>
        </is>
      </c>
      <c r="G6" s="7" t="n">
        <v>80000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2</v>
      </c>
      <c r="C7" s="7" t="inlineStr">
        <is>
          <t>BLK3+HVRR</t>
        </is>
      </c>
      <c r="D7" s="7" t="inlineStr"/>
      <c r="E7" s="7" t="inlineStr">
        <is>
          <t>Fuel Tank</t>
        </is>
      </c>
      <c r="F7" s="7" t="inlineStr">
        <is>
          <t>SSLC</t>
        </is>
      </c>
      <c r="G7" s="7" t="n">
        <v>80000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1</v>
      </c>
      <c r="C8" s="7" t="inlineStr">
        <is>
          <t>BLK3</t>
        </is>
      </c>
      <c r="D8" s="7" t="inlineStr">
        <is>
          <t>AM-0001-0000-0000</t>
        </is>
      </c>
      <c r="E8" s="7" t="inlineStr">
        <is>
          <t>Helium Pressure Tank, 5000 PSI MEO,7.8 cuft volume</t>
        </is>
      </c>
      <c r="F8" s="7" t="inlineStr">
        <is>
          <t>SCORPIUS</t>
        </is>
      </c>
      <c r="G8" s="7" t="n">
        <v>72500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2</v>
      </c>
      <c r="C9" s="7" t="inlineStr">
        <is>
          <t>BLK3+HVRR</t>
        </is>
      </c>
      <c r="D9" s="7" t="inlineStr"/>
      <c r="E9" s="7" t="inlineStr">
        <is>
          <t>70" Carbon Fiber Skin</t>
        </is>
      </c>
      <c r="F9" s="7" t="inlineStr">
        <is>
          <t>SCORPIUS</t>
        </is>
      </c>
      <c r="G9" s="7" t="n">
        <v>28240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2</v>
      </c>
      <c r="C10" s="7" t="inlineStr">
        <is>
          <t>HVRR</t>
        </is>
      </c>
      <c r="D10" s="7" t="inlineStr">
        <is>
          <t>10-AN-0024-300</t>
        </is>
      </c>
      <c r="E10" s="7" t="inlineStr">
        <is>
          <t>Pressure Tank, 300psi MEOF, D10in x L24in SF 2.0</t>
        </is>
      </c>
      <c r="F10" s="7" t="inlineStr">
        <is>
          <t>SCORPIUS</t>
        </is>
      </c>
      <c r="G10" s="7" t="n">
        <v>27852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2</v>
      </c>
      <c r="C11" s="7" t="inlineStr">
        <is>
          <t>BLK3+HVRR</t>
        </is>
      </c>
      <c r="D11" s="7" t="inlineStr"/>
      <c r="E11" s="7" t="inlineStr">
        <is>
          <t>Carbon Fiber Skin, D25" x L46"</t>
        </is>
      </c>
      <c r="F11" s="7" t="inlineStr">
        <is>
          <t>SCORPIUS</t>
        </is>
      </c>
      <c r="G11" s="7" t="n">
        <v>23590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2</v>
      </c>
      <c r="C12" s="7" t="inlineStr">
        <is>
          <t>BLK3+HVRR</t>
        </is>
      </c>
      <c r="D12" s="7" t="inlineStr"/>
      <c r="E12" s="7" t="inlineStr">
        <is>
          <t>Nose Cone</t>
        </is>
      </c>
      <c r="F12" s="7" t="inlineStr">
        <is>
          <t>SCORPIUS</t>
        </is>
      </c>
      <c r="G12" s="7" t="n">
        <v>20000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2</v>
      </c>
      <c r="C13" s="7" t="inlineStr">
        <is>
          <t>BLK3+HVRR</t>
        </is>
      </c>
      <c r="D13" s="7" t="inlineStr"/>
      <c r="E13" s="7" t="inlineStr">
        <is>
          <t>45" Payload Skin</t>
        </is>
      </c>
      <c r="F13" s="7" t="inlineStr">
        <is>
          <t>SCORPIUS</t>
        </is>
      </c>
      <c r="G13" s="7" t="n">
        <v>18000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2</v>
      </c>
      <c r="C14" s="7" t="inlineStr">
        <is>
          <t>BLK3+HVRR</t>
        </is>
      </c>
      <c r="D14" s="7" t="inlineStr"/>
      <c r="E14" s="7" t="inlineStr">
        <is>
          <t>SARGE, RECOVERY SECTION Skin</t>
        </is>
      </c>
      <c r="F14" s="7" t="inlineStr">
        <is>
          <t>SCORPIUS</t>
        </is>
      </c>
      <c r="G14" s="7" t="n">
        <v>15000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A15" s="7" t="n">
        <v>10</v>
      </c>
      <c r="B15" s="7" t="n">
        <v>8</v>
      </c>
      <c r="C15" s="7" t="inlineStr">
        <is>
          <t>BLK3+HVRR</t>
        </is>
      </c>
      <c r="D15" s="7" t="inlineStr">
        <is>
          <t>Fins</t>
        </is>
      </c>
      <c r="E15" s="7" t="inlineStr">
        <is>
          <t>Fins, Carbon Fiber</t>
        </is>
      </c>
      <c r="F15" s="7" t="inlineStr">
        <is>
          <t>SCORPIUS</t>
        </is>
      </c>
      <c r="G15" s="7" t="n">
        <v>3200</v>
      </c>
      <c r="H15" s="7">
        <f>B15*G15</f>
        <v/>
      </c>
      <c r="I15" s="7" t="n"/>
      <c r="J15" s="7" t="n"/>
      <c r="K15" s="7" t="n"/>
      <c r="L15" s="7">
        <f>IFERROR(MIN(I15:K15),"")</f>
        <v/>
      </c>
      <c r="M15" s="7" t="inlineStr"/>
      <c r="N15" s="7">
        <f>IF(L15="","",(G15-L15)*B15)</f>
        <v/>
      </c>
    </row>
    <row r="16">
      <c r="A16" s="7" t="n">
        <v>11</v>
      </c>
      <c r="B16" s="7" t="n">
        <v>4</v>
      </c>
      <c r="C16" s="7" t="inlineStr">
        <is>
          <t>BLK3+HVRR</t>
        </is>
      </c>
      <c r="D16" s="7" t="inlineStr"/>
      <c r="E16" s="7" t="inlineStr">
        <is>
          <t>Press and conduit Aero cover</t>
        </is>
      </c>
      <c r="F16" s="7" t="inlineStr">
        <is>
          <t>SCORPIUS</t>
        </is>
      </c>
      <c r="G16" s="7" t="n">
        <v>3000</v>
      </c>
      <c r="H16" s="7">
        <f>B16*G16</f>
        <v/>
      </c>
      <c r="I16" s="7" t="n"/>
      <c r="J16" s="7" t="n"/>
      <c r="K16" s="7" t="n"/>
      <c r="L16" s="7">
        <f>IFERROR(MIN(I16:K16),"")</f>
        <v/>
      </c>
      <c r="M16" s="7" t="inlineStr"/>
      <c r="N16" s="7">
        <f>IF(L16="","",(G16-L16)*B16)</f>
        <v/>
      </c>
    </row>
    <row r="17">
      <c r="A17" s="7" t="n">
        <v>12</v>
      </c>
      <c r="B17" s="7" t="n">
        <v>2</v>
      </c>
      <c r="C17" s="7" t="inlineStr">
        <is>
          <t>BLK3+HVRR</t>
        </is>
      </c>
      <c r="D17" s="7" t="inlineStr"/>
      <c r="E17" s="7" t="inlineStr">
        <is>
          <t>Propellant Line cover</t>
        </is>
      </c>
      <c r="F17" s="7" t="inlineStr">
        <is>
          <t>SCORPIUS</t>
        </is>
      </c>
      <c r="G17" s="7" t="n">
        <v>2000</v>
      </c>
      <c r="H17" s="7">
        <f>B17*G17</f>
        <v/>
      </c>
      <c r="I17" s="7" t="n"/>
      <c r="J17" s="7" t="n"/>
      <c r="K17" s="7" t="n"/>
      <c r="L17" s="7">
        <f>IFERROR(MIN(I17:K17),"")</f>
        <v/>
      </c>
      <c r="M17" s="7" t="inlineStr"/>
      <c r="N17" s="7">
        <f>IF(L17="","",(G17-L17)*B17)</f>
        <v/>
      </c>
    </row>
    <row r="18">
      <c r="A18" s="7" t="n">
        <v>13</v>
      </c>
      <c r="B18" s="7" t="n">
        <v>6</v>
      </c>
      <c r="C18" s="7" t="inlineStr">
        <is>
          <t>BLK3+HVRR</t>
        </is>
      </c>
      <c r="D18" s="7" t="inlineStr">
        <is>
          <t>Access Port Cover</t>
        </is>
      </c>
      <c r="E18" s="7" t="inlineStr">
        <is>
          <t>Power and connection access cover, Carbon Fiber</t>
        </is>
      </c>
      <c r="F18" s="7" t="inlineStr">
        <is>
          <t>SCORPIUS</t>
        </is>
      </c>
      <c r="G18" s="7" t="n">
        <v>250</v>
      </c>
      <c r="H18" s="7">
        <f>B18*G18</f>
        <v/>
      </c>
      <c r="I18" s="7" t="n"/>
      <c r="J18" s="7" t="n"/>
      <c r="K18" s="7" t="n"/>
      <c r="L18" s="7">
        <f>IFERROR(MIN(I18:K18),"")</f>
        <v/>
      </c>
      <c r="M18" s="7" t="inlineStr"/>
      <c r="N18" s="7">
        <f>IF(L18="","",(G18-L18)*B18)</f>
        <v/>
      </c>
    </row>
    <row r="19">
      <c r="A19" s="7" t="n">
        <v>14</v>
      </c>
      <c r="B19" s="7" t="n">
        <v>0</v>
      </c>
      <c r="C19" s="7" t="inlineStr">
        <is>
          <t>BLK3+HVRR</t>
        </is>
      </c>
      <c r="D19" s="7" t="inlineStr"/>
      <c r="E19" s="7" t="inlineStr">
        <is>
          <t>Fairing Mold Modification (nosecone mod)</t>
        </is>
      </c>
      <c r="F19" s="7" t="inlineStr">
        <is>
          <t>SCORPIUS</t>
        </is>
      </c>
      <c r="G19" s="7" t="n">
        <v>0</v>
      </c>
      <c r="H19" s="7">
        <f>B19*G19</f>
        <v/>
      </c>
      <c r="I19" s="7" t="n"/>
      <c r="J19" s="7" t="n"/>
      <c r="K19" s="7" t="n"/>
      <c r="L19" s="7">
        <f>IFERROR(MIN(I19:K19),"")</f>
        <v/>
      </c>
      <c r="M19" s="7" t="inlineStr"/>
      <c r="N19" s="7">
        <f>IF(L19="","",(G19-L19)*B19)</f>
        <v/>
      </c>
    </row>
    <row r="20">
      <c r="A20" s="7" t="n">
        <v>15</v>
      </c>
      <c r="B20" s="7" t="n">
        <v>0</v>
      </c>
      <c r="C20" s="7" t="inlineStr">
        <is>
          <t>BLK3+HVRR</t>
        </is>
      </c>
      <c r="D20" s="7" t="inlineStr"/>
      <c r="E20" s="7" t="inlineStr">
        <is>
          <t>Kevlar Fabric - 3.9 ounce 779 Correctional fabric "Gray Goods"</t>
        </is>
      </c>
      <c r="F20" s="7" t="inlineStr">
        <is>
          <t>JP Composites</t>
        </is>
      </c>
      <c r="G20" s="7" t="n">
        <v>0</v>
      </c>
      <c r="H20" s="7">
        <f>B20*G20</f>
        <v/>
      </c>
      <c r="I20" s="7" t="n"/>
      <c r="J20" s="7" t="n"/>
      <c r="K20" s="7" t="n"/>
      <c r="L20" s="7">
        <f>IFERROR(MIN(I20:K20),"")</f>
        <v/>
      </c>
      <c r="M20" s="7" t="inlineStr"/>
      <c r="N20" s="7">
        <f>IF(L20="","",(G20-L20)*B20)</f>
        <v/>
      </c>
    </row>
    <row r="21">
      <c r="F21" s="3" t="inlineStr">
        <is>
          <t>GROUP TOTAL</t>
        </is>
      </c>
      <c r="H21" s="3">
        <f>SUM(H6:H20)</f>
        <v/>
      </c>
      <c r="N21" s="3">
        <f>SUM(N6:N20)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Electronic Components</t>
        </is>
      </c>
    </row>
    <row r="2">
      <c r="A2" s="3" t="inlineStr">
        <is>
          <t>RFQ to (qualified suppliers):</t>
        </is>
      </c>
      <c r="C2" t="inlineStr">
        <is>
          <t>1) DigiKey    2) Mouser    3) Newark (element14)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DigiKey $ea</t>
        </is>
      </c>
      <c r="J5" s="6" t="inlineStr">
        <is>
          <t>Mouser $ea</t>
        </is>
      </c>
      <c r="K5" s="6" t="inlineStr">
        <is>
          <t>Newark (element14)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8</v>
      </c>
      <c r="C6" s="7" t="inlineStr">
        <is>
          <t>BLK3+HVRR</t>
        </is>
      </c>
      <c r="D6" s="7" t="inlineStr">
        <is>
          <t>1817-1022-ND</t>
        </is>
      </c>
      <c r="E6" s="7" t="inlineStr">
        <is>
          <t>SENSOR LINEAR 76.2MM CABLE, Alliance Sensors Group</t>
        </is>
      </c>
      <c r="F6" s="7" t="inlineStr">
        <is>
          <t>Digikey</t>
        </is>
      </c>
      <c r="G6" s="7" t="n">
        <v>361.25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4</v>
      </c>
      <c r="C7" s="7" t="inlineStr">
        <is>
          <t>BLK3+HVRR</t>
        </is>
      </c>
      <c r="D7" s="7" t="inlineStr">
        <is>
          <t>654-TV06RW-25-37PA</t>
        </is>
      </c>
      <c r="E7" s="7" t="inlineStr">
        <is>
          <t>Circular MIL Spec Connector 37P SIZE 25</t>
        </is>
      </c>
      <c r="F7" s="7" t="inlineStr">
        <is>
          <t>Mouser</t>
        </is>
      </c>
      <c r="G7" s="7" t="n">
        <v>483.63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5</v>
      </c>
      <c r="C8" s="7" t="inlineStr">
        <is>
          <t>BLK3+HVRR</t>
        </is>
      </c>
      <c r="D8" s="7" t="inlineStr">
        <is>
          <t>3937-TVP00RW-25-37SA-ND</t>
        </is>
      </c>
      <c r="E8" s="7" t="inlineStr">
        <is>
          <t>37 Position Circular Connector Receptacle, Female Sockets Crimp</t>
        </is>
      </c>
      <c r="F8" s="7" t="inlineStr">
        <is>
          <t>Digikey</t>
        </is>
      </c>
      <c r="G8" s="7" t="n">
        <v>386.69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4</v>
      </c>
      <c r="C9" s="7" t="inlineStr">
        <is>
          <t>BLK3+HVRR</t>
        </is>
      </c>
      <c r="D9" s="7" t="inlineStr">
        <is>
          <t>654-TVP00RW2537SA</t>
        </is>
      </c>
      <c r="E9" s="7" t="inlineStr">
        <is>
          <t>37 Position Circular Connector Receptacle, Female Sockets Crimp, Amphenol P/N TV</t>
        </is>
      </c>
      <c r="F9" s="7" t="inlineStr">
        <is>
          <t>Mouser</t>
        </is>
      </c>
      <c r="G9" s="7" t="n">
        <v>297.25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224</v>
      </c>
      <c r="C10" s="7" t="inlineStr">
        <is>
          <t>BLK3+HVRR</t>
        </is>
      </c>
      <c r="D10" s="7" t="inlineStr">
        <is>
          <t>A101232-ND</t>
        </is>
      </c>
      <c r="E10" s="7" t="inlineStr">
        <is>
          <t>SLDR SLV WIRE-WIRE 0.235/0.255"</t>
        </is>
      </c>
      <c r="F10" s="7" t="inlineStr">
        <is>
          <t>Digikey</t>
        </is>
      </c>
      <c r="G10" s="7" t="n">
        <v>4.23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2</v>
      </c>
      <c r="C11" s="7" t="inlineStr">
        <is>
          <t>BLK3+HVRR</t>
        </is>
      </c>
      <c r="D11" s="7" t="inlineStr">
        <is>
          <t>3937-TVP00RW-25-37SA-ND</t>
        </is>
      </c>
      <c r="E11" s="7" t="inlineStr">
        <is>
          <t>CONN RCPT FMALE 37  POS GOLD CRIMP</t>
        </is>
      </c>
      <c r="F11" s="7" t="inlineStr">
        <is>
          <t>Digikey</t>
        </is>
      </c>
      <c r="G11" s="7" t="n">
        <v>386.69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2</v>
      </c>
      <c r="C12" s="7" t="inlineStr">
        <is>
          <t>BLK3+HVRR</t>
        </is>
      </c>
      <c r="D12" s="7" t="inlineStr">
        <is>
          <t>3937-TVP00RW-25-37SA-ND</t>
        </is>
      </c>
      <c r="E12" s="7" t="inlineStr">
        <is>
          <t>Circular MIL Spec Connector 37P SIZE 25, 	
37 Position Circular Connector Recept</t>
        </is>
      </c>
      <c r="F12" s="7" t="inlineStr">
        <is>
          <t>Digikey</t>
        </is>
      </c>
      <c r="G12" s="7" t="n">
        <v>386.69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2</v>
      </c>
      <c r="C13" s="7" t="inlineStr">
        <is>
          <t>BLK3+HVRR</t>
        </is>
      </c>
      <c r="D13" s="7" t="inlineStr">
        <is>
          <t>TVP00RW-25-37SA-ND</t>
        </is>
      </c>
      <c r="E13" s="7" t="inlineStr">
        <is>
          <t>37 Position Circular Connector Receptacle, Female Sockets Crimp</t>
        </is>
      </c>
      <c r="F13" s="7" t="inlineStr">
        <is>
          <t>Digikey</t>
        </is>
      </c>
      <c r="G13" s="7" t="n">
        <v>386.69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4</v>
      </c>
      <c r="C14" s="7" t="inlineStr">
        <is>
          <t>BLK3+HVRR</t>
        </is>
      </c>
      <c r="D14" s="7" t="inlineStr">
        <is>
          <t>AATVP00RW-15-19P-ND</t>
        </is>
      </c>
      <c r="E14" s="7" t="inlineStr">
        <is>
          <t>19 Position Circular Connector Receptacle, Male Pins Crimp</t>
        </is>
      </c>
      <c r="F14" s="7" t="inlineStr">
        <is>
          <t>Digikey</t>
        </is>
      </c>
      <c r="G14" s="7" t="n">
        <v>160.95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A15" s="7" t="n">
        <v>10</v>
      </c>
      <c r="B15" s="7" t="n">
        <v>2</v>
      </c>
      <c r="C15" s="7" t="inlineStr">
        <is>
          <t>BLK3+HVRR</t>
        </is>
      </c>
      <c r="D15" s="7" t="inlineStr">
        <is>
          <t>102-3312-ND</t>
        </is>
      </c>
      <c r="E15" s="7" t="inlineStr">
        <is>
          <t>DC/DC DIN RAIL SUPPLY 12V 200W, CUI P/N 	
VHK200W-Q24-S12-DIN</t>
        </is>
      </c>
      <c r="F15" s="7" t="inlineStr">
        <is>
          <t>Digikey</t>
        </is>
      </c>
      <c r="G15" s="7" t="n">
        <v>321</v>
      </c>
      <c r="H15" s="7">
        <f>B15*G15</f>
        <v/>
      </c>
      <c r="I15" s="7" t="n"/>
      <c r="J15" s="7" t="n"/>
      <c r="K15" s="7" t="n"/>
      <c r="L15" s="7">
        <f>IFERROR(MIN(I15:K15),"")</f>
        <v/>
      </c>
      <c r="M15" s="7" t="inlineStr"/>
      <c r="N15" s="7">
        <f>IF(L15="","",(G15-L15)*B15)</f>
        <v/>
      </c>
    </row>
    <row r="16">
      <c r="A16" s="7" t="n">
        <v>11</v>
      </c>
      <c r="B16" s="7" t="n">
        <v>6</v>
      </c>
      <c r="C16" s="7" t="inlineStr">
        <is>
          <t>BLK3+HVRR</t>
        </is>
      </c>
      <c r="D16" s="7" t="inlineStr">
        <is>
          <t>MSP3501P3-ND</t>
        </is>
      </c>
      <c r="E16" s="7" t="inlineStr">
        <is>
          <t>TRANSDUCER 1-5V 500# PRES, TE Connectivity P/N 	
M3041-000005-500PG</t>
        </is>
      </c>
      <c r="F16" s="7" t="inlineStr">
        <is>
          <t>Digikey</t>
        </is>
      </c>
      <c r="G16" s="7" t="n">
        <v>102.99</v>
      </c>
      <c r="H16" s="7">
        <f>B16*G16</f>
        <v/>
      </c>
      <c r="I16" s="7" t="n"/>
      <c r="J16" s="7" t="n"/>
      <c r="K16" s="7" t="n"/>
      <c r="L16" s="7">
        <f>IFERROR(MIN(I16:K16),"")</f>
        <v/>
      </c>
      <c r="M16" s="7" t="inlineStr"/>
      <c r="N16" s="7">
        <f>IF(L16="","",(G16-L16)*B16)</f>
        <v/>
      </c>
    </row>
    <row r="17">
      <c r="A17" s="7" t="n">
        <v>12</v>
      </c>
      <c r="B17" s="7" t="n">
        <v>4</v>
      </c>
      <c r="C17" s="7" t="inlineStr">
        <is>
          <t>BLK3+HVRR</t>
        </is>
      </c>
      <c r="D17" s="7" t="inlineStr">
        <is>
          <t>654-TVP00RW-15-19P</t>
        </is>
      </c>
      <c r="E17" s="7" t="inlineStr">
        <is>
          <t xml:space="preserve">Circular MIL Spec Connector TV 19C 19#20 PIN WALL RECP, Amphenol Aerospace P/N 
</t>
        </is>
      </c>
      <c r="F17" s="7" t="inlineStr">
        <is>
          <t>MOUSER</t>
        </is>
      </c>
      <c r="G17" s="7" t="n">
        <v>150.5</v>
      </c>
      <c r="H17" s="7">
        <f>B17*G17</f>
        <v/>
      </c>
      <c r="I17" s="7" t="n"/>
      <c r="J17" s="7" t="n"/>
      <c r="K17" s="7" t="n"/>
      <c r="L17" s="7">
        <f>IFERROR(MIN(I17:K17),"")</f>
        <v/>
      </c>
      <c r="M17" s="7" t="inlineStr"/>
      <c r="N17" s="7">
        <f>IF(L17="","",(G17-L17)*B17)</f>
        <v/>
      </c>
    </row>
    <row r="18">
      <c r="A18" s="7" t="n">
        <v>13</v>
      </c>
      <c r="B18" s="7" t="n">
        <v>58</v>
      </c>
      <c r="C18" s="7" t="inlineStr">
        <is>
          <t>BLK3+HVRR</t>
        </is>
      </c>
      <c r="D18" s="7" t="inlineStr">
        <is>
          <t>SC1204-ND</t>
        </is>
      </c>
      <c r="E18" s="7" t="inlineStr">
        <is>
          <t>CONN PLUG MALE 3POS SOLDER CUP</t>
        </is>
      </c>
      <c r="F18" s="7" t="inlineStr">
        <is>
          <t>Digikey</t>
        </is>
      </c>
      <c r="G18" s="7" t="n">
        <v>9.49</v>
      </c>
      <c r="H18" s="7">
        <f>B18*G18</f>
        <v/>
      </c>
      <c r="I18" s="7" t="n"/>
      <c r="J18" s="7" t="n"/>
      <c r="K18" s="7" t="n"/>
      <c r="L18" s="7">
        <f>IFERROR(MIN(I18:K18),"")</f>
        <v/>
      </c>
      <c r="M18" s="7" t="inlineStr"/>
      <c r="N18" s="7">
        <f>IF(L18="","",(G18-L18)*B18)</f>
        <v/>
      </c>
    </row>
    <row r="19">
      <c r="A19" s="7" t="n">
        <v>14</v>
      </c>
      <c r="B19" s="7" t="n">
        <v>4</v>
      </c>
      <c r="C19" s="7" t="inlineStr">
        <is>
          <t>BLK3+HVRR</t>
        </is>
      </c>
      <c r="D19" s="7" t="inlineStr">
        <is>
          <t>AATV06RW-15-19S-ND</t>
        </is>
      </c>
      <c r="E19" s="7" t="inlineStr">
        <is>
          <t>19 Position Circular Connector Plug, Female Sockets Crimp</t>
        </is>
      </c>
      <c r="F19" s="7" t="inlineStr">
        <is>
          <t>Digikey</t>
        </is>
      </c>
      <c r="G19" s="7" t="n">
        <v>123.92</v>
      </c>
      <c r="H19" s="7">
        <f>B19*G19</f>
        <v/>
      </c>
      <c r="I19" s="7" t="n"/>
      <c r="J19" s="7" t="n"/>
      <c r="K19" s="7" t="n"/>
      <c r="L19" s="7">
        <f>IFERROR(MIN(I19:K19),"")</f>
        <v/>
      </c>
      <c r="M19" s="7" t="inlineStr"/>
      <c r="N19" s="7">
        <f>IF(L19="","",(G19-L19)*B19)</f>
        <v/>
      </c>
    </row>
    <row r="20">
      <c r="A20" s="7" t="n">
        <v>15</v>
      </c>
      <c r="B20" s="7" t="n">
        <v>4</v>
      </c>
      <c r="C20" s="7" t="inlineStr">
        <is>
          <t>BLK3+HVRR</t>
        </is>
      </c>
      <c r="D20" s="7" t="inlineStr">
        <is>
          <t>223-1871-ND</t>
        </is>
      </c>
      <c r="E20" s="7" t="inlineStr">
        <is>
          <t>Pressure Sensor 500PSI Vented Gauge Male - 1/8" NPT 1 V ~ 5 V Cylinder</t>
        </is>
      </c>
      <c r="F20" s="7" t="inlineStr">
        <is>
          <t>Digikey</t>
        </is>
      </c>
      <c r="G20" s="7" t="n">
        <v>121.17</v>
      </c>
      <c r="H20" s="7">
        <f>B20*G20</f>
        <v/>
      </c>
      <c r="I20" s="7" t="n"/>
      <c r="J20" s="7" t="n"/>
      <c r="K20" s="7" t="n"/>
      <c r="L20" s="7">
        <f>IFERROR(MIN(I20:K20),"")</f>
        <v/>
      </c>
      <c r="M20" s="7" t="inlineStr"/>
      <c r="N20" s="7">
        <f>IF(L20="","",(G20-L20)*B20)</f>
        <v/>
      </c>
    </row>
    <row r="21">
      <c r="A21" s="7" t="n">
        <v>16</v>
      </c>
      <c r="B21" s="7" t="n">
        <v>50</v>
      </c>
      <c r="C21" s="7" t="inlineStr">
        <is>
          <t>BLK3+HVRR</t>
        </is>
      </c>
      <c r="D21" s="7" t="inlineStr">
        <is>
          <t>A101189-ND</t>
        </is>
      </c>
      <c r="E21" s="7" t="inlineStr">
        <is>
          <t>SLDR SLV WIRE-WIRE 0.105/0.145", TE Connectivty P/N S200-2-W1-22-9</t>
        </is>
      </c>
      <c r="F21" s="7" t="inlineStr">
        <is>
          <t>Digikey</t>
        </is>
      </c>
      <c r="G21" s="7" t="n">
        <v>9.19</v>
      </c>
      <c r="H21" s="7">
        <f>B21*G21</f>
        <v/>
      </c>
      <c r="I21" s="7" t="n"/>
      <c r="J21" s="7" t="n"/>
      <c r="K21" s="7" t="n"/>
      <c r="L21" s="7">
        <f>IFERROR(MIN(I21:K21),"")</f>
        <v/>
      </c>
      <c r="M21" s="7" t="inlineStr"/>
      <c r="N21" s="7">
        <f>IF(L21="","",(G21-L21)*B21)</f>
        <v/>
      </c>
    </row>
    <row r="22">
      <c r="A22" s="7" t="n">
        <v>17</v>
      </c>
      <c r="B22" s="7" t="n">
        <v>2</v>
      </c>
      <c r="C22" s="7" t="inlineStr">
        <is>
          <t>BLK3+HVRR</t>
        </is>
      </c>
      <c r="D22" s="7" t="inlineStr">
        <is>
          <t>881-CCR-33S80-T</t>
        </is>
      </c>
      <c r="E22" s="7" t="inlineStr">
        <is>
          <t>Coaxial SwitchesLatching SPDT Coaxial Switch, DC-18GHz, SMA Female</t>
        </is>
      </c>
      <c r="F22" s="7" t="inlineStr">
        <is>
          <t>MOUSER</t>
        </is>
      </c>
      <c r="G22" s="7" t="n">
        <v>226.92</v>
      </c>
      <c r="H22" s="7">
        <f>B22*G22</f>
        <v/>
      </c>
      <c r="I22" s="7" t="n"/>
      <c r="J22" s="7" t="n"/>
      <c r="K22" s="7" t="n"/>
      <c r="L22" s="7">
        <f>IFERROR(MIN(I22:K22),"")</f>
        <v/>
      </c>
      <c r="M22" s="7" t="inlineStr"/>
      <c r="N22" s="7">
        <f>IF(L22="","",(G22-L22)*B22)</f>
        <v/>
      </c>
    </row>
    <row r="23">
      <c r="A23" s="7" t="n">
        <v>18</v>
      </c>
      <c r="B23" s="7" t="n">
        <v>2</v>
      </c>
      <c r="C23" s="7" t="inlineStr">
        <is>
          <t>BLK3+HVRR</t>
        </is>
      </c>
      <c r="D23" s="7" t="inlineStr">
        <is>
          <t>TV06RW-25-37PA</t>
        </is>
      </c>
      <c r="E23" s="7" t="inlineStr">
        <is>
          <t>Circular MIL Spec Connector 37P SIZE 25</t>
        </is>
      </c>
      <c r="F23" s="7" t="inlineStr">
        <is>
          <t>PEI Genisis</t>
        </is>
      </c>
      <c r="G23" s="7" t="n">
        <v>215.47</v>
      </c>
      <c r="H23" s="7">
        <f>B23*G23</f>
        <v/>
      </c>
      <c r="I23" s="7" t="n"/>
      <c r="J23" s="7" t="n"/>
      <c r="K23" s="7" t="n"/>
      <c r="L23" s="7">
        <f>IFERROR(MIN(I23:K23),"")</f>
        <v/>
      </c>
      <c r="M23" s="7" t="inlineStr"/>
      <c r="N23" s="7">
        <f>IF(L23="","",(G23-L23)*B23)</f>
        <v/>
      </c>
    </row>
    <row r="24">
      <c r="A24" s="7" t="n">
        <v>19</v>
      </c>
      <c r="B24" s="7" t="n">
        <v>4</v>
      </c>
      <c r="C24" s="7" t="inlineStr">
        <is>
          <t>BLK3+HVRR</t>
        </is>
      </c>
      <c r="D24" s="7" t="inlineStr">
        <is>
          <t>965-MS3100E2029P</t>
        </is>
      </c>
      <c r="E24" s="7" t="inlineStr">
        <is>
          <t>Circular MIL Spec Connector ER 17C 17#16 SKT PLUG</t>
        </is>
      </c>
      <c r="F24" s="7" t="inlineStr">
        <is>
          <t>Mouser</t>
        </is>
      </c>
      <c r="G24" s="7" t="n">
        <v>107.21</v>
      </c>
      <c r="H24" s="7">
        <f>B24*G24</f>
        <v/>
      </c>
      <c r="I24" s="7" t="n"/>
      <c r="J24" s="7" t="n"/>
      <c r="K24" s="7" t="n"/>
      <c r="L24" s="7">
        <f>IFERROR(MIN(I24:K24),"")</f>
        <v/>
      </c>
      <c r="M24" s="7" t="inlineStr"/>
      <c r="N24" s="7">
        <f>IF(L24="","",(G24-L24)*B24)</f>
        <v/>
      </c>
    </row>
    <row r="25">
      <c r="A25" s="7" t="n">
        <v>20</v>
      </c>
      <c r="B25" s="7" t="n">
        <v>20</v>
      </c>
      <c r="C25" s="7" t="inlineStr">
        <is>
          <t>BLK3+HVRR</t>
        </is>
      </c>
      <c r="D25" s="7" t="inlineStr">
        <is>
          <t>A16046-ND</t>
        </is>
      </c>
      <c r="E25" s="7" t="inlineStr">
        <is>
          <t>CONN SEALING BOOT 11 BLACK, TE Conectivity P/N</t>
        </is>
      </c>
      <c r="F25" s="7" t="inlineStr">
        <is>
          <t>Digikey</t>
        </is>
      </c>
      <c r="G25" s="7" t="n">
        <v>21.29</v>
      </c>
      <c r="H25" s="7">
        <f>B25*G25</f>
        <v/>
      </c>
      <c r="I25" s="7" t="n"/>
      <c r="J25" s="7" t="n"/>
      <c r="K25" s="7" t="n"/>
      <c r="L25" s="7">
        <f>IFERROR(MIN(I25:K25),"")</f>
        <v/>
      </c>
      <c r="M25" s="7" t="inlineStr"/>
      <c r="N25" s="7">
        <f>IF(L25="","",(G25-L25)*B25)</f>
        <v/>
      </c>
    </row>
    <row r="26">
      <c r="A26" s="7" t="n">
        <v>21</v>
      </c>
      <c r="B26" s="7" t="n">
        <v>4</v>
      </c>
      <c r="C26" s="7" t="inlineStr">
        <is>
          <t>BLK3+HVRR</t>
        </is>
      </c>
      <c r="D26" s="7" t="inlineStr">
        <is>
          <t>AMS3106A28-21S-ND</t>
        </is>
      </c>
      <c r="E26" s="7" t="inlineStr">
        <is>
          <t>37 Position Circular Connector Plug, Female Sockets Solder Cup</t>
        </is>
      </c>
      <c r="F26" s="7" t="inlineStr">
        <is>
          <t>Digikey</t>
        </is>
      </c>
      <c r="G26" s="7" t="n">
        <v>97.17</v>
      </c>
      <c r="H26" s="7">
        <f>B26*G26</f>
        <v/>
      </c>
      <c r="I26" s="7" t="n"/>
      <c r="J26" s="7" t="n"/>
      <c r="K26" s="7" t="n"/>
      <c r="L26" s="7">
        <f>IFERROR(MIN(I26:K26),"")</f>
        <v/>
      </c>
      <c r="M26" s="7" t="inlineStr"/>
      <c r="N26" s="7">
        <f>IF(L26="","",(G26-L26)*B26)</f>
        <v/>
      </c>
    </row>
    <row r="27">
      <c r="A27" s="7" t="n">
        <v>22</v>
      </c>
      <c r="B27" s="7" t="n">
        <v>40</v>
      </c>
      <c r="C27" s="7" t="inlineStr">
        <is>
          <t>BLK3+HVRR</t>
        </is>
      </c>
      <c r="D27" s="7" t="inlineStr">
        <is>
          <t>A101189-ND</t>
        </is>
      </c>
      <c r="E27" s="7" t="inlineStr">
        <is>
          <t>SLDR SLEEVE WIRE-WIRE 0.17"/0.2"</t>
        </is>
      </c>
      <c r="F27" s="7" t="inlineStr">
        <is>
          <t>Digikey</t>
        </is>
      </c>
      <c r="G27" s="7" t="n">
        <v>9.19</v>
      </c>
      <c r="H27" s="7">
        <f>B27*G27</f>
        <v/>
      </c>
      <c r="I27" s="7" t="n"/>
      <c r="J27" s="7" t="n"/>
      <c r="K27" s="7" t="n"/>
      <c r="L27" s="7">
        <f>IFERROR(MIN(I27:K27),"")</f>
        <v/>
      </c>
      <c r="M27" s="7" t="inlineStr"/>
      <c r="N27" s="7">
        <f>IF(L27="","",(G27-L27)*B27)</f>
        <v/>
      </c>
    </row>
    <row r="28">
      <c r="A28" s="7" t="n">
        <v>23</v>
      </c>
      <c r="B28" s="7" t="n">
        <v>34</v>
      </c>
      <c r="C28" s="7" t="inlineStr">
        <is>
          <t>BLK3+HVRR</t>
        </is>
      </c>
      <c r="D28" s="7" t="inlineStr">
        <is>
          <t>SC1213-ND</t>
        </is>
      </c>
      <c r="E28" s="7" t="inlineStr">
        <is>
          <t>3 Position Circular Connector Receptacle, Female Sockets Solder Cup</t>
        </is>
      </c>
      <c r="F28" s="7" t="inlineStr">
        <is>
          <t>Digikey</t>
        </is>
      </c>
      <c r="G28" s="7" t="n">
        <v>10.79</v>
      </c>
      <c r="H28" s="7">
        <f>B28*G28</f>
        <v/>
      </c>
      <c r="I28" s="7" t="n"/>
      <c r="J28" s="7" t="n"/>
      <c r="K28" s="7" t="n"/>
      <c r="L28" s="7">
        <f>IFERROR(MIN(I28:K28),"")</f>
        <v/>
      </c>
      <c r="M28" s="7" t="inlineStr"/>
      <c r="N28" s="7">
        <f>IF(L28="","",(G28-L28)*B28)</f>
        <v/>
      </c>
    </row>
    <row r="29">
      <c r="A29" s="7" t="n">
        <v>24</v>
      </c>
      <c r="B29" s="7" t="n">
        <v>2</v>
      </c>
      <c r="C29" s="7" t="inlineStr">
        <is>
          <t>BLK3+HVRR</t>
        </is>
      </c>
      <c r="D29" s="7" t="inlineStr">
        <is>
          <t>TV06RW-25-37PA</t>
        </is>
      </c>
      <c r="E29" s="7" t="inlineStr">
        <is>
          <t>Circular MIL Spec Connector 37P SIZE 25</t>
        </is>
      </c>
      <c r="F29" s="7" t="inlineStr">
        <is>
          <t>ARROW</t>
        </is>
      </c>
      <c r="G29" s="7" t="n">
        <v>182.74</v>
      </c>
      <c r="H29" s="7">
        <f>B29*G29</f>
        <v/>
      </c>
      <c r="I29" s="7" t="n"/>
      <c r="J29" s="7" t="n"/>
      <c r="K29" s="7" t="n"/>
      <c r="L29" s="7">
        <f>IFERROR(MIN(I29:K29),"")</f>
        <v/>
      </c>
      <c r="M29" s="7" t="inlineStr"/>
      <c r="N29" s="7">
        <f>IF(L29="","",(G29-L29)*B29)</f>
        <v/>
      </c>
    </row>
    <row r="30">
      <c r="A30" s="7" t="n">
        <v>25</v>
      </c>
      <c r="B30" s="7" t="n">
        <v>2</v>
      </c>
      <c r="C30" s="7" t="inlineStr">
        <is>
          <t>BLK3+HVRR</t>
        </is>
      </c>
      <c r="D30" s="7" t="inlineStr">
        <is>
          <t>5958-MS3110E16-8PW-ND</t>
        </is>
      </c>
      <c r="E30" s="7" t="inlineStr">
        <is>
          <t>8 Position Circular Connector Receptacle, Male Pins Solder Cup, Surface Mount</t>
        </is>
      </c>
      <c r="F30" s="7" t="inlineStr">
        <is>
          <t>Digikey</t>
        </is>
      </c>
      <c r="G30" s="7" t="n">
        <v>180.39</v>
      </c>
      <c r="H30" s="7">
        <f>B30*G30</f>
        <v/>
      </c>
      <c r="I30" s="7" t="n"/>
      <c r="J30" s="7" t="n"/>
      <c r="K30" s="7" t="n"/>
      <c r="L30" s="7">
        <f>IFERROR(MIN(I30:K30),"")</f>
        <v/>
      </c>
      <c r="M30" s="7" t="inlineStr"/>
      <c r="N30" s="7">
        <f>IF(L30="","",(G30-L30)*B30)</f>
        <v/>
      </c>
    </row>
    <row r="31">
      <c r="A31" s="7" t="n">
        <v>26</v>
      </c>
      <c r="B31" s="7" t="n">
        <v>2</v>
      </c>
      <c r="C31" s="7" t="inlineStr">
        <is>
          <t>BLK3+HVRR</t>
        </is>
      </c>
      <c r="D31" s="7" t="inlineStr">
        <is>
          <t>5958-MS3110E16-8PX-ND</t>
        </is>
      </c>
      <c r="E31" s="7" t="inlineStr">
        <is>
          <t>8 Position Circular Connector Receptacle, Male Pins Solder Cup, Surface Mount</t>
        </is>
      </c>
      <c r="F31" s="7" t="inlineStr">
        <is>
          <t>Digikey</t>
        </is>
      </c>
      <c r="G31" s="7" t="n">
        <v>180.39</v>
      </c>
      <c r="H31" s="7">
        <f>B31*G31</f>
        <v/>
      </c>
      <c r="I31" s="7" t="n"/>
      <c r="J31" s="7" t="n"/>
      <c r="K31" s="7" t="n"/>
      <c r="L31" s="7">
        <f>IFERROR(MIN(I31:K31),"")</f>
        <v/>
      </c>
      <c r="M31" s="7" t="inlineStr"/>
      <c r="N31" s="7">
        <f>IF(L31="","",(G31-L31)*B31)</f>
        <v/>
      </c>
    </row>
    <row r="32">
      <c r="A32" s="7" t="n">
        <v>27</v>
      </c>
      <c r="B32" s="7" t="n">
        <v>2</v>
      </c>
      <c r="C32" s="7" t="inlineStr">
        <is>
          <t>BLK3+HVRR</t>
        </is>
      </c>
      <c r="D32" s="7" t="inlineStr">
        <is>
          <t>490-VHK50W-Q24-S28</t>
        </is>
      </c>
      <c r="E32" s="7" t="inlineStr">
        <is>
          <t>Enclosed DC DC Converter 1 Output 28V 1.78A 36V Input</t>
        </is>
      </c>
      <c r="F32" s="7" t="inlineStr">
        <is>
          <t>Mouser</t>
        </is>
      </c>
      <c r="G32" s="7" t="n">
        <v>162.86</v>
      </c>
      <c r="H32" s="7">
        <f>B32*G32</f>
        <v/>
      </c>
      <c r="I32" s="7" t="n"/>
      <c r="J32" s="7" t="n"/>
      <c r="K32" s="7" t="n"/>
      <c r="L32" s="7">
        <f>IFERROR(MIN(I32:K32),"")</f>
        <v/>
      </c>
      <c r="M32" s="7" t="inlineStr"/>
      <c r="N32" s="7">
        <f>IF(L32="","",(G32-L32)*B32)</f>
        <v/>
      </c>
    </row>
    <row r="33">
      <c r="A33" s="7" t="n">
        <v>28</v>
      </c>
      <c r="B33" s="7" t="n">
        <v>2</v>
      </c>
      <c r="C33" s="7" t="inlineStr">
        <is>
          <t>BLK3+HVRR</t>
        </is>
      </c>
      <c r="D33" s="7" t="inlineStr">
        <is>
          <t>IMS3100E28-21P-ND</t>
        </is>
      </c>
      <c r="E33" s="7" t="inlineStr">
        <is>
          <t>37 Position Circular Connector Receptacle, Male Pins Solder Cup, Amphenol PN: MS</t>
        </is>
      </c>
      <c r="F33" s="7" t="inlineStr">
        <is>
          <t>Digikey</t>
        </is>
      </c>
      <c r="G33" s="7" t="n">
        <v>156.96</v>
      </c>
      <c r="H33" s="7">
        <f>B33*G33</f>
        <v/>
      </c>
      <c r="I33" s="7" t="n"/>
      <c r="J33" s="7" t="n"/>
      <c r="K33" s="7" t="n"/>
      <c r="L33" s="7">
        <f>IFERROR(MIN(I33:K33),"")</f>
        <v/>
      </c>
      <c r="M33" s="7" t="inlineStr"/>
      <c r="N33" s="7">
        <f>IF(L33="","",(G33-L33)*B33)</f>
        <v/>
      </c>
    </row>
    <row r="34">
      <c r="A34" s="7" t="n">
        <v>29</v>
      </c>
      <c r="B34" s="7" t="n">
        <v>140</v>
      </c>
      <c r="C34" s="7" t="inlineStr">
        <is>
          <t>BLK3+HVRR</t>
        </is>
      </c>
      <c r="D34" s="7" t="inlineStr">
        <is>
          <t>A101231-ND</t>
        </is>
      </c>
      <c r="E34" s="7" t="inlineStr">
        <is>
          <t>Wire to Wire Solder Sleeve Transparent - Blue 0.170" (4.32mm), 0.200" (5.08mm)</t>
        </is>
      </c>
      <c r="F34" s="7" t="inlineStr">
        <is>
          <t>Digikey</t>
        </is>
      </c>
      <c r="G34" s="7" t="n">
        <v>1.87</v>
      </c>
      <c r="H34" s="7">
        <f>B34*G34</f>
        <v/>
      </c>
      <c r="I34" s="7" t="n"/>
      <c r="J34" s="7" t="n"/>
      <c r="K34" s="7" t="n"/>
      <c r="L34" s="7">
        <f>IFERROR(MIN(I34:K34),"")</f>
        <v/>
      </c>
      <c r="M34" s="7" t="inlineStr"/>
      <c r="N34" s="7">
        <f>IF(L34="","",(G34-L34)*B34)</f>
        <v/>
      </c>
    </row>
    <row r="35">
      <c r="A35" s="7" t="n">
        <v>30</v>
      </c>
      <c r="B35" s="7" t="n">
        <v>2</v>
      </c>
      <c r="C35" s="7" t="inlineStr">
        <is>
          <t>BLK3+HVRR</t>
        </is>
      </c>
      <c r="D35" s="7" t="inlineStr">
        <is>
          <t>5SRTC-GG-K-24-72</t>
        </is>
      </c>
      <c r="E35" s="7" t="inlineStr">
        <is>
          <t>INSULATED THERMOCOUPLE, READY-MA</t>
        </is>
      </c>
      <c r="F35" s="7" t="inlineStr">
        <is>
          <t>DigiKey</t>
        </is>
      </c>
      <c r="G35" s="7" t="n">
        <v>128.01</v>
      </c>
      <c r="H35" s="7">
        <f>B35*G35</f>
        <v/>
      </c>
      <c r="I35" s="7" t="n"/>
      <c r="J35" s="7" t="n"/>
      <c r="K35" s="7" t="n"/>
      <c r="L35" s="7">
        <f>IFERROR(MIN(I35:K35),"")</f>
        <v/>
      </c>
      <c r="M35" s="7" t="inlineStr"/>
      <c r="N35" s="7">
        <f>IF(L35="","",(G35-L35)*B35)</f>
        <v/>
      </c>
    </row>
    <row r="36">
      <c r="A36" s="7" t="n">
        <v>31</v>
      </c>
      <c r="B36" s="7" t="n">
        <v>12</v>
      </c>
      <c r="C36" s="7" t="inlineStr">
        <is>
          <t>BLK3+HVRR</t>
        </is>
      </c>
      <c r="D36" s="7" t="inlineStr">
        <is>
          <t>A16046-ND</t>
        </is>
      </c>
      <c r="E36" s="7" t="inlineStr">
        <is>
          <t>Connector Sealing Boot 11 Black</t>
        </is>
      </c>
      <c r="F36" s="7" t="inlineStr">
        <is>
          <t>Digikey</t>
        </is>
      </c>
      <c r="G36" s="7" t="n">
        <v>21.29</v>
      </c>
      <c r="H36" s="7">
        <f>B36*G36</f>
        <v/>
      </c>
      <c r="I36" s="7" t="n"/>
      <c r="J36" s="7" t="n"/>
      <c r="K36" s="7" t="n"/>
      <c r="L36" s="7">
        <f>IFERROR(MIN(I36:K36),"")</f>
        <v/>
      </c>
      <c r="M36" s="7" t="inlineStr"/>
      <c r="N36" s="7">
        <f>IF(L36="","",(G36-L36)*B36)</f>
        <v/>
      </c>
    </row>
    <row r="37">
      <c r="A37" s="7" t="n">
        <v>32</v>
      </c>
      <c r="B37" s="7" t="n">
        <v>60</v>
      </c>
      <c r="C37" s="7" t="inlineStr">
        <is>
          <t>BLK3+HVRR</t>
        </is>
      </c>
      <c r="D37" s="7" t="inlineStr">
        <is>
          <t>844-S02-04-R-ND</t>
        </is>
      </c>
      <c r="E37" s="7" t="inlineStr">
        <is>
          <t>Solder sleeve .235, TE Connectivity S02-04-R</t>
        </is>
      </c>
      <c r="F37" s="7" t="inlineStr">
        <is>
          <t>Digikey</t>
        </is>
      </c>
      <c r="G37" s="7" t="n">
        <v>4.23</v>
      </c>
      <c r="H37" s="7">
        <f>B37*G37</f>
        <v/>
      </c>
      <c r="I37" s="7" t="n"/>
      <c r="J37" s="7" t="n"/>
      <c r="K37" s="7" t="n"/>
      <c r="L37" s="7">
        <f>IFERROR(MIN(I37:K37),"")</f>
        <v/>
      </c>
      <c r="M37" s="7" t="inlineStr"/>
      <c r="N37" s="7">
        <f>IF(L37="","",(G37-L37)*B37)</f>
        <v/>
      </c>
    </row>
    <row r="38">
      <c r="A38" s="7" t="n">
        <v>33</v>
      </c>
      <c r="B38" s="7" t="n">
        <v>2</v>
      </c>
      <c r="C38" s="7" t="inlineStr">
        <is>
          <t>BLK3+HVRR</t>
        </is>
      </c>
      <c r="D38" s="7" t="inlineStr">
        <is>
          <t>AATV06RW-15-19S-ND</t>
        </is>
      </c>
      <c r="E38" s="7" t="inlineStr">
        <is>
          <t>19 Position Circular Connector Plug, Female Sockets Crimp</t>
        </is>
      </c>
      <c r="F38" s="7" t="inlineStr">
        <is>
          <t>PEI-Genesis</t>
        </is>
      </c>
      <c r="G38" s="7" t="n">
        <v>123.92</v>
      </c>
      <c r="H38" s="7">
        <f>B38*G38</f>
        <v/>
      </c>
      <c r="I38" s="7" t="n"/>
      <c r="J38" s="7" t="n"/>
      <c r="K38" s="7" t="n"/>
      <c r="L38" s="7">
        <f>IFERROR(MIN(I38:K38),"")</f>
        <v/>
      </c>
      <c r="M38" s="7" t="inlineStr"/>
      <c r="N38" s="7">
        <f>IF(L38="","",(G38-L38)*B38)</f>
        <v/>
      </c>
    </row>
    <row r="39">
      <c r="A39" s="7" t="n">
        <v>34</v>
      </c>
      <c r="B39" s="7" t="n">
        <v>26</v>
      </c>
      <c r="C39" s="7" t="inlineStr">
        <is>
          <t>BLK3+HVRR</t>
        </is>
      </c>
      <c r="D39" s="7" t="inlineStr">
        <is>
          <t>SC1204-ND</t>
        </is>
      </c>
      <c r="E39" s="7" t="inlineStr">
        <is>
          <t>3 Position Circular Connector Plug, Male Pins Solder Cup</t>
        </is>
      </c>
      <c r="F39" s="7" t="inlineStr">
        <is>
          <t>Digikey</t>
        </is>
      </c>
      <c r="G39" s="7" t="n">
        <v>9.49</v>
      </c>
      <c r="H39" s="7">
        <f>B39*G39</f>
        <v/>
      </c>
      <c r="I39" s="7" t="n"/>
      <c r="J39" s="7" t="n"/>
      <c r="K39" s="7" t="n"/>
      <c r="L39" s="7">
        <f>IFERROR(MIN(I39:K39),"")</f>
        <v/>
      </c>
      <c r="M39" s="7" t="inlineStr"/>
      <c r="N39" s="7">
        <f>IF(L39="","",(G39-L39)*B39)</f>
        <v/>
      </c>
    </row>
    <row r="40">
      <c r="A40" s="7" t="n">
        <v>35</v>
      </c>
      <c r="B40" s="7" t="n">
        <v>2</v>
      </c>
      <c r="C40" s="7" t="inlineStr">
        <is>
          <t>BLK3+HVRR</t>
        </is>
      </c>
      <c r="D40" s="7" t="inlineStr">
        <is>
          <t>223-1250-ND</t>
        </is>
      </c>
      <c r="E40" s="7" t="inlineStr">
        <is>
          <t>Pressure Sensor 5000PSI Vented Gauge Male - 1/4" NPT 1 V ~ 5 V Cylinder, Threade</t>
        </is>
      </c>
      <c r="F40" s="7" t="inlineStr">
        <is>
          <t>DigiKey</t>
        </is>
      </c>
      <c r="G40" s="7" t="n">
        <v>121.17</v>
      </c>
      <c r="H40" s="7">
        <f>B40*G40</f>
        <v/>
      </c>
      <c r="I40" s="7" t="n"/>
      <c r="J40" s="7" t="n"/>
      <c r="K40" s="7" t="n"/>
      <c r="L40" s="7">
        <f>IFERROR(MIN(I40:K40),"")</f>
        <v/>
      </c>
      <c r="M40" s="7" t="inlineStr"/>
      <c r="N40" s="7">
        <f>IF(L40="","",(G40-L40)*B40)</f>
        <v/>
      </c>
    </row>
    <row r="41">
      <c r="A41" s="7" t="n">
        <v>36</v>
      </c>
      <c r="B41" s="7" t="n">
        <v>2</v>
      </c>
      <c r="C41" s="7" t="inlineStr">
        <is>
          <t>BLK3+HVRR</t>
        </is>
      </c>
      <c r="D41" s="7" t="inlineStr">
        <is>
          <t>695-MS3100E2821PW</t>
        </is>
      </c>
      <c r="E41" s="7" t="inlineStr">
        <is>
          <t>ITT Cannon, MS3100E28-21PW, Circular MIL Spec Connector ER 37C 37#16 PIN RECP</t>
        </is>
      </c>
      <c r="F41" s="7" t="inlineStr">
        <is>
          <t>Mouser</t>
        </is>
      </c>
      <c r="G41" s="7" t="n">
        <v>111.2</v>
      </c>
      <c r="H41" s="7">
        <f>B41*G41</f>
        <v/>
      </c>
      <c r="I41" s="7" t="n"/>
      <c r="J41" s="7" t="n"/>
      <c r="K41" s="7" t="n"/>
      <c r="L41" s="7">
        <f>IFERROR(MIN(I41:K41),"")</f>
        <v/>
      </c>
      <c r="M41" s="7" t="inlineStr"/>
      <c r="N41" s="7">
        <f>IF(L41="","",(G41-L41)*B41)</f>
        <v/>
      </c>
    </row>
    <row r="42">
      <c r="A42" s="7" t="n">
        <v>37</v>
      </c>
      <c r="B42" s="7" t="n">
        <v>10</v>
      </c>
      <c r="C42" s="7" t="inlineStr">
        <is>
          <t>BLK3+HVRR</t>
        </is>
      </c>
      <c r="D42" s="7" t="inlineStr">
        <is>
          <t>A16046-ND</t>
        </is>
      </c>
      <c r="E42" s="7" t="inlineStr">
        <is>
          <t>Connector Sealing Boot 11 Black TE</t>
        </is>
      </c>
      <c r="F42" s="7" t="inlineStr">
        <is>
          <t>Digikey</t>
        </is>
      </c>
      <c r="G42" s="7" t="n">
        <v>21.29</v>
      </c>
      <c r="H42" s="7">
        <f>B42*G42</f>
        <v/>
      </c>
      <c r="I42" s="7" t="n"/>
      <c r="J42" s="7" t="n"/>
      <c r="K42" s="7" t="n"/>
      <c r="L42" s="7">
        <f>IFERROR(MIN(I42:K42),"")</f>
        <v/>
      </c>
      <c r="M42" s="7" t="inlineStr"/>
      <c r="N42" s="7">
        <f>IF(L42="","",(G42-L42)*B42)</f>
        <v/>
      </c>
    </row>
    <row r="43">
      <c r="A43" s="7" t="n">
        <v>38</v>
      </c>
      <c r="B43" s="7" t="n">
        <v>2</v>
      </c>
      <c r="C43" s="7" t="inlineStr">
        <is>
          <t>BLK3+HVRR</t>
        </is>
      </c>
      <c r="D43" s="7" t="inlineStr">
        <is>
          <t>339-MS3106A28-21S-ND</t>
        </is>
      </c>
      <c r="E43" s="7" t="inlineStr">
        <is>
          <t>37 Position Circular Connector Plug, Female Sockets Solder Cup</t>
        </is>
      </c>
      <c r="F43" s="7" t="inlineStr">
        <is>
          <t>Digikey</t>
        </is>
      </c>
      <c r="G43" s="7" t="n">
        <v>97.17</v>
      </c>
      <c r="H43" s="7">
        <f>B43*G43</f>
        <v/>
      </c>
      <c r="I43" s="7" t="n"/>
      <c r="J43" s="7" t="n"/>
      <c r="K43" s="7" t="n"/>
      <c r="L43" s="7">
        <f>IFERROR(MIN(I43:K43),"")</f>
        <v/>
      </c>
      <c r="M43" s="7" t="inlineStr"/>
      <c r="N43" s="7">
        <f>IF(L43="","",(G43-L43)*B43)</f>
        <v/>
      </c>
    </row>
    <row r="44">
      <c r="A44" s="7" t="n">
        <v>39</v>
      </c>
      <c r="B44" s="7" t="n">
        <v>2</v>
      </c>
      <c r="C44" s="7" t="inlineStr">
        <is>
          <t>BLK3+HVRR</t>
        </is>
      </c>
      <c r="D44" s="7" t="inlineStr">
        <is>
          <t>654-TV06RW1519S</t>
        </is>
      </c>
      <c r="E44" s="7" t="inlineStr">
        <is>
          <t>Standard Circular Connector 19P Straight Plug Sz 15 w/ Skt Cont, Amphenol Aerosp</t>
        </is>
      </c>
      <c r="F44" s="7" t="inlineStr">
        <is>
          <t>MOUSER</t>
        </is>
      </c>
      <c r="G44" s="7" t="n">
        <v>96.93000000000001</v>
      </c>
      <c r="H44" s="7">
        <f>B44*G44</f>
        <v/>
      </c>
      <c r="I44" s="7" t="n"/>
      <c r="J44" s="7" t="n"/>
      <c r="K44" s="7" t="n"/>
      <c r="L44" s="7">
        <f>IFERROR(MIN(I44:K44),"")</f>
        <v/>
      </c>
      <c r="M44" s="7" t="inlineStr"/>
      <c r="N44" s="7">
        <f>IF(L44="","",(G44-L44)*B44)</f>
        <v/>
      </c>
    </row>
    <row r="45">
      <c r="A45" s="7" t="n">
        <v>40</v>
      </c>
      <c r="B45" s="7" t="n">
        <v>50</v>
      </c>
      <c r="C45" s="7" t="inlineStr">
        <is>
          <t>BLK3+HVRR</t>
        </is>
      </c>
      <c r="D45" s="7" t="inlineStr">
        <is>
          <t>A101230-ND</t>
        </is>
      </c>
      <c r="E45" s="7" t="inlineStr">
        <is>
          <t>SLDR SLV WIRE-WIRE 0.105/0.145"</t>
        </is>
      </c>
      <c r="F45" s="7" t="inlineStr">
        <is>
          <t>Digikey</t>
        </is>
      </c>
      <c r="G45" s="7" t="n">
        <v>3.664</v>
      </c>
      <c r="H45" s="7">
        <f>B45*G45</f>
        <v/>
      </c>
      <c r="I45" s="7" t="n"/>
      <c r="J45" s="7" t="n"/>
      <c r="K45" s="7" t="n"/>
      <c r="L45" s="7">
        <f>IFERROR(MIN(I45:K45),"")</f>
        <v/>
      </c>
      <c r="M45" s="7" t="inlineStr"/>
      <c r="N45" s="7">
        <f>IF(L45="","",(G45-L45)*B45)</f>
        <v/>
      </c>
    </row>
    <row r="46">
      <c r="A46" s="7" t="n">
        <v>41</v>
      </c>
      <c r="B46" s="7" t="n">
        <v>2</v>
      </c>
      <c r="C46" s="7" t="inlineStr">
        <is>
          <t>BLK3+HVRR</t>
        </is>
      </c>
      <c r="D46" s="7" t="inlineStr">
        <is>
          <t>HF50G-10-ND</t>
        </is>
      </c>
      <c r="E46" s="7" t="inlineStr">
        <is>
          <t>CBL RIBN 50COND 0.05 GRAY 10'</t>
        </is>
      </c>
      <c r="F46" s="7" t="inlineStr">
        <is>
          <t>DigiKey</t>
        </is>
      </c>
      <c r="G46" s="7" t="n">
        <v>91.15000000000001</v>
      </c>
      <c r="H46" s="7">
        <f>B46*G46</f>
        <v/>
      </c>
      <c r="I46" s="7" t="n"/>
      <c r="J46" s="7" t="n"/>
      <c r="K46" s="7" t="n"/>
      <c r="L46" s="7">
        <f>IFERROR(MIN(I46:K46),"")</f>
        <v/>
      </c>
      <c r="M46" s="7" t="inlineStr"/>
      <c r="N46" s="7">
        <f>IF(L46="","",(G46-L46)*B46)</f>
        <v/>
      </c>
    </row>
    <row r="47">
      <c r="A47" s="7" t="n">
        <v>42</v>
      </c>
      <c r="B47" s="7" t="n">
        <v>120</v>
      </c>
      <c r="C47" s="7" t="inlineStr">
        <is>
          <t>BLK3+HVRR</t>
        </is>
      </c>
      <c r="D47" s="7" t="inlineStr">
        <is>
          <t>A1340-ND</t>
        </is>
      </c>
      <c r="E47" s="7" t="inlineStr">
        <is>
          <t>CONN PIN 16-18AWG GOLD CRIMP</t>
        </is>
      </c>
      <c r="F47" s="7" t="inlineStr">
        <is>
          <t>Digikey</t>
        </is>
      </c>
      <c r="G47" s="7" t="n">
        <v>1.42</v>
      </c>
      <c r="H47" s="7">
        <f>B47*G47</f>
        <v/>
      </c>
      <c r="I47" s="7" t="n"/>
      <c r="J47" s="7" t="n"/>
      <c r="K47" s="7" t="n"/>
      <c r="L47" s="7">
        <f>IFERROR(MIN(I47:K47),"")</f>
        <v/>
      </c>
      <c r="M47" s="7" t="inlineStr"/>
      <c r="N47" s="7">
        <f>IF(L47="","",(G47-L47)*B47)</f>
        <v/>
      </c>
    </row>
    <row r="48">
      <c r="A48" s="7" t="n">
        <v>43</v>
      </c>
      <c r="B48" s="7" t="n">
        <v>4</v>
      </c>
      <c r="C48" s="7" t="inlineStr">
        <is>
          <t>BLK3+HVRR</t>
        </is>
      </c>
      <c r="D48" s="7" t="inlineStr">
        <is>
          <t>895-USB-COM232-PLUS2</t>
        </is>
      </c>
      <c r="E48" s="7" t="inlineStr">
        <is>
          <t>FTDI, USB-COM232-PLUS2</t>
        </is>
      </c>
      <c r="F48" s="7" t="inlineStr">
        <is>
          <t>MOUSER</t>
        </is>
      </c>
      <c r="G48" s="7" t="n">
        <v>41.82</v>
      </c>
      <c r="H48" s="7">
        <f>B48*G48</f>
        <v/>
      </c>
      <c r="I48" s="7" t="n"/>
      <c r="J48" s="7" t="n"/>
      <c r="K48" s="7" t="n"/>
      <c r="L48" s="7">
        <f>IFERROR(MIN(I48:K48),"")</f>
        <v/>
      </c>
      <c r="M48" s="7" t="inlineStr"/>
      <c r="N48" s="7">
        <f>IF(L48="","",(G48-L48)*B48)</f>
        <v/>
      </c>
    </row>
    <row r="49">
      <c r="A49" s="7" t="n">
        <v>44</v>
      </c>
      <c r="B49" s="7" t="n">
        <v>8</v>
      </c>
      <c r="C49" s="7" t="inlineStr">
        <is>
          <t>BLK3+HVRR</t>
        </is>
      </c>
      <c r="D49" s="7" t="inlineStr">
        <is>
          <t>A16047-ND</t>
        </is>
      </c>
      <c r="E49" s="7" t="inlineStr">
        <is>
          <t>Connector Sealing Boot 13 Black</t>
        </is>
      </c>
      <c r="F49" s="7" t="inlineStr">
        <is>
          <t>Digikey</t>
        </is>
      </c>
      <c r="G49" s="7" t="n">
        <v>20.83</v>
      </c>
      <c r="H49" s="7">
        <f>B49*G49</f>
        <v/>
      </c>
      <c r="I49" s="7" t="n"/>
      <c r="J49" s="7" t="n"/>
      <c r="K49" s="7" t="n"/>
      <c r="L49" s="7">
        <f>IFERROR(MIN(I49:K49),"")</f>
        <v/>
      </c>
      <c r="M49" s="7" t="inlineStr"/>
      <c r="N49" s="7">
        <f>IF(L49="","",(G49-L49)*B49)</f>
        <v/>
      </c>
    </row>
    <row r="50">
      <c r="A50" s="7" t="n">
        <v>45</v>
      </c>
      <c r="B50" s="7" t="n">
        <v>2</v>
      </c>
      <c r="C50" s="7" t="inlineStr">
        <is>
          <t>BLK3+HVRR</t>
        </is>
      </c>
      <c r="D50" s="7" t="inlineStr">
        <is>
          <t>654-MS3106A28-21SW</t>
        </is>
      </c>
      <c r="E50" s="7" t="inlineStr">
        <is>
          <t>Circular MIL Spec Connector 37P SIZE 28 STRAIGHT PLUG SOCKET 5015</t>
        </is>
      </c>
      <c r="F50" s="7" t="inlineStr">
        <is>
          <t>MOUSER</t>
        </is>
      </c>
      <c r="G50" s="7" t="n">
        <v>82.2</v>
      </c>
      <c r="H50" s="7">
        <f>B50*G50</f>
        <v/>
      </c>
      <c r="I50" s="7" t="n"/>
      <c r="J50" s="7" t="n"/>
      <c r="K50" s="7" t="n"/>
      <c r="L50" s="7">
        <f>IFERROR(MIN(I50:K50),"")</f>
        <v/>
      </c>
      <c r="M50" s="7" t="inlineStr"/>
      <c r="N50" s="7">
        <f>IF(L50="","",(G50-L50)*B50)</f>
        <v/>
      </c>
    </row>
    <row r="51">
      <c r="A51" s="7" t="n">
        <v>46</v>
      </c>
      <c r="B51" s="7" t="n">
        <v>2</v>
      </c>
      <c r="C51" s="7" t="inlineStr">
        <is>
          <t>BLK3+HVRR</t>
        </is>
      </c>
      <c r="D51" s="7" t="inlineStr">
        <is>
          <t>102-PTP20-24-S24-ND</t>
        </is>
      </c>
      <c r="E51" s="7" t="inlineStr">
        <is>
          <t>Power Supply for Radio</t>
        </is>
      </c>
      <c r="F51" s="7" t="inlineStr">
        <is>
          <t>DigiKey</t>
        </is>
      </c>
      <c r="G51" s="7" t="n">
        <v>72.54000000000001</v>
      </c>
      <c r="H51" s="7">
        <f>B51*G51</f>
        <v/>
      </c>
      <c r="I51" s="7" t="n"/>
      <c r="J51" s="7" t="n"/>
      <c r="K51" s="7" t="n"/>
      <c r="L51" s="7">
        <f>IFERROR(MIN(I51:K51),"")</f>
        <v/>
      </c>
      <c r="M51" s="7" t="inlineStr"/>
      <c r="N51" s="7">
        <f>IF(L51="","",(G51-L51)*B51)</f>
        <v/>
      </c>
    </row>
    <row r="52">
      <c r="A52" s="7" t="n">
        <v>47</v>
      </c>
      <c r="B52" s="7" t="n">
        <v>2</v>
      </c>
      <c r="C52" s="7" t="inlineStr">
        <is>
          <t>BLK3+HVRR</t>
        </is>
      </c>
      <c r="D52" s="7" t="inlineStr">
        <is>
          <t>2351-CPP15F18-ND9-5-ND</t>
        </is>
      </c>
      <c r="E52" s="7" t="inlineStr">
        <is>
          <t>DC/DC CONVERTER 3.3V 50W, 	
Enclosed DC DC Converter 1 Output 3.3V 15A 36V Input</t>
        </is>
      </c>
      <c r="F52" s="7" t="inlineStr">
        <is>
          <t>DigiKey</t>
        </is>
      </c>
      <c r="G52" s="7" t="n">
        <v>72.2</v>
      </c>
      <c r="H52" s="7">
        <f>B52*G52</f>
        <v/>
      </c>
      <c r="I52" s="7" t="n"/>
      <c r="J52" s="7" t="n"/>
      <c r="K52" s="7" t="n"/>
      <c r="L52" s="7">
        <f>IFERROR(MIN(I52:K52),"")</f>
        <v/>
      </c>
      <c r="M52" s="7" t="inlineStr"/>
      <c r="N52" s="7">
        <f>IF(L52="","",(G52-L52)*B52)</f>
        <v/>
      </c>
    </row>
    <row r="53">
      <c r="A53" s="7" t="n">
        <v>48</v>
      </c>
      <c r="B53" s="7" t="n">
        <v>1</v>
      </c>
      <c r="C53" s="7" t="inlineStr">
        <is>
          <t>BLK3</t>
        </is>
      </c>
      <c r="D53" s="7" t="inlineStr">
        <is>
          <t>TVP00RW-25-37SA</t>
        </is>
      </c>
      <c r="E53" s="7" t="inlineStr">
        <is>
          <t>37 Position Circular Connector Receptacle, Female Sockets Crimp</t>
        </is>
      </c>
      <c r="F53" s="7" t="inlineStr">
        <is>
          <t>Digikey</t>
        </is>
      </c>
      <c r="G53" s="7" t="n">
        <v>140.42</v>
      </c>
      <c r="H53" s="7">
        <f>B53*G53</f>
        <v/>
      </c>
      <c r="I53" s="7" t="n"/>
      <c r="J53" s="7" t="n"/>
      <c r="K53" s="7" t="n"/>
      <c r="L53" s="7">
        <f>IFERROR(MIN(I53:K53),"")</f>
        <v/>
      </c>
      <c r="M53" s="7" t="inlineStr"/>
      <c r="N53" s="7">
        <f>IF(L53="","",(G53-L53)*B53)</f>
        <v/>
      </c>
    </row>
    <row r="54">
      <c r="A54" s="7" t="n">
        <v>49</v>
      </c>
      <c r="B54" s="7" t="n">
        <v>4</v>
      </c>
      <c r="C54" s="7" t="inlineStr">
        <is>
          <t>BLK3+HVRR</t>
        </is>
      </c>
      <c r="D54" s="7" t="inlineStr">
        <is>
          <t>339-MS3106E20-29S-ND</t>
        </is>
      </c>
      <c r="E54" s="7" t="inlineStr">
        <is>
          <t>CONN PLUG FMALE 17P SOLDER CUP</t>
        </is>
      </c>
      <c r="F54" s="7" t="inlineStr">
        <is>
          <t>DigiKey</t>
        </is>
      </c>
      <c r="G54" s="7" t="n">
        <v>31.45</v>
      </c>
      <c r="H54" s="7">
        <f>B54*G54</f>
        <v/>
      </c>
      <c r="I54" s="7" t="n"/>
      <c r="J54" s="7" t="n"/>
      <c r="K54" s="7" t="n"/>
      <c r="L54" s="7">
        <f>IFERROR(MIN(I54:K54),"")</f>
        <v/>
      </c>
      <c r="M54" s="7" t="inlineStr"/>
      <c r="N54" s="7">
        <f>IF(L54="","",(G54-L54)*B54)</f>
        <v/>
      </c>
    </row>
    <row r="55">
      <c r="A55" s="7" t="n">
        <v>50</v>
      </c>
      <c r="B55" s="7" t="n">
        <v>8</v>
      </c>
      <c r="C55" s="7" t="inlineStr">
        <is>
          <t>BLK3+HVRR</t>
        </is>
      </c>
      <c r="D55" s="7" t="inlineStr">
        <is>
          <t>CBB108-ND</t>
        </is>
      </c>
      <c r="E55" s="7" t="inlineStr">
        <is>
          <t>CONN BARRIER STRIP 8CIRC 0.375"</t>
        </is>
      </c>
      <c r="F55" s="7" t="inlineStr">
        <is>
          <t>DigiKey</t>
        </is>
      </c>
      <c r="G55" s="7" t="n">
        <v>15.53</v>
      </c>
      <c r="H55" s="7">
        <f>B55*G55</f>
        <v/>
      </c>
      <c r="I55" s="7" t="n"/>
      <c r="J55" s="7" t="n"/>
      <c r="K55" s="7" t="n"/>
      <c r="L55" s="7">
        <f>IFERROR(MIN(I55:K55),"")</f>
        <v/>
      </c>
      <c r="M55" s="7" t="inlineStr"/>
      <c r="N55" s="7">
        <f>IF(L55="","",(G55-L55)*B55)</f>
        <v/>
      </c>
    </row>
    <row r="56">
      <c r="A56" s="7" t="n">
        <v>51</v>
      </c>
      <c r="B56" s="7" t="n">
        <v>18</v>
      </c>
      <c r="C56" s="7" t="inlineStr">
        <is>
          <t>BLK3+HVRR</t>
        </is>
      </c>
      <c r="D56" s="7" t="inlineStr">
        <is>
          <t>A1340-ND</t>
        </is>
      </c>
      <c r="E56" s="7" t="inlineStr">
        <is>
          <t>Connector, Pin 16-18AWG Gold Crimp</t>
        </is>
      </c>
      <c r="F56" s="7" t="inlineStr">
        <is>
          <t>Digikey</t>
        </is>
      </c>
      <c r="G56" s="7" t="n">
        <v>6.71</v>
      </c>
      <c r="H56" s="7">
        <f>B56*G56</f>
        <v/>
      </c>
      <c r="I56" s="7" t="n"/>
      <c r="J56" s="7" t="n"/>
      <c r="K56" s="7" t="n"/>
      <c r="L56" s="7">
        <f>IFERROR(MIN(I56:K56),"")</f>
        <v/>
      </c>
      <c r="M56" s="7" t="inlineStr"/>
      <c r="N56" s="7">
        <f>IF(L56="","",(G56-L56)*B56)</f>
        <v/>
      </c>
    </row>
    <row r="57">
      <c r="A57" s="7" t="n">
        <v>52</v>
      </c>
      <c r="B57" s="7" t="n">
        <v>2</v>
      </c>
      <c r="C57" s="7" t="inlineStr">
        <is>
          <t>BLK3+HVRR</t>
        </is>
      </c>
      <c r="D57" s="7" t="inlineStr">
        <is>
          <t>AMS3116E16-8SW-ND</t>
        </is>
      </c>
      <c r="E57" s="7" t="inlineStr">
        <is>
          <t>CONN PLUG FMALE 8P GOLD SLDR CUP</t>
        </is>
      </c>
      <c r="F57" s="7" t="inlineStr">
        <is>
          <t>Digikey</t>
        </is>
      </c>
      <c r="G57" s="7" t="n">
        <v>59.61</v>
      </c>
      <c r="H57" s="7">
        <f>B57*G57</f>
        <v/>
      </c>
      <c r="I57" s="7" t="n"/>
      <c r="J57" s="7" t="n"/>
      <c r="K57" s="7" t="n"/>
      <c r="L57" s="7">
        <f>IFERROR(MIN(I57:K57),"")</f>
        <v/>
      </c>
      <c r="M57" s="7" t="inlineStr"/>
      <c r="N57" s="7">
        <f>IF(L57="","",(G57-L57)*B57)</f>
        <v/>
      </c>
    </row>
    <row r="58">
      <c r="A58" s="7" t="n">
        <v>53</v>
      </c>
      <c r="B58" s="7" t="n">
        <v>22</v>
      </c>
      <c r="C58" s="7" t="inlineStr">
        <is>
          <t>BLK3+HVRR</t>
        </is>
      </c>
      <c r="D58" s="7" t="inlineStr">
        <is>
          <t>S03-03-R-ND</t>
        </is>
      </c>
      <c r="E58" s="7" t="inlineStr">
        <is>
          <t>Wire to Wire Solder Sleeve Transparent - Blue 0.170" (4.32mm), 0.200" (5.08mm)</t>
        </is>
      </c>
      <c r="F58" s="7" t="inlineStr">
        <is>
          <t>Digikey</t>
        </is>
      </c>
      <c r="G58" s="7" t="n">
        <v>5.25</v>
      </c>
      <c r="H58" s="7">
        <f>B58*G58</f>
        <v/>
      </c>
      <c r="I58" s="7" t="n"/>
      <c r="J58" s="7" t="n"/>
      <c r="K58" s="7" t="n"/>
      <c r="L58" s="7">
        <f>IFERROR(MIN(I58:K58),"")</f>
        <v/>
      </c>
      <c r="M58" s="7" t="inlineStr"/>
      <c r="N58" s="7">
        <f>IF(L58="","",(G58-L58)*B58)</f>
        <v/>
      </c>
    </row>
    <row r="59">
      <c r="A59" s="7" t="n">
        <v>54</v>
      </c>
      <c r="B59" s="7" t="n">
        <v>40</v>
      </c>
      <c r="C59" s="7" t="inlineStr">
        <is>
          <t>BLK3+HVRR</t>
        </is>
      </c>
      <c r="D59" s="7" t="inlineStr">
        <is>
          <t>SO63-3-55-22-90-ND</t>
        </is>
      </c>
      <c r="E59" s="7" t="inlineStr">
        <is>
          <t>SLDR SLEEVE WIRE-WIRE 0.17"/0.2", TE Connectivity P/N S063-3-55-22-90</t>
        </is>
      </c>
      <c r="F59" s="7" t="inlineStr">
        <is>
          <t>Digikey</t>
        </is>
      </c>
      <c r="G59" s="7" t="n">
        <v>2.88</v>
      </c>
      <c r="H59" s="7">
        <f>B59*G59</f>
        <v/>
      </c>
      <c r="I59" s="7" t="n"/>
      <c r="J59" s="7" t="n"/>
      <c r="K59" s="7" t="n"/>
      <c r="L59" s="7">
        <f>IFERROR(MIN(I59:K59),"")</f>
        <v/>
      </c>
      <c r="M59" s="7" t="inlineStr"/>
      <c r="N59" s="7">
        <f>IF(L59="","",(G59-L59)*B59)</f>
        <v/>
      </c>
    </row>
    <row r="60">
      <c r="A60" s="7" t="n">
        <v>55</v>
      </c>
      <c r="B60" s="7" t="n">
        <v>14</v>
      </c>
      <c r="C60" s="7" t="inlineStr">
        <is>
          <t>BLK3+HVRR</t>
        </is>
      </c>
      <c r="D60" s="7" t="inlineStr">
        <is>
          <t>SC1202-ND</t>
        </is>
      </c>
      <c r="E60" s="7" t="inlineStr">
        <is>
          <t xml:space="preserve">2 Position Circular Connector Plug, Male Pins Solder Cup. Conxall/Switchcraft # </t>
        </is>
      </c>
      <c r="F60" s="7" t="inlineStr">
        <is>
          <t>Digikey</t>
        </is>
      </c>
      <c r="G60" s="7" t="n">
        <v>8.15</v>
      </c>
      <c r="H60" s="7">
        <f>B60*G60</f>
        <v/>
      </c>
      <c r="I60" s="7" t="n"/>
      <c r="J60" s="7" t="n"/>
      <c r="K60" s="7" t="n"/>
      <c r="L60" s="7">
        <f>IFERROR(MIN(I60:K60),"")</f>
        <v/>
      </c>
      <c r="M60" s="7" t="inlineStr"/>
      <c r="N60" s="7">
        <f>IF(L60="","",(G60-L60)*B60)</f>
        <v/>
      </c>
    </row>
    <row r="61">
      <c r="A61" s="7" t="n">
        <v>56</v>
      </c>
      <c r="B61" s="7" t="n">
        <v>100</v>
      </c>
      <c r="C61" s="7" t="inlineStr">
        <is>
          <t>BLK3+HVRR</t>
        </is>
      </c>
      <c r="D61" s="7" t="inlineStr">
        <is>
          <t>VSB2045Y-M3/54GICT-ND</t>
        </is>
      </c>
      <c r="E61" s="7" t="inlineStr">
        <is>
          <t>SCHOTTKY 45V 6.5A P600</t>
        </is>
      </c>
      <c r="F61" s="7" t="inlineStr">
        <is>
          <t>Digikey</t>
        </is>
      </c>
      <c r="G61" s="7" t="n">
        <v>1.08</v>
      </c>
      <c r="H61" s="7">
        <f>B61*G61</f>
        <v/>
      </c>
      <c r="I61" s="7" t="n"/>
      <c r="J61" s="7" t="n"/>
      <c r="K61" s="7" t="n"/>
      <c r="L61" s="7">
        <f>IFERROR(MIN(I61:K61),"")</f>
        <v/>
      </c>
      <c r="M61" s="7" t="inlineStr"/>
      <c r="N61" s="7">
        <f>IF(L61="","",(G61-L61)*B61)</f>
        <v/>
      </c>
    </row>
    <row r="62">
      <c r="A62" s="7" t="n">
        <v>57</v>
      </c>
      <c r="B62" s="7" t="n">
        <v>18</v>
      </c>
      <c r="C62" s="7" t="inlineStr">
        <is>
          <t>BLK3+HVRR</t>
        </is>
      </c>
      <c r="D62" s="7" t="inlineStr">
        <is>
          <t>A1340-ND</t>
        </is>
      </c>
      <c r="E62" s="7" t="inlineStr">
        <is>
          <t>CONN PIN 16-18AWG GOLD CRIMP</t>
        </is>
      </c>
      <c r="F62" s="7" t="inlineStr">
        <is>
          <t>DigiKey</t>
        </is>
      </c>
      <c r="G62" s="7" t="n">
        <v>5.68</v>
      </c>
      <c r="H62" s="7">
        <f>B62*G62</f>
        <v/>
      </c>
      <c r="I62" s="7" t="n"/>
      <c r="J62" s="7" t="n"/>
      <c r="K62" s="7" t="n"/>
      <c r="L62" s="7">
        <f>IFERROR(MIN(I62:K62),"")</f>
        <v/>
      </c>
      <c r="M62" s="7" t="inlineStr"/>
      <c r="N62" s="7">
        <f>IF(L62="","",(G62-L62)*B62)</f>
        <v/>
      </c>
    </row>
    <row r="63">
      <c r="A63" s="7" t="n">
        <v>58</v>
      </c>
      <c r="B63" s="7" t="n">
        <v>100</v>
      </c>
      <c r="C63" s="7" t="inlineStr">
        <is>
          <t>BLK3+HVRR</t>
        </is>
      </c>
      <c r="D63" s="7" t="inlineStr">
        <is>
          <t>650-CWT9003</t>
        </is>
      </c>
      <c r="E63" s="7" t="inlineStr">
        <is>
          <t>Heat Shrink, Blue,16-14AWG, 600V, Polyolefin, CWT Series</t>
        </is>
      </c>
      <c r="F63" s="7" t="inlineStr">
        <is>
          <t>Mouser</t>
        </is>
      </c>
      <c r="G63" s="7" t="n">
        <v>0.9399999999999999</v>
      </c>
      <c r="H63" s="7">
        <f>B63*G63</f>
        <v/>
      </c>
      <c r="I63" s="7" t="n"/>
      <c r="J63" s="7" t="n"/>
      <c r="K63" s="7" t="n"/>
      <c r="L63" s="7">
        <f>IFERROR(MIN(I63:K63),"")</f>
        <v/>
      </c>
      <c r="M63" s="7" t="inlineStr"/>
      <c r="N63" s="7">
        <f>IF(L63="","",(G63-L63)*B63)</f>
        <v/>
      </c>
    </row>
    <row r="64">
      <c r="A64" s="7" t="n">
        <v>59</v>
      </c>
      <c r="B64" s="7" t="n">
        <v>22</v>
      </c>
      <c r="C64" s="7" t="inlineStr">
        <is>
          <t>BLK3+HVRR</t>
        </is>
      </c>
      <c r="D64" s="7" t="inlineStr">
        <is>
          <t>844-S02-04-R-ND</t>
        </is>
      </c>
      <c r="E64" s="7" t="inlineStr">
        <is>
          <t>Wire to Wire Solder Sleeve Transparent - Blue 0.235" (5.97mm), 0.255" (6.48mm)</t>
        </is>
      </c>
      <c r="F64" s="7" t="inlineStr">
        <is>
          <t>Digikey</t>
        </is>
      </c>
      <c r="G64" s="7" t="n">
        <v>4.23</v>
      </c>
      <c r="H64" s="7">
        <f>B64*G64</f>
        <v/>
      </c>
      <c r="I64" s="7" t="n"/>
      <c r="J64" s="7" t="n"/>
      <c r="K64" s="7" t="n"/>
      <c r="L64" s="7">
        <f>IFERROR(MIN(I64:K64),"")</f>
        <v/>
      </c>
      <c r="M64" s="7" t="inlineStr"/>
      <c r="N64" s="7">
        <f>IF(L64="","",(G64-L64)*B64)</f>
        <v/>
      </c>
    </row>
    <row r="65">
      <c r="A65" s="7" t="n">
        <v>60</v>
      </c>
      <c r="B65" s="7" t="n">
        <v>100</v>
      </c>
      <c r="C65" s="7" t="inlineStr">
        <is>
          <t>BLK3+HVRR</t>
        </is>
      </c>
      <c r="D65" s="7" t="inlineStr">
        <is>
          <t>CWT-90003-ND</t>
        </is>
      </c>
      <c r="E65" s="7" t="inlineStr">
        <is>
          <t>SLDR SLEEVE WIRE-WIRE 0.18" CLR</t>
        </is>
      </c>
      <c r="F65" s="7" t="inlineStr">
        <is>
          <t>Digikey</t>
        </is>
      </c>
      <c r="G65" s="7" t="n">
        <v>0.93</v>
      </c>
      <c r="H65" s="7">
        <f>B65*G65</f>
        <v/>
      </c>
      <c r="I65" s="7" t="n"/>
      <c r="J65" s="7" t="n"/>
      <c r="K65" s="7" t="n"/>
      <c r="L65" s="7">
        <f>IFERROR(MIN(I65:K65),"")</f>
        <v/>
      </c>
      <c r="M65" s="7" t="inlineStr"/>
      <c r="N65" s="7">
        <f>IF(L65="","",(G65-L65)*B65)</f>
        <v/>
      </c>
    </row>
    <row r="66">
      <c r="A66" s="7" t="n">
        <v>61</v>
      </c>
      <c r="B66" s="7" t="n">
        <v>2</v>
      </c>
      <c r="C66" s="7" t="inlineStr">
        <is>
          <t>BLK3+HVRR</t>
        </is>
      </c>
      <c r="D66" s="7" t="inlineStr">
        <is>
          <t>MS3116E16-8SX</t>
        </is>
      </c>
      <c r="E66" s="7" t="inlineStr">
        <is>
          <t>MIL-C-26482 Series 1 Connector, Solder Contacts</t>
        </is>
      </c>
      <c r="F66" s="7" t="inlineStr">
        <is>
          <t>Heilind</t>
        </is>
      </c>
      <c r="G66" s="7" t="n">
        <v>41.13</v>
      </c>
      <c r="H66" s="7">
        <f>B66*G66</f>
        <v/>
      </c>
      <c r="I66" s="7" t="n"/>
      <c r="J66" s="7" t="n"/>
      <c r="K66" s="7" t="n"/>
      <c r="L66" s="7">
        <f>IFERROR(MIN(I66:K66),"")</f>
        <v/>
      </c>
      <c r="M66" s="7" t="inlineStr"/>
      <c r="N66" s="7">
        <f>IF(L66="","",(G66-L66)*B66)</f>
        <v/>
      </c>
    </row>
    <row r="67">
      <c r="A67" s="7" t="n">
        <v>62</v>
      </c>
      <c r="B67" s="7" t="n">
        <v>2</v>
      </c>
      <c r="C67" s="7" t="inlineStr">
        <is>
          <t>BLK3+HVRR</t>
        </is>
      </c>
      <c r="D67" s="7" t="inlineStr">
        <is>
          <t>MS3106A28-21SW</t>
        </is>
      </c>
      <c r="E67" s="7" t="inlineStr">
        <is>
          <t>37 Position Circular Connector Plug, Female Sockets Solder Cup</t>
        </is>
      </c>
      <c r="F67" s="7" t="inlineStr">
        <is>
          <t>Mouser</t>
        </is>
      </c>
      <c r="G67" s="7" t="n">
        <v>40.98</v>
      </c>
      <c r="H67" s="7">
        <f>B67*G67</f>
        <v/>
      </c>
      <c r="I67" s="7" t="n"/>
      <c r="J67" s="7" t="n"/>
      <c r="K67" s="7" t="n"/>
      <c r="L67" s="7">
        <f>IFERROR(MIN(I67:K67),"")</f>
        <v/>
      </c>
      <c r="M67" s="7" t="inlineStr"/>
      <c r="N67" s="7">
        <f>IF(L67="","",(G67-L67)*B67)</f>
        <v/>
      </c>
    </row>
    <row r="68">
      <c r="A68" s="7" t="n">
        <v>63</v>
      </c>
      <c r="B68" s="7" t="n">
        <v>54</v>
      </c>
      <c r="C68" s="7" t="inlineStr">
        <is>
          <t>BLK3+HVRR</t>
        </is>
      </c>
      <c r="D68" s="7" t="inlineStr">
        <is>
          <t>A1340-ND</t>
        </is>
      </c>
      <c r="E68" s="7" t="inlineStr">
        <is>
          <t>Pin Contact Crimp 16-18 AWG Stamped</t>
        </is>
      </c>
      <c r="F68" s="7" t="inlineStr">
        <is>
          <t>Digikey</t>
        </is>
      </c>
      <c r="G68" s="7" t="n">
        <v>1.42</v>
      </c>
      <c r="H68" s="7">
        <f>B68*G68</f>
        <v/>
      </c>
      <c r="I68" s="7" t="n"/>
      <c r="J68" s="7" t="n"/>
      <c r="K68" s="7" t="n"/>
      <c r="L68" s="7">
        <f>IFERROR(MIN(I68:K68),"")</f>
        <v/>
      </c>
      <c r="M68" s="7" t="inlineStr"/>
      <c r="N68" s="7">
        <f>IF(L68="","",(G68-L68)*B68)</f>
        <v/>
      </c>
    </row>
    <row r="69">
      <c r="A69" s="7" t="n">
        <v>64</v>
      </c>
      <c r="B69" s="7" t="n">
        <v>1</v>
      </c>
      <c r="C69" s="7" t="inlineStr">
        <is>
          <t>BLK3</t>
        </is>
      </c>
      <c r="D69" s="7" t="inlineStr">
        <is>
          <t>MS3106E20-29S-ND</t>
        </is>
      </c>
      <c r="E69" s="7" t="inlineStr">
        <is>
          <t>17 Position Circular Connector Plug, Female Sockets Solder Cup</t>
        </is>
      </c>
      <c r="F69" s="7" t="inlineStr">
        <is>
          <t>Digikey</t>
        </is>
      </c>
      <c r="G69" s="7" t="n">
        <v>76.20999999999999</v>
      </c>
      <c r="H69" s="7">
        <f>B69*G69</f>
        <v/>
      </c>
      <c r="I69" s="7" t="n"/>
      <c r="J69" s="7" t="n"/>
      <c r="K69" s="7" t="n"/>
      <c r="L69" s="7">
        <f>IFERROR(MIN(I69:K69),"")</f>
        <v/>
      </c>
      <c r="M69" s="7" t="inlineStr"/>
      <c r="N69" s="7">
        <f>IF(L69="","",(G69-L69)*B69)</f>
        <v/>
      </c>
    </row>
    <row r="70">
      <c r="A70" s="7" t="n">
        <v>65</v>
      </c>
      <c r="B70" s="7" t="n">
        <v>20</v>
      </c>
      <c r="C70" s="7" t="inlineStr">
        <is>
          <t>BLK3+HVRR</t>
        </is>
      </c>
      <c r="D70" s="7" t="inlineStr">
        <is>
          <t>844-S02-06-R-ND</t>
        </is>
      </c>
      <c r="E70" s="7" t="inlineStr">
        <is>
          <t>SLDR SLV WIRE-WIRE 0.075/0.105"</t>
        </is>
      </c>
      <c r="F70" s="7" t="inlineStr">
        <is>
          <t>Digikey</t>
        </is>
      </c>
      <c r="G70" s="7" t="n">
        <v>3.74</v>
      </c>
      <c r="H70" s="7">
        <f>B70*G70</f>
        <v/>
      </c>
      <c r="I70" s="7" t="n"/>
      <c r="J70" s="7" t="n"/>
      <c r="K70" s="7" t="n"/>
      <c r="L70" s="7">
        <f>IFERROR(MIN(I70:K70),"")</f>
        <v/>
      </c>
      <c r="M70" s="7" t="inlineStr"/>
      <c r="N70" s="7">
        <f>IF(L70="","",(G70-L70)*B70)</f>
        <v/>
      </c>
    </row>
    <row r="71">
      <c r="A71" s="7" t="n">
        <v>66</v>
      </c>
      <c r="B71" s="7" t="n">
        <v>12</v>
      </c>
      <c r="C71" s="7" t="inlineStr">
        <is>
          <t>BLK3+HVRR</t>
        </is>
      </c>
      <c r="D71" s="7" t="inlineStr">
        <is>
          <t>A1351-ND</t>
        </is>
      </c>
      <c r="E71" s="7" t="inlineStr">
        <is>
          <t>4 Position Circular Connector Receptacle Housing</t>
        </is>
      </c>
      <c r="F71" s="7" t="inlineStr">
        <is>
          <t>Digikey</t>
        </is>
      </c>
      <c r="G71" s="7" t="n">
        <v>6.22</v>
      </c>
      <c r="H71" s="7">
        <f>B71*G71</f>
        <v/>
      </c>
      <c r="I71" s="7" t="n"/>
      <c r="J71" s="7" t="n"/>
      <c r="K71" s="7" t="n"/>
      <c r="L71" s="7">
        <f>IFERROR(MIN(I71:K71),"")</f>
        <v/>
      </c>
      <c r="M71" s="7" t="inlineStr"/>
      <c r="N71" s="7">
        <f>IF(L71="","",(G71-L71)*B71)</f>
        <v/>
      </c>
    </row>
    <row r="72">
      <c r="A72" s="7" t="n">
        <v>67</v>
      </c>
      <c r="B72" s="7" t="n">
        <v>200</v>
      </c>
      <c r="C72" s="7" t="inlineStr">
        <is>
          <t>BLK3+HVRR</t>
        </is>
      </c>
      <c r="D72" s="7" t="inlineStr">
        <is>
          <t>WM9712-ND</t>
        </is>
      </c>
      <c r="E72" s="7" t="inlineStr">
        <is>
          <t>Molex, P/N 0380020185, JUMPER BARRIER BLK 2POS RING</t>
        </is>
      </c>
      <c r="F72" s="7" t="inlineStr">
        <is>
          <t>DigiKey</t>
        </is>
      </c>
      <c r="G72" s="7" t="n">
        <v>0.37</v>
      </c>
      <c r="H72" s="7">
        <f>B72*G72</f>
        <v/>
      </c>
      <c r="I72" s="7" t="n"/>
      <c r="J72" s="7" t="n"/>
      <c r="K72" s="7" t="n"/>
      <c r="L72" s="7">
        <f>IFERROR(MIN(I72:K72),"")</f>
        <v/>
      </c>
      <c r="M72" s="7" t="inlineStr"/>
      <c r="N72" s="7">
        <f>IF(L72="","",(G72-L72)*B72)</f>
        <v/>
      </c>
    </row>
    <row r="73">
      <c r="A73" s="7" t="n">
        <v>68</v>
      </c>
      <c r="B73" s="7" t="n">
        <v>20</v>
      </c>
      <c r="C73" s="7" t="inlineStr">
        <is>
          <t>BLK3+HVRR</t>
        </is>
      </c>
      <c r="D73" s="7" t="inlineStr">
        <is>
          <t>SO63-4-55-22-90-ND</t>
        </is>
      </c>
      <c r="E73" s="7" t="inlineStr">
        <is>
          <t>SLDR SLV WIRE-WIRE 0.235/0.255", TE Connectivity P/N 	
SO63-4-55-22-90</t>
        </is>
      </c>
      <c r="F73" s="7" t="inlineStr">
        <is>
          <t>Digikey</t>
        </is>
      </c>
      <c r="G73" s="7" t="n">
        <v>3.61</v>
      </c>
      <c r="H73" s="7">
        <f>B73*G73</f>
        <v/>
      </c>
      <c r="I73" s="7" t="n"/>
      <c r="J73" s="7" t="n"/>
      <c r="K73" s="7" t="n"/>
      <c r="L73" s="7">
        <f>IFERROR(MIN(I73:K73),"")</f>
        <v/>
      </c>
      <c r="M73" s="7" t="inlineStr"/>
      <c r="N73" s="7">
        <f>IF(L73="","",(G73-L73)*B73)</f>
        <v/>
      </c>
    </row>
    <row r="74">
      <c r="A74" s="7" t="n">
        <v>69</v>
      </c>
      <c r="B74" s="7" t="n">
        <v>8</v>
      </c>
      <c r="C74" s="7" t="inlineStr">
        <is>
          <t>BLK3+HVRR</t>
        </is>
      </c>
      <c r="D74" s="7" t="inlineStr">
        <is>
          <t>SC1211-ND</t>
        </is>
      </c>
      <c r="E74" s="7" t="inlineStr">
        <is>
          <t>2 Position Circular Connector Receptacle, Female Sockets Solder Cup</t>
        </is>
      </c>
      <c r="F74" s="7" t="inlineStr">
        <is>
          <t>Digikey</t>
        </is>
      </c>
      <c r="G74" s="7" t="n">
        <v>8.859999999999999</v>
      </c>
      <c r="H74" s="7">
        <f>B74*G74</f>
        <v/>
      </c>
      <c r="I74" s="7" t="n"/>
      <c r="J74" s="7" t="n"/>
      <c r="K74" s="7" t="n"/>
      <c r="L74" s="7">
        <f>IFERROR(MIN(I74:K74),"")</f>
        <v/>
      </c>
      <c r="M74" s="7" t="inlineStr"/>
      <c r="N74" s="7">
        <f>IF(L74="","",(G74-L74)*B74)</f>
        <v/>
      </c>
    </row>
    <row r="75">
      <c r="A75" s="7" t="n">
        <v>70</v>
      </c>
      <c r="B75" s="7" t="n">
        <v>10</v>
      </c>
      <c r="C75" s="7" t="inlineStr">
        <is>
          <t>BLK3+HVRR</t>
        </is>
      </c>
      <c r="D75" s="7" t="inlineStr">
        <is>
          <t>A1300-ND</t>
        </is>
      </c>
      <c r="E75" s="7" t="inlineStr">
        <is>
          <t>4 Position Circular Connector Plug Housing Free Hanging (In-Line) Coupling Nut</t>
        </is>
      </c>
      <c r="F75" s="7" t="inlineStr">
        <is>
          <t>Digikey</t>
        </is>
      </c>
      <c r="G75" s="7" t="n">
        <v>6.85</v>
      </c>
      <c r="H75" s="7">
        <f>B75*G75</f>
        <v/>
      </c>
      <c r="I75" s="7" t="n"/>
      <c r="J75" s="7" t="n"/>
      <c r="K75" s="7" t="n"/>
      <c r="L75" s="7">
        <f>IFERROR(MIN(I75:K75),"")</f>
        <v/>
      </c>
      <c r="M75" s="7" t="inlineStr"/>
      <c r="N75" s="7">
        <f>IF(L75="","",(G75-L75)*B75)</f>
        <v/>
      </c>
    </row>
    <row r="76">
      <c r="A76" s="7" t="n">
        <v>71</v>
      </c>
      <c r="B76" s="7" t="n">
        <v>10</v>
      </c>
      <c r="C76" s="7" t="inlineStr">
        <is>
          <t>BLK3+HVRR</t>
        </is>
      </c>
      <c r="D76" s="7" t="inlineStr">
        <is>
          <t>A1300-ND</t>
        </is>
      </c>
      <c r="E76" s="7" t="inlineStr">
        <is>
          <t>CONN PLUG HSG FMALE 4POS INLINE</t>
        </is>
      </c>
      <c r="F76" s="7" t="inlineStr">
        <is>
          <t>Digikey</t>
        </is>
      </c>
      <c r="G76" s="7" t="n">
        <v>6.54</v>
      </c>
      <c r="H76" s="7">
        <f>B76*G76</f>
        <v/>
      </c>
      <c r="I76" s="7" t="n"/>
      <c r="J76" s="7" t="n"/>
      <c r="K76" s="7" t="n"/>
      <c r="L76" s="7">
        <f>IFERROR(MIN(I76:K76),"")</f>
        <v/>
      </c>
      <c r="M76" s="7" t="inlineStr"/>
      <c r="N76" s="7">
        <f>IF(L76="","",(G76-L76)*B76)</f>
        <v/>
      </c>
    </row>
    <row r="77">
      <c r="A77" s="7" t="n">
        <v>72</v>
      </c>
      <c r="B77" s="7" t="n">
        <v>2</v>
      </c>
      <c r="C77" s="7" t="inlineStr">
        <is>
          <t>BLK3+HVRR</t>
        </is>
      </c>
      <c r="D77" s="7" t="inlineStr">
        <is>
          <t>654-MS3106E20-29S</t>
        </is>
      </c>
      <c r="E77" s="7" t="inlineStr">
        <is>
          <t>Circular MIL Spec Connector 17P #16 SKT CONTACTS</t>
        </is>
      </c>
      <c r="F77" s="7" t="inlineStr">
        <is>
          <t>MOUSER</t>
        </is>
      </c>
      <c r="G77" s="7" t="n">
        <v>31.45</v>
      </c>
      <c r="H77" s="7">
        <f>B77*G77</f>
        <v/>
      </c>
      <c r="I77" s="7" t="n"/>
      <c r="J77" s="7" t="n"/>
      <c r="K77" s="7" t="n"/>
      <c r="L77" s="7">
        <f>IFERROR(MIN(I77:K77),"")</f>
        <v/>
      </c>
      <c r="M77" s="7" t="inlineStr"/>
      <c r="N77" s="7">
        <f>IF(L77="","",(G77-L77)*B77)</f>
        <v/>
      </c>
    </row>
    <row r="78">
      <c r="A78" s="7" t="n">
        <v>73</v>
      </c>
      <c r="B78" s="7" t="n">
        <v>10</v>
      </c>
      <c r="C78" s="7" t="inlineStr">
        <is>
          <t>BLK3+HVRR</t>
        </is>
      </c>
      <c r="D78" s="7" t="inlineStr">
        <is>
          <t>A1351-ND</t>
        </is>
      </c>
      <c r="E78" s="7" t="inlineStr">
        <is>
          <t>CONN RCPT HSNG MALE 4POS INLINE, TE Connectivity P/N 	
206153-1</t>
        </is>
      </c>
      <c r="F78" s="7" t="inlineStr">
        <is>
          <t>Digikey</t>
        </is>
      </c>
      <c r="G78" s="7" t="n">
        <v>6.22</v>
      </c>
      <c r="H78" s="7">
        <f>B78*G78</f>
        <v/>
      </c>
      <c r="I78" s="7" t="n"/>
      <c r="J78" s="7" t="n"/>
      <c r="K78" s="7" t="n"/>
      <c r="L78" s="7">
        <f>IFERROR(MIN(I78:K78),"")</f>
        <v/>
      </c>
      <c r="M78" s="7" t="inlineStr"/>
      <c r="N78" s="7">
        <f>IF(L78="","",(G78-L78)*B78)</f>
        <v/>
      </c>
    </row>
    <row r="79">
      <c r="A79" s="7" t="n">
        <v>74</v>
      </c>
      <c r="B79" s="7" t="n">
        <v>10</v>
      </c>
      <c r="C79" s="7" t="inlineStr">
        <is>
          <t>BLK3+HVRR</t>
        </is>
      </c>
      <c r="D79" s="7" t="inlineStr">
        <is>
          <t>571-2061531</t>
        </is>
      </c>
      <c r="E79" s="7" t="inlineStr">
        <is>
          <t>CONN RCPT HSNG MALE 4POS INLINE</t>
        </is>
      </c>
      <c r="F79" s="7" t="inlineStr">
        <is>
          <t>Mouser</t>
        </is>
      </c>
      <c r="G79" s="7" t="n">
        <v>6.22</v>
      </c>
      <c r="H79" s="7">
        <f>B79*G79</f>
        <v/>
      </c>
      <c r="I79" s="7" t="n"/>
      <c r="J79" s="7" t="n"/>
      <c r="K79" s="7" t="n"/>
      <c r="L79" s="7">
        <f>IFERROR(MIN(I79:K79),"")</f>
        <v/>
      </c>
      <c r="M79" s="7" t="inlineStr"/>
      <c r="N79" s="7">
        <f>IF(L79="","",(G79-L79)*B79)</f>
        <v/>
      </c>
    </row>
    <row r="80">
      <c r="A80" s="7" t="n">
        <v>75</v>
      </c>
      <c r="B80" s="7" t="n">
        <v>20</v>
      </c>
      <c r="C80" s="7" t="inlineStr">
        <is>
          <t>BLK3+HVRR</t>
        </is>
      </c>
      <c r="D80" s="7" t="inlineStr">
        <is>
          <t>SO63-3-55-22-90-ND</t>
        </is>
      </c>
      <c r="E80" s="7" t="inlineStr">
        <is>
          <t>SLDR SLEEVE WIRE-WIRE 0.17"/0.2", TE Connectivity P/N 	
SO63-3-55-22-90</t>
        </is>
      </c>
      <c r="F80" s="7" t="inlineStr">
        <is>
          <t>Digikey</t>
        </is>
      </c>
      <c r="G80" s="7" t="n">
        <v>2.88</v>
      </c>
      <c r="H80" s="7">
        <f>B80*G80</f>
        <v/>
      </c>
      <c r="I80" s="7" t="n"/>
      <c r="J80" s="7" t="n"/>
      <c r="K80" s="7" t="n"/>
      <c r="L80" s="7">
        <f>IFERROR(MIN(I80:K80),"")</f>
        <v/>
      </c>
      <c r="M80" s="7" t="inlineStr"/>
      <c r="N80" s="7">
        <f>IF(L80="","",(G80-L80)*B80)</f>
        <v/>
      </c>
    </row>
    <row r="81">
      <c r="A81" s="7" t="n">
        <v>76</v>
      </c>
      <c r="B81" s="7" t="n">
        <v>6</v>
      </c>
      <c r="C81" s="7" t="inlineStr">
        <is>
          <t>BLK3+HVRR</t>
        </is>
      </c>
      <c r="D81" s="7" t="inlineStr">
        <is>
          <t>SC1204-ND</t>
        </is>
      </c>
      <c r="E81" s="7" t="inlineStr">
        <is>
          <t>3 Position Circular Connector Plug, Male Pins Solder Cup, Conxall P/N 16282-3PG-</t>
        </is>
      </c>
      <c r="F81" s="7" t="inlineStr">
        <is>
          <t>Digikey</t>
        </is>
      </c>
      <c r="G81" s="7" t="n">
        <v>9.49</v>
      </c>
      <c r="H81" s="7">
        <f>B81*G81</f>
        <v/>
      </c>
      <c r="I81" s="7" t="n"/>
      <c r="J81" s="7" t="n"/>
      <c r="K81" s="7" t="n"/>
      <c r="L81" s="7">
        <f>IFERROR(MIN(I81:K81),"")</f>
        <v/>
      </c>
      <c r="M81" s="7" t="inlineStr"/>
      <c r="N81" s="7">
        <f>IF(L81="","",(G81-L81)*B81)</f>
        <v/>
      </c>
    </row>
    <row r="82">
      <c r="A82" s="7" t="n">
        <v>77</v>
      </c>
      <c r="B82" s="7" t="n">
        <v>8</v>
      </c>
      <c r="C82" s="7" t="inlineStr">
        <is>
          <t>BLK3+HVRR</t>
        </is>
      </c>
      <c r="D82" s="7" t="inlineStr">
        <is>
          <t>A25108_ND</t>
        </is>
      </c>
      <c r="E82" s="7" t="inlineStr">
        <is>
          <t>CONN SOCKET 20-24AWG GOLD CRIMP</t>
        </is>
      </c>
      <c r="F82" s="7" t="inlineStr">
        <is>
          <t>Digikey</t>
        </is>
      </c>
      <c r="G82" s="7" t="n">
        <v>6.85</v>
      </c>
      <c r="H82" s="7">
        <f>B82*G82</f>
        <v/>
      </c>
      <c r="I82" s="7" t="n"/>
      <c r="J82" s="7" t="n"/>
      <c r="K82" s="7" t="n"/>
      <c r="L82" s="7">
        <f>IFERROR(MIN(I82:K82),"")</f>
        <v/>
      </c>
      <c r="M82" s="7" t="inlineStr"/>
      <c r="N82" s="7">
        <f>IF(L82="","",(G82-L82)*B82)</f>
        <v/>
      </c>
    </row>
    <row r="83">
      <c r="A83" s="7" t="n">
        <v>78</v>
      </c>
      <c r="B83" s="7" t="n">
        <v>36</v>
      </c>
      <c r="C83" s="7" t="inlineStr">
        <is>
          <t>BLK3+HVRR</t>
        </is>
      </c>
      <c r="D83" s="7" t="inlineStr">
        <is>
          <t>A16080-ND</t>
        </is>
      </c>
      <c r="E83" s="7" t="inlineStr">
        <is>
          <t>Connector, Socket 16-18AWG Gold Crimp</t>
        </is>
      </c>
      <c r="F83" s="7" t="inlineStr">
        <is>
          <t>Digikey</t>
        </is>
      </c>
      <c r="G83" s="7" t="n">
        <v>1.48</v>
      </c>
      <c r="H83" s="7">
        <f>B83*G83</f>
        <v/>
      </c>
      <c r="I83" s="7" t="n"/>
      <c r="J83" s="7" t="n"/>
      <c r="K83" s="7" t="n"/>
      <c r="L83" s="7">
        <f>IFERROR(MIN(I83:K83),"")</f>
        <v/>
      </c>
      <c r="M83" s="7" t="inlineStr"/>
      <c r="N83" s="7">
        <f>IF(L83="","",(G83-L83)*B83)</f>
        <v/>
      </c>
    </row>
    <row r="84">
      <c r="A84" s="7" t="n">
        <v>79</v>
      </c>
      <c r="B84" s="7" t="n">
        <v>6</v>
      </c>
      <c r="C84" s="7" t="inlineStr">
        <is>
          <t>BLK3+HVRR</t>
        </is>
      </c>
      <c r="D84" s="7" t="inlineStr">
        <is>
          <t>SC1211-ND</t>
        </is>
      </c>
      <c r="E84" s="7" t="inlineStr">
        <is>
          <t>CONN RCPT FMALE 2P GOLD SLDR CUP</t>
        </is>
      </c>
      <c r="F84" s="7" t="inlineStr">
        <is>
          <t>Digikey</t>
        </is>
      </c>
      <c r="G84" s="7" t="n">
        <v>8.859999999999999</v>
      </c>
      <c r="H84" s="7">
        <f>B84*G84</f>
        <v/>
      </c>
      <c r="I84" s="7" t="n"/>
      <c r="J84" s="7" t="n"/>
      <c r="K84" s="7" t="n"/>
      <c r="L84" s="7">
        <f>IFERROR(MIN(I84:K84),"")</f>
        <v/>
      </c>
      <c r="M84" s="7" t="inlineStr"/>
      <c r="N84" s="7">
        <f>IF(L84="","",(G84-L84)*B84)</f>
        <v/>
      </c>
    </row>
    <row r="85">
      <c r="A85" s="7" t="n">
        <v>80</v>
      </c>
      <c r="B85" s="7" t="n">
        <v>2</v>
      </c>
      <c r="C85" s="7" t="inlineStr">
        <is>
          <t>BLK3+HVRR</t>
        </is>
      </c>
      <c r="D85" s="7" t="inlineStr">
        <is>
          <t>654-MS3100E28-21P</t>
        </is>
      </c>
      <c r="E85" s="7" t="inlineStr">
        <is>
          <t>Circular MIL Spec Connector 37P #16 PIN CONTACTS</t>
        </is>
      </c>
      <c r="F85" s="7" t="inlineStr">
        <is>
          <t>Mouser</t>
        </is>
      </c>
      <c r="G85" s="7" t="n">
        <v>26.04</v>
      </c>
      <c r="H85" s="7">
        <f>B85*G85</f>
        <v/>
      </c>
      <c r="I85" s="7" t="n"/>
      <c r="J85" s="7" t="n"/>
      <c r="K85" s="7" t="n"/>
      <c r="L85" s="7">
        <f>IFERROR(MIN(I85:K85),"")</f>
        <v/>
      </c>
      <c r="M85" s="7" t="inlineStr"/>
      <c r="N85" s="7">
        <f>IF(L85="","",(G85-L85)*B85)</f>
        <v/>
      </c>
    </row>
    <row r="86">
      <c r="A86" s="7" t="n">
        <v>81</v>
      </c>
      <c r="B86" s="7" t="n">
        <v>2</v>
      </c>
      <c r="C86" s="7" t="inlineStr">
        <is>
          <t>BLK3+HVRR</t>
        </is>
      </c>
      <c r="D86" s="7" t="inlineStr">
        <is>
          <t>3942-MSW06E16-8S-ND</t>
        </is>
      </c>
      <c r="E86" s="7" t="inlineStr">
        <is>
          <t>CONN PLUG FMALE 8P GOLD SLDR CUP</t>
        </is>
      </c>
      <c r="F86" s="7" t="inlineStr">
        <is>
          <t>Digikey</t>
        </is>
      </c>
      <c r="G86" s="7" t="n">
        <v>25.93</v>
      </c>
      <c r="H86" s="7">
        <f>B86*G86</f>
        <v/>
      </c>
      <c r="I86" s="7" t="n"/>
      <c r="J86" s="7" t="n"/>
      <c r="K86" s="7" t="n"/>
      <c r="L86" s="7">
        <f>IFERROR(MIN(I86:K86),"")</f>
        <v/>
      </c>
      <c r="M86" s="7" t="inlineStr"/>
      <c r="N86" s="7">
        <f>IF(L86="","",(G86-L86)*B86)</f>
        <v/>
      </c>
    </row>
    <row r="87">
      <c r="A87" s="7" t="n">
        <v>82</v>
      </c>
      <c r="B87" s="7" t="n">
        <v>2</v>
      </c>
      <c r="C87" s="7" t="inlineStr">
        <is>
          <t>BLK3+HVRR</t>
        </is>
      </c>
      <c r="D87" s="7" t="inlineStr">
        <is>
          <t>895-USBRS2321.8BT5.0</t>
        </is>
      </c>
      <c r="E87" s="7" t="inlineStr">
        <is>
          <t>CABLE USB RS232 5V WIRE END 1.8M</t>
        </is>
      </c>
      <c r="F87" s="7" t="inlineStr">
        <is>
          <t>Mouser</t>
        </is>
      </c>
      <c r="G87" s="7" t="n">
        <v>25.8</v>
      </c>
      <c r="H87" s="7">
        <f>B87*G87</f>
        <v/>
      </c>
      <c r="I87" s="7" t="n"/>
      <c r="J87" s="7" t="n"/>
      <c r="K87" s="7" t="n"/>
      <c r="L87" s="7">
        <f>IFERROR(MIN(I87:K87),"")</f>
        <v/>
      </c>
      <c r="M87" s="7" t="inlineStr"/>
      <c r="N87" s="7">
        <f>IF(L87="","",(G87-L87)*B87)</f>
        <v/>
      </c>
    </row>
    <row r="88">
      <c r="A88" s="7" t="n">
        <v>83</v>
      </c>
      <c r="B88" s="7" t="n">
        <v>20</v>
      </c>
      <c r="C88" s="7" t="inlineStr">
        <is>
          <t>BLK3+HVRR</t>
        </is>
      </c>
      <c r="D88" s="7" t="inlineStr">
        <is>
          <t>MSC30A-ND</t>
        </is>
      </c>
      <c r="E88" s="7" t="inlineStr">
        <is>
          <t>CONN RCPT 30P IDC 26-28AWG GOLD</t>
        </is>
      </c>
      <c r="F88" s="7" t="inlineStr">
        <is>
          <t>DigiKey</t>
        </is>
      </c>
      <c r="G88" s="7" t="n">
        <v>2.24</v>
      </c>
      <c r="H88" s="7">
        <f>B88*G88</f>
        <v/>
      </c>
      <c r="I88" s="7" t="n"/>
      <c r="J88" s="7" t="n"/>
      <c r="K88" s="7" t="n"/>
      <c r="L88" s="7">
        <f>IFERROR(MIN(I88:K88),"")</f>
        <v/>
      </c>
      <c r="M88" s="7" t="inlineStr"/>
      <c r="N88" s="7">
        <f>IF(L88="","",(G88-L88)*B88)</f>
        <v/>
      </c>
    </row>
    <row r="89">
      <c r="A89" s="7" t="n">
        <v>84</v>
      </c>
      <c r="B89" s="7" t="n">
        <v>20</v>
      </c>
      <c r="C89" s="7" t="inlineStr">
        <is>
          <t>BLK3+HVRR</t>
        </is>
      </c>
      <c r="D89" s="7" t="inlineStr">
        <is>
          <t>MKC50A-ND</t>
        </is>
      </c>
      <c r="E89" s="7" t="inlineStr">
        <is>
          <t>CONN RCPT 50P IDC 26-28AWG GOLD</t>
        </is>
      </c>
      <c r="F89" s="7" t="inlineStr">
        <is>
          <t>DigiKey</t>
        </is>
      </c>
      <c r="G89" s="7" t="n">
        <v>2.24</v>
      </c>
      <c r="H89" s="7">
        <f>B89*G89</f>
        <v/>
      </c>
      <c r="I89" s="7" t="n"/>
      <c r="J89" s="7" t="n"/>
      <c r="K89" s="7" t="n"/>
      <c r="L89" s="7">
        <f>IFERROR(MIN(I89:K89),"")</f>
        <v/>
      </c>
      <c r="M89" s="7" t="inlineStr"/>
      <c r="N89" s="7">
        <f>IF(L89="","",(G89-L89)*B89)</f>
        <v/>
      </c>
    </row>
    <row r="90">
      <c r="A90" s="7" t="n">
        <v>85</v>
      </c>
      <c r="B90" s="7" t="n">
        <v>6</v>
      </c>
      <c r="C90" s="7" t="inlineStr">
        <is>
          <t>BLK3+HVRR</t>
        </is>
      </c>
      <c r="D90" s="7" t="inlineStr">
        <is>
          <t>SC1202-ND</t>
        </is>
      </c>
      <c r="E90" s="7" t="inlineStr">
        <is>
          <t>CONN PLUG MALE 2P GOLD SLDR CUP</t>
        </is>
      </c>
      <c r="F90" s="7" t="inlineStr">
        <is>
          <t>Digikey</t>
        </is>
      </c>
      <c r="G90" s="7" t="n">
        <v>7.33</v>
      </c>
      <c r="H90" s="7">
        <f>B90*G90</f>
        <v/>
      </c>
      <c r="I90" s="7" t="n"/>
      <c r="J90" s="7" t="n"/>
      <c r="K90" s="7" t="n"/>
      <c r="L90" s="7">
        <f>IFERROR(MIN(I90:K90),"")</f>
        <v/>
      </c>
      <c r="M90" s="7" t="inlineStr"/>
      <c r="N90" s="7">
        <f>IF(L90="","",(G90-L90)*B90)</f>
        <v/>
      </c>
    </row>
    <row r="91">
      <c r="A91" s="7" t="n">
        <v>86</v>
      </c>
      <c r="B91" s="7" t="n">
        <v>6</v>
      </c>
      <c r="C91" s="7" t="inlineStr">
        <is>
          <t>BLK3+HVRR</t>
        </is>
      </c>
      <c r="D91" s="7" t="inlineStr">
        <is>
          <t>SC1202-ND</t>
        </is>
      </c>
      <c r="E91" s="7" t="inlineStr">
        <is>
          <t>2 Position Circular Connector Plug, Male Pins Solder</t>
        </is>
      </c>
      <c r="F91" s="7" t="inlineStr">
        <is>
          <t>Digikey</t>
        </is>
      </c>
      <c r="G91" s="7" t="n">
        <v>7.33</v>
      </c>
      <c r="H91" s="7">
        <f>B91*G91</f>
        <v/>
      </c>
      <c r="I91" s="7" t="n"/>
      <c r="J91" s="7" t="n"/>
      <c r="K91" s="7" t="n"/>
      <c r="L91" s="7">
        <f>IFERROR(MIN(I91:K91),"")</f>
        <v/>
      </c>
      <c r="M91" s="7" t="inlineStr"/>
      <c r="N91" s="7">
        <f>IF(L91="","",(G91-L91)*B91)</f>
        <v/>
      </c>
    </row>
    <row r="92">
      <c r="A92" s="7" t="n">
        <v>87</v>
      </c>
      <c r="B92" s="7" t="n">
        <v>6</v>
      </c>
      <c r="C92" s="7" t="inlineStr">
        <is>
          <t>BLK3+HVRR</t>
        </is>
      </c>
      <c r="D92" s="7" t="inlineStr">
        <is>
          <t>SC1202-ND</t>
        </is>
      </c>
      <c r="E92" s="7" t="inlineStr">
        <is>
          <t>CONN PLUG MALE 2P GOLD SLDR CUP, Conxall P/N 16282-2PG-311</t>
        </is>
      </c>
      <c r="F92" s="7" t="inlineStr">
        <is>
          <t>Digikey</t>
        </is>
      </c>
      <c r="G92" s="7" t="n">
        <v>7.33</v>
      </c>
      <c r="H92" s="7">
        <f>B92*G92</f>
        <v/>
      </c>
      <c r="I92" s="7" t="n"/>
      <c r="J92" s="7" t="n"/>
      <c r="K92" s="7" t="n"/>
      <c r="L92" s="7">
        <f>IFERROR(MIN(I92:K92),"")</f>
        <v/>
      </c>
      <c r="M92" s="7" t="inlineStr"/>
      <c r="N92" s="7">
        <f>IF(L92="","",(G92-L92)*B92)</f>
        <v/>
      </c>
    </row>
    <row r="93">
      <c r="A93" s="7" t="n">
        <v>88</v>
      </c>
      <c r="B93" s="7" t="n">
        <v>4</v>
      </c>
      <c r="C93" s="7" t="inlineStr">
        <is>
          <t>BLK3+HVRR</t>
        </is>
      </c>
      <c r="D93" s="7" t="inlineStr">
        <is>
          <t>571-211768-1</t>
        </is>
      </c>
      <c r="E93" s="7" t="inlineStr">
        <is>
          <t>Standard Circular Connector PLUG 9 POSITION shell size 17</t>
        </is>
      </c>
      <c r="F93" s="7" t="inlineStr">
        <is>
          <t>Mouser</t>
        </is>
      </c>
      <c r="G93" s="7" t="n">
        <v>10.3</v>
      </c>
      <c r="H93" s="7">
        <f>B93*G93</f>
        <v/>
      </c>
      <c r="I93" s="7" t="n"/>
      <c r="J93" s="7" t="n"/>
      <c r="K93" s="7" t="n"/>
      <c r="L93" s="7">
        <f>IFERROR(MIN(I93:K93),"")</f>
        <v/>
      </c>
      <c r="M93" s="7" t="inlineStr"/>
      <c r="N93" s="7">
        <f>IF(L93="","",(G93-L93)*B93)</f>
        <v/>
      </c>
    </row>
    <row r="94">
      <c r="A94" s="7" t="n">
        <v>89</v>
      </c>
      <c r="B94" s="7" t="n">
        <v>2</v>
      </c>
      <c r="C94" s="7" t="inlineStr">
        <is>
          <t>BLK3+HVRR</t>
        </is>
      </c>
      <c r="D94" s="7" t="inlineStr">
        <is>
          <t>3942-MS3110E16-8P</t>
        </is>
      </c>
      <c r="E94" s="7" t="inlineStr">
        <is>
          <t>Conn Circular PIN 8 POS Solder ST Wall Mount 8 Terminal 1 Port</t>
        </is>
      </c>
      <c r="F94" s="7" t="inlineStr">
        <is>
          <t>Digikey</t>
        </is>
      </c>
      <c r="G94" s="7" t="n">
        <v>19.9</v>
      </c>
      <c r="H94" s="7">
        <f>B94*G94</f>
        <v/>
      </c>
      <c r="I94" s="7" t="n"/>
      <c r="J94" s="7" t="n"/>
      <c r="K94" s="7" t="n"/>
      <c r="L94" s="7">
        <f>IFERROR(MIN(I94:K94),"")</f>
        <v/>
      </c>
      <c r="M94" s="7" t="inlineStr"/>
      <c r="N94" s="7">
        <f>IF(L94="","",(G94-L94)*B94)</f>
        <v/>
      </c>
    </row>
    <row r="95">
      <c r="A95" s="7" t="n">
        <v>90</v>
      </c>
      <c r="B95" s="7" t="n">
        <v>48</v>
      </c>
      <c r="C95" s="7" t="inlineStr">
        <is>
          <t>BLK3+HVRR</t>
        </is>
      </c>
      <c r="D95" s="7" t="inlineStr">
        <is>
          <t>298-11957-ND</t>
        </is>
      </c>
      <c r="E95" s="7" t="inlineStr">
        <is>
          <t>Ring Terminal Connector 10 Stud Circular 18-22 AWG Crimp</t>
        </is>
      </c>
      <c r="F95" s="7" t="inlineStr">
        <is>
          <t>Digikey</t>
        </is>
      </c>
      <c r="G95" s="7" t="n">
        <v>0.76</v>
      </c>
      <c r="H95" s="7">
        <f>B95*G95</f>
        <v/>
      </c>
      <c r="I95" s="7" t="n"/>
      <c r="J95" s="7" t="n"/>
      <c r="K95" s="7" t="n"/>
      <c r="L95" s="7">
        <f>IFERROR(MIN(I95:K95),"")</f>
        <v/>
      </c>
      <c r="M95" s="7" t="inlineStr"/>
      <c r="N95" s="7">
        <f>IF(L95="","",(G95-L95)*B95)</f>
        <v/>
      </c>
    </row>
    <row r="96">
      <c r="A96" s="7" t="n">
        <v>91</v>
      </c>
      <c r="B96" s="7" t="n">
        <v>32</v>
      </c>
      <c r="C96" s="7" t="inlineStr">
        <is>
          <t>BLK3+HVRR</t>
        </is>
      </c>
      <c r="D96" s="7" t="inlineStr">
        <is>
          <t>VSB2045Y-M3 /54GICT-ND</t>
        </is>
      </c>
      <c r="E96" s="7" t="inlineStr">
        <is>
          <t>ACS Diode, SCHOTTKY 45V 6.5A P600</t>
        </is>
      </c>
      <c r="F96" s="7" t="inlineStr">
        <is>
          <t>Digikey</t>
        </is>
      </c>
      <c r="G96" s="7" t="n">
        <v>1.14</v>
      </c>
      <c r="H96" s="7">
        <f>B96*G96</f>
        <v/>
      </c>
      <c r="I96" s="7" t="n"/>
      <c r="J96" s="7" t="n"/>
      <c r="K96" s="7" t="n"/>
      <c r="L96" s="7">
        <f>IFERROR(MIN(I96:K96),"")</f>
        <v/>
      </c>
      <c r="M96" s="7" t="inlineStr"/>
      <c r="N96" s="7">
        <f>IF(L96="","",(G96-L96)*B96)</f>
        <v/>
      </c>
    </row>
    <row r="97">
      <c r="A97" s="7" t="n">
        <v>92</v>
      </c>
      <c r="B97" s="7" t="n">
        <v>2</v>
      </c>
      <c r="C97" s="7" t="inlineStr">
        <is>
          <t>BLK3+HVRR</t>
        </is>
      </c>
      <c r="D97" s="7" t="inlineStr">
        <is>
          <t>3942-MSW00E16-8P-ND</t>
        </is>
      </c>
      <c r="E97" s="7" t="inlineStr">
        <is>
          <t>CONN RCPT MALE 8P GOLD SLDR CUP</t>
        </is>
      </c>
      <c r="F97" s="7" t="inlineStr">
        <is>
          <t>Digikey</t>
        </is>
      </c>
      <c r="G97" s="7" t="n">
        <v>17.9</v>
      </c>
      <c r="H97" s="7">
        <f>B97*G97</f>
        <v/>
      </c>
      <c r="I97" s="7" t="n"/>
      <c r="J97" s="7" t="n"/>
      <c r="K97" s="7" t="n"/>
      <c r="L97" s="7">
        <f>IFERROR(MIN(I97:K97),"")</f>
        <v/>
      </c>
      <c r="M97" s="7" t="inlineStr"/>
      <c r="N97" s="7">
        <f>IF(L97="","",(G97-L97)*B97)</f>
        <v/>
      </c>
    </row>
    <row r="98">
      <c r="A98" s="7" t="n">
        <v>93</v>
      </c>
      <c r="B98" s="7" t="n">
        <v>2</v>
      </c>
      <c r="C98" s="7" t="inlineStr">
        <is>
          <t>BLK3+HVRR</t>
        </is>
      </c>
      <c r="D98" s="7" t="inlineStr">
        <is>
          <t>AMS3110E16-8P-ND</t>
        </is>
      </c>
      <c r="E98" s="7" t="inlineStr">
        <is>
          <t>8 Position Circular Connector Receptacle, Male Pins Solder Cup</t>
        </is>
      </c>
      <c r="F98" s="7" t="inlineStr">
        <is>
          <t>Digikey</t>
        </is>
      </c>
      <c r="G98" s="7" t="n">
        <v>17.9</v>
      </c>
      <c r="H98" s="7">
        <f>B98*G98</f>
        <v/>
      </c>
      <c r="I98" s="7" t="n"/>
      <c r="J98" s="7" t="n"/>
      <c r="K98" s="7" t="n"/>
      <c r="L98" s="7">
        <f>IFERROR(MIN(I98:K98),"")</f>
        <v/>
      </c>
      <c r="M98" s="7" t="inlineStr"/>
      <c r="N98" s="7">
        <f>IF(L98="","",(G98-L98)*B98)</f>
        <v/>
      </c>
    </row>
    <row r="99">
      <c r="A99" s="7" t="n">
        <v>94</v>
      </c>
      <c r="B99" s="7" t="n">
        <v>1</v>
      </c>
      <c r="C99" s="7" t="inlineStr">
        <is>
          <t>HVRR</t>
        </is>
      </c>
      <c r="D99" s="7" t="inlineStr">
        <is>
          <t>654-MS3106E20-29S</t>
        </is>
      </c>
      <c r="E99" s="7" t="inlineStr">
        <is>
          <t>17 Position Circular Connector Plug, Female Sockets Solder Cup</t>
        </is>
      </c>
      <c r="F99" s="7" t="inlineStr">
        <is>
          <t>Mouser</t>
        </is>
      </c>
      <c r="G99" s="7" t="n">
        <v>31.45</v>
      </c>
      <c r="H99" s="7">
        <f>B99*G99</f>
        <v/>
      </c>
      <c r="I99" s="7" t="n"/>
      <c r="J99" s="7" t="n"/>
      <c r="K99" s="7" t="n"/>
      <c r="L99" s="7">
        <f>IFERROR(MIN(I99:K99),"")</f>
        <v/>
      </c>
      <c r="M99" s="7" t="inlineStr"/>
      <c r="N99" s="7">
        <f>IF(L99="","",(G99-L99)*B99)</f>
        <v/>
      </c>
    </row>
    <row r="100">
      <c r="A100" s="7" t="n">
        <v>95</v>
      </c>
      <c r="B100" s="7" t="n">
        <v>64</v>
      </c>
      <c r="C100" s="7" t="inlineStr">
        <is>
          <t>BLK3+HVRR</t>
        </is>
      </c>
      <c r="D100" s="7" t="inlineStr">
        <is>
          <t>94803-01-ND</t>
        </is>
      </c>
      <c r="E100" s="7" t="inlineStr">
        <is>
          <t>0.250" (6.35mm) Quick Connect Female 18-22 AWG Crimp Connector Fully Insulated</t>
        </is>
      </c>
      <c r="F100" s="7" t="inlineStr">
        <is>
          <t>Digikey</t>
        </is>
      </c>
      <c r="G100" s="7" t="n">
        <v>0.49</v>
      </c>
      <c r="H100" s="7">
        <f>B100*G100</f>
        <v/>
      </c>
      <c r="I100" s="7" t="n"/>
      <c r="J100" s="7" t="n"/>
      <c r="K100" s="7" t="n"/>
      <c r="L100" s="7">
        <f>IFERROR(MIN(I100:K100),"")</f>
        <v/>
      </c>
      <c r="M100" s="7" t="inlineStr"/>
      <c r="N100" s="7">
        <f>IF(L100="","",(G100-L100)*B100)</f>
        <v/>
      </c>
    </row>
    <row r="101">
      <c r="A101" s="7" t="n">
        <v>96</v>
      </c>
      <c r="B101" s="7" t="n">
        <v>4</v>
      </c>
      <c r="C101" s="7" t="inlineStr">
        <is>
          <t>BLK3+HVRR</t>
        </is>
      </c>
      <c r="D101" s="7" t="inlineStr">
        <is>
          <t>TL1232-ND</t>
        </is>
      </c>
      <c r="E101" s="7" t="inlineStr">
        <is>
          <t>ADAPTER USB A PLUG TO USB A RCPT</t>
        </is>
      </c>
      <c r="F101" s="7" t="inlineStr">
        <is>
          <t>DigiKey</t>
        </is>
      </c>
      <c r="G101" s="7" t="n">
        <v>7.78</v>
      </c>
      <c r="H101" s="7">
        <f>B101*G101</f>
        <v/>
      </c>
      <c r="I101" s="7" t="n"/>
      <c r="J101" s="7" t="n"/>
      <c r="K101" s="7" t="n"/>
      <c r="L101" s="7">
        <f>IFERROR(MIN(I101:K101),"")</f>
        <v/>
      </c>
      <c r="M101" s="7" t="inlineStr"/>
      <c r="N101" s="7">
        <f>IF(L101="","",(G101-L101)*B101)</f>
        <v/>
      </c>
    </row>
    <row r="102">
      <c r="A102" s="7" t="n">
        <v>97</v>
      </c>
      <c r="B102" s="7" t="n">
        <v>20</v>
      </c>
      <c r="C102" s="7" t="inlineStr">
        <is>
          <t>BLK3+HVRR</t>
        </is>
      </c>
      <c r="D102" s="7" t="inlineStr">
        <is>
          <t>A16080-ND</t>
        </is>
      </c>
      <c r="E102" s="7" t="inlineStr">
        <is>
          <t>Socket Contact Crimp 16-18 AWG Stamped</t>
        </is>
      </c>
      <c r="F102" s="7" t="inlineStr">
        <is>
          <t>Digikey</t>
        </is>
      </c>
      <c r="G102" s="7" t="n">
        <v>1.48</v>
      </c>
      <c r="H102" s="7">
        <f>B102*G102</f>
        <v/>
      </c>
      <c r="I102" s="7" t="n"/>
      <c r="J102" s="7" t="n"/>
      <c r="K102" s="7" t="n"/>
      <c r="L102" s="7">
        <f>IFERROR(MIN(I102:K102),"")</f>
        <v/>
      </c>
      <c r="M102" s="7" t="inlineStr"/>
      <c r="N102" s="7">
        <f>IF(L102="","",(G102-L102)*B102)</f>
        <v/>
      </c>
    </row>
    <row r="103">
      <c r="A103" s="7" t="n">
        <v>98</v>
      </c>
      <c r="B103" s="7" t="n">
        <v>4</v>
      </c>
      <c r="C103" s="7" t="inlineStr">
        <is>
          <t>BLK3+HVRR</t>
        </is>
      </c>
      <c r="D103" s="7" t="inlineStr">
        <is>
          <t>SC1202-ND</t>
        </is>
      </c>
      <c r="E103" s="7" t="inlineStr">
        <is>
          <t>CONN PLUG MALE 2P GOLD SLDR CUP, Conxall/Switchcraft P/N 16282-311</t>
        </is>
      </c>
      <c r="F103" s="7" t="inlineStr">
        <is>
          <t>Digikey</t>
        </is>
      </c>
      <c r="G103" s="7" t="n">
        <v>7.33</v>
      </c>
      <c r="H103" s="7">
        <f>B103*G103</f>
        <v/>
      </c>
      <c r="I103" s="7" t="n"/>
      <c r="J103" s="7" t="n"/>
      <c r="K103" s="7" t="n"/>
      <c r="L103" s="7">
        <f>IFERROR(MIN(I103:K103),"")</f>
        <v/>
      </c>
      <c r="M103" s="7" t="inlineStr"/>
      <c r="N103" s="7">
        <f>IF(L103="","",(G103-L103)*B103)</f>
        <v/>
      </c>
    </row>
    <row r="104">
      <c r="A104" s="7" t="n">
        <v>99</v>
      </c>
      <c r="B104" s="7" t="n">
        <v>4</v>
      </c>
      <c r="C104" s="7" t="inlineStr">
        <is>
          <t>BLK3+HVRR</t>
        </is>
      </c>
      <c r="D104" s="7" t="inlineStr">
        <is>
          <t>SC1202-ND</t>
        </is>
      </c>
      <c r="E104" s="7" t="inlineStr">
        <is>
          <t>2 Position Circular Connector Plug, Male Pins Solder Cup</t>
        </is>
      </c>
      <c r="F104" s="7" t="inlineStr">
        <is>
          <t>Digikey</t>
        </is>
      </c>
      <c r="G104" s="7" t="n">
        <v>7.33</v>
      </c>
      <c r="H104" s="7">
        <f>B104*G104</f>
        <v/>
      </c>
      <c r="I104" s="7" t="n"/>
      <c r="J104" s="7" t="n"/>
      <c r="K104" s="7" t="n"/>
      <c r="L104" s="7">
        <f>IFERROR(MIN(I104:K104),"")</f>
        <v/>
      </c>
      <c r="M104" s="7" t="inlineStr"/>
      <c r="N104" s="7">
        <f>IF(L104="","",(G104-L104)*B104)</f>
        <v/>
      </c>
    </row>
    <row r="105">
      <c r="A105" s="7" t="n">
        <v>100</v>
      </c>
      <c r="B105" s="7" t="n">
        <v>4</v>
      </c>
      <c r="C105" s="7" t="inlineStr">
        <is>
          <t>BLK3+HVRR</t>
        </is>
      </c>
      <c r="D105" s="7" t="inlineStr">
        <is>
          <t>A1302-ND</t>
        </is>
      </c>
      <c r="E105" s="7" t="inlineStr">
        <is>
          <t>Female CPC 9 pin Connector</t>
        </is>
      </c>
      <c r="F105" s="7" t="inlineStr">
        <is>
          <t>Digikey</t>
        </is>
      </c>
      <c r="G105" s="7" t="n">
        <v>6.86</v>
      </c>
      <c r="H105" s="7">
        <f>B105*G105</f>
        <v/>
      </c>
      <c r="I105" s="7" t="n"/>
      <c r="J105" s="7" t="n"/>
      <c r="K105" s="7" t="n"/>
      <c r="L105" s="7">
        <f>IFERROR(MIN(I105:K105),"")</f>
        <v/>
      </c>
      <c r="M105" s="7" t="inlineStr"/>
      <c r="N105" s="7">
        <f>IF(L105="","",(G105-L105)*B105)</f>
        <v/>
      </c>
    </row>
    <row r="106">
      <c r="A106" s="7" t="n">
        <v>101</v>
      </c>
      <c r="B106" s="7" t="n">
        <v>18</v>
      </c>
      <c r="C106" s="7" t="inlineStr">
        <is>
          <t>BLK3+HVRR</t>
        </is>
      </c>
      <c r="D106" s="7" t="inlineStr">
        <is>
          <t>A16080-ND</t>
        </is>
      </c>
      <c r="E106" s="7" t="inlineStr">
        <is>
          <t>CONN SOCKET 16-18AWG GOLD CRIMP</t>
        </is>
      </c>
      <c r="F106" s="7" t="inlineStr">
        <is>
          <t>DigiKey</t>
        </is>
      </c>
      <c r="G106" s="7" t="n">
        <v>1.48</v>
      </c>
      <c r="H106" s="7">
        <f>B106*G106</f>
        <v/>
      </c>
      <c r="I106" s="7" t="n"/>
      <c r="J106" s="7" t="n"/>
      <c r="K106" s="7" t="n"/>
      <c r="L106" s="7">
        <f>IFERROR(MIN(I106:K106),"")</f>
        <v/>
      </c>
      <c r="M106" s="7" t="inlineStr"/>
      <c r="N106" s="7">
        <f>IF(L106="","",(G106-L106)*B106)</f>
        <v/>
      </c>
    </row>
    <row r="107">
      <c r="A107" s="7" t="n">
        <v>102</v>
      </c>
      <c r="B107" s="7" t="n">
        <v>4</v>
      </c>
      <c r="C107" s="7" t="inlineStr">
        <is>
          <t>BLK3+HVRR</t>
        </is>
      </c>
      <c r="D107" s="7" t="inlineStr">
        <is>
          <t>CB1AHF-M-12V-ND</t>
        </is>
      </c>
      <c r="E107" s="7" t="inlineStr">
        <is>
          <t>Panasonic Electric Works, P/N CB1AHF-M-12V, RELAY AUTOMOTIVE SPST 70A 12V</t>
        </is>
      </c>
      <c r="F107" s="7" t="inlineStr">
        <is>
          <t>DigiKey</t>
        </is>
      </c>
      <c r="G107" s="7" t="n">
        <v>6.65</v>
      </c>
      <c r="H107" s="7">
        <f>B107*G107</f>
        <v/>
      </c>
      <c r="I107" s="7" t="n"/>
      <c r="J107" s="7" t="n"/>
      <c r="K107" s="7" t="n"/>
      <c r="L107" s="7">
        <f>IFERROR(MIN(I107:K107),"")</f>
        <v/>
      </c>
      <c r="M107" s="7" t="inlineStr"/>
      <c r="N107" s="7">
        <f>IF(L107="","",(G107-L107)*B107)</f>
        <v/>
      </c>
    </row>
    <row r="108">
      <c r="A108" s="7" t="n">
        <v>103</v>
      </c>
      <c r="B108" s="7" t="n">
        <v>18</v>
      </c>
      <c r="C108" s="7" t="inlineStr">
        <is>
          <t>BLK3+HVRR</t>
        </is>
      </c>
      <c r="D108" s="7" t="inlineStr">
        <is>
          <t>A16080CT-ND</t>
        </is>
      </c>
      <c r="E108" s="7" t="inlineStr">
        <is>
          <t>CONN SOCKET 16-18AWG GOLD CRIMP</t>
        </is>
      </c>
      <c r="F108" s="7" t="inlineStr">
        <is>
          <t>DigiKey</t>
        </is>
      </c>
      <c r="G108" s="7" t="n">
        <v>1.35</v>
      </c>
      <c r="H108" s="7">
        <f>B108*G108</f>
        <v/>
      </c>
      <c r="I108" s="7" t="n"/>
      <c r="J108" s="7" t="n"/>
      <c r="K108" s="7" t="n"/>
      <c r="L108" s="7">
        <f>IFERROR(MIN(I108:K108),"")</f>
        <v/>
      </c>
      <c r="M108" s="7" t="inlineStr"/>
      <c r="N108" s="7">
        <f>IF(L108="","",(G108-L108)*B108)</f>
        <v/>
      </c>
    </row>
    <row r="109">
      <c r="A109" s="7" t="n">
        <v>104</v>
      </c>
      <c r="B109" s="7" t="n">
        <v>18</v>
      </c>
      <c r="C109" s="7" t="inlineStr">
        <is>
          <t>BLK3+HVRR</t>
        </is>
      </c>
      <c r="D109" s="7" t="inlineStr">
        <is>
          <t>A25107-ND</t>
        </is>
      </c>
      <c r="E109" s="7" t="inlineStr">
        <is>
          <t>CONN PIN 20-24AWG GOLD CRIMP</t>
        </is>
      </c>
      <c r="F109" s="7" t="inlineStr">
        <is>
          <t>DigiKey</t>
        </is>
      </c>
      <c r="G109" s="7" t="n">
        <v>1.27</v>
      </c>
      <c r="H109" s="7">
        <f>B109*G109</f>
        <v/>
      </c>
      <c r="I109" s="7" t="n"/>
      <c r="J109" s="7" t="n"/>
      <c r="K109" s="7" t="n"/>
      <c r="L109" s="7">
        <f>IFERROR(MIN(I109:K109),"")</f>
        <v/>
      </c>
      <c r="M109" s="7" t="inlineStr"/>
      <c r="N109" s="7">
        <f>IF(L109="","",(G109-L109)*B109)</f>
        <v/>
      </c>
    </row>
    <row r="110">
      <c r="A110" s="7" t="n">
        <v>105</v>
      </c>
      <c r="B110" s="7" t="n">
        <v>16</v>
      </c>
      <c r="C110" s="7" t="inlineStr">
        <is>
          <t>BLK3+HVRR</t>
        </is>
      </c>
      <c r="D110" s="7" t="inlineStr">
        <is>
          <t>A16080CT-ND</t>
        </is>
      </c>
      <c r="E110" s="7" t="inlineStr">
        <is>
          <t>CONN SOCKET 16-18AWG GOLD CRIMP</t>
        </is>
      </c>
      <c r="F110" s="7" t="inlineStr">
        <is>
          <t>Digikey</t>
        </is>
      </c>
      <c r="G110" s="7" t="n">
        <v>1.35</v>
      </c>
      <c r="H110" s="7">
        <f>B110*G110</f>
        <v/>
      </c>
      <c r="I110" s="7" t="n"/>
      <c r="J110" s="7" t="n"/>
      <c r="K110" s="7" t="n"/>
      <c r="L110" s="7">
        <f>IFERROR(MIN(I110:K110),"")</f>
        <v/>
      </c>
      <c r="M110" s="7" t="inlineStr"/>
      <c r="N110" s="7">
        <f>IF(L110="","",(G110-L110)*B110)</f>
        <v/>
      </c>
    </row>
    <row r="111">
      <c r="A111" s="7" t="n">
        <v>106</v>
      </c>
      <c r="B111" s="7" t="n">
        <v>12</v>
      </c>
      <c r="C111" s="7" t="inlineStr">
        <is>
          <t>BLK3+HVRR</t>
        </is>
      </c>
      <c r="D111" s="7" t="inlineStr">
        <is>
          <t>MSC10A-ND</t>
        </is>
      </c>
      <c r="E111" s="7" t="inlineStr">
        <is>
          <t>CONN RCPT 10P IDC 26-28AWG GOLD</t>
        </is>
      </c>
      <c r="F111" s="7" t="inlineStr">
        <is>
          <t>DigiKey</t>
        </is>
      </c>
      <c r="G111" s="7" t="n">
        <v>1.37</v>
      </c>
      <c r="H111" s="7">
        <f>B111*G111</f>
        <v/>
      </c>
      <c r="I111" s="7" t="n"/>
      <c r="J111" s="7" t="n"/>
      <c r="K111" s="7" t="n"/>
      <c r="L111" s="7">
        <f>IFERROR(MIN(I111:K111),"")</f>
        <v/>
      </c>
      <c r="M111" s="7" t="inlineStr"/>
      <c r="N111" s="7">
        <f>IF(L111="","",(G111-L111)*B111)</f>
        <v/>
      </c>
    </row>
    <row r="112">
      <c r="A112" s="7" t="n">
        <v>107</v>
      </c>
      <c r="B112" s="7" t="n">
        <v>2</v>
      </c>
      <c r="C112" s="7" t="inlineStr">
        <is>
          <t>BLK3+HVRR</t>
        </is>
      </c>
      <c r="D112" s="7" t="inlineStr">
        <is>
          <t>A1302-ND</t>
        </is>
      </c>
      <c r="E112" s="7" t="inlineStr">
        <is>
          <t>CONN PLUG HSG FMALE 9POS INLINE</t>
        </is>
      </c>
      <c r="F112" s="7" t="inlineStr">
        <is>
          <t>DigiKey</t>
        </is>
      </c>
      <c r="G112" s="7" t="n">
        <v>6.86</v>
      </c>
      <c r="H112" s="7">
        <f>B112*G112</f>
        <v/>
      </c>
      <c r="I112" s="7" t="n"/>
      <c r="J112" s="7" t="n"/>
      <c r="K112" s="7" t="n"/>
      <c r="L112" s="7">
        <f>IFERROR(MIN(I112:K112),"")</f>
        <v/>
      </c>
      <c r="M112" s="7" t="inlineStr"/>
      <c r="N112" s="7">
        <f>IF(L112="","",(G112-L112)*B112)</f>
        <v/>
      </c>
    </row>
    <row r="113">
      <c r="A113" s="7" t="n">
        <v>108</v>
      </c>
      <c r="B113" s="7" t="n">
        <v>2</v>
      </c>
      <c r="C113" s="7" t="inlineStr">
        <is>
          <t>BLK3+HVRR</t>
        </is>
      </c>
      <c r="D113" s="7" t="inlineStr">
        <is>
          <t>A1352-ND</t>
        </is>
      </c>
      <c r="E113" s="7" t="inlineStr">
        <is>
          <t>9 Position Circular Connector Receptacle Housing Free Hanging (In-Line)</t>
        </is>
      </c>
      <c r="F113" s="7" t="inlineStr">
        <is>
          <t>Digikey</t>
        </is>
      </c>
      <c r="G113" s="7" t="n">
        <v>6.71</v>
      </c>
      <c r="H113" s="7">
        <f>B113*G113</f>
        <v/>
      </c>
      <c r="I113" s="7" t="n"/>
      <c r="J113" s="7" t="n"/>
      <c r="K113" s="7" t="n"/>
      <c r="L113" s="7">
        <f>IFERROR(MIN(I113:K113),"")</f>
        <v/>
      </c>
      <c r="M113" s="7" t="inlineStr"/>
      <c r="N113" s="7">
        <f>IF(L113="","",(G113-L113)*B113)</f>
        <v/>
      </c>
    </row>
    <row r="114">
      <c r="A114" s="7" t="n">
        <v>109</v>
      </c>
      <c r="B114" s="7" t="n">
        <v>2</v>
      </c>
      <c r="C114" s="7" t="inlineStr">
        <is>
          <t>BLK3+HVRR</t>
        </is>
      </c>
      <c r="D114" s="7" t="inlineStr">
        <is>
          <t>A1352-ND</t>
        </is>
      </c>
      <c r="E114" s="7" t="inlineStr">
        <is>
          <t>CONN RCPT HSNG MALE 9POS INLINE</t>
        </is>
      </c>
      <c r="F114" s="7" t="inlineStr">
        <is>
          <t>Digikey</t>
        </is>
      </c>
      <c r="G114" s="7" t="n">
        <v>6.71</v>
      </c>
      <c r="H114" s="7">
        <f>B114*G114</f>
        <v/>
      </c>
      <c r="I114" s="7" t="n"/>
      <c r="J114" s="7" t="n"/>
      <c r="K114" s="7" t="n"/>
      <c r="L114" s="7">
        <f>IFERROR(MIN(I114:K114),"")</f>
        <v/>
      </c>
      <c r="M114" s="7" t="inlineStr"/>
      <c r="N114" s="7">
        <f>IF(L114="","",(G114-L114)*B114)</f>
        <v/>
      </c>
    </row>
    <row r="115">
      <c r="A115" s="7" t="n">
        <v>110</v>
      </c>
      <c r="B115" s="7" t="n">
        <v>6</v>
      </c>
      <c r="C115" s="7" t="inlineStr">
        <is>
          <t>BLK3+HVRR</t>
        </is>
      </c>
      <c r="D115" s="7" t="inlineStr">
        <is>
          <t>5923-0ZRS1000FF1A-ND</t>
        </is>
      </c>
      <c r="E115" s="7" t="inlineStr">
        <is>
          <t>Bell Fuse Inc, 0ZRS1000FF1A,  PTC RESET FUSE 32V 10A RADIAL</t>
        </is>
      </c>
      <c r="F115" s="7" t="inlineStr">
        <is>
          <t>DigiKey</t>
        </is>
      </c>
      <c r="G115" s="7" t="n">
        <v>2.12</v>
      </c>
      <c r="H115" s="7">
        <f>B115*G115</f>
        <v/>
      </c>
      <c r="I115" s="7" t="n"/>
      <c r="J115" s="7" t="n"/>
      <c r="K115" s="7" t="n"/>
      <c r="L115" s="7">
        <f>IFERROR(MIN(I115:K115),"")</f>
        <v/>
      </c>
      <c r="M115" s="7" t="inlineStr"/>
      <c r="N115" s="7">
        <f>IF(L115="","",(G115-L115)*B115)</f>
        <v/>
      </c>
    </row>
    <row r="116">
      <c r="A116" s="7" t="n">
        <v>111</v>
      </c>
      <c r="B116" s="7" t="n">
        <v>2</v>
      </c>
      <c r="C116" s="7" t="inlineStr">
        <is>
          <t>BLK3+HVRR</t>
        </is>
      </c>
      <c r="D116" s="7" t="inlineStr">
        <is>
          <t>A1351-ND</t>
        </is>
      </c>
      <c r="E116" s="7" t="inlineStr">
        <is>
          <t>CONN RCPT HSNG MALE 4POS INLINE</t>
        </is>
      </c>
      <c r="F116" s="7" t="inlineStr">
        <is>
          <t>Digikey</t>
        </is>
      </c>
      <c r="G116" s="7" t="n">
        <v>6.23</v>
      </c>
      <c r="H116" s="7">
        <f>B116*G116</f>
        <v/>
      </c>
      <c r="I116" s="7" t="n"/>
      <c r="J116" s="7" t="n"/>
      <c r="K116" s="7" t="n"/>
      <c r="L116" s="7">
        <f>IFERROR(MIN(I116:K116),"")</f>
        <v/>
      </c>
      <c r="M116" s="7" t="inlineStr"/>
      <c r="N116" s="7">
        <f>IF(L116="","",(G116-L116)*B116)</f>
        <v/>
      </c>
    </row>
    <row r="117">
      <c r="A117" s="7" t="n">
        <v>112</v>
      </c>
      <c r="B117" s="7" t="n">
        <v>8</v>
      </c>
      <c r="C117" s="7" t="inlineStr">
        <is>
          <t>BLK3+HVRR</t>
        </is>
      </c>
      <c r="D117" s="7" t="inlineStr">
        <is>
          <t>A16080-ND</t>
        </is>
      </c>
      <c r="E117" s="7" t="inlineStr">
        <is>
          <t>CONN SOCKET 16-18AWG GOLD CRIMP</t>
        </is>
      </c>
      <c r="F117" s="7" t="inlineStr">
        <is>
          <t>Digikey</t>
        </is>
      </c>
      <c r="G117" s="7" t="n">
        <v>1.48</v>
      </c>
      <c r="H117" s="7">
        <f>B117*G117</f>
        <v/>
      </c>
      <c r="I117" s="7" t="n"/>
      <c r="J117" s="7" t="n"/>
      <c r="K117" s="7" t="n"/>
      <c r="L117" s="7">
        <f>IFERROR(MIN(I117:K117),"")</f>
        <v/>
      </c>
      <c r="M117" s="7" t="inlineStr"/>
      <c r="N117" s="7">
        <f>IF(L117="","",(G117-L117)*B117)</f>
        <v/>
      </c>
    </row>
    <row r="118">
      <c r="A118" s="7" t="n">
        <v>113</v>
      </c>
      <c r="B118" s="7" t="n">
        <v>8</v>
      </c>
      <c r="C118" s="7" t="inlineStr">
        <is>
          <t>BLK3+HVRR</t>
        </is>
      </c>
      <c r="D118" s="7" t="inlineStr">
        <is>
          <t>A16080-ND</t>
        </is>
      </c>
      <c r="E118" s="7" t="inlineStr">
        <is>
          <t>Socket Contact Gold or PdNi +Gold Crimp 16-18 AWG Stamped</t>
        </is>
      </c>
      <c r="F118" s="7" t="inlineStr">
        <is>
          <t>Digikey</t>
        </is>
      </c>
      <c r="G118" s="7" t="n">
        <v>1.48</v>
      </c>
      <c r="H118" s="7">
        <f>B118*G118</f>
        <v/>
      </c>
      <c r="I118" s="7" t="n"/>
      <c r="J118" s="7" t="n"/>
      <c r="K118" s="7" t="n"/>
      <c r="L118" s="7">
        <f>IFERROR(MIN(I118:K118),"")</f>
        <v/>
      </c>
      <c r="M118" s="7" t="inlineStr"/>
      <c r="N118" s="7">
        <f>IF(L118="","",(G118-L118)*B118)</f>
        <v/>
      </c>
    </row>
    <row r="119">
      <c r="A119" s="7" t="n">
        <v>114</v>
      </c>
      <c r="B119" s="7" t="n">
        <v>8</v>
      </c>
      <c r="C119" s="7" t="inlineStr">
        <is>
          <t>BLK3+HVRR</t>
        </is>
      </c>
      <c r="D119" s="7" t="inlineStr">
        <is>
          <t>A1340-ND</t>
        </is>
      </c>
      <c r="E119" s="7" t="inlineStr">
        <is>
          <t>Pin Contact Gold or PdNi +Gold Crimp 16-18 AWG Stamped, TE Connectivity P/N 6609</t>
        </is>
      </c>
      <c r="F119" s="7" t="inlineStr">
        <is>
          <t>Digikey</t>
        </is>
      </c>
      <c r="G119" s="7" t="n">
        <v>1.42</v>
      </c>
      <c r="H119" s="7">
        <f>B119*G119</f>
        <v/>
      </c>
      <c r="I119" s="7" t="n"/>
      <c r="J119" s="7" t="n"/>
      <c r="K119" s="7" t="n"/>
      <c r="L119" s="7">
        <f>IFERROR(MIN(I119:K119),"")</f>
        <v/>
      </c>
      <c r="M119" s="7" t="inlineStr"/>
      <c r="N119" s="7">
        <f>IF(L119="","",(G119-L119)*B119)</f>
        <v/>
      </c>
    </row>
    <row r="120">
      <c r="A120" s="7" t="n">
        <v>115</v>
      </c>
      <c r="B120" s="7" t="n">
        <v>2</v>
      </c>
      <c r="C120" s="7" t="inlineStr">
        <is>
          <t>BLK3+HVRR</t>
        </is>
      </c>
      <c r="D120" s="7" t="inlineStr">
        <is>
          <t>A1303-ND</t>
        </is>
      </c>
      <c r="E120" s="7" t="inlineStr">
        <is>
          <t>CONN RCPT HSNG MALE 9POS PNL MNT</t>
        </is>
      </c>
      <c r="F120" s="7" t="inlineStr">
        <is>
          <t>DigiKey</t>
        </is>
      </c>
      <c r="G120" s="7" t="n">
        <v>5.68</v>
      </c>
      <c r="H120" s="7">
        <f>B120*G120</f>
        <v/>
      </c>
      <c r="I120" s="7" t="n"/>
      <c r="J120" s="7" t="n"/>
      <c r="K120" s="7" t="n"/>
      <c r="L120" s="7">
        <f>IFERROR(MIN(I120:K120),"")</f>
        <v/>
      </c>
      <c r="M120" s="7" t="inlineStr"/>
      <c r="N120" s="7">
        <f>IF(L120="","",(G120-L120)*B120)</f>
        <v/>
      </c>
    </row>
    <row r="121">
      <c r="A121" s="7" t="n">
        <v>116</v>
      </c>
      <c r="B121" s="7" t="n">
        <v>10</v>
      </c>
      <c r="C121" s="7" t="inlineStr">
        <is>
          <t>BLK3+HVRR</t>
        </is>
      </c>
      <c r="D121" s="7" t="inlineStr">
        <is>
          <t>455-3390-ND</t>
        </is>
      </c>
      <c r="E121" s="7" t="inlineStr">
        <is>
          <t>JUMPER 07KR-6S-P - 07KR-6S-P 6"</t>
        </is>
      </c>
      <c r="F121" s="7" t="inlineStr">
        <is>
          <t>DigiKey</t>
        </is>
      </c>
      <c r="G121" s="7" t="n">
        <v>0.76</v>
      </c>
      <c r="H121" s="7">
        <f>B121*G121</f>
        <v/>
      </c>
      <c r="I121" s="7" t="n"/>
      <c r="J121" s="7" t="n"/>
      <c r="K121" s="7" t="n"/>
      <c r="L121" s="7">
        <f>IFERROR(MIN(I121:K121),"")</f>
        <v/>
      </c>
      <c r="M121" s="7" t="inlineStr"/>
      <c r="N121" s="7">
        <f>IF(L121="","",(G121-L121)*B121)</f>
        <v/>
      </c>
    </row>
    <row r="122">
      <c r="A122" s="7" t="n">
        <v>117</v>
      </c>
      <c r="B122" s="7" t="n">
        <v>10</v>
      </c>
      <c r="C122" s="7" t="inlineStr">
        <is>
          <t>BLK3+HVRR</t>
        </is>
      </c>
      <c r="D122" s="7" t="inlineStr">
        <is>
          <t>609-1525-ND</t>
        </is>
      </c>
      <c r="E122" s="7" t="inlineStr">
        <is>
          <t>Amphenol ICC, P/N DE09S064TLF, CONN D-SUB RCPT 9POS SLDR CUP,  Female Sockets Co</t>
        </is>
      </c>
      <c r="F122" s="7" t="inlineStr">
        <is>
          <t>DigiKey</t>
        </is>
      </c>
      <c r="G122" s="7" t="n">
        <v>0.67</v>
      </c>
      <c r="H122" s="7">
        <f>B122*G122</f>
        <v/>
      </c>
      <c r="I122" s="7" t="n"/>
      <c r="J122" s="7" t="n"/>
      <c r="K122" s="7" t="n"/>
      <c r="L122" s="7">
        <f>IFERROR(MIN(I122:K122),"")</f>
        <v/>
      </c>
      <c r="M122" s="7" t="inlineStr"/>
      <c r="N122" s="7">
        <f>IF(L122="","",(G122-L122)*B122)</f>
        <v/>
      </c>
    </row>
    <row r="123">
      <c r="A123" s="7" t="n">
        <v>118</v>
      </c>
      <c r="B123" s="7" t="n">
        <v>10</v>
      </c>
      <c r="C123" s="7" t="inlineStr">
        <is>
          <t>BLK3+HVRR</t>
        </is>
      </c>
      <c r="D123" s="7" t="inlineStr">
        <is>
          <t>609-1524-ND</t>
        </is>
      </c>
      <c r="E123" s="7" t="inlineStr">
        <is>
          <t>Amphenol ICC, P/N DE09P064TXLF, CONN D-SUB RCPT 9 POS SLDR CUP, Male Pins Connec</t>
        </is>
      </c>
      <c r="F123" s="7" t="inlineStr">
        <is>
          <t>DigiKey</t>
        </is>
      </c>
      <c r="G123" s="7" t="n">
        <v>0.66</v>
      </c>
      <c r="H123" s="7">
        <f>B123*G123</f>
        <v/>
      </c>
      <c r="I123" s="7" t="n"/>
      <c r="J123" s="7" t="n"/>
      <c r="K123" s="7" t="n"/>
      <c r="L123" s="7">
        <f>IFERROR(MIN(I123:K123),"")</f>
        <v/>
      </c>
      <c r="M123" s="7" t="inlineStr"/>
      <c r="N123" s="7">
        <f>IF(L123="","",(G123-L123)*B123)</f>
        <v/>
      </c>
    </row>
    <row r="124">
      <c r="A124" s="7" t="n">
        <v>119</v>
      </c>
      <c r="B124" s="7" t="n">
        <v>6</v>
      </c>
      <c r="C124" s="7" t="inlineStr">
        <is>
          <t>BLK3+HVRR</t>
        </is>
      </c>
      <c r="D124" s="7" t="inlineStr">
        <is>
          <t>298-11486-1-ND</t>
        </is>
      </c>
      <c r="E124" s="7" t="inlineStr">
        <is>
          <t>CONN RING CIRC 10-12AWG #1/4</t>
        </is>
      </c>
      <c r="F124" s="7" t="inlineStr">
        <is>
          <t>Digikey</t>
        </is>
      </c>
      <c r="G124" s="7" t="n">
        <v>1</v>
      </c>
      <c r="H124" s="7">
        <f>B124*G124</f>
        <v/>
      </c>
      <c r="I124" s="7" t="n"/>
      <c r="J124" s="7" t="n"/>
      <c r="K124" s="7" t="n"/>
      <c r="L124" s="7">
        <f>IFERROR(MIN(I124:K124),"")</f>
        <v/>
      </c>
      <c r="M124" s="7" t="inlineStr"/>
      <c r="N124" s="7">
        <f>IF(L124="","",(G124-L124)*B124)</f>
        <v/>
      </c>
    </row>
    <row r="125">
      <c r="A125" s="7" t="n">
        <v>120</v>
      </c>
      <c r="B125" s="7" t="n">
        <v>2</v>
      </c>
      <c r="C125" s="7" t="inlineStr">
        <is>
          <t>BLK3+HVRR</t>
        </is>
      </c>
      <c r="D125" s="7" t="inlineStr"/>
      <c r="E125" s="7" t="inlineStr">
        <is>
          <t>6K Resistor</t>
        </is>
      </c>
      <c r="F125" s="7" t="inlineStr">
        <is>
          <t>Mouser</t>
        </is>
      </c>
      <c r="G125" s="7" t="n">
        <v>0</v>
      </c>
      <c r="H125" s="7">
        <f>B125*G125</f>
        <v/>
      </c>
      <c r="I125" s="7" t="n"/>
      <c r="J125" s="7" t="n"/>
      <c r="K125" s="7" t="n"/>
      <c r="L125" s="7">
        <f>IFERROR(MIN(I125:K125),"")</f>
        <v/>
      </c>
      <c r="M125" s="7" t="inlineStr"/>
      <c r="N125" s="7">
        <f>IF(L125="","",(G125-L125)*B125)</f>
        <v/>
      </c>
    </row>
    <row r="126">
      <c r="A126" s="7" t="n">
        <v>121</v>
      </c>
      <c r="B126" s="7" t="n">
        <v>2</v>
      </c>
      <c r="C126" s="7" t="inlineStr">
        <is>
          <t>BLK3+HVRR</t>
        </is>
      </c>
      <c r="D126" s="7" t="inlineStr"/>
      <c r="E126" s="7" t="inlineStr">
        <is>
          <t>10K Resistor</t>
        </is>
      </c>
      <c r="F126" s="7" t="inlineStr">
        <is>
          <t>Mouser</t>
        </is>
      </c>
      <c r="G126" s="7" t="n">
        <v>0</v>
      </c>
      <c r="H126" s="7">
        <f>B126*G126</f>
        <v/>
      </c>
      <c r="I126" s="7" t="n"/>
      <c r="J126" s="7" t="n"/>
      <c r="K126" s="7" t="n"/>
      <c r="L126" s="7">
        <f>IFERROR(MIN(I126:K126),"")</f>
        <v/>
      </c>
      <c r="M126" s="7" t="inlineStr"/>
      <c r="N126" s="7">
        <f>IF(L126="","",(G126-L126)*B126)</f>
        <v/>
      </c>
    </row>
    <row r="127">
      <c r="A127" s="7" t="n">
        <v>122</v>
      </c>
      <c r="B127" s="7" t="n">
        <v>0</v>
      </c>
      <c r="C127" s="7" t="inlineStr">
        <is>
          <t>BLK3+HVRR</t>
        </is>
      </c>
      <c r="D127" s="7" t="inlineStr">
        <is>
          <t>M3041-000005-05KPG</t>
        </is>
      </c>
      <c r="E127" s="7" t="inlineStr">
        <is>
          <t>TRANSDUCER 1-5V 5000# PRES</t>
        </is>
      </c>
      <c r="F127" s="7" t="inlineStr">
        <is>
          <t>Allied Electronics &amp; Automation</t>
        </is>
      </c>
      <c r="G127" s="7" t="n">
        <v>0</v>
      </c>
      <c r="H127" s="7">
        <f>B127*G127</f>
        <v/>
      </c>
      <c r="I127" s="7" t="n"/>
      <c r="J127" s="7" t="n"/>
      <c r="K127" s="7" t="n"/>
      <c r="L127" s="7">
        <f>IFERROR(MIN(I127:K127),"")</f>
        <v/>
      </c>
      <c r="M127" s="7" t="inlineStr"/>
      <c r="N127" s="7">
        <f>IF(L127="","",(G127-L127)*B127)</f>
        <v/>
      </c>
    </row>
    <row r="128">
      <c r="F128" s="3" t="inlineStr">
        <is>
          <t>GROUP TOTAL</t>
        </is>
      </c>
      <c r="H128" s="3">
        <f>SUM(H6:H127)</f>
        <v/>
      </c>
      <c r="N128" s="3">
        <f>SUM(N6:N127)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Fluid Systems · Valves · Fittings · Regulators</t>
        </is>
      </c>
    </row>
    <row r="2">
      <c r="A2" s="3" t="inlineStr">
        <is>
          <t>RFQ to (qualified suppliers):</t>
        </is>
      </c>
      <c r="C2" t="inlineStr">
        <is>
          <t>1) Swagelok    2) Parker (Ham-Let)    3) ASCO/Tescom (Emerson)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Swagelok $ea</t>
        </is>
      </c>
      <c r="J5" s="6" t="inlineStr">
        <is>
          <t>Parker (Ham-Let) $ea</t>
        </is>
      </c>
      <c r="K5" s="6" t="inlineStr">
        <is>
          <t>ASCO/Tescom (Emerson)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4</v>
      </c>
      <c r="C6" s="7" t="inlineStr">
        <is>
          <t>BLK3+HVRR</t>
        </is>
      </c>
      <c r="D6" s="7" t="inlineStr">
        <is>
          <t>873-D-NV-L</t>
        </is>
      </c>
      <c r="E6" s="7" t="inlineStr">
        <is>
          <t>873-D High Flow Dome Loaded Reducing Regulators</t>
        </is>
      </c>
      <c r="F6" s="7" t="inlineStr">
        <is>
          <t>Aqua Environments</t>
        </is>
      </c>
      <c r="G6" s="7" t="n">
        <v>889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4</v>
      </c>
      <c r="C7" s="7" t="inlineStr">
        <is>
          <t>BLK3+HVRR</t>
        </is>
      </c>
      <c r="D7" s="7" t="inlineStr">
        <is>
          <t>SCRDFSST 015-400</t>
        </is>
      </c>
      <c r="E7" s="7" t="inlineStr">
        <is>
          <t xml:space="preserve">SCRD Flat Seat Screw Type Forward Acting, Scored Rupture Disc. Size: DN 15 (NPS </t>
        </is>
      </c>
      <c r="F7" s="7" t="inlineStr">
        <is>
          <t>Swagelok - Texas Valve and Fitting</t>
        </is>
      </c>
      <c r="G7" s="7" t="n">
        <v>822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4</v>
      </c>
      <c r="C8" s="7" t="inlineStr">
        <is>
          <t>BLK3+HVRR</t>
        </is>
      </c>
      <c r="D8" s="7" t="inlineStr">
        <is>
          <t>SS-4R3A5-SC11</t>
        </is>
      </c>
      <c r="E8" s="7" t="inlineStr">
        <is>
          <t xml:space="preserve">Stainless Steel High Pressure Proportional Relief Valve, 1/4 in. MNPT x 1/4 in. </t>
        </is>
      </c>
      <c r="F8" s="7" t="inlineStr">
        <is>
          <t>Swagelok - Texas Valve and Fitting</t>
        </is>
      </c>
      <c r="G8" s="7" t="n">
        <v>373.46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8</v>
      </c>
      <c r="C9" s="7" t="inlineStr">
        <is>
          <t>BLK3+HVRR</t>
        </is>
      </c>
      <c r="D9" s="7" t="inlineStr">
        <is>
          <t>25BC-6/25MRS-6</t>
        </is>
      </c>
      <c r="E9" s="7" t="inlineStr">
        <is>
          <t>Chemiquip stainless steel snubbers/filters.  -6AN - 1/4" NPT M-M 90 degree fitti</t>
        </is>
      </c>
      <c r="F9" s="7" t="inlineStr">
        <is>
          <t>Chemiquipproducts.com</t>
        </is>
      </c>
      <c r="G9" s="7" t="n">
        <v>180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8</v>
      </c>
      <c r="C10" s="7" t="inlineStr">
        <is>
          <t>BLK3+HVRR</t>
        </is>
      </c>
      <c r="D10" s="7" t="inlineStr">
        <is>
          <t>D2064-LN2-C203</t>
        </is>
      </c>
      <c r="E10" s="7" t="inlineStr">
        <is>
          <t>Direct acting purge solenoids</t>
        </is>
      </c>
      <c r="F10" s="7" t="inlineStr">
        <is>
          <t>Gems Predyne</t>
        </is>
      </c>
      <c r="G10" s="7" t="n">
        <v>154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8</v>
      </c>
      <c r="C11" s="7" t="inlineStr">
        <is>
          <t>BLK3+HVRR</t>
        </is>
      </c>
      <c r="D11" s="7" t="inlineStr">
        <is>
          <t>D2064-LN2-C203</t>
        </is>
      </c>
      <c r="E11" s="7" t="inlineStr">
        <is>
          <t>Direct acting solenoid valves</t>
        </is>
      </c>
      <c r="F11" s="7" t="inlineStr">
        <is>
          <t>Gems Predyne</t>
        </is>
      </c>
      <c r="G11" s="7" t="n">
        <v>154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4</v>
      </c>
      <c r="C12" s="7" t="inlineStr">
        <is>
          <t>BLK3+HVRR</t>
        </is>
      </c>
      <c r="D12" s="7" t="inlineStr"/>
      <c r="E12" s="7" t="inlineStr">
        <is>
          <t>.50 100SB 10-316</t>
        </is>
      </c>
      <c r="F12" s="7" t="inlineStr">
        <is>
          <t>Swagelok - Texas Valve and Fitting</t>
        </is>
      </c>
      <c r="G12" s="7" t="n">
        <v>294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4</v>
      </c>
      <c r="C13" s="7" t="inlineStr">
        <is>
          <t>BLK3+HVRR</t>
        </is>
      </c>
      <c r="D13" s="7" t="inlineStr">
        <is>
          <t>MH1SS6124-624TBE-624TBE-8.2IN-OAL</t>
        </is>
      </c>
      <c r="E13" s="7" t="inlineStr">
        <is>
          <t>Fuel Flex Hose</t>
        </is>
      </c>
      <c r="F13" s="7" t="inlineStr">
        <is>
          <t>MIDWEST HOSE &amp; SPECIALTY, INC</t>
        </is>
      </c>
      <c r="G13" s="7" t="n">
        <v>205.05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2</v>
      </c>
      <c r="C14" s="7" t="inlineStr">
        <is>
          <t>BLK3+HVRR</t>
        </is>
      </c>
      <c r="D14" s="7" t="inlineStr">
        <is>
          <t>73216SN2MT00+N0C111C1</t>
        </is>
      </c>
      <c r="E14" s="7" t="inlineStr">
        <is>
          <t>SOLENOID VALVE, 2 WAY, NORMALLY CLOSED, 1/4" PORT, BRASS, 12VDC COIL</t>
        </is>
      </c>
      <c r="F14" s="7" t="inlineStr">
        <is>
          <t>Parker Engineering</t>
        </is>
      </c>
      <c r="G14" s="7" t="n">
        <v>378.06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A15" s="7" t="n">
        <v>10</v>
      </c>
      <c r="B15" s="7" t="n">
        <v>4</v>
      </c>
      <c r="C15" s="7" t="inlineStr">
        <is>
          <t>BLK3+HVRR</t>
        </is>
      </c>
      <c r="D15" s="7" t="inlineStr">
        <is>
          <t>2M2S</t>
        </is>
      </c>
      <c r="E15" s="7" t="inlineStr">
        <is>
          <t>1/4" x 1/4" Male NPT with snubber installed</t>
        </is>
      </c>
      <c r="F15" s="7" t="inlineStr">
        <is>
          <t>Chemiquipproducts.com</t>
        </is>
      </c>
      <c r="G15" s="7" t="n">
        <v>140</v>
      </c>
      <c r="H15" s="7">
        <f>B15*G15</f>
        <v/>
      </c>
      <c r="I15" s="7" t="n"/>
      <c r="J15" s="7" t="n"/>
      <c r="K15" s="7" t="n"/>
      <c r="L15" s="7">
        <f>IFERROR(MIN(I15:K15),"")</f>
        <v/>
      </c>
      <c r="M15" s="7" t="inlineStr"/>
      <c r="N15" s="7">
        <f>IF(L15="","",(G15-L15)*B15)</f>
        <v/>
      </c>
    </row>
    <row r="16">
      <c r="A16" s="7" t="n">
        <v>11</v>
      </c>
      <c r="B16" s="7" t="n">
        <v>2</v>
      </c>
      <c r="C16" s="7" t="inlineStr">
        <is>
          <t>BLK3+HVRR</t>
        </is>
      </c>
      <c r="D16" s="7" t="inlineStr">
        <is>
          <t>MH1SS6124-624TBE-624TBE-9.9IN-OAL</t>
        </is>
      </c>
      <c r="E16" s="7" t="inlineStr">
        <is>
          <t>LOX Hose B</t>
        </is>
      </c>
      <c r="F16" s="7" t="inlineStr">
        <is>
          <t>MIDWEST HOSE &amp; SPECIALTY, INC</t>
        </is>
      </c>
      <c r="G16" s="7" t="n">
        <v>205</v>
      </c>
      <c r="H16" s="7">
        <f>B16*G16</f>
        <v/>
      </c>
      <c r="I16" s="7" t="n"/>
      <c r="J16" s="7" t="n"/>
      <c r="K16" s="7" t="n"/>
      <c r="L16" s="7">
        <f>IFERROR(MIN(I16:K16),"")</f>
        <v/>
      </c>
      <c r="M16" s="7" t="inlineStr"/>
      <c r="N16" s="7">
        <f>IF(L16="","",(G16-L16)*B16)</f>
        <v/>
      </c>
    </row>
    <row r="17">
      <c r="A17" s="7" t="n">
        <v>12</v>
      </c>
      <c r="B17" s="7" t="n">
        <v>2</v>
      </c>
      <c r="C17" s="7" t="inlineStr">
        <is>
          <t>BLK3+HVRR</t>
        </is>
      </c>
      <c r="D17" s="7" t="inlineStr">
        <is>
          <t>MH1SS6124-624TBE-624TBE-6.5IN-OAL</t>
        </is>
      </c>
      <c r="E17" s="7" t="inlineStr">
        <is>
          <t>1-1/2" X 6.50" 316 SS 1 BRAID W/316 TUBE</t>
        </is>
      </c>
      <c r="F17" s="7" t="inlineStr">
        <is>
          <t>MIDWEST HOSE &amp; SPECIALTY, INC</t>
        </is>
      </c>
      <c r="G17" s="7" t="n">
        <v>204.4</v>
      </c>
      <c r="H17" s="7">
        <f>B17*G17</f>
        <v/>
      </c>
      <c r="I17" s="7" t="n"/>
      <c r="J17" s="7" t="n"/>
      <c r="K17" s="7" t="n"/>
      <c r="L17" s="7">
        <f>IFERROR(MIN(I17:K17),"")</f>
        <v/>
      </c>
      <c r="M17" s="7" t="inlineStr"/>
      <c r="N17" s="7">
        <f>IF(L17="","",(G17-L17)*B17)</f>
        <v/>
      </c>
    </row>
    <row r="18">
      <c r="A18" s="7" t="n">
        <v>13</v>
      </c>
      <c r="B18" s="7" t="n">
        <v>2</v>
      </c>
      <c r="C18" s="7" t="inlineStr">
        <is>
          <t>BLK3+HVRR</t>
        </is>
      </c>
      <c r="D18" s="7" t="inlineStr">
        <is>
          <t>1247-1</t>
        </is>
      </c>
      <c r="E18" s="7" t="inlineStr">
        <is>
          <t>1247 Inline Reducing Regulators 200-1000 psi</t>
        </is>
      </c>
      <c r="F18" s="7" t="inlineStr">
        <is>
          <t>Aqua Environments</t>
        </is>
      </c>
      <c r="G18" s="7" t="n">
        <v>117</v>
      </c>
      <c r="H18" s="7">
        <f>B18*G18</f>
        <v/>
      </c>
      <c r="I18" s="7" t="n"/>
      <c r="J18" s="7" t="n"/>
      <c r="K18" s="7" t="n"/>
      <c r="L18" s="7">
        <f>IFERROR(MIN(I18:K18),"")</f>
        <v/>
      </c>
      <c r="M18" s="7" t="inlineStr"/>
      <c r="N18" s="7">
        <f>IF(L18="","",(G18-L18)*B18)</f>
        <v/>
      </c>
    </row>
    <row r="19">
      <c r="A19" s="7" t="n">
        <v>14</v>
      </c>
      <c r="B19" s="7" t="n">
        <v>2</v>
      </c>
      <c r="C19" s="7" t="inlineStr">
        <is>
          <t>BLK3+HVRR</t>
        </is>
      </c>
      <c r="D19" s="7" t="inlineStr">
        <is>
          <t>PR-22</t>
        </is>
      </c>
      <c r="E19" s="7" t="inlineStr">
        <is>
          <t>1/4" 22 PSI Pressure Relief Valve</t>
        </is>
      </c>
      <c r="F19" s="7" t="inlineStr">
        <is>
          <t>Ratermann at www.RMIorder.com</t>
        </is>
      </c>
      <c r="G19" s="7" t="n">
        <v>64.12</v>
      </c>
      <c r="H19" s="7">
        <f>B19*G19</f>
        <v/>
      </c>
      <c r="I19" s="7" t="n"/>
      <c r="J19" s="7" t="n"/>
      <c r="K19" s="7" t="n"/>
      <c r="L19" s="7">
        <f>IFERROR(MIN(I19:K19),"")</f>
        <v/>
      </c>
      <c r="M19" s="7" t="inlineStr"/>
      <c r="N19" s="7">
        <f>IF(L19="","",(G19-L19)*B19)</f>
        <v/>
      </c>
    </row>
    <row r="20">
      <c r="A20" s="7" t="n">
        <v>15</v>
      </c>
      <c r="B20" s="7" t="n">
        <v>2</v>
      </c>
      <c r="C20" s="7" t="inlineStr">
        <is>
          <t>BLK3+HVRR</t>
        </is>
      </c>
      <c r="D20" s="7" t="inlineStr">
        <is>
          <t>SS-4CP2-10</t>
        </is>
      </c>
      <c r="E20" s="7" t="inlineStr">
        <is>
          <t>Stainless Steel 1-Piece Poppet Check Valve, Fixed Pressure, 1/4 in. MNPT, 10 psi</t>
        </is>
      </c>
      <c r="F20" s="7" t="inlineStr">
        <is>
          <t>Swagelok</t>
        </is>
      </c>
      <c r="G20" s="7" t="n">
        <v>58.15</v>
      </c>
      <c r="H20" s="7">
        <f>B20*G20</f>
        <v/>
      </c>
      <c r="I20" s="7" t="n"/>
      <c r="J20" s="7" t="n"/>
      <c r="K20" s="7" t="n"/>
      <c r="L20" s="7">
        <f>IFERROR(MIN(I20:K20),"")</f>
        <v/>
      </c>
      <c r="M20" s="7" t="inlineStr"/>
      <c r="N20" s="7">
        <f>IF(L20="","",(G20-L20)*B20)</f>
        <v/>
      </c>
    </row>
    <row r="21">
      <c r="A21" s="7" t="n">
        <v>16</v>
      </c>
      <c r="B21" s="7" t="n">
        <v>2</v>
      </c>
      <c r="C21" s="7" t="inlineStr">
        <is>
          <t>BLK3+HVRR</t>
        </is>
      </c>
      <c r="D21" s="7" t="inlineStr">
        <is>
          <t>PA-14</t>
        </is>
      </c>
      <c r="E21" s="7" t="inlineStr">
        <is>
          <t>Pipe-Away Adapter 1/4" NPT</t>
        </is>
      </c>
      <c r="F21" s="7" t="inlineStr">
        <is>
          <t>Ratermann at www.RMIorder.com</t>
        </is>
      </c>
      <c r="G21" s="7" t="n">
        <v>48.75</v>
      </c>
      <c r="H21" s="7">
        <f>B21*G21</f>
        <v/>
      </c>
      <c r="I21" s="7" t="n"/>
      <c r="J21" s="7" t="n"/>
      <c r="K21" s="7" t="n"/>
      <c r="L21" s="7">
        <f>IFERROR(MIN(I21:K21),"")</f>
        <v/>
      </c>
      <c r="M21" s="7" t="inlineStr"/>
      <c r="N21" s="7">
        <f>IF(L21="","",(G21-L21)*B21)</f>
        <v/>
      </c>
    </row>
    <row r="22">
      <c r="A22" s="7" t="n">
        <v>17</v>
      </c>
      <c r="B22" s="7" t="n">
        <v>2</v>
      </c>
      <c r="C22" s="7" t="inlineStr">
        <is>
          <t>BLK3+HVRR</t>
        </is>
      </c>
      <c r="D22" s="7" t="inlineStr">
        <is>
          <t>SS-600-6-6ANWD</t>
        </is>
      </c>
      <c r="E22" s="7" t="inlineStr">
        <is>
          <t xml:space="preserve">Stainless Steel Swagelok Tube Fitting, Union, 3/8 in. Tube OD x 3/8 in. AN Tube </t>
        </is>
      </c>
      <c r="F22" s="7" t="inlineStr">
        <is>
          <t>Swagelok</t>
        </is>
      </c>
      <c r="G22" s="7" t="n">
        <v>28</v>
      </c>
      <c r="H22" s="7">
        <f>B22*G22</f>
        <v/>
      </c>
      <c r="I22" s="7" t="n"/>
      <c r="J22" s="7" t="n"/>
      <c r="K22" s="7" t="n"/>
      <c r="L22" s="7">
        <f>IFERROR(MIN(I22:K22),"")</f>
        <v/>
      </c>
      <c r="M22" s="7" t="inlineStr"/>
      <c r="N22" s="7">
        <f>IF(L22="","",(G22-L22)*B22)</f>
        <v/>
      </c>
    </row>
    <row r="23">
      <c r="A23" s="7" t="n">
        <v>18</v>
      </c>
      <c r="B23" s="7" t="n">
        <v>2</v>
      </c>
      <c r="C23" s="7" t="inlineStr">
        <is>
          <t>BLK3+HVRR</t>
        </is>
      </c>
      <c r="D23" s="7" t="inlineStr">
        <is>
          <t>SS-200-7-4</t>
        </is>
      </c>
      <c r="E23" s="7" t="inlineStr">
        <is>
          <t>Stainless Steel Swagelok Tube Fitting, Female Connector, 1/8 in. Tube OD x 1/4 i</t>
        </is>
      </c>
      <c r="F23" s="7" t="inlineStr">
        <is>
          <t>Swagelok</t>
        </is>
      </c>
      <c r="G23" s="7" t="n">
        <v>22.05</v>
      </c>
      <c r="H23" s="7">
        <f>B23*G23</f>
        <v/>
      </c>
      <c r="I23" s="7" t="n"/>
      <c r="J23" s="7" t="n"/>
      <c r="K23" s="7" t="n"/>
      <c r="L23" s="7">
        <f>IFERROR(MIN(I23:K23),"")</f>
        <v/>
      </c>
      <c r="M23" s="7" t="inlineStr"/>
      <c r="N23" s="7">
        <f>IF(L23="","",(G23-L23)*B23)</f>
        <v/>
      </c>
    </row>
    <row r="24">
      <c r="A24" s="7" t="n">
        <v>19</v>
      </c>
      <c r="B24" s="7" t="n">
        <v>4</v>
      </c>
      <c r="C24" s="7" t="inlineStr">
        <is>
          <t>BLK3+HVRR</t>
        </is>
      </c>
      <c r="D24" s="7" t="inlineStr">
        <is>
          <t>177-R3A-K1-B</t>
        </is>
      </c>
      <c r="E24" s="7" t="inlineStr">
        <is>
          <t>Yellow Spring Kit for R3A Series Proportional Relief Valve, 350 to 750 psig (24.</t>
        </is>
      </c>
      <c r="F24" s="7" t="inlineStr">
        <is>
          <t>Swagelok - Texas Valve and Fitting</t>
        </is>
      </c>
      <c r="G24" s="7" t="n">
        <v>7.72</v>
      </c>
      <c r="H24" s="7">
        <f>B24*G24</f>
        <v/>
      </c>
      <c r="I24" s="7" t="n"/>
      <c r="J24" s="7" t="n"/>
      <c r="K24" s="7" t="n"/>
      <c r="L24" s="7">
        <f>IFERROR(MIN(I24:K24),"")</f>
        <v/>
      </c>
      <c r="M24" s="7" t="inlineStr"/>
      <c r="N24" s="7">
        <f>IF(L24="","",(G24-L24)*B24)</f>
        <v/>
      </c>
    </row>
    <row r="25">
      <c r="A25" s="7" t="n">
        <v>20</v>
      </c>
      <c r="B25" s="7" t="n">
        <v>2</v>
      </c>
      <c r="C25" s="7" t="inlineStr">
        <is>
          <t>BLK3+HVRR</t>
        </is>
      </c>
      <c r="D25" s="7" t="inlineStr">
        <is>
          <t>SS-200-1-2</t>
        </is>
      </c>
      <c r="E25" s="7" t="inlineStr">
        <is>
          <t>Stainless Steel Swagelok Tube Fitting, Male Connector, 1/8 in. Tube OD x 1/8 in.</t>
        </is>
      </c>
      <c r="F25" s="7" t="inlineStr">
        <is>
          <t>Swagelok</t>
        </is>
      </c>
      <c r="G25" s="7" t="n">
        <v>14.05</v>
      </c>
      <c r="H25" s="7">
        <f>B25*G25</f>
        <v/>
      </c>
      <c r="I25" s="7" t="n"/>
      <c r="J25" s="7" t="n"/>
      <c r="K25" s="7" t="n"/>
      <c r="L25" s="7">
        <f>IFERROR(MIN(I25:K25),"")</f>
        <v/>
      </c>
      <c r="M25" s="7" t="inlineStr"/>
      <c r="N25" s="7">
        <f>IF(L25="","",(G25-L25)*B25)</f>
        <v/>
      </c>
    </row>
    <row r="26">
      <c r="F26" s="3" t="inlineStr">
        <is>
          <t>GROUP TOTAL</t>
        </is>
      </c>
      <c r="H26" s="3">
        <f>SUM(H6:H25)</f>
        <v/>
      </c>
      <c r="N26" s="3">
        <f>SUM(N6:N25)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MRO · Fasteners · Raw Stock</t>
        </is>
      </c>
    </row>
    <row r="2">
      <c r="A2" s="3" t="inlineStr">
        <is>
          <t>RFQ to (qualified suppliers):</t>
        </is>
      </c>
      <c r="C2" t="inlineStr">
        <is>
          <t>1) McMaster-Carr    2) Grainger    3) MSC Industrial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McMaster-Carr $ea</t>
        </is>
      </c>
      <c r="J5" s="6" t="inlineStr">
        <is>
          <t>Grainger $ea</t>
        </is>
      </c>
      <c r="K5" s="6" t="inlineStr">
        <is>
          <t>MSC Industrial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16</v>
      </c>
      <c r="C6" s="7" t="inlineStr">
        <is>
          <t>BLK3+HVRR</t>
        </is>
      </c>
      <c r="D6" s="7" t="inlineStr">
        <is>
          <t>YC1390BT2T</t>
        </is>
      </c>
      <c r="E6" s="7" t="inlineStr">
        <is>
          <t>Jefferson Solenoid P/N YC1390BT2T</t>
        </is>
      </c>
      <c r="F6" s="7" t="inlineStr">
        <is>
          <t>Radwell</t>
        </is>
      </c>
      <c r="G6" s="7" t="n">
        <v>201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16</v>
      </c>
      <c r="C7" s="7" t="inlineStr">
        <is>
          <t>BLK3+HVRR</t>
        </is>
      </c>
      <c r="D7" s="7" t="inlineStr">
        <is>
          <t>YC1390BT2T</t>
        </is>
      </c>
      <c r="E7" s="7" t="inlineStr">
        <is>
          <t>Jefferson YC1390BT2T, large ACS valve stem, spring, plunger,  coil.  Plunger and</t>
        </is>
      </c>
      <c r="F7" s="7" t="inlineStr">
        <is>
          <t>RADWELL</t>
        </is>
      </c>
      <c r="G7" s="7" t="n">
        <v>201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2</v>
      </c>
      <c r="C8" s="7" t="inlineStr">
        <is>
          <t>BLK3+HVRR</t>
        </is>
      </c>
      <c r="D8" s="7" t="inlineStr"/>
      <c r="E8" s="7" t="inlineStr">
        <is>
          <t>Bulkhead</t>
        </is>
      </c>
      <c r="F8" s="7" t="inlineStr">
        <is>
          <t>Trident Metals</t>
        </is>
      </c>
      <c r="G8" s="7" t="n">
        <v>835.8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2</v>
      </c>
      <c r="C9" s="7" t="inlineStr">
        <is>
          <t>BLK3+HVRR</t>
        </is>
      </c>
      <c r="D9" s="7" t="inlineStr"/>
      <c r="E9" s="7" t="inlineStr">
        <is>
          <t>SS Plate 304, 12x12x0.50</t>
        </is>
      </c>
      <c r="F9" s="7" t="inlineStr">
        <is>
          <t>Dix Metals</t>
        </is>
      </c>
      <c r="G9" s="7" t="n">
        <v>691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2</v>
      </c>
      <c r="C10" s="7" t="inlineStr">
        <is>
          <t>BLK3+HVRR</t>
        </is>
      </c>
      <c r="D10" s="7" t="inlineStr">
        <is>
          <t>8974K97</t>
        </is>
      </c>
      <c r="E10" s="7" t="inlineStr">
        <is>
          <t>Multipurpose 6061 Aluminum, 4" Diameter 6" length</t>
        </is>
      </c>
      <c r="F10" s="7" t="inlineStr">
        <is>
          <t>McMaster-Carr</t>
        </is>
      </c>
      <c r="G10" s="7" t="n">
        <v>636.48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2</v>
      </c>
      <c r="C11" s="7" t="inlineStr">
        <is>
          <t>BLK3+HVRR</t>
        </is>
      </c>
      <c r="D11" s="7" t="inlineStr">
        <is>
          <t>89155K16</t>
        </is>
      </c>
      <c r="E11" s="7" t="inlineStr">
        <is>
          <t>Oversized Multipurpose 6061 Aluminum Sheet, 1" Thick, 24" x 24"</t>
        </is>
      </c>
      <c r="F11" s="7" t="inlineStr">
        <is>
          <t>McMaster-Carr</t>
        </is>
      </c>
      <c r="G11" s="7" t="n">
        <v>632.09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16</v>
      </c>
      <c r="C12" s="7" t="inlineStr">
        <is>
          <t>BLK3+HVRR</t>
        </is>
      </c>
      <c r="D12" s="7" t="inlineStr">
        <is>
          <t>2026BV171T</t>
        </is>
      </c>
      <c r="E12" s="7" t="inlineStr">
        <is>
          <t>2026BV171T-12VDC,  Brass 1/8 in  300 psig 302 ºF 0.068 in FKM 12 VDC 20 bar  150</t>
        </is>
      </c>
      <c r="F12" s="7" t="inlineStr">
        <is>
          <t>Radwell</t>
        </is>
      </c>
      <c r="G12" s="7" t="n">
        <v>77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16</v>
      </c>
      <c r="C13" s="7" t="inlineStr">
        <is>
          <t>BLK3+HVRR</t>
        </is>
      </c>
      <c r="D13" s="7" t="inlineStr">
        <is>
          <t>2026BV171T</t>
        </is>
      </c>
      <c r="E13" s="7" t="inlineStr">
        <is>
          <t xml:space="preserve">2026BV171T-12VDC    Brass    1/8 in    300 psig    302 ºF    0.068 in    FKM    </t>
        </is>
      </c>
      <c r="F13" s="7" t="inlineStr">
        <is>
          <t>RADWELL</t>
        </is>
      </c>
      <c r="G13" s="7" t="n">
        <v>77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2</v>
      </c>
      <c r="C14" s="7" t="inlineStr">
        <is>
          <t>BLK3+HVRR</t>
        </is>
      </c>
      <c r="D14" s="7" t="inlineStr"/>
      <c r="E14" s="7" t="inlineStr">
        <is>
          <t>SS Plate 316 / 9x9x.50, Precision Ground 2 Faces</t>
        </is>
      </c>
      <c r="F14" s="7" t="inlineStr">
        <is>
          <t>Dix Metals</t>
        </is>
      </c>
      <c r="G14" s="7" t="n">
        <v>568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A15" s="7" t="n">
        <v>10</v>
      </c>
      <c r="B15" s="7" t="n">
        <v>4</v>
      </c>
      <c r="C15" s="7" t="inlineStr">
        <is>
          <t>BLK3+HVRR</t>
        </is>
      </c>
      <c r="D15" s="7" t="inlineStr">
        <is>
          <t>YC1390BT4T</t>
        </is>
      </c>
      <c r="E15" s="7" t="inlineStr">
        <is>
          <t>Jefferson Piloted Solenoid valves 1/2" Female inlet and outlet</t>
        </is>
      </c>
      <c r="F15" s="7" t="inlineStr">
        <is>
          <t>Radwell</t>
        </is>
      </c>
      <c r="G15" s="7" t="n">
        <v>278</v>
      </c>
      <c r="H15" s="7">
        <f>B15*G15</f>
        <v/>
      </c>
      <c r="I15" s="7" t="n"/>
      <c r="J15" s="7" t="n"/>
      <c r="K15" s="7" t="n"/>
      <c r="L15" s="7">
        <f>IFERROR(MIN(I15:K15),"")</f>
        <v/>
      </c>
      <c r="M15" s="7" t="inlineStr"/>
      <c r="N15" s="7">
        <f>IF(L15="","",(G15-L15)*B15)</f>
        <v/>
      </c>
    </row>
    <row r="16">
      <c r="A16" s="7" t="n">
        <v>11</v>
      </c>
      <c r="B16" s="7" t="n">
        <v>2</v>
      </c>
      <c r="C16" s="7" t="inlineStr">
        <is>
          <t>BLK3+HVRR</t>
        </is>
      </c>
      <c r="D16" s="7" t="inlineStr"/>
      <c r="E16" s="7" t="inlineStr">
        <is>
          <t>SS Sheet 304 11GA  #3  12.0 x 12.0</t>
        </is>
      </c>
      <c r="F16" s="7" t="inlineStr">
        <is>
          <t>Dix Metals</t>
        </is>
      </c>
      <c r="G16" s="7" t="n">
        <v>550</v>
      </c>
      <c r="H16" s="7">
        <f>B16*G16</f>
        <v/>
      </c>
      <c r="I16" s="7" t="n"/>
      <c r="J16" s="7" t="n"/>
      <c r="K16" s="7" t="n"/>
      <c r="L16" s="7">
        <f>IFERROR(MIN(I16:K16),"")</f>
        <v/>
      </c>
      <c r="M16" s="7" t="inlineStr"/>
      <c r="N16" s="7">
        <f>IF(L16="","",(G16-L16)*B16)</f>
        <v/>
      </c>
    </row>
    <row r="17">
      <c r="A17" s="7" t="n">
        <v>12</v>
      </c>
      <c r="B17" s="7" t="n">
        <v>2</v>
      </c>
      <c r="C17" s="7" t="inlineStr">
        <is>
          <t>BLK3+HVRR</t>
        </is>
      </c>
      <c r="D17" s="7" t="inlineStr"/>
      <c r="E17" s="7" t="inlineStr">
        <is>
          <t>SS Plate 304 / 12x12x1.250</t>
        </is>
      </c>
      <c r="F17" s="7" t="inlineStr">
        <is>
          <t>Dix Metals</t>
        </is>
      </c>
      <c r="G17" s="7" t="n">
        <v>530</v>
      </c>
      <c r="H17" s="7">
        <f>B17*G17</f>
        <v/>
      </c>
      <c r="I17" s="7" t="n"/>
      <c r="J17" s="7" t="n"/>
      <c r="K17" s="7" t="n"/>
      <c r="L17" s="7">
        <f>IFERROR(MIN(I17:K17),"")</f>
        <v/>
      </c>
      <c r="M17" s="7" t="inlineStr"/>
      <c r="N17" s="7">
        <f>IF(L17="","",(G17-L17)*B17)</f>
        <v/>
      </c>
    </row>
    <row r="18">
      <c r="A18" s="7" t="n">
        <v>13</v>
      </c>
      <c r="B18" s="7" t="n">
        <v>2</v>
      </c>
      <c r="C18" s="7" t="inlineStr">
        <is>
          <t>BLK3+HVRR</t>
        </is>
      </c>
      <c r="D18" s="7" t="inlineStr"/>
      <c r="E18" s="7" t="inlineStr">
        <is>
          <t>SS Plate 304 / 8x8x0.375</t>
        </is>
      </c>
      <c r="F18" s="7" t="inlineStr">
        <is>
          <t>Dix Metals</t>
        </is>
      </c>
      <c r="G18" s="7" t="n">
        <v>528</v>
      </c>
      <c r="H18" s="7">
        <f>B18*G18</f>
        <v/>
      </c>
      <c r="I18" s="7" t="n"/>
      <c r="J18" s="7" t="n"/>
      <c r="K18" s="7" t="n"/>
      <c r="L18" s="7">
        <f>IFERROR(MIN(I18:K18),"")</f>
        <v/>
      </c>
      <c r="M18" s="7" t="inlineStr"/>
      <c r="N18" s="7">
        <f>IF(L18="","",(G18-L18)*B18)</f>
        <v/>
      </c>
    </row>
    <row r="19">
      <c r="A19" s="7" t="n">
        <v>14</v>
      </c>
      <c r="B19" s="7" t="n">
        <v>2</v>
      </c>
      <c r="C19" s="7" t="inlineStr">
        <is>
          <t>BLK3+HVRR</t>
        </is>
      </c>
      <c r="D19" s="7" t="inlineStr"/>
      <c r="E19" s="7" t="inlineStr">
        <is>
          <t>SS Sheet 304 11GA  #3  9.0 x 9.0</t>
        </is>
      </c>
      <c r="F19" s="7" t="inlineStr">
        <is>
          <t>Dix Metals</t>
        </is>
      </c>
      <c r="G19" s="7" t="n">
        <v>515</v>
      </c>
      <c r="H19" s="7">
        <f>B19*G19</f>
        <v/>
      </c>
      <c r="I19" s="7" t="n"/>
      <c r="J19" s="7" t="n"/>
      <c r="K19" s="7" t="n"/>
      <c r="L19" s="7">
        <f>IFERROR(MIN(I19:K19),"")</f>
        <v/>
      </c>
      <c r="M19" s="7" t="inlineStr"/>
      <c r="N19" s="7">
        <f>IF(L19="","",(G19-L19)*B19)</f>
        <v/>
      </c>
    </row>
    <row r="20">
      <c r="A20" s="7" t="n">
        <v>15</v>
      </c>
      <c r="B20" s="7" t="n">
        <v>2</v>
      </c>
      <c r="C20" s="7" t="inlineStr">
        <is>
          <t>BLK3+HVRR</t>
        </is>
      </c>
      <c r="D20" s="7" t="inlineStr"/>
      <c r="E20" s="7" t="inlineStr">
        <is>
          <t>SS Plate, 304 6x6x0.25</t>
        </is>
      </c>
      <c r="F20" s="7" t="inlineStr">
        <is>
          <t>Dix Metals</t>
        </is>
      </c>
      <c r="G20" s="7" t="n">
        <v>485</v>
      </c>
      <c r="H20" s="7">
        <f>B20*G20</f>
        <v/>
      </c>
      <c r="I20" s="7" t="n"/>
      <c r="J20" s="7" t="n"/>
      <c r="K20" s="7" t="n"/>
      <c r="L20" s="7">
        <f>IFERROR(MIN(I20:K20),"")</f>
        <v/>
      </c>
      <c r="M20" s="7" t="inlineStr"/>
      <c r="N20" s="7">
        <f>IF(L20="","",(G20-L20)*B20)</f>
        <v/>
      </c>
    </row>
    <row r="21">
      <c r="A21" s="7" t="n">
        <v>16</v>
      </c>
      <c r="B21" s="7" t="n">
        <v>8</v>
      </c>
      <c r="C21" s="7" t="inlineStr">
        <is>
          <t>BLK3+HVRR</t>
        </is>
      </c>
      <c r="D21" s="7" t="inlineStr">
        <is>
          <t>43485K119</t>
        </is>
      </c>
      <c r="E21" s="7" t="inlineStr">
        <is>
          <t>Standard-Wall Butt-Weld Aluminum Unthreaded Pipe Fitting, 90 Degree Elbow Connec</t>
        </is>
      </c>
      <c r="F21" s="7" t="inlineStr">
        <is>
          <t>McMaster-Carr</t>
        </is>
      </c>
      <c r="G21" s="7" t="n">
        <v>121.05</v>
      </c>
      <c r="H21" s="7">
        <f>B21*G21</f>
        <v/>
      </c>
      <c r="I21" s="7" t="n"/>
      <c r="J21" s="7" t="n"/>
      <c r="K21" s="7" t="n"/>
      <c r="L21" s="7">
        <f>IFERROR(MIN(I21:K21),"")</f>
        <v/>
      </c>
      <c r="M21" s="7" t="inlineStr"/>
      <c r="N21" s="7">
        <f>IF(L21="","",(G21-L21)*B21)</f>
        <v/>
      </c>
    </row>
    <row r="22">
      <c r="A22" s="7" t="n">
        <v>17</v>
      </c>
      <c r="B22" s="7" t="n">
        <v>2</v>
      </c>
      <c r="C22" s="7" t="inlineStr">
        <is>
          <t>BLK3+HVRR</t>
        </is>
      </c>
      <c r="D22" s="7" t="inlineStr"/>
      <c r="E22" s="7" t="inlineStr">
        <is>
          <t>SS Plate, 304 6x6x0.125</t>
        </is>
      </c>
      <c r="F22" s="7" t="inlineStr">
        <is>
          <t>Dix Metals</t>
        </is>
      </c>
      <c r="G22" s="7" t="n">
        <v>450</v>
      </c>
      <c r="H22" s="7">
        <f>B22*G22</f>
        <v/>
      </c>
      <c r="I22" s="7" t="n"/>
      <c r="J22" s="7" t="n"/>
      <c r="K22" s="7" t="n"/>
      <c r="L22" s="7">
        <f>IFERROR(MIN(I22:K22),"")</f>
        <v/>
      </c>
      <c r="M22" s="7" t="inlineStr"/>
      <c r="N22" s="7">
        <f>IF(L22="","",(G22-L22)*B22)</f>
        <v/>
      </c>
    </row>
    <row r="23">
      <c r="A23" s="7" t="n">
        <v>18</v>
      </c>
      <c r="B23" s="7" t="n">
        <v>4</v>
      </c>
      <c r="C23" s="7" t="inlineStr">
        <is>
          <t>BLK3+HVRR</t>
        </is>
      </c>
      <c r="D23" s="7" t="inlineStr">
        <is>
          <t>4684T11</t>
        </is>
      </c>
      <c r="E23" s="7" t="inlineStr">
        <is>
          <t>Thick-Wall Butt-Weld Aluminum Unthreaded Fitting, 90 Degree Elbow Connector, 1/2</t>
        </is>
      </c>
      <c r="F23" s="7" t="inlineStr">
        <is>
          <t>McMaster-Carr</t>
        </is>
      </c>
      <c r="G23" s="7" t="n">
        <v>211.57</v>
      </c>
      <c r="H23" s="7">
        <f>B23*G23</f>
        <v/>
      </c>
      <c r="I23" s="7" t="n"/>
      <c r="J23" s="7" t="n"/>
      <c r="K23" s="7" t="n"/>
      <c r="L23" s="7">
        <f>IFERROR(MIN(I23:K23),"")</f>
        <v/>
      </c>
      <c r="M23" s="7" t="inlineStr"/>
      <c r="N23" s="7">
        <f>IF(L23="","",(G23-L23)*B23)</f>
        <v/>
      </c>
    </row>
    <row r="24">
      <c r="A24" s="7" t="n">
        <v>19</v>
      </c>
      <c r="B24" s="7" t="n">
        <v>2</v>
      </c>
      <c r="C24" s="7" t="inlineStr">
        <is>
          <t>BLK3+HVRR</t>
        </is>
      </c>
      <c r="D24" s="7" t="inlineStr">
        <is>
          <t>5038K138</t>
        </is>
      </c>
      <c r="E24" s="7" t="inlineStr">
        <is>
          <t>Standard-Wall Aluminum Pipe, Threaded on Both Ends, 1-1/2 NPT, 120" Long</t>
        </is>
      </c>
      <c r="F24" s="7" t="inlineStr">
        <is>
          <t>McMaster-Carr</t>
        </is>
      </c>
      <c r="G24" s="7" t="n">
        <v>400.46</v>
      </c>
      <c r="H24" s="7">
        <f>B24*G24</f>
        <v/>
      </c>
      <c r="I24" s="7" t="n"/>
      <c r="J24" s="7" t="n"/>
      <c r="K24" s="7" t="n"/>
      <c r="L24" s="7">
        <f>IFERROR(MIN(I24:K24),"")</f>
        <v/>
      </c>
      <c r="M24" s="7" t="inlineStr"/>
      <c r="N24" s="7">
        <f>IF(L24="","",(G24-L24)*B24)</f>
        <v/>
      </c>
    </row>
    <row r="25">
      <c r="A25" s="7" t="n">
        <v>20</v>
      </c>
      <c r="B25" s="7" t="n">
        <v>2</v>
      </c>
      <c r="C25" s="7" t="inlineStr">
        <is>
          <t>BLK3+HVRR</t>
        </is>
      </c>
      <c r="D25" s="7" t="inlineStr">
        <is>
          <t>755TA600D</t>
        </is>
      </c>
      <c r="E25" s="7" t="inlineStr">
        <is>
          <t>1/2" Tee Buttweld S/40s Seamless Aluminum 6061-T6 B361</t>
        </is>
      </c>
      <c r="F25" s="7" t="inlineStr">
        <is>
          <t>PIPINGNOW</t>
        </is>
      </c>
      <c r="G25" s="7" t="n">
        <v>293.63</v>
      </c>
      <c r="H25" s="7">
        <f>B25*G25</f>
        <v/>
      </c>
      <c r="I25" s="7" t="n"/>
      <c r="J25" s="7" t="n"/>
      <c r="K25" s="7" t="n"/>
      <c r="L25" s="7">
        <f>IFERROR(MIN(I25:K25),"")</f>
        <v/>
      </c>
      <c r="M25" s="7" t="inlineStr"/>
      <c r="N25" s="7">
        <f>IF(L25="","",(G25-L25)*B25)</f>
        <v/>
      </c>
    </row>
    <row r="26">
      <c r="A26" s="7" t="n">
        <v>21</v>
      </c>
      <c r="B26" s="7" t="n">
        <v>8</v>
      </c>
      <c r="C26" s="7" t="inlineStr">
        <is>
          <t>BLK3+HVRR</t>
        </is>
      </c>
      <c r="D26" s="7" t="inlineStr">
        <is>
          <t>4468K814</t>
        </is>
      </c>
      <c r="E26" s="7" t="inlineStr">
        <is>
          <t>High-Pressure Braided Chemical Hose with Fittings, Brass 7/8"-14 Thread Size Fla</t>
        </is>
      </c>
      <c r="F26" s="7" t="inlineStr">
        <is>
          <t>McMaster-Carr</t>
        </is>
      </c>
      <c r="G26" s="7" t="n">
        <v>53.15</v>
      </c>
      <c r="H26" s="7">
        <f>B26*G26</f>
        <v/>
      </c>
      <c r="I26" s="7" t="n"/>
      <c r="J26" s="7" t="n"/>
      <c r="K26" s="7" t="n"/>
      <c r="L26" s="7">
        <f>IFERROR(MIN(I26:K26),"")</f>
        <v/>
      </c>
      <c r="M26" s="7" t="inlineStr"/>
      <c r="N26" s="7">
        <f>IF(L26="","",(G26-L26)*B26)</f>
        <v/>
      </c>
    </row>
    <row r="27">
      <c r="A27" s="7" t="n">
        <v>22</v>
      </c>
      <c r="B27" s="7" t="n">
        <v>4</v>
      </c>
      <c r="C27" s="7" t="inlineStr">
        <is>
          <t>BLK3+HVRR</t>
        </is>
      </c>
      <c r="D27" s="7" t="inlineStr">
        <is>
          <t>43485K124</t>
        </is>
      </c>
      <c r="E27" s="7" t="inlineStr">
        <is>
          <t>Standard-Wall Butt-Weld Aluminum Unthreaded Pipe Fitting, 90 Degree Elbow Connec</t>
        </is>
      </c>
      <c r="F27" s="7" t="inlineStr">
        <is>
          <t>McMaster-Carr</t>
        </is>
      </c>
      <c r="G27" s="7" t="n">
        <v>105.26</v>
      </c>
      <c r="H27" s="7">
        <f>B27*G27</f>
        <v/>
      </c>
      <c r="I27" s="7" t="n"/>
      <c r="J27" s="7" t="n"/>
      <c r="K27" s="7" t="n"/>
      <c r="L27" s="7">
        <f>IFERROR(MIN(I27:K27),"")</f>
        <v/>
      </c>
      <c r="M27" s="7" t="inlineStr"/>
      <c r="N27" s="7">
        <f>IF(L27="","",(G27-L27)*B27)</f>
        <v/>
      </c>
    </row>
    <row r="28">
      <c r="A28" s="7" t="n">
        <v>23</v>
      </c>
      <c r="B28" s="7" t="n">
        <v>8</v>
      </c>
      <c r="C28" s="7" t="inlineStr">
        <is>
          <t>BLK3+HVRR</t>
        </is>
      </c>
      <c r="D28" s="7" t="inlineStr">
        <is>
          <t>50715K534</t>
        </is>
      </c>
      <c r="E28" s="7" t="inlineStr">
        <is>
          <t>37 Degree Flared Fitting for Stainless Steel Tubing, 90 Degree Elbow for 3/8" Tu</t>
        </is>
      </c>
      <c r="F28" s="7" t="inlineStr">
        <is>
          <t>McMaster-Carr</t>
        </is>
      </c>
      <c r="G28" s="7" t="n">
        <v>50.38</v>
      </c>
      <c r="H28" s="7">
        <f>B28*G28</f>
        <v/>
      </c>
      <c r="I28" s="7" t="n"/>
      <c r="J28" s="7" t="n"/>
      <c r="K28" s="7" t="n"/>
      <c r="L28" s="7">
        <f>IFERROR(MIN(I28:K28),"")</f>
        <v/>
      </c>
      <c r="M28" s="7" t="inlineStr"/>
      <c r="N28" s="7">
        <f>IF(L28="","",(G28-L28)*B28)</f>
        <v/>
      </c>
    </row>
    <row r="29">
      <c r="A29" s="7" t="n">
        <v>24</v>
      </c>
      <c r="B29" s="7" t="n">
        <v>2</v>
      </c>
      <c r="C29" s="7" t="inlineStr">
        <is>
          <t>BLK3+HVRR</t>
        </is>
      </c>
      <c r="D29" s="7" t="inlineStr">
        <is>
          <t>89155K11</t>
        </is>
      </c>
      <c r="E29" s="7" t="inlineStr">
        <is>
          <t>Oversized Multipurpose 6061 Aluminum Sheet, 1/4" Thick, 24" x 24"</t>
        </is>
      </c>
      <c r="F29" s="7" t="inlineStr">
        <is>
          <t>McMaster-Carr</t>
        </is>
      </c>
      <c r="G29" s="7" t="n">
        <v>196.92</v>
      </c>
      <c r="H29" s="7">
        <f>B29*G29</f>
        <v/>
      </c>
      <c r="I29" s="7" t="n"/>
      <c r="J29" s="7" t="n"/>
      <c r="K29" s="7" t="n"/>
      <c r="L29" s="7">
        <f>IFERROR(MIN(I29:K29),"")</f>
        <v/>
      </c>
      <c r="M29" s="7" t="inlineStr"/>
      <c r="N29" s="7">
        <f>IF(L29="","",(G29-L29)*B29)</f>
        <v/>
      </c>
    </row>
    <row r="30">
      <c r="A30" s="7" t="n">
        <v>25</v>
      </c>
      <c r="B30" s="7" t="n">
        <v>2</v>
      </c>
      <c r="C30" s="7" t="inlineStr">
        <is>
          <t>BLK3+HVRR</t>
        </is>
      </c>
      <c r="D30" s="7" t="inlineStr">
        <is>
          <t>9246K93</t>
        </is>
      </c>
      <c r="E30" s="7" t="inlineStr">
        <is>
          <t>Multipurpose 6061 Aluminum, 1-3/4" Thick, 12" x 12"</t>
        </is>
      </c>
      <c r="F30" s="7" t="inlineStr">
        <is>
          <t>McMaster-Carr</t>
        </is>
      </c>
      <c r="G30" s="7" t="n">
        <v>194.86</v>
      </c>
      <c r="H30" s="7">
        <f>B30*G30</f>
        <v/>
      </c>
      <c r="I30" s="7" t="n"/>
      <c r="J30" s="7" t="n"/>
      <c r="K30" s="7" t="n"/>
      <c r="L30" s="7">
        <f>IFERROR(MIN(I30:K30),"")</f>
        <v/>
      </c>
      <c r="M30" s="7" t="inlineStr"/>
      <c r="N30" s="7">
        <f>IF(L30="","",(G30-L30)*B30)</f>
        <v/>
      </c>
    </row>
    <row r="31">
      <c r="A31" s="7" t="n">
        <v>26</v>
      </c>
      <c r="B31" s="7" t="n">
        <v>2</v>
      </c>
      <c r="C31" s="7" t="inlineStr">
        <is>
          <t>BLK3+HVRR</t>
        </is>
      </c>
      <c r="D31" s="7" t="inlineStr">
        <is>
          <t>8974K82</t>
        </is>
      </c>
      <c r="E31" s="7" t="inlineStr">
        <is>
          <t>Multipurpose 6061 Aluminum, 3" Diameter 3' long</t>
        </is>
      </c>
      <c r="F31" s="7" t="inlineStr">
        <is>
          <t>McMaster-Carr</t>
        </is>
      </c>
      <c r="G31" s="7" t="n">
        <v>192.44</v>
      </c>
      <c r="H31" s="7">
        <f>B31*G31</f>
        <v/>
      </c>
      <c r="I31" s="7" t="n"/>
      <c r="J31" s="7" t="n"/>
      <c r="K31" s="7" t="n"/>
      <c r="L31" s="7">
        <f>IFERROR(MIN(I31:K31),"")</f>
        <v/>
      </c>
      <c r="M31" s="7" t="inlineStr"/>
      <c r="N31" s="7">
        <f>IF(L31="","",(G31-L31)*B31)</f>
        <v/>
      </c>
    </row>
    <row r="32">
      <c r="A32" s="7" t="n">
        <v>27</v>
      </c>
      <c r="B32" s="7" t="n">
        <v>2</v>
      </c>
      <c r="C32" s="7" t="inlineStr">
        <is>
          <t>BLK3+HVRR</t>
        </is>
      </c>
      <c r="D32" s="7" t="inlineStr">
        <is>
          <t>4012N37</t>
        </is>
      </c>
      <c r="E32" s="7" t="inlineStr">
        <is>
          <t>6061T6 Aluminum bar stock, 3" diameter x 3' long.</t>
        </is>
      </c>
      <c r="F32" s="7" t="inlineStr">
        <is>
          <t>Bralco or Metals supermarket or Castle Metals</t>
        </is>
      </c>
      <c r="G32" s="7" t="n">
        <v>192.44</v>
      </c>
      <c r="H32" s="7">
        <f>B32*G32</f>
        <v/>
      </c>
      <c r="I32" s="7" t="n"/>
      <c r="J32" s="7" t="n"/>
      <c r="K32" s="7" t="n"/>
      <c r="L32" s="7">
        <f>IFERROR(MIN(I32:K32),"")</f>
        <v/>
      </c>
      <c r="M32" s="7" t="inlineStr"/>
      <c r="N32" s="7">
        <f>IF(L32="","",(G32-L32)*B32)</f>
        <v/>
      </c>
    </row>
    <row r="33">
      <c r="A33" s="7" t="n">
        <v>28</v>
      </c>
      <c r="B33" s="7" t="n">
        <v>6</v>
      </c>
      <c r="C33" s="7" t="inlineStr">
        <is>
          <t>BLK3+HVRR</t>
        </is>
      </c>
      <c r="D33" s="7" t="inlineStr">
        <is>
          <t>5482K221</t>
        </is>
      </c>
      <c r="E33" s="7" t="inlineStr">
        <is>
          <t>Precision AN 37 Degree Flared Fitting, 316 Stainless Steel 90 Degree Elbow for 1</t>
        </is>
      </c>
      <c r="F33" s="7" t="inlineStr">
        <is>
          <t>McMaster-Carr</t>
        </is>
      </c>
      <c r="G33" s="7" t="n">
        <v>63.33</v>
      </c>
      <c r="H33" s="7">
        <f>B33*G33</f>
        <v/>
      </c>
      <c r="I33" s="7" t="n"/>
      <c r="J33" s="7" t="n"/>
      <c r="K33" s="7" t="n"/>
      <c r="L33" s="7">
        <f>IFERROR(MIN(I33:K33),"")</f>
        <v/>
      </c>
      <c r="M33" s="7" t="inlineStr"/>
      <c r="N33" s="7">
        <f>IF(L33="","",(G33-L33)*B33)</f>
        <v/>
      </c>
    </row>
    <row r="34">
      <c r="A34" s="7" t="n">
        <v>29</v>
      </c>
      <c r="B34" s="7" t="n">
        <v>4</v>
      </c>
      <c r="C34" s="7" t="inlineStr">
        <is>
          <t>BLK3+HVRR</t>
        </is>
      </c>
      <c r="D34" s="7" t="inlineStr">
        <is>
          <t>2762K83</t>
        </is>
      </c>
      <c r="E34" s="7" t="inlineStr">
        <is>
          <t>316 Stainless Steel Threaded Float, 4-1/2" Diameter, 1/8 NPT, 562 Maximum PSI</t>
        </is>
      </c>
      <c r="F34" s="7" t="inlineStr">
        <is>
          <t>McMaster-Carr</t>
        </is>
      </c>
      <c r="G34" s="7" t="n">
        <v>88.65000000000001</v>
      </c>
      <c r="H34" s="7">
        <f>B34*G34</f>
        <v/>
      </c>
      <c r="I34" s="7" t="n"/>
      <c r="J34" s="7" t="n"/>
      <c r="K34" s="7" t="n"/>
      <c r="L34" s="7">
        <f>IFERROR(MIN(I34:K34),"")</f>
        <v/>
      </c>
      <c r="M34" s="7" t="inlineStr"/>
      <c r="N34" s="7">
        <f>IF(L34="","",(G34-L34)*B34)</f>
        <v/>
      </c>
    </row>
    <row r="35">
      <c r="A35" s="7" t="n">
        <v>30</v>
      </c>
      <c r="B35" s="7" t="n">
        <v>4</v>
      </c>
      <c r="C35" s="7" t="inlineStr">
        <is>
          <t>BLK3+HVRR</t>
        </is>
      </c>
      <c r="D35" s="7" t="inlineStr">
        <is>
          <t>CJ646</t>
        </is>
      </c>
      <c r="E35" s="7" t="inlineStr">
        <is>
          <t>Curtis CJ646 universal joints</t>
        </is>
      </c>
      <c r="F35" s="7" t="inlineStr">
        <is>
          <t>Radwell</t>
        </is>
      </c>
      <c r="G35" s="7" t="n">
        <v>85</v>
      </c>
      <c r="H35" s="7">
        <f>B35*G35</f>
        <v/>
      </c>
      <c r="I35" s="7" t="n"/>
      <c r="J35" s="7" t="n"/>
      <c r="K35" s="7" t="n"/>
      <c r="L35" s="7">
        <f>IFERROR(MIN(I35:K35),"")</f>
        <v/>
      </c>
      <c r="M35" s="7" t="inlineStr"/>
      <c r="N35" s="7">
        <f>IF(L35="","",(G35-L35)*B35)</f>
        <v/>
      </c>
    </row>
    <row r="36">
      <c r="A36" s="7" t="n">
        <v>31</v>
      </c>
      <c r="B36" s="7" t="n">
        <v>2</v>
      </c>
      <c r="C36" s="7" t="inlineStr">
        <is>
          <t>BLK3+HVRR</t>
        </is>
      </c>
      <c r="D36" s="7" t="inlineStr">
        <is>
          <t>8491K36</t>
        </is>
      </c>
      <c r="E36" s="7" t="inlineStr">
        <is>
          <t>Economical Garolite CE Sheet, 24" W x 24" L, 1/2" Thick</t>
        </is>
      </c>
      <c r="F36" s="7" t="inlineStr">
        <is>
          <t>McMaster-Carr</t>
        </is>
      </c>
      <c r="G36" s="7" t="n">
        <v>167.87</v>
      </c>
      <c r="H36" s="7">
        <f>B36*G36</f>
        <v/>
      </c>
      <c r="I36" s="7" t="n"/>
      <c r="J36" s="7" t="n"/>
      <c r="K36" s="7" t="n"/>
      <c r="L36" s="7">
        <f>IFERROR(MIN(I36:K36),"")</f>
        <v/>
      </c>
      <c r="M36" s="7" t="inlineStr"/>
      <c r="N36" s="7">
        <f>IF(L36="","",(G36-L36)*B36)</f>
        <v/>
      </c>
    </row>
    <row r="37">
      <c r="A37" s="7" t="n">
        <v>32</v>
      </c>
      <c r="B37" s="7" t="n">
        <v>4</v>
      </c>
      <c r="C37" s="7" t="inlineStr">
        <is>
          <t>BLK3+HVRR</t>
        </is>
      </c>
      <c r="D37" s="7" t="inlineStr">
        <is>
          <t>5482K173</t>
        </is>
      </c>
      <c r="E37" s="7" t="inlineStr">
        <is>
          <t>Precision AN 37 Degree Flared Fitting, 316 Stainless Steel Tee Connector for 3/8</t>
        </is>
      </c>
      <c r="F37" s="7" t="inlineStr">
        <is>
          <t>McMaster-Carr</t>
        </is>
      </c>
      <c r="G37" s="7" t="n">
        <v>80.56</v>
      </c>
      <c r="H37" s="7">
        <f>B37*G37</f>
        <v/>
      </c>
      <c r="I37" s="7" t="n"/>
      <c r="J37" s="7" t="n"/>
      <c r="K37" s="7" t="n"/>
      <c r="L37" s="7">
        <f>IFERROR(MIN(I37:K37),"")</f>
        <v/>
      </c>
      <c r="M37" s="7" t="inlineStr"/>
      <c r="N37" s="7">
        <f>IF(L37="","",(G37-L37)*B37)</f>
        <v/>
      </c>
    </row>
    <row r="38">
      <c r="A38" s="7" t="n">
        <v>33</v>
      </c>
      <c r="B38" s="7" t="n">
        <v>2</v>
      </c>
      <c r="C38" s="7" t="inlineStr">
        <is>
          <t>BLK3+HVRR</t>
        </is>
      </c>
      <c r="D38" s="7" t="inlineStr">
        <is>
          <t>9056K4</t>
        </is>
      </c>
      <c r="E38" s="7" t="inlineStr">
        <is>
          <t>Thrust Tubes, Multipurpose 6061 Aluminum Round Tube, 1/8" Wall Thickness, 2" OD,</t>
        </is>
      </c>
      <c r="F38" s="7" t="inlineStr">
        <is>
          <t>McMaster-Carr</t>
        </is>
      </c>
      <c r="G38" s="7" t="n">
        <v>155.43</v>
      </c>
      <c r="H38" s="7">
        <f>B38*G38</f>
        <v/>
      </c>
      <c r="I38" s="7" t="n"/>
      <c r="J38" s="7" t="n"/>
      <c r="K38" s="7" t="n"/>
      <c r="L38" s="7">
        <f>IFERROR(MIN(I38:K38),"")</f>
        <v/>
      </c>
      <c r="M38" s="7" t="inlineStr"/>
      <c r="N38" s="7">
        <f>IF(L38="","",(G38-L38)*B38)</f>
        <v/>
      </c>
    </row>
    <row r="39">
      <c r="A39" s="7" t="n">
        <v>34</v>
      </c>
      <c r="B39" s="7" t="n">
        <v>24</v>
      </c>
      <c r="C39" s="7" t="inlineStr">
        <is>
          <t>BLK3+HVRR</t>
        </is>
      </c>
      <c r="D39" s="7" t="inlineStr">
        <is>
          <t>5482K196</t>
        </is>
      </c>
      <c r="E39" s="7" t="inlineStr">
        <is>
          <t>316 Stainless Steel Nut for 3/8" Tube OD Precision AN 37 Degree Flared Fitting</t>
        </is>
      </c>
      <c r="F39" s="7" t="inlineStr">
        <is>
          <t>McMaster-Carr</t>
        </is>
      </c>
      <c r="G39" s="7" t="n">
        <v>12.88</v>
      </c>
      <c r="H39" s="7">
        <f>B39*G39</f>
        <v/>
      </c>
      <c r="I39" s="7" t="n"/>
      <c r="J39" s="7" t="n"/>
      <c r="K39" s="7" t="n"/>
      <c r="L39" s="7">
        <f>IFERROR(MIN(I39:K39),"")</f>
        <v/>
      </c>
      <c r="M39" s="7" t="inlineStr"/>
      <c r="N39" s="7">
        <f>IF(L39="","",(G39-L39)*B39)</f>
        <v/>
      </c>
    </row>
    <row r="40">
      <c r="A40" s="7" t="n">
        <v>35</v>
      </c>
      <c r="B40" s="7" t="n">
        <v>28</v>
      </c>
      <c r="C40" s="7" t="inlineStr">
        <is>
          <t>BLK3+HVRR</t>
        </is>
      </c>
      <c r="D40" s="7" t="inlineStr">
        <is>
          <t>5482K204</t>
        </is>
      </c>
      <c r="E40" s="7" t="inlineStr">
        <is>
          <t>316 Stainless Steel Sleeve for 3/8" Tube OD Precision AN 37 Degree Flared Fittin</t>
        </is>
      </c>
      <c r="F40" s="7" t="inlineStr">
        <is>
          <t>McMaster-Carr</t>
        </is>
      </c>
      <c r="G40" s="7" t="n">
        <v>11.03</v>
      </c>
      <c r="H40" s="7">
        <f>B40*G40</f>
        <v/>
      </c>
      <c r="I40" s="7" t="n"/>
      <c r="J40" s="7" t="n"/>
      <c r="K40" s="7" t="n"/>
      <c r="L40" s="7">
        <f>IFERROR(MIN(I40:K40),"")</f>
        <v/>
      </c>
      <c r="M40" s="7" t="inlineStr"/>
      <c r="N40" s="7">
        <f>IF(L40="","",(G40-L40)*B40)</f>
        <v/>
      </c>
    </row>
    <row r="41">
      <c r="A41" s="7" t="n">
        <v>36</v>
      </c>
      <c r="B41" s="7" t="n">
        <v>2</v>
      </c>
      <c r="C41" s="7" t="inlineStr">
        <is>
          <t>BLK3+HVRR</t>
        </is>
      </c>
      <c r="D41" s="7" t="inlineStr">
        <is>
          <t>974K86</t>
        </is>
      </c>
      <c r="E41" s="7" t="inlineStr">
        <is>
          <t>Multipurpose 6061 Aluminum, 3-1/4" Diameter</t>
        </is>
      </c>
      <c r="F41" s="7" t="inlineStr">
        <is>
          <t>McMaster-Carr</t>
        </is>
      </c>
      <c r="G41" s="7" t="n">
        <v>142.14</v>
      </c>
      <c r="H41" s="7">
        <f>B41*G41</f>
        <v/>
      </c>
      <c r="I41" s="7" t="n"/>
      <c r="J41" s="7" t="n"/>
      <c r="K41" s="7" t="n"/>
      <c r="L41" s="7">
        <f>IFERROR(MIN(I41:K41),"")</f>
        <v/>
      </c>
      <c r="M41" s="7" t="inlineStr"/>
      <c r="N41" s="7">
        <f>IF(L41="","",(G41-L41)*B41)</f>
        <v/>
      </c>
    </row>
    <row r="42">
      <c r="A42" s="7" t="n">
        <v>37</v>
      </c>
      <c r="B42" s="7" t="n">
        <v>10</v>
      </c>
      <c r="C42" s="7" t="inlineStr">
        <is>
          <t>BLK3+HVRR</t>
        </is>
      </c>
      <c r="D42" s="7" t="inlineStr">
        <is>
          <t>89965K641</t>
        </is>
      </c>
      <c r="E42" s="7" t="inlineStr">
        <is>
          <t>General Purpose Aluminum Tubing, 3/4" OD, 0.065" Wall</t>
        </is>
      </c>
      <c r="F42" s="7" t="inlineStr">
        <is>
          <t>McMaster-Carr</t>
        </is>
      </c>
      <c r="G42" s="7" t="n">
        <v>27.95</v>
      </c>
      <c r="H42" s="7">
        <f>B42*G42</f>
        <v/>
      </c>
      <c r="I42" s="7" t="n"/>
      <c r="J42" s="7" t="n"/>
      <c r="K42" s="7" t="n"/>
      <c r="L42" s="7">
        <f>IFERROR(MIN(I42:K42),"")</f>
        <v/>
      </c>
      <c r="M42" s="7" t="inlineStr"/>
      <c r="N42" s="7">
        <f>IF(L42="","",(G42-L42)*B42)</f>
        <v/>
      </c>
    </row>
    <row r="43">
      <c r="A43" s="7" t="n">
        <v>38</v>
      </c>
      <c r="B43" s="7" t="n">
        <v>6</v>
      </c>
      <c r="C43" s="7" t="inlineStr">
        <is>
          <t>BLK3+HVRR</t>
        </is>
      </c>
      <c r="D43" s="7" t="inlineStr">
        <is>
          <t>5482K222</t>
        </is>
      </c>
      <c r="E43" s="7" t="inlineStr">
        <is>
          <t>Precision AN 37 Degree Flared Fitting, 316 Stainless Steel 90 Degree Elbow for 3</t>
        </is>
      </c>
      <c r="F43" s="7" t="inlineStr">
        <is>
          <t>McMaster-Carr</t>
        </is>
      </c>
      <c r="G43" s="7" t="n">
        <v>46.05</v>
      </c>
      <c r="H43" s="7">
        <f>B43*G43</f>
        <v/>
      </c>
      <c r="I43" s="7" t="n"/>
      <c r="J43" s="7" t="n"/>
      <c r="K43" s="7" t="n"/>
      <c r="L43" s="7">
        <f>IFERROR(MIN(I43:K43),"")</f>
        <v/>
      </c>
      <c r="M43" s="7" t="inlineStr"/>
      <c r="N43" s="7">
        <f>IF(L43="","",(G43-L43)*B43)</f>
        <v/>
      </c>
    </row>
    <row r="44">
      <c r="A44" s="7" t="n">
        <v>39</v>
      </c>
      <c r="B44" s="7" t="n">
        <v>4</v>
      </c>
      <c r="C44" s="7" t="inlineStr">
        <is>
          <t>BLK3+HVRR</t>
        </is>
      </c>
      <c r="D44" s="7" t="inlineStr">
        <is>
          <t>48805K451</t>
        </is>
      </c>
      <c r="E44" s="7" t="inlineStr">
        <is>
          <t>Precision Extreme-Pressure 316 Stainless Steel Fitting, 90 Degree Elbow Connecto</t>
        </is>
      </c>
      <c r="F44" s="7" t="inlineStr">
        <is>
          <t>McMaster-Carr</t>
        </is>
      </c>
      <c r="G44" s="7" t="n">
        <v>64.76000000000001</v>
      </c>
      <c r="H44" s="7">
        <f>B44*G44</f>
        <v/>
      </c>
      <c r="I44" s="7" t="n"/>
      <c r="J44" s="7" t="n"/>
      <c r="K44" s="7" t="n"/>
      <c r="L44" s="7">
        <f>IFERROR(MIN(I44:K44),"")</f>
        <v/>
      </c>
      <c r="M44" s="7" t="inlineStr"/>
      <c r="N44" s="7">
        <f>IF(L44="","",(G44-L44)*B44)</f>
        <v/>
      </c>
    </row>
    <row r="45">
      <c r="A45" s="7" t="n">
        <v>40</v>
      </c>
      <c r="B45" s="7" t="n">
        <v>6</v>
      </c>
      <c r="C45" s="7" t="inlineStr">
        <is>
          <t>BLK3+HVRR</t>
        </is>
      </c>
      <c r="D45" s="7" t="inlineStr">
        <is>
          <t>50715K532</t>
        </is>
      </c>
      <c r="E45" s="7" t="inlineStr">
        <is>
          <t>37 Degree Flared Fitting for Stainless Steel Tubing, 90 Degree Elbow for 1/4" Tu</t>
        </is>
      </c>
      <c r="F45" s="7" t="inlineStr">
        <is>
          <t>McMaster-Carr</t>
        </is>
      </c>
      <c r="G45" s="7" t="n">
        <v>41.99</v>
      </c>
      <c r="H45" s="7">
        <f>B45*G45</f>
        <v/>
      </c>
      <c r="I45" s="7" t="n"/>
      <c r="J45" s="7" t="n"/>
      <c r="K45" s="7" t="n"/>
      <c r="L45" s="7">
        <f>IFERROR(MIN(I45:K45),"")</f>
        <v/>
      </c>
      <c r="M45" s="7" t="inlineStr"/>
      <c r="N45" s="7">
        <f>IF(L45="","",(G45-L45)*B45)</f>
        <v/>
      </c>
    </row>
    <row r="46">
      <c r="A46" s="7" t="n">
        <v>41</v>
      </c>
      <c r="B46" s="7" t="n">
        <v>50</v>
      </c>
      <c r="C46" s="7" t="inlineStr">
        <is>
          <t>BLK3+HVRR</t>
        </is>
      </c>
      <c r="D46" s="7" t="inlineStr">
        <is>
          <t>50715K324</t>
        </is>
      </c>
      <c r="E46" s="7" t="inlineStr">
        <is>
          <t>Nut for 1/4" Tube OD 37 Degree Flared Fitting for Stainless Steel Tubing</t>
        </is>
      </c>
      <c r="F46" s="7" t="inlineStr">
        <is>
          <t>McMaster-Carr</t>
        </is>
      </c>
      <c r="G46" s="7" t="n">
        <v>4.93</v>
      </c>
      <c r="H46" s="7">
        <f>B46*G46</f>
        <v/>
      </c>
      <c r="I46" s="7" t="n"/>
      <c r="J46" s="7" t="n"/>
      <c r="K46" s="7" t="n"/>
      <c r="L46" s="7">
        <f>IFERROR(MIN(I46:K46),"")</f>
        <v/>
      </c>
      <c r="M46" s="7" t="inlineStr"/>
      <c r="N46" s="7">
        <f>IF(L46="","",(G46-L46)*B46)</f>
        <v/>
      </c>
    </row>
    <row r="47">
      <c r="A47" s="7" t="n">
        <v>42</v>
      </c>
      <c r="B47" s="7" t="n">
        <v>2</v>
      </c>
      <c r="C47" s="7" t="inlineStr">
        <is>
          <t>BLK3+HVRR</t>
        </is>
      </c>
      <c r="D47" s="7" t="inlineStr">
        <is>
          <t>8975K631</t>
        </is>
      </c>
      <c r="E47" s="7" t="inlineStr">
        <is>
          <t>MCO CaseMultipurpose 6061 Aluminum, 2" Thick x 5" Wide, 1' Long</t>
        </is>
      </c>
      <c r="F47" s="7" t="inlineStr">
        <is>
          <t>McMaster-Carr</t>
        </is>
      </c>
      <c r="G47" s="7" t="n">
        <v>109.76</v>
      </c>
      <c r="H47" s="7">
        <f>B47*G47</f>
        <v/>
      </c>
      <c r="I47" s="7" t="n"/>
      <c r="J47" s="7" t="n"/>
      <c r="K47" s="7" t="n"/>
      <c r="L47" s="7">
        <f>IFERROR(MIN(I47:K47),"")</f>
        <v/>
      </c>
      <c r="M47" s="7" t="inlineStr"/>
      <c r="N47" s="7">
        <f>IF(L47="","",(G47-L47)*B47)</f>
        <v/>
      </c>
    </row>
    <row r="48">
      <c r="A48" s="7" t="n">
        <v>43</v>
      </c>
      <c r="B48" s="7" t="n">
        <v>22</v>
      </c>
      <c r="C48" s="7" t="inlineStr">
        <is>
          <t>BLK3+HVRR</t>
        </is>
      </c>
      <c r="D48" s="7" t="inlineStr">
        <is>
          <t>93085A557</t>
        </is>
      </c>
      <c r="E48" s="7" t="inlineStr">
        <is>
          <t>Mil. Spec. Stainless Steel Phillips Flat Head Screws, 100 Degree Countersink Ang</t>
        </is>
      </c>
      <c r="F48" s="7" t="inlineStr">
        <is>
          <t>McMaster-Carr</t>
        </is>
      </c>
      <c r="G48" s="7" t="n">
        <v>9.460000000000001</v>
      </c>
      <c r="H48" s="7">
        <f>B48*G48</f>
        <v/>
      </c>
      <c r="I48" s="7" t="n"/>
      <c r="J48" s="7" t="n"/>
      <c r="K48" s="7" t="n"/>
      <c r="L48" s="7">
        <f>IFERROR(MIN(I48:K48),"")</f>
        <v/>
      </c>
      <c r="M48" s="7" t="inlineStr"/>
      <c r="N48" s="7">
        <f>IF(L48="","",(G48-L48)*B48)</f>
        <v/>
      </c>
    </row>
    <row r="49">
      <c r="A49" s="7" t="n">
        <v>44</v>
      </c>
      <c r="B49" s="7" t="n">
        <v>2</v>
      </c>
      <c r="C49" s="7" t="inlineStr">
        <is>
          <t>BLK3+HVRR</t>
        </is>
      </c>
      <c r="D49" s="7" t="inlineStr">
        <is>
          <t>7442A13</t>
        </is>
      </c>
      <c r="E49" s="7" t="inlineStr">
        <is>
          <t>Sealant Primer for High-Strength Silicone Sealant, Dow Corning P5200 Adhesion Pr</t>
        </is>
      </c>
      <c r="F49" s="7" t="inlineStr">
        <is>
          <t>McMaster-Carr</t>
        </is>
      </c>
      <c r="G49" s="7" t="n">
        <v>101.25</v>
      </c>
      <c r="H49" s="7">
        <f>B49*G49</f>
        <v/>
      </c>
      <c r="I49" s="7" t="n"/>
      <c r="J49" s="7" t="n"/>
      <c r="K49" s="7" t="n"/>
      <c r="L49" s="7">
        <f>IFERROR(MIN(I49:K49),"")</f>
        <v/>
      </c>
      <c r="M49" s="7" t="inlineStr"/>
      <c r="N49" s="7">
        <f>IF(L49="","",(G49-L49)*B49)</f>
        <v/>
      </c>
    </row>
    <row r="50">
      <c r="A50" s="7" t="n">
        <v>45</v>
      </c>
      <c r="B50" s="7" t="n">
        <v>2</v>
      </c>
      <c r="C50" s="7" t="inlineStr">
        <is>
          <t>BLK3+HVRR</t>
        </is>
      </c>
      <c r="D50" s="7" t="inlineStr">
        <is>
          <t>9875K242</t>
        </is>
      </c>
      <c r="E50" s="7" t="inlineStr">
        <is>
          <t>Multipurpose 6061 Aluminum Bar, 1" Thick x 4" Wide, 2'</t>
        </is>
      </c>
      <c r="F50" s="7" t="inlineStr">
        <is>
          <t>McMaster-Carr</t>
        </is>
      </c>
      <c r="G50" s="7" t="n">
        <v>93.06999999999999</v>
      </c>
      <c r="H50" s="7">
        <f>B50*G50</f>
        <v/>
      </c>
      <c r="I50" s="7" t="n"/>
      <c r="J50" s="7" t="n"/>
      <c r="K50" s="7" t="n"/>
      <c r="L50" s="7">
        <f>IFERROR(MIN(I50:K50),"")</f>
        <v/>
      </c>
      <c r="M50" s="7" t="inlineStr"/>
      <c r="N50" s="7">
        <f>IF(L50="","",(G50-L50)*B50)</f>
        <v/>
      </c>
    </row>
    <row r="51">
      <c r="A51" s="7" t="n">
        <v>46</v>
      </c>
      <c r="B51" s="7" t="n">
        <v>2</v>
      </c>
      <c r="C51" s="7" t="inlineStr">
        <is>
          <t>BLK3+HVRR</t>
        </is>
      </c>
      <c r="D51" s="7" t="inlineStr">
        <is>
          <t>9056K4</t>
        </is>
      </c>
      <c r="E51" s="7" t="inlineStr">
        <is>
          <t>Multipurpose 6061 Aluminum Round Tube, 1/8" Wall Thickness, 2" OD, 6' long</t>
        </is>
      </c>
      <c r="F51" s="7" t="inlineStr">
        <is>
          <t>McMaster-Carr</t>
        </is>
      </c>
      <c r="G51" s="7" t="n">
        <v>91.43000000000001</v>
      </c>
      <c r="H51" s="7">
        <f>B51*G51</f>
        <v/>
      </c>
      <c r="I51" s="7" t="n"/>
      <c r="J51" s="7" t="n"/>
      <c r="K51" s="7" t="n"/>
      <c r="L51" s="7">
        <f>IFERROR(MIN(I51:K51),"")</f>
        <v/>
      </c>
      <c r="M51" s="7" t="inlineStr"/>
      <c r="N51" s="7">
        <f>IF(L51="","",(G51-L51)*B51)</f>
        <v/>
      </c>
    </row>
    <row r="52">
      <c r="A52" s="7" t="n">
        <v>47</v>
      </c>
      <c r="B52" s="7" t="n">
        <v>16</v>
      </c>
      <c r="C52" s="7" t="inlineStr">
        <is>
          <t>BLK3+HVRR</t>
        </is>
      </c>
      <c r="D52" s="7" t="inlineStr">
        <is>
          <t>5482K195</t>
        </is>
      </c>
      <c r="E52" s="7" t="inlineStr">
        <is>
          <t>316 Stainless Steel Nut for 1/4" Tube OD Precision AN 37 Degree Flared Fitting</t>
        </is>
      </c>
      <c r="F52" s="7" t="inlineStr">
        <is>
          <t>McMaster-Carr</t>
        </is>
      </c>
      <c r="G52" s="7" t="n">
        <v>11.42</v>
      </c>
      <c r="H52" s="7">
        <f>B52*G52</f>
        <v/>
      </c>
      <c r="I52" s="7" t="n"/>
      <c r="J52" s="7" t="n"/>
      <c r="K52" s="7" t="n"/>
      <c r="L52" s="7">
        <f>IFERROR(MIN(I52:K52),"")</f>
        <v/>
      </c>
      <c r="M52" s="7" t="inlineStr"/>
      <c r="N52" s="7">
        <f>IF(L52="","",(G52-L52)*B52)</f>
        <v/>
      </c>
    </row>
    <row r="53">
      <c r="A53" s="7" t="n">
        <v>48</v>
      </c>
      <c r="B53" s="7" t="n">
        <v>4</v>
      </c>
      <c r="C53" s="7" t="inlineStr">
        <is>
          <t>BLK3+HVRR</t>
        </is>
      </c>
      <c r="D53" s="7" t="inlineStr">
        <is>
          <t>89785K824</t>
        </is>
      </c>
      <c r="E53" s="7" t="inlineStr">
        <is>
          <t>Seamless 316 Stainless Steel Tubing, 1/4" OD, 0.035" Wall Thickness</t>
        </is>
      </c>
      <c r="F53" s="7" t="inlineStr">
        <is>
          <t>McMaster-Carr</t>
        </is>
      </c>
      <c r="G53" s="7" t="n">
        <v>43.2</v>
      </c>
      <c r="H53" s="7">
        <f>B53*G53</f>
        <v/>
      </c>
      <c r="I53" s="7" t="n"/>
      <c r="J53" s="7" t="n"/>
      <c r="K53" s="7" t="n"/>
      <c r="L53" s="7">
        <f>IFERROR(MIN(I53:K53),"")</f>
        <v/>
      </c>
      <c r="M53" s="7" t="inlineStr"/>
      <c r="N53" s="7">
        <f>IF(L53="","",(G53-L53)*B53)</f>
        <v/>
      </c>
    </row>
    <row r="54">
      <c r="A54" s="7" t="n">
        <v>49</v>
      </c>
      <c r="B54" s="7" t="n">
        <v>4</v>
      </c>
      <c r="C54" s="7" t="inlineStr">
        <is>
          <t>BLK3+HVRR</t>
        </is>
      </c>
      <c r="D54" s="7" t="inlineStr">
        <is>
          <t>5177K73</t>
        </is>
      </c>
      <c r="E54" s="7" t="inlineStr">
        <is>
          <t>Easy-Bend Aluminum Tubing, 5/8" OD, 0.035" Wall Thickness</t>
        </is>
      </c>
      <c r="F54" s="7" t="inlineStr">
        <is>
          <t>McMaster-Carr</t>
        </is>
      </c>
      <c r="G54" s="7" t="n">
        <v>42.06</v>
      </c>
      <c r="H54" s="7">
        <f>B54*G54</f>
        <v/>
      </c>
      <c r="I54" s="7" t="n"/>
      <c r="J54" s="7" t="n"/>
      <c r="K54" s="7" t="n"/>
      <c r="L54" s="7">
        <f>IFERROR(MIN(I54:K54),"")</f>
        <v/>
      </c>
      <c r="M54" s="7" t="inlineStr"/>
      <c r="N54" s="7">
        <f>IF(L54="","",(G54-L54)*B54)</f>
        <v/>
      </c>
    </row>
    <row r="55">
      <c r="A55" s="7" t="n">
        <v>50</v>
      </c>
      <c r="B55" s="7" t="n">
        <v>4</v>
      </c>
      <c r="C55" s="7" t="inlineStr">
        <is>
          <t>BLK3+HVRR</t>
        </is>
      </c>
      <c r="D55" s="7" t="inlineStr">
        <is>
          <t>5177K73</t>
        </is>
      </c>
      <c r="E55" s="7" t="inlineStr">
        <is>
          <t>Main Manifold, 5/8" OD soft drawn aluminum tube 4'4" long 580 psi rated (10' sec</t>
        </is>
      </c>
      <c r="F55" s="7" t="inlineStr">
        <is>
          <t>McMaster-Carr</t>
        </is>
      </c>
      <c r="G55" s="7" t="n">
        <v>42.06</v>
      </c>
      <c r="H55" s="7">
        <f>B55*G55</f>
        <v/>
      </c>
      <c r="I55" s="7" t="n"/>
      <c r="J55" s="7" t="n"/>
      <c r="K55" s="7" t="n"/>
      <c r="L55" s="7">
        <f>IFERROR(MIN(I55:K55),"")</f>
        <v/>
      </c>
      <c r="M55" s="7" t="inlineStr"/>
      <c r="N55" s="7">
        <f>IF(L55="","",(G55-L55)*B55)</f>
        <v/>
      </c>
    </row>
    <row r="56">
      <c r="A56" s="7" t="n">
        <v>51</v>
      </c>
      <c r="B56" s="7" t="n">
        <v>2</v>
      </c>
      <c r="C56" s="7" t="inlineStr">
        <is>
          <t>BLK3+HVRR</t>
        </is>
      </c>
      <c r="D56" s="7" t="inlineStr">
        <is>
          <t>8975K628</t>
        </is>
      </c>
      <c r="E56" s="7" t="inlineStr">
        <is>
          <t>Load Cross, Multipurpose 6061 Aluminum with Certification, 1" Thick x 12" Wide</t>
        </is>
      </c>
      <c r="F56" s="7" t="inlineStr">
        <is>
          <t>McMaster-Carr</t>
        </is>
      </c>
      <c r="G56" s="7" t="n">
        <v>83.79000000000001</v>
      </c>
      <c r="H56" s="7">
        <f>B56*G56</f>
        <v/>
      </c>
      <c r="I56" s="7" t="n"/>
      <c r="J56" s="7" t="n"/>
      <c r="K56" s="7" t="n"/>
      <c r="L56" s="7">
        <f>IFERROR(MIN(I56:K56),"")</f>
        <v/>
      </c>
      <c r="M56" s="7" t="inlineStr"/>
      <c r="N56" s="7">
        <f>IF(L56="","",(G56-L56)*B56)</f>
        <v/>
      </c>
    </row>
    <row r="57">
      <c r="A57" s="7" t="n">
        <v>52</v>
      </c>
      <c r="B57" s="7" t="n">
        <v>2</v>
      </c>
      <c r="C57" s="7" t="inlineStr">
        <is>
          <t>BLK3+HVRR</t>
        </is>
      </c>
      <c r="D57" s="7" t="inlineStr">
        <is>
          <t>8692K26</t>
        </is>
      </c>
      <c r="E57" s="7" t="inlineStr">
        <is>
          <t>Oversized Shock-Resistant S7 Tool Steel Bar, 1" Thick, 1" Wide</t>
        </is>
      </c>
      <c r="F57" s="7" t="inlineStr">
        <is>
          <t>McMaster-Carr</t>
        </is>
      </c>
      <c r="G57" s="7" t="n">
        <v>81.04000000000001</v>
      </c>
      <c r="H57" s="7">
        <f>B57*G57</f>
        <v/>
      </c>
      <c r="I57" s="7" t="n"/>
      <c r="J57" s="7" t="n"/>
      <c r="K57" s="7" t="n"/>
      <c r="L57" s="7">
        <f>IFERROR(MIN(I57:K57),"")</f>
        <v/>
      </c>
      <c r="M57" s="7" t="inlineStr"/>
      <c r="N57" s="7">
        <f>IF(L57="","",(G57-L57)*B57)</f>
        <v/>
      </c>
    </row>
    <row r="58">
      <c r="A58" s="7" t="n">
        <v>53</v>
      </c>
      <c r="B58" s="7" t="n">
        <v>2</v>
      </c>
      <c r="C58" s="7" t="inlineStr">
        <is>
          <t>BLK3+HVRR</t>
        </is>
      </c>
      <c r="D58" s="7" t="inlineStr">
        <is>
          <t>8975K628</t>
        </is>
      </c>
      <c r="E58" s="7" t="inlineStr">
        <is>
          <t>Multipurpose 6061 Aluminum, 1" Thick x 12" Wide</t>
        </is>
      </c>
      <c r="F58" s="7" t="inlineStr">
        <is>
          <t>McMaster-Carr</t>
        </is>
      </c>
      <c r="G58" s="7" t="n">
        <v>80.89</v>
      </c>
      <c r="H58" s="7">
        <f>B58*G58</f>
        <v/>
      </c>
      <c r="I58" s="7" t="n"/>
      <c r="J58" s="7" t="n"/>
      <c r="K58" s="7" t="n"/>
      <c r="L58" s="7">
        <f>IFERROR(MIN(I58:K58),"")</f>
        <v/>
      </c>
      <c r="M58" s="7" t="inlineStr"/>
      <c r="N58" s="7">
        <f>IF(L58="","",(G58-L58)*B58)</f>
        <v/>
      </c>
    </row>
    <row r="59">
      <c r="A59" s="7" t="n">
        <v>54</v>
      </c>
      <c r="B59" s="7" t="n">
        <v>2</v>
      </c>
      <c r="C59" s="7" t="inlineStr">
        <is>
          <t>BLK3+HVRR</t>
        </is>
      </c>
      <c r="D59" s="7" t="inlineStr">
        <is>
          <t>C111C1</t>
        </is>
      </c>
      <c r="E59" s="7" t="inlineStr">
        <is>
          <t>12 DC Volt, Solenoid Coil</t>
        </is>
      </c>
      <c r="F59" s="7" t="inlineStr">
        <is>
          <t>MSC</t>
        </is>
      </c>
      <c r="G59" s="7" t="n">
        <v>80.79000000000001</v>
      </c>
      <c r="H59" s="7">
        <f>B59*G59</f>
        <v/>
      </c>
      <c r="I59" s="7" t="n"/>
      <c r="J59" s="7" t="n"/>
      <c r="K59" s="7" t="n"/>
      <c r="L59" s="7">
        <f>IFERROR(MIN(I59:K59),"")</f>
        <v/>
      </c>
      <c r="M59" s="7" t="inlineStr"/>
      <c r="N59" s="7">
        <f>IF(L59="","",(G59-L59)*B59)</f>
        <v/>
      </c>
    </row>
    <row r="60">
      <c r="A60" s="7" t="n">
        <v>55</v>
      </c>
      <c r="B60" s="7" t="n">
        <v>50</v>
      </c>
      <c r="C60" s="7" t="inlineStr">
        <is>
          <t>BLK3+HVRR</t>
        </is>
      </c>
      <c r="D60" s="7" t="inlineStr">
        <is>
          <t>50715K316</t>
        </is>
      </c>
      <c r="E60" s="7" t="inlineStr">
        <is>
          <t>Sleeve for 1/4" Tube OD 37 Degree Flared Fitting for Stainless Steel Tubing</t>
        </is>
      </c>
      <c r="F60" s="7" t="inlineStr">
        <is>
          <t>McMaster-Carr</t>
        </is>
      </c>
      <c r="G60" s="7" t="n">
        <v>3.03</v>
      </c>
      <c r="H60" s="7">
        <f>B60*G60</f>
        <v/>
      </c>
      <c r="I60" s="7" t="n"/>
      <c r="J60" s="7" t="n"/>
      <c r="K60" s="7" t="n"/>
      <c r="L60" s="7">
        <f>IFERROR(MIN(I60:K60),"")</f>
        <v/>
      </c>
      <c r="M60" s="7" t="inlineStr"/>
      <c r="N60" s="7">
        <f>IF(L60="","",(G60-L60)*B60)</f>
        <v/>
      </c>
    </row>
    <row r="61">
      <c r="A61" s="7" t="n">
        <v>56</v>
      </c>
      <c r="B61" s="7" t="n">
        <v>2</v>
      </c>
      <c r="C61" s="7" t="inlineStr">
        <is>
          <t>BLK3+HVRR</t>
        </is>
      </c>
      <c r="D61" s="7" t="inlineStr">
        <is>
          <t>5482K149</t>
        </is>
      </c>
      <c r="E61" s="7" t="inlineStr">
        <is>
          <t>Precision AN 37 Degree Flared Fitting, 316 Stainless Steel 90 Degree Elbow Conne</t>
        </is>
      </c>
      <c r="F61" s="7" t="inlineStr">
        <is>
          <t>McMaster-Carr</t>
        </is>
      </c>
      <c r="G61" s="7" t="n">
        <v>73.65000000000001</v>
      </c>
      <c r="H61" s="7">
        <f>B61*G61</f>
        <v/>
      </c>
      <c r="I61" s="7" t="n"/>
      <c r="J61" s="7" t="n"/>
      <c r="K61" s="7" t="n"/>
      <c r="L61" s="7">
        <f>IFERROR(MIN(I61:K61),"")</f>
        <v/>
      </c>
      <c r="M61" s="7" t="inlineStr"/>
      <c r="N61" s="7">
        <f>IF(L61="","",(G61-L61)*B61)</f>
        <v/>
      </c>
    </row>
    <row r="62">
      <c r="A62" s="7" t="n">
        <v>57</v>
      </c>
      <c r="B62" s="7" t="n">
        <v>2</v>
      </c>
      <c r="C62" s="7" t="inlineStr">
        <is>
          <t>BLK3+HVRR</t>
        </is>
      </c>
      <c r="D62" s="7" t="inlineStr">
        <is>
          <t>8975K244</t>
        </is>
      </c>
      <c r="E62" s="7" t="inlineStr">
        <is>
          <t>Multipurpose 6061 Aluminum, 1" Thick x 6" Wide, 1 Foot Long</t>
        </is>
      </c>
      <c r="F62" s="7" t="inlineStr">
        <is>
          <t>McMaster-Carr</t>
        </is>
      </c>
      <c r="G62" s="7" t="n">
        <v>73.48999999999999</v>
      </c>
      <c r="H62" s="7">
        <f>B62*G62</f>
        <v/>
      </c>
      <c r="I62" s="7" t="n"/>
      <c r="J62" s="7" t="n"/>
      <c r="K62" s="7" t="n"/>
      <c r="L62" s="7">
        <f>IFERROR(MIN(I62:K62),"")</f>
        <v/>
      </c>
      <c r="M62" s="7" t="inlineStr"/>
      <c r="N62" s="7">
        <f>IF(L62="","",(G62-L62)*B62)</f>
        <v/>
      </c>
    </row>
    <row r="63">
      <c r="A63" s="7" t="n">
        <v>58</v>
      </c>
      <c r="B63" s="7" t="n">
        <v>4</v>
      </c>
      <c r="C63" s="7" t="inlineStr">
        <is>
          <t>BLK3+HVRR</t>
        </is>
      </c>
      <c r="D63" s="7" t="inlineStr">
        <is>
          <t>9396K412</t>
        </is>
      </c>
      <c r="E63" s="7" t="inlineStr">
        <is>
          <t>Bulkhead O-ring for Sealing Payload</t>
        </is>
      </c>
      <c r="F63" s="7" t="inlineStr">
        <is>
          <t>Mcmaster-Carr</t>
        </is>
      </c>
      <c r="G63" s="7" t="n">
        <v>36.37</v>
      </c>
      <c r="H63" s="7">
        <f>B63*G63</f>
        <v/>
      </c>
      <c r="I63" s="7" t="n"/>
      <c r="J63" s="7" t="n"/>
      <c r="K63" s="7" t="n"/>
      <c r="L63" s="7">
        <f>IFERROR(MIN(I63:K63),"")</f>
        <v/>
      </c>
      <c r="M63" s="7" t="inlineStr"/>
      <c r="N63" s="7">
        <f>IF(L63="","",(G63-L63)*B63)</f>
        <v/>
      </c>
    </row>
    <row r="64">
      <c r="A64" s="7" t="n">
        <v>59</v>
      </c>
      <c r="B64" s="7" t="n">
        <v>4</v>
      </c>
      <c r="C64" s="7" t="inlineStr">
        <is>
          <t>BLK3+HVRR</t>
        </is>
      </c>
      <c r="D64" s="7" t="inlineStr">
        <is>
          <t>9396K412</t>
        </is>
      </c>
      <c r="E64" s="7" t="inlineStr">
        <is>
          <t>High-Temperature Silicone O-Ring 1/4 thick, Dash Number 469</t>
        </is>
      </c>
      <c r="F64" s="7" t="inlineStr">
        <is>
          <t>McMaster-Carr</t>
        </is>
      </c>
      <c r="G64" s="7" t="n">
        <v>36.37</v>
      </c>
      <c r="H64" s="7">
        <f>B64*G64</f>
        <v/>
      </c>
      <c r="I64" s="7" t="n"/>
      <c r="J64" s="7" t="n"/>
      <c r="K64" s="7" t="n"/>
      <c r="L64" s="7">
        <f>IFERROR(MIN(I64:K64),"")</f>
        <v/>
      </c>
      <c r="M64" s="7" t="inlineStr"/>
      <c r="N64" s="7">
        <f>IF(L64="","",(G64-L64)*B64)</f>
        <v/>
      </c>
    </row>
    <row r="65">
      <c r="A65" s="7" t="n">
        <v>60</v>
      </c>
      <c r="B65" s="7" t="n">
        <v>2</v>
      </c>
      <c r="C65" s="7" t="inlineStr">
        <is>
          <t>BLK3+HVRR</t>
        </is>
      </c>
      <c r="D65" s="7" t="inlineStr">
        <is>
          <t>9246K61</t>
        </is>
      </c>
      <c r="E65" s="7" t="inlineStr">
        <is>
          <t>6061 Aluminum with Certification (emailed), 8" x 8", 1" Thick</t>
        </is>
      </c>
      <c r="F65" s="7" t="inlineStr">
        <is>
          <t>McMaster-Carr</t>
        </is>
      </c>
      <c r="G65" s="7" t="n">
        <v>68.98999999999999</v>
      </c>
      <c r="H65" s="7">
        <f>B65*G65</f>
        <v/>
      </c>
      <c r="I65" s="7" t="n"/>
      <c r="J65" s="7" t="n"/>
      <c r="K65" s="7" t="n"/>
      <c r="L65" s="7">
        <f>IFERROR(MIN(I65:K65),"")</f>
        <v/>
      </c>
      <c r="M65" s="7" t="inlineStr"/>
      <c r="N65" s="7">
        <f>IF(L65="","",(G65-L65)*B65)</f>
        <v/>
      </c>
    </row>
    <row r="66">
      <c r="A66" s="7" t="n">
        <v>61</v>
      </c>
      <c r="B66" s="7" t="n">
        <v>12</v>
      </c>
      <c r="C66" s="7" t="inlineStr">
        <is>
          <t>BLK3+HVRR</t>
        </is>
      </c>
      <c r="D66" s="7" t="inlineStr">
        <is>
          <t>7496K42</t>
        </is>
      </c>
      <c r="E66" s="7" t="inlineStr">
        <is>
          <t>Heat-Shrink Tubing, 1 Foot Long, 0.19" ID Before Shrinking, Red</t>
        </is>
      </c>
      <c r="F66" s="7" t="inlineStr">
        <is>
          <t>McMaster-Carr</t>
        </is>
      </c>
      <c r="G66" s="7" t="n">
        <v>11.42</v>
      </c>
      <c r="H66" s="7">
        <f>B66*G66</f>
        <v/>
      </c>
      <c r="I66" s="7" t="n"/>
      <c r="J66" s="7" t="n"/>
      <c r="K66" s="7" t="n"/>
      <c r="L66" s="7">
        <f>IFERROR(MIN(I66:K66),"")</f>
        <v/>
      </c>
      <c r="M66" s="7" t="inlineStr"/>
      <c r="N66" s="7">
        <f>IF(L66="","",(G66-L66)*B66)</f>
        <v/>
      </c>
    </row>
    <row r="67">
      <c r="A67" s="7" t="n">
        <v>62</v>
      </c>
      <c r="B67" s="7" t="n">
        <v>4</v>
      </c>
      <c r="C67" s="7" t="inlineStr">
        <is>
          <t>BLK3+HVRR</t>
        </is>
      </c>
      <c r="D67" s="7" t="inlineStr">
        <is>
          <t>8772K16</t>
        </is>
      </c>
      <c r="E67" s="7" t="inlineStr">
        <is>
          <t>Spark-Resistant Tube Sleeving, 4" ID</t>
        </is>
      </c>
      <c r="F67" s="7" t="inlineStr">
        <is>
          <t>McMaster-Carr</t>
        </is>
      </c>
      <c r="G67" s="7" t="n">
        <v>32.83</v>
      </c>
      <c r="H67" s="7">
        <f>B67*G67</f>
        <v/>
      </c>
      <c r="I67" s="7" t="n"/>
      <c r="J67" s="7" t="n"/>
      <c r="K67" s="7" t="n"/>
      <c r="L67" s="7">
        <f>IFERROR(MIN(I67:K67),"")</f>
        <v/>
      </c>
      <c r="M67" s="7" t="inlineStr"/>
      <c r="N67" s="7">
        <f>IF(L67="","",(G67-L67)*B67)</f>
        <v/>
      </c>
    </row>
    <row r="68">
      <c r="A68" s="7" t="n">
        <v>63</v>
      </c>
      <c r="B68" s="7" t="n">
        <v>2</v>
      </c>
      <c r="C68" s="7" t="inlineStr">
        <is>
          <t>BLK3+HVRR</t>
        </is>
      </c>
      <c r="D68" s="7" t="inlineStr">
        <is>
          <t>5333K71</t>
        </is>
      </c>
      <c r="E68" s="7" t="inlineStr">
        <is>
          <t xml:space="preserve">316 Stainless Steel Screw-on Hydraulic Fluid Hose Fitting, Parker 30, 1/4" Hose </t>
        </is>
      </c>
      <c r="F68" s="7" t="inlineStr">
        <is>
          <t>McMaster-Carr</t>
        </is>
      </c>
      <c r="G68" s="7" t="n">
        <v>59.23</v>
      </c>
      <c r="H68" s="7">
        <f>B68*G68</f>
        <v/>
      </c>
      <c r="I68" s="7" t="n"/>
      <c r="J68" s="7" t="n"/>
      <c r="K68" s="7" t="n"/>
      <c r="L68" s="7">
        <f>IFERROR(MIN(I68:K68),"")</f>
        <v/>
      </c>
      <c r="M68" s="7" t="inlineStr"/>
      <c r="N68" s="7">
        <f>IF(L68="","",(G68-L68)*B68)</f>
        <v/>
      </c>
    </row>
    <row r="69">
      <c r="A69" s="7" t="n">
        <v>64</v>
      </c>
      <c r="B69" s="7" t="n">
        <v>6</v>
      </c>
      <c r="C69" s="7" t="inlineStr">
        <is>
          <t>BLK3+HVRR</t>
        </is>
      </c>
      <c r="D69" s="7" t="inlineStr">
        <is>
          <t>44655K18</t>
        </is>
      </c>
      <c r="E69" s="7" t="inlineStr">
        <is>
          <t>Butt-Weld Fitting for Stainless Steel Tubing, Polished 304L Stainless Steel Shor</t>
        </is>
      </c>
      <c r="F69" s="7" t="inlineStr">
        <is>
          <t>McMaster-Carr</t>
        </is>
      </c>
      <c r="G69" s="7" t="n">
        <v>19</v>
      </c>
      <c r="H69" s="7">
        <f>B69*G69</f>
        <v/>
      </c>
      <c r="I69" s="7" t="n"/>
      <c r="J69" s="7" t="n"/>
      <c r="K69" s="7" t="n"/>
      <c r="L69" s="7">
        <f>IFERROR(MIN(I69:K69),"")</f>
        <v/>
      </c>
      <c r="M69" s="7" t="inlineStr"/>
      <c r="N69" s="7">
        <f>IF(L69="","",(G69-L69)*B69)</f>
        <v/>
      </c>
    </row>
    <row r="70">
      <c r="A70" s="7" t="n">
        <v>65</v>
      </c>
      <c r="B70" s="7" t="n">
        <v>10</v>
      </c>
      <c r="C70" s="7" t="inlineStr">
        <is>
          <t>BLK3+HVRR</t>
        </is>
      </c>
      <c r="D70" s="7" t="inlineStr">
        <is>
          <t>4322K152</t>
        </is>
      </c>
      <c r="E70" s="7" t="inlineStr">
        <is>
          <t>304 Stainless Steel Wing Nut Clamp for 1" to 1-1/2" Tube OD High-Polish Quick-Cl</t>
        </is>
      </c>
      <c r="F70" s="7" t="inlineStr">
        <is>
          <t>McMaster-Carr</t>
        </is>
      </c>
      <c r="G70" s="7" t="n">
        <v>11.28</v>
      </c>
      <c r="H70" s="7">
        <f>B70*G70</f>
        <v/>
      </c>
      <c r="I70" s="7" t="n"/>
      <c r="J70" s="7" t="n"/>
      <c r="K70" s="7" t="n"/>
      <c r="L70" s="7">
        <f>IFERROR(MIN(I70:K70),"")</f>
        <v/>
      </c>
      <c r="M70" s="7" t="inlineStr"/>
      <c r="N70" s="7">
        <f>IF(L70="","",(G70-L70)*B70)</f>
        <v/>
      </c>
    </row>
    <row r="71">
      <c r="A71" s="7" t="n">
        <v>66</v>
      </c>
      <c r="B71" s="7" t="n">
        <v>2</v>
      </c>
      <c r="C71" s="7" t="inlineStr">
        <is>
          <t>BLK3+HVRR</t>
        </is>
      </c>
      <c r="D71" s="7" t="inlineStr">
        <is>
          <t>9008K14</t>
        </is>
      </c>
      <c r="E71" s="7" t="inlineStr">
        <is>
          <t>Multipurpose 6061 Aluminum Bar, 1" x 1", 6 Feet Long</t>
        </is>
      </c>
      <c r="F71" s="7" t="inlineStr">
        <is>
          <t>McMaster-Carr</t>
        </is>
      </c>
      <c r="G71" s="7" t="n">
        <v>54.79</v>
      </c>
      <c r="H71" s="7">
        <f>B71*G71</f>
        <v/>
      </c>
      <c r="I71" s="7" t="n"/>
      <c r="J71" s="7" t="n"/>
      <c r="K71" s="7" t="n"/>
      <c r="L71" s="7">
        <f>IFERROR(MIN(I71:K71),"")</f>
        <v/>
      </c>
      <c r="M71" s="7" t="inlineStr"/>
      <c r="N71" s="7">
        <f>IF(L71="","",(G71-L71)*B71)</f>
        <v/>
      </c>
    </row>
    <row r="72">
      <c r="A72" s="7" t="n">
        <v>67</v>
      </c>
      <c r="B72" s="7" t="n">
        <v>4</v>
      </c>
      <c r="C72" s="7" t="inlineStr">
        <is>
          <t>BLK3+HVRR</t>
        </is>
      </c>
      <c r="D72" s="7" t="inlineStr">
        <is>
          <t>448805K41</t>
        </is>
      </c>
      <c r="E72" s="7" t="inlineStr">
        <is>
          <t>Precision Extreme-Pressure 316 Stainless Steel Fitting
90 Degree Elbow Connector</t>
        </is>
      </c>
      <c r="F72" s="7" t="inlineStr">
        <is>
          <t>McMaster-Carr</t>
        </is>
      </c>
      <c r="G72" s="7" t="n">
        <v>27.25</v>
      </c>
      <c r="H72" s="7">
        <f>B72*G72</f>
        <v/>
      </c>
      <c r="I72" s="7" t="n"/>
      <c r="J72" s="7" t="n"/>
      <c r="K72" s="7" t="n"/>
      <c r="L72" s="7">
        <f>IFERROR(MIN(I72:K72),"")</f>
        <v/>
      </c>
      <c r="M72" s="7" t="inlineStr"/>
      <c r="N72" s="7">
        <f>IF(L72="","",(G72-L72)*B72)</f>
        <v/>
      </c>
    </row>
    <row r="73">
      <c r="A73" s="7" t="n">
        <v>68</v>
      </c>
      <c r="B73" s="7" t="n">
        <v>4</v>
      </c>
      <c r="C73" s="7" t="inlineStr">
        <is>
          <t>BLK3+HVRR</t>
        </is>
      </c>
      <c r="D73" s="7" t="inlineStr">
        <is>
          <t>50715K181</t>
        </is>
      </c>
      <c r="E73" s="7" t="inlineStr">
        <is>
          <t xml:space="preserve">37 Degree Flared Fitting for Stainless Steel Tubing, 90 Degree Adapter for 1/4" </t>
        </is>
      </c>
      <c r="F73" s="7" t="inlineStr">
        <is>
          <t>McMaster-Carr</t>
        </is>
      </c>
      <c r="G73" s="7" t="n">
        <v>27.19</v>
      </c>
      <c r="H73" s="7">
        <f>B73*G73</f>
        <v/>
      </c>
      <c r="I73" s="7" t="n"/>
      <c r="J73" s="7" t="n"/>
      <c r="K73" s="7" t="n"/>
      <c r="L73" s="7">
        <f>IFERROR(MIN(I73:K73),"")</f>
        <v/>
      </c>
      <c r="M73" s="7" t="inlineStr"/>
      <c r="N73" s="7">
        <f>IF(L73="","",(G73-L73)*B73)</f>
        <v/>
      </c>
    </row>
    <row r="74">
      <c r="A74" s="7" t="n">
        <v>69</v>
      </c>
      <c r="B74" s="7" t="n">
        <v>2</v>
      </c>
      <c r="C74" s="7" t="inlineStr">
        <is>
          <t>BLK3+HVRR</t>
        </is>
      </c>
      <c r="D74" s="7" t="inlineStr">
        <is>
          <t>4468K814</t>
        </is>
      </c>
      <c r="E74" s="7" t="inlineStr">
        <is>
          <t>30" braided hose with brass female AN-10 ends</t>
        </is>
      </c>
      <c r="F74" s="7" t="inlineStr">
        <is>
          <t>Mcmaster-Carr</t>
        </is>
      </c>
      <c r="G74" s="7" t="n">
        <v>53.15</v>
      </c>
      <c r="H74" s="7">
        <f>B74*G74</f>
        <v/>
      </c>
      <c r="I74" s="7" t="n"/>
      <c r="J74" s="7" t="n"/>
      <c r="K74" s="7" t="n"/>
      <c r="L74" s="7">
        <f>IFERROR(MIN(I74:K74),"")</f>
        <v/>
      </c>
      <c r="M74" s="7" t="inlineStr"/>
      <c r="N74" s="7">
        <f>IF(L74="","",(G74-L74)*B74)</f>
        <v/>
      </c>
    </row>
    <row r="75">
      <c r="A75" s="7" t="n">
        <v>70</v>
      </c>
      <c r="B75" s="7" t="n">
        <v>2</v>
      </c>
      <c r="C75" s="7" t="inlineStr">
        <is>
          <t>BLK3+HVRR</t>
        </is>
      </c>
      <c r="D75" s="7" t="inlineStr">
        <is>
          <t>8975K237</t>
        </is>
      </c>
      <c r="E75" s="7" t="inlineStr">
        <is>
          <t>Multipurpose 6061 Aluminum with Certification, 1" Thick x 2" Wide, 2 Feet Long</t>
        </is>
      </c>
      <c r="F75" s="7" t="inlineStr">
        <is>
          <t>McMaster-Carr</t>
        </is>
      </c>
      <c r="G75" s="7" t="n">
        <v>51.67</v>
      </c>
      <c r="H75" s="7">
        <f>B75*G75</f>
        <v/>
      </c>
      <c r="I75" s="7" t="n"/>
      <c r="J75" s="7" t="n"/>
      <c r="K75" s="7" t="n"/>
      <c r="L75" s="7">
        <f>IFERROR(MIN(I75:K75),"")</f>
        <v/>
      </c>
      <c r="M75" s="7" t="inlineStr"/>
      <c r="N75" s="7">
        <f>IF(L75="","",(G75-L75)*B75)</f>
        <v/>
      </c>
    </row>
    <row r="76">
      <c r="A76" s="7" t="n">
        <v>71</v>
      </c>
      <c r="B76" s="7" t="n">
        <v>12</v>
      </c>
      <c r="C76" s="7" t="inlineStr">
        <is>
          <t>BLK3+HVRR</t>
        </is>
      </c>
      <c r="D76" s="7" t="inlineStr">
        <is>
          <t>8772K61</t>
        </is>
      </c>
      <c r="E76" s="7" t="inlineStr">
        <is>
          <t>Spark-Resistant Tube Sleeving, 1" ID</t>
        </is>
      </c>
      <c r="F76" s="7" t="inlineStr">
        <is>
          <t>McMaster-Carr</t>
        </is>
      </c>
      <c r="G76" s="7" t="n">
        <v>7.73</v>
      </c>
      <c r="H76" s="7">
        <f>B76*G76</f>
        <v/>
      </c>
      <c r="I76" s="7" t="n"/>
      <c r="J76" s="7" t="n"/>
      <c r="K76" s="7" t="n"/>
      <c r="L76" s="7">
        <f>IFERROR(MIN(I76:K76),"")</f>
        <v/>
      </c>
      <c r="M76" s="7" t="inlineStr"/>
      <c r="N76" s="7">
        <f>IF(L76="","",(G76-L76)*B76)</f>
        <v/>
      </c>
    </row>
    <row r="77">
      <c r="A77" s="7" t="n">
        <v>72</v>
      </c>
      <c r="B77" s="7" t="n">
        <v>2</v>
      </c>
      <c r="C77" s="7" t="inlineStr">
        <is>
          <t>BLK3+HVRR</t>
        </is>
      </c>
      <c r="D77" s="7" t="inlineStr">
        <is>
          <t>4552K303</t>
        </is>
      </c>
      <c r="E77" s="7" t="inlineStr">
        <is>
          <t xml:space="preserve">High-Pressure Braided Chemical Hose with Fittings, 303 Stainless Steel 9/16"-18 </t>
        </is>
      </c>
      <c r="F77" s="7" t="inlineStr">
        <is>
          <t>McMaster-Carr</t>
        </is>
      </c>
      <c r="G77" s="7" t="n">
        <v>44.87</v>
      </c>
      <c r="H77" s="7">
        <f>B77*G77</f>
        <v/>
      </c>
      <c r="I77" s="7" t="n"/>
      <c r="J77" s="7" t="n"/>
      <c r="K77" s="7" t="n"/>
      <c r="L77" s="7">
        <f>IFERROR(MIN(I77:K77),"")</f>
        <v/>
      </c>
      <c r="M77" s="7" t="inlineStr"/>
      <c r="N77" s="7">
        <f>IF(L77="","",(G77-L77)*B77)</f>
        <v/>
      </c>
    </row>
    <row r="78">
      <c r="A78" s="7" t="n">
        <v>73</v>
      </c>
      <c r="B78" s="7" t="n">
        <v>2</v>
      </c>
      <c r="C78" s="7" t="inlineStr">
        <is>
          <t>BLK3+HVRR</t>
        </is>
      </c>
      <c r="D78" s="7" t="inlineStr">
        <is>
          <t>89785K854</t>
        </is>
      </c>
      <c r="E78" s="7" t="inlineStr">
        <is>
          <t>Smooth-Bore Seamless 316 Stainless Steel Tubing, 5/8" OD, 0.065" Wall Thickness</t>
        </is>
      </c>
      <c r="F78" s="7" t="inlineStr">
        <is>
          <t>McMaster-Carr</t>
        </is>
      </c>
      <c r="G78" s="7" t="n">
        <v>44.54</v>
      </c>
      <c r="H78" s="7">
        <f>B78*G78</f>
        <v/>
      </c>
      <c r="I78" s="7" t="n"/>
      <c r="J78" s="7" t="n"/>
      <c r="K78" s="7" t="n"/>
      <c r="L78" s="7">
        <f>IFERROR(MIN(I78:K78),"")</f>
        <v/>
      </c>
      <c r="M78" s="7" t="inlineStr"/>
      <c r="N78" s="7">
        <f>IF(L78="","",(G78-L78)*B78)</f>
        <v/>
      </c>
    </row>
    <row r="79">
      <c r="A79" s="7" t="n">
        <v>74</v>
      </c>
      <c r="B79" s="7" t="n">
        <v>2</v>
      </c>
      <c r="C79" s="7" t="inlineStr">
        <is>
          <t>BLK3+HVRR</t>
        </is>
      </c>
      <c r="D79" s="7" t="inlineStr">
        <is>
          <t>5177K73</t>
        </is>
      </c>
      <c r="E79" s="7" t="inlineStr">
        <is>
          <t>5/8" OD soft drawn aluminum tube 6' long 580 psi rated</t>
        </is>
      </c>
      <c r="F79" s="7" t="inlineStr">
        <is>
          <t>McMaster-Carr</t>
        </is>
      </c>
      <c r="G79" s="7" t="n">
        <v>42.06</v>
      </c>
      <c r="H79" s="7">
        <f>B79*G79</f>
        <v/>
      </c>
      <c r="I79" s="7" t="n"/>
      <c r="J79" s="7" t="n"/>
      <c r="K79" s="7" t="n"/>
      <c r="L79" s="7">
        <f>IFERROR(MIN(I79:K79),"")</f>
        <v/>
      </c>
      <c r="M79" s="7" t="inlineStr"/>
      <c r="N79" s="7">
        <f>IF(L79="","",(G79-L79)*B79)</f>
        <v/>
      </c>
    </row>
    <row r="80">
      <c r="A80" s="7" t="n">
        <v>75</v>
      </c>
      <c r="B80" s="7" t="n">
        <v>2</v>
      </c>
      <c r="C80" s="7" t="inlineStr">
        <is>
          <t>BLK3+HVRR</t>
        </is>
      </c>
      <c r="D80" s="7" t="inlineStr">
        <is>
          <t>NAS1149C1232R</t>
        </is>
      </c>
      <c r="E80" s="7" t="inlineStr">
        <is>
          <t>FLAT WASHER - NAS1149C1232R</t>
        </is>
      </c>
      <c r="F80" s="7" t="inlineStr">
        <is>
          <t>Military Fastners</t>
        </is>
      </c>
      <c r="G80" s="7" t="n">
        <v>42</v>
      </c>
      <c r="H80" s="7">
        <f>B80*G80</f>
        <v/>
      </c>
      <c r="I80" s="7" t="n"/>
      <c r="J80" s="7" t="n"/>
      <c r="K80" s="7" t="n"/>
      <c r="L80" s="7">
        <f>IFERROR(MIN(I80:K80),"")</f>
        <v/>
      </c>
      <c r="M80" s="7" t="inlineStr"/>
      <c r="N80" s="7">
        <f>IF(L80="","",(G80-L80)*B80)</f>
        <v/>
      </c>
    </row>
    <row r="81">
      <c r="A81" s="7" t="n">
        <v>76</v>
      </c>
      <c r="B81" s="7" t="n">
        <v>12</v>
      </c>
      <c r="C81" s="7" t="inlineStr">
        <is>
          <t>BLK3+HVRR</t>
        </is>
      </c>
      <c r="D81" s="7" t="inlineStr">
        <is>
          <t>93085A823</t>
        </is>
      </c>
      <c r="E81" s="7" t="inlineStr">
        <is>
          <t>Bulkhead installation Screws</t>
        </is>
      </c>
      <c r="F81" s="7" t="inlineStr">
        <is>
          <t>Mcmaster-Carr</t>
        </is>
      </c>
      <c r="G81" s="7" t="n">
        <v>7</v>
      </c>
      <c r="H81" s="7">
        <f>B81*G81</f>
        <v/>
      </c>
      <c r="I81" s="7" t="n"/>
      <c r="J81" s="7" t="n"/>
      <c r="K81" s="7" t="n"/>
      <c r="L81" s="7">
        <f>IFERROR(MIN(I81:K81),"")</f>
        <v/>
      </c>
      <c r="M81" s="7" t="inlineStr"/>
      <c r="N81" s="7">
        <f>IF(L81="","",(G81-L81)*B81)</f>
        <v/>
      </c>
    </row>
    <row r="82">
      <c r="A82" s="7" t="n">
        <v>77</v>
      </c>
      <c r="B82" s="7" t="n">
        <v>2</v>
      </c>
      <c r="C82" s="7" t="inlineStr">
        <is>
          <t>BLK3+HVRR</t>
        </is>
      </c>
      <c r="D82" s="7" t="inlineStr">
        <is>
          <t>46495K21</t>
        </is>
      </c>
      <c r="E82" s="7" t="inlineStr">
        <is>
          <t>Ultra-Corrosion Resistant Full-Port On/Off Valve with Lockable Lever Handle, 1/2</t>
        </is>
      </c>
      <c r="F82" s="7" t="inlineStr">
        <is>
          <t>McMaster-Carr</t>
        </is>
      </c>
      <c r="G82" s="7" t="n">
        <v>40.99</v>
      </c>
      <c r="H82" s="7">
        <f>B82*G82</f>
        <v/>
      </c>
      <c r="I82" s="7" t="n"/>
      <c r="J82" s="7" t="n"/>
      <c r="K82" s="7" t="n"/>
      <c r="L82" s="7">
        <f>IFERROR(MIN(I82:K82),"")</f>
        <v/>
      </c>
      <c r="M82" s="7" t="inlineStr"/>
      <c r="N82" s="7">
        <f>IF(L82="","",(G82-L82)*B82)</f>
        <v/>
      </c>
    </row>
    <row r="83">
      <c r="A83" s="7" t="n">
        <v>78</v>
      </c>
      <c r="B83" s="7" t="n">
        <v>4</v>
      </c>
      <c r="C83" s="7" t="inlineStr">
        <is>
          <t>BLK3+HVRR</t>
        </is>
      </c>
      <c r="D83" s="7" t="inlineStr">
        <is>
          <t>4468K811</t>
        </is>
      </c>
      <c r="E83" s="7" t="inlineStr">
        <is>
          <t>Braided Chemical Hose with Fittings, Brass 7/16"-20 Thread Size Flare UNF Female</t>
        </is>
      </c>
      <c r="F83" s="7" t="inlineStr">
        <is>
          <t>McMaster-Carr</t>
        </is>
      </c>
      <c r="G83" s="7" t="n">
        <v>20.45</v>
      </c>
      <c r="H83" s="7">
        <f>B83*G83</f>
        <v/>
      </c>
      <c r="I83" s="7" t="n"/>
      <c r="J83" s="7" t="n"/>
      <c r="K83" s="7" t="n"/>
      <c r="L83" s="7">
        <f>IFERROR(MIN(I83:K83),"")</f>
        <v/>
      </c>
      <c r="M83" s="7" t="inlineStr"/>
      <c r="N83" s="7">
        <f>IF(L83="","",(G83-L83)*B83)</f>
        <v/>
      </c>
    </row>
    <row r="84">
      <c r="A84" s="7" t="n">
        <v>79</v>
      </c>
      <c r="B84" s="7" t="n">
        <v>8</v>
      </c>
      <c r="C84" s="7" t="inlineStr">
        <is>
          <t>BLK3+HVRR</t>
        </is>
      </c>
      <c r="D84" s="7" t="inlineStr">
        <is>
          <t>7856K63</t>
        </is>
      </c>
      <c r="E84" s="7" t="inlineStr">
        <is>
          <t>Heat-Shrink Tubing, 1 Foot Long, 0.13" ID Before Shrinking, Red</t>
        </is>
      </c>
      <c r="F84" s="7" t="inlineStr">
        <is>
          <t>McMaster-Carr</t>
        </is>
      </c>
      <c r="G84" s="7" t="n">
        <v>10.22</v>
      </c>
      <c r="H84" s="7">
        <f>B84*G84</f>
        <v/>
      </c>
      <c r="I84" s="7" t="n"/>
      <c r="J84" s="7" t="n"/>
      <c r="K84" s="7" t="n"/>
      <c r="L84" s="7">
        <f>IFERROR(MIN(I84:K84),"")</f>
        <v/>
      </c>
      <c r="M84" s="7" t="inlineStr"/>
      <c r="N84" s="7">
        <f>IF(L84="","",(G84-L84)*B84)</f>
        <v/>
      </c>
    </row>
    <row r="85">
      <c r="A85" s="7" t="n">
        <v>80</v>
      </c>
      <c r="B85" s="7" t="n">
        <v>2</v>
      </c>
      <c r="C85" s="7" t="inlineStr">
        <is>
          <t>BLK3+HVRR</t>
        </is>
      </c>
      <c r="D85" s="7" t="inlineStr">
        <is>
          <t>50715K269</t>
        </is>
      </c>
      <c r="E85" s="7" t="inlineStr">
        <is>
          <t>37 Degree Flared Fitting for Stainless Steel Tubing, Straight Adapter for 5/8" T</t>
        </is>
      </c>
      <c r="F85" s="7" t="inlineStr">
        <is>
          <t>McMaster-Carr</t>
        </is>
      </c>
      <c r="G85" s="7" t="n">
        <v>40.34</v>
      </c>
      <c r="H85" s="7">
        <f>B85*G85</f>
        <v/>
      </c>
      <c r="I85" s="7" t="n"/>
      <c r="J85" s="7" t="n"/>
      <c r="K85" s="7" t="n"/>
      <c r="L85" s="7">
        <f>IFERROR(MIN(I85:K85),"")</f>
        <v/>
      </c>
      <c r="M85" s="7" t="inlineStr"/>
      <c r="N85" s="7">
        <f>IF(L85="","",(G85-L85)*B85)</f>
        <v/>
      </c>
    </row>
    <row r="86">
      <c r="A86" s="7" t="n">
        <v>81</v>
      </c>
      <c r="B86" s="7" t="n">
        <v>4</v>
      </c>
      <c r="C86" s="7" t="inlineStr">
        <is>
          <t>BLK3+HVRR</t>
        </is>
      </c>
      <c r="D86" s="7" t="inlineStr">
        <is>
          <t>5482K12</t>
        </is>
      </c>
      <c r="E86" s="7" t="inlineStr">
        <is>
          <t xml:space="preserve">AN 37 Degree Flared Fitting, 304 Stainless Steel Adapter for 1/4" Tube OD x 1/4 </t>
        </is>
      </c>
      <c r="F86" s="7" t="inlineStr">
        <is>
          <t>McMaster-Carr</t>
        </is>
      </c>
      <c r="G86" s="7" t="n">
        <v>19.38</v>
      </c>
      <c r="H86" s="7">
        <f>B86*G86</f>
        <v/>
      </c>
      <c r="I86" s="7" t="n"/>
      <c r="J86" s="7" t="n"/>
      <c r="K86" s="7" t="n"/>
      <c r="L86" s="7">
        <f>IFERROR(MIN(I86:K86),"")</f>
        <v/>
      </c>
      <c r="M86" s="7" t="inlineStr"/>
      <c r="N86" s="7">
        <f>IF(L86="","",(G86-L86)*B86)</f>
        <v/>
      </c>
    </row>
    <row r="87">
      <c r="A87" s="7" t="n">
        <v>82</v>
      </c>
      <c r="B87" s="7" t="n">
        <v>4</v>
      </c>
      <c r="C87" s="7" t="inlineStr">
        <is>
          <t>BLK3+HVRR</t>
        </is>
      </c>
      <c r="D87" s="7" t="inlineStr">
        <is>
          <t>4468K811</t>
        </is>
      </c>
      <c r="E87" s="7" t="inlineStr">
        <is>
          <t>AN-4 18" braided steel hose (Is this an -4?????</t>
        </is>
      </c>
      <c r="F87" s="7" t="inlineStr">
        <is>
          <t>McMaster-Carr</t>
        </is>
      </c>
      <c r="G87" s="7" t="n">
        <v>19.12</v>
      </c>
      <c r="H87" s="7">
        <f>B87*G87</f>
        <v/>
      </c>
      <c r="I87" s="7" t="n"/>
      <c r="J87" s="7" t="n"/>
      <c r="K87" s="7" t="n"/>
      <c r="L87" s="7">
        <f>IFERROR(MIN(I87:K87),"")</f>
        <v/>
      </c>
      <c r="M87" s="7" t="inlineStr"/>
      <c r="N87" s="7">
        <f>IF(L87="","",(G87-L87)*B87)</f>
        <v/>
      </c>
    </row>
    <row r="88">
      <c r="A88" s="7" t="n">
        <v>83</v>
      </c>
      <c r="B88" s="7" t="n">
        <v>2</v>
      </c>
      <c r="C88" s="7" t="inlineStr">
        <is>
          <t>BLK3+HVRR</t>
        </is>
      </c>
      <c r="D88" s="7" t="inlineStr">
        <is>
          <t>50485K112</t>
        </is>
      </c>
      <c r="E88" s="7" t="inlineStr">
        <is>
          <t>High-Polish Quick-Clamp Sanitary Tube Fitting, 316L Stainless Steel 90 Degree El</t>
        </is>
      </c>
      <c r="F88" s="7" t="inlineStr">
        <is>
          <t>McMaster-Carr</t>
        </is>
      </c>
      <c r="G88" s="7" t="n">
        <v>38.11</v>
      </c>
      <c r="H88" s="7">
        <f>B88*G88</f>
        <v/>
      </c>
      <c r="I88" s="7" t="n"/>
      <c r="J88" s="7" t="n"/>
      <c r="K88" s="7" t="n"/>
      <c r="L88" s="7">
        <f>IFERROR(MIN(I88:K88),"")</f>
        <v/>
      </c>
      <c r="M88" s="7" t="inlineStr"/>
      <c r="N88" s="7">
        <f>IF(L88="","",(G88-L88)*B88)</f>
        <v/>
      </c>
    </row>
    <row r="89">
      <c r="A89" s="7" t="n">
        <v>84</v>
      </c>
      <c r="B89" s="7" t="n">
        <v>8</v>
      </c>
      <c r="C89" s="7" t="inlineStr">
        <is>
          <t>BLK3+HVRR</t>
        </is>
      </c>
      <c r="D89" s="7" t="inlineStr">
        <is>
          <t>51205K391</t>
        </is>
      </c>
      <c r="E89" s="7" t="inlineStr">
        <is>
          <t>Extreme-Pressure 316 Stainless Steel Pipe Fitting, Plug with External Hex Drive,</t>
        </is>
      </c>
      <c r="F89" s="7" t="inlineStr">
        <is>
          <t>McMaster-Carr</t>
        </is>
      </c>
      <c r="G89" s="7" t="n">
        <v>9.52</v>
      </c>
      <c r="H89" s="7">
        <f>B89*G89</f>
        <v/>
      </c>
      <c r="I89" s="7" t="n"/>
      <c r="J89" s="7" t="n"/>
      <c r="K89" s="7" t="n"/>
      <c r="L89" s="7">
        <f>IFERROR(MIN(I89:K89),"")</f>
        <v/>
      </c>
      <c r="M89" s="7" t="inlineStr"/>
      <c r="N89" s="7">
        <f>IF(L89="","",(G89-L89)*B89)</f>
        <v/>
      </c>
    </row>
    <row r="90">
      <c r="A90" s="7" t="n">
        <v>85</v>
      </c>
      <c r="B90" s="7" t="n">
        <v>2</v>
      </c>
      <c r="C90" s="7" t="inlineStr">
        <is>
          <t>BLK3+HVRR</t>
        </is>
      </c>
      <c r="D90" s="7" t="inlineStr">
        <is>
          <t>5482K123</t>
        </is>
      </c>
      <c r="E90" s="7" t="inlineStr">
        <is>
          <t>Precision AN 37 Degree Flared Fitting, 316 Stainless Steel Adapter for 3/8" Tube</t>
        </is>
      </c>
      <c r="F90" s="7" t="inlineStr">
        <is>
          <t>McMaster-Carr</t>
        </is>
      </c>
      <c r="G90" s="7" t="n">
        <v>37.88</v>
      </c>
      <c r="H90" s="7">
        <f>B90*G90</f>
        <v/>
      </c>
      <c r="I90" s="7" t="n"/>
      <c r="J90" s="7" t="n"/>
      <c r="K90" s="7" t="n"/>
      <c r="L90" s="7">
        <f>IFERROR(MIN(I90:K90),"")</f>
        <v/>
      </c>
      <c r="M90" s="7" t="inlineStr"/>
      <c r="N90" s="7">
        <f>IF(L90="","",(G90-L90)*B90)</f>
        <v/>
      </c>
    </row>
    <row r="91">
      <c r="A91" s="7" t="n">
        <v>86</v>
      </c>
      <c r="B91" s="7" t="n">
        <v>2</v>
      </c>
      <c r="C91" s="7" t="inlineStr">
        <is>
          <t>BLK3+HVRR</t>
        </is>
      </c>
      <c r="D91" s="7" t="inlineStr">
        <is>
          <t>8974K71</t>
        </is>
      </c>
      <c r="E91" s="7" t="inlineStr">
        <is>
          <t>Multipurpose 6061 Aluminum Rod with Certification, 2" Diameter 1' long</t>
        </is>
      </c>
      <c r="F91" s="7" t="inlineStr">
        <is>
          <t>McMaster-Carr</t>
        </is>
      </c>
      <c r="G91" s="7" t="n">
        <v>34.94</v>
      </c>
      <c r="H91" s="7">
        <f>B91*G91</f>
        <v/>
      </c>
      <c r="I91" s="7" t="n"/>
      <c r="J91" s="7" t="n"/>
      <c r="K91" s="7" t="n"/>
      <c r="L91" s="7">
        <f>IFERROR(MIN(I91:K91),"")</f>
        <v/>
      </c>
      <c r="M91" s="7" t="inlineStr"/>
      <c r="N91" s="7">
        <f>IF(L91="","",(G91-L91)*B91)</f>
        <v/>
      </c>
    </row>
    <row r="92">
      <c r="A92" s="7" t="n">
        <v>87</v>
      </c>
      <c r="B92" s="7" t="n">
        <v>2</v>
      </c>
      <c r="C92" s="7" t="inlineStr">
        <is>
          <t>BLK3+HVRR</t>
        </is>
      </c>
      <c r="D92" s="7" t="inlineStr">
        <is>
          <t>89785K837</t>
        </is>
      </c>
      <c r="E92" s="7" t="inlineStr">
        <is>
          <t>Smooth-Bore Seamless 316 Stainless Steel Tubing, 3/8" OD, 0.035" Wall Thickness</t>
        </is>
      </c>
      <c r="F92" s="7" t="inlineStr">
        <is>
          <t>McMaster-Carr</t>
        </is>
      </c>
      <c r="G92" s="7" t="n">
        <v>34.29</v>
      </c>
      <c r="H92" s="7">
        <f>B92*G92</f>
        <v/>
      </c>
      <c r="I92" s="7" t="n"/>
      <c r="J92" s="7" t="n"/>
      <c r="K92" s="7" t="n"/>
      <c r="L92" s="7">
        <f>IFERROR(MIN(I92:K92),"")</f>
        <v/>
      </c>
      <c r="M92" s="7" t="inlineStr"/>
      <c r="N92" s="7">
        <f>IF(L92="","",(G92-L92)*B92)</f>
        <v/>
      </c>
    </row>
    <row r="93">
      <c r="A93" s="7" t="n">
        <v>88</v>
      </c>
      <c r="B93" s="7" t="n">
        <v>2</v>
      </c>
      <c r="C93" s="7" t="inlineStr">
        <is>
          <t>BLK3+HVRR</t>
        </is>
      </c>
      <c r="D93" s="7" t="inlineStr">
        <is>
          <t>9246K13</t>
        </is>
      </c>
      <c r="E93" s="7" t="inlineStr">
        <is>
          <t>Multipurpose 6061 Aluminum, 1/4" Thick x 12" Wide, 1 Foot Long</t>
        </is>
      </c>
      <c r="F93" s="7" t="inlineStr">
        <is>
          <t>McMaster-Carr</t>
        </is>
      </c>
      <c r="G93" s="7" t="n">
        <v>32.59</v>
      </c>
      <c r="H93" s="7">
        <f>B93*G93</f>
        <v/>
      </c>
      <c r="I93" s="7" t="n"/>
      <c r="J93" s="7" t="n"/>
      <c r="K93" s="7" t="n"/>
      <c r="L93" s="7">
        <f>IFERROR(MIN(I93:K93),"")</f>
        <v/>
      </c>
      <c r="M93" s="7" t="inlineStr"/>
      <c r="N93" s="7">
        <f>IF(L93="","",(G93-L93)*B93)</f>
        <v/>
      </c>
    </row>
    <row r="94">
      <c r="A94" s="7" t="n">
        <v>89</v>
      </c>
      <c r="B94" s="7" t="n">
        <v>4</v>
      </c>
      <c r="C94" s="7" t="inlineStr">
        <is>
          <t>BLK3+HVRR</t>
        </is>
      </c>
      <c r="D94" s="7" t="inlineStr">
        <is>
          <t>4483T25</t>
        </is>
      </c>
      <c r="E94" s="7" t="inlineStr">
        <is>
          <t>High-Load Ball Joint Rod End, Nylon/PTFE Insert, 7/16"-20 Internal Thread</t>
        </is>
      </c>
      <c r="F94" s="7" t="inlineStr">
        <is>
          <t>McMaster-Carr</t>
        </is>
      </c>
      <c r="G94" s="7" t="n">
        <v>16.23</v>
      </c>
      <c r="H94" s="7">
        <f>B94*G94</f>
        <v/>
      </c>
      <c r="I94" s="7" t="n"/>
      <c r="J94" s="7" t="n"/>
      <c r="K94" s="7" t="n"/>
      <c r="L94" s="7">
        <f>IFERROR(MIN(I94:K94),"")</f>
        <v/>
      </c>
      <c r="M94" s="7" t="inlineStr"/>
      <c r="N94" s="7">
        <f>IF(L94="","",(G94-L94)*B94)</f>
        <v/>
      </c>
    </row>
    <row r="95">
      <c r="A95" s="7" t="n">
        <v>90</v>
      </c>
      <c r="B95" s="7" t="n">
        <v>4</v>
      </c>
      <c r="C95" s="7" t="inlineStr">
        <is>
          <t>BLK3+HVRR</t>
        </is>
      </c>
      <c r="D95" s="7" t="inlineStr">
        <is>
          <t>4483T5</t>
        </is>
      </c>
      <c r="E95" s="7" t="inlineStr">
        <is>
          <t>High-Load Ball Joint Rod End, Nylon/PTFE Insert, 7/16"-20 Thread</t>
        </is>
      </c>
      <c r="F95" s="7" t="inlineStr">
        <is>
          <t>McMaster-Carr</t>
        </is>
      </c>
      <c r="G95" s="7" t="n">
        <v>16.23</v>
      </c>
      <c r="H95" s="7">
        <f>B95*G95</f>
        <v/>
      </c>
      <c r="I95" s="7" t="n"/>
      <c r="J95" s="7" t="n"/>
      <c r="K95" s="7" t="n"/>
      <c r="L95" s="7">
        <f>IFERROR(MIN(I95:K95),"")</f>
        <v/>
      </c>
      <c r="M95" s="7" t="inlineStr"/>
      <c r="N95" s="7">
        <f>IF(L95="","",(G95-L95)*B95)</f>
        <v/>
      </c>
    </row>
    <row r="96">
      <c r="A96" s="7" t="n">
        <v>91</v>
      </c>
      <c r="B96" s="7" t="n">
        <v>2</v>
      </c>
      <c r="C96" s="7" t="inlineStr">
        <is>
          <t>BLK3+HVRR</t>
        </is>
      </c>
      <c r="D96" s="7" t="inlineStr">
        <is>
          <t>5177K66</t>
        </is>
      </c>
      <c r="E96" s="7" t="inlineStr">
        <is>
          <t>Main Manifold, 3/8" OD soft drawn aluminum tube 1000 psi rated, (10' section)</t>
        </is>
      </c>
      <c r="F96" s="7" t="inlineStr">
        <is>
          <t>McMaster-Carr</t>
        </is>
      </c>
      <c r="G96" s="7" t="n">
        <v>31.93</v>
      </c>
      <c r="H96" s="7">
        <f>B96*G96</f>
        <v/>
      </c>
      <c r="I96" s="7" t="n"/>
      <c r="J96" s="7" t="n"/>
      <c r="K96" s="7" t="n"/>
      <c r="L96" s="7">
        <f>IFERROR(MIN(I96:K96),"")</f>
        <v/>
      </c>
      <c r="M96" s="7" t="inlineStr"/>
      <c r="N96" s="7">
        <f>IF(L96="","",(G96-L96)*B96)</f>
        <v/>
      </c>
    </row>
    <row r="97">
      <c r="A97" s="7" t="n">
        <v>92</v>
      </c>
      <c r="B97" s="7" t="n">
        <v>2</v>
      </c>
      <c r="C97" s="7" t="inlineStr">
        <is>
          <t>BLK3+HVRR</t>
        </is>
      </c>
      <c r="D97" s="7" t="inlineStr">
        <is>
          <t>5177K66</t>
        </is>
      </c>
      <c r="E97" s="7" t="inlineStr">
        <is>
          <t>Main Manifold, 3/8" OD soft drawn aluminum tube 1.5" long 1000 psi rated, hand f</t>
        </is>
      </c>
      <c r="F97" s="7" t="inlineStr">
        <is>
          <t>McMaster-Carr</t>
        </is>
      </c>
      <c r="G97" s="7" t="n">
        <v>31.93</v>
      </c>
      <c r="H97" s="7">
        <f>B97*G97</f>
        <v/>
      </c>
      <c r="I97" s="7" t="n"/>
      <c r="J97" s="7" t="n"/>
      <c r="K97" s="7" t="n"/>
      <c r="L97" s="7">
        <f>IFERROR(MIN(I97:K97),"")</f>
        <v/>
      </c>
      <c r="M97" s="7" t="inlineStr"/>
      <c r="N97" s="7">
        <f>IF(L97="","",(G97-L97)*B97)</f>
        <v/>
      </c>
    </row>
    <row r="98">
      <c r="A98" s="7" t="n">
        <v>93</v>
      </c>
      <c r="B98" s="7" t="n">
        <v>2</v>
      </c>
      <c r="C98" s="7" t="inlineStr">
        <is>
          <t>BLK3+HVRR</t>
        </is>
      </c>
      <c r="D98" s="7" t="inlineStr">
        <is>
          <t>89325K43</t>
        </is>
      </c>
      <c r="E98" s="7" t="inlineStr">
        <is>
          <t>Corrosion-Resistant 316/316L Stainless Steel Rod, 1-1/2" Diameter</t>
        </is>
      </c>
      <c r="F98" s="7" t="inlineStr">
        <is>
          <t>McMaster-Carr</t>
        </is>
      </c>
      <c r="G98" s="7" t="n">
        <v>31.51</v>
      </c>
      <c r="H98" s="7">
        <f>B98*G98</f>
        <v/>
      </c>
      <c r="I98" s="7" t="n"/>
      <c r="J98" s="7" t="n"/>
      <c r="K98" s="7" t="n"/>
      <c r="L98" s="7">
        <f>IFERROR(MIN(I98:K98),"")</f>
        <v/>
      </c>
      <c r="M98" s="7" t="inlineStr"/>
      <c r="N98" s="7">
        <f>IF(L98="","",(G98-L98)*B98)</f>
        <v/>
      </c>
    </row>
    <row r="99">
      <c r="A99" s="7" t="n">
        <v>94</v>
      </c>
      <c r="B99" s="7" t="n">
        <v>2</v>
      </c>
      <c r="C99" s="7" t="inlineStr">
        <is>
          <t>BLK3+HVRR</t>
        </is>
      </c>
      <c r="D99" s="7" t="inlineStr">
        <is>
          <t>50715K263</t>
        </is>
      </c>
      <c r="E99" s="7" t="inlineStr">
        <is>
          <t>37 Degree Flared Fitting for Stainless Steel Tubing, Straight Connector for 1/2"</t>
        </is>
      </c>
      <c r="F99" s="7" t="inlineStr">
        <is>
          <t>McMaster-Carr</t>
        </is>
      </c>
      <c r="G99" s="7" t="n">
        <v>30.68</v>
      </c>
      <c r="H99" s="7">
        <f>B99*G99</f>
        <v/>
      </c>
      <c r="I99" s="7" t="n"/>
      <c r="J99" s="7" t="n"/>
      <c r="K99" s="7" t="n"/>
      <c r="L99" s="7">
        <f>IFERROR(MIN(I99:K99),"")</f>
        <v/>
      </c>
      <c r="M99" s="7" t="inlineStr"/>
      <c r="N99" s="7">
        <f>IF(L99="","",(G99-L99)*B99)</f>
        <v/>
      </c>
    </row>
    <row r="100">
      <c r="A100" s="7" t="n">
        <v>95</v>
      </c>
      <c r="B100" s="7" t="n">
        <v>16</v>
      </c>
      <c r="C100" s="7" t="inlineStr">
        <is>
          <t>BLK3+HVRR</t>
        </is>
      </c>
      <c r="D100" s="7" t="inlineStr">
        <is>
          <t>2227K76</t>
        </is>
      </c>
      <c r="E100" s="7" t="inlineStr">
        <is>
          <t>Sleeve for 5/8" Tube OD for 37 Degree Flared Fitting for Aluminum Tubing</t>
        </is>
      </c>
      <c r="F100" s="7" t="inlineStr">
        <is>
          <t>McMaster-Carr</t>
        </is>
      </c>
      <c r="G100" s="7" t="n">
        <v>3.83</v>
      </c>
      <c r="H100" s="7">
        <f>B100*G100</f>
        <v/>
      </c>
      <c r="I100" s="7" t="n"/>
      <c r="J100" s="7" t="n"/>
      <c r="K100" s="7" t="n"/>
      <c r="L100" s="7">
        <f>IFERROR(MIN(I100:K100),"")</f>
        <v/>
      </c>
      <c r="M100" s="7" t="inlineStr"/>
      <c r="N100" s="7">
        <f>IF(L100="","",(G100-L100)*B100)</f>
        <v/>
      </c>
    </row>
    <row r="101">
      <c r="A101" s="7" t="n">
        <v>96</v>
      </c>
      <c r="B101" s="7" t="n">
        <v>16</v>
      </c>
      <c r="C101" s="7" t="inlineStr">
        <is>
          <t>BLK3+HVRR</t>
        </is>
      </c>
      <c r="D101" s="7" t="inlineStr">
        <is>
          <t>5482K203</t>
        </is>
      </c>
      <c r="E101" s="7" t="inlineStr">
        <is>
          <t>316 Stainless Steel Sleeve for 1/4" Tube OD Precision AN 37 Degree Flared Fittin</t>
        </is>
      </c>
      <c r="F101" s="7" t="inlineStr">
        <is>
          <t>McMaster-Carr</t>
        </is>
      </c>
      <c r="G101" s="7" t="n">
        <v>3.79</v>
      </c>
      <c r="H101" s="7">
        <f>B101*G101</f>
        <v/>
      </c>
      <c r="I101" s="7" t="n"/>
      <c r="J101" s="7" t="n"/>
      <c r="K101" s="7" t="n"/>
      <c r="L101" s="7">
        <f>IFERROR(MIN(I101:K101),"")</f>
        <v/>
      </c>
      <c r="M101" s="7" t="inlineStr"/>
      <c r="N101" s="7">
        <f>IF(L101="","",(G101-L101)*B101)</f>
        <v/>
      </c>
    </row>
    <row r="102">
      <c r="A102" s="7" t="n">
        <v>97</v>
      </c>
      <c r="B102" s="7" t="n">
        <v>2</v>
      </c>
      <c r="C102" s="7" t="inlineStr">
        <is>
          <t>BLK3+HVRR</t>
        </is>
      </c>
      <c r="D102" s="7" t="inlineStr">
        <is>
          <t>8975K215</t>
        </is>
      </c>
      <c r="E102" s="7" t="inlineStr">
        <is>
          <t>Multipurpose 6061 Aluminum, 1/2" Thick x 4" Wide, 1 Foot Long</t>
        </is>
      </c>
      <c r="F102" s="7" t="inlineStr">
        <is>
          <t>McMaster-Carr</t>
        </is>
      </c>
      <c r="G102" s="7" t="n">
        <v>30.32</v>
      </c>
      <c r="H102" s="7">
        <f>B102*G102</f>
        <v/>
      </c>
      <c r="I102" s="7" t="n"/>
      <c r="J102" s="7" t="n"/>
      <c r="K102" s="7" t="n"/>
      <c r="L102" s="7">
        <f>IFERROR(MIN(I102:K102),"")</f>
        <v/>
      </c>
      <c r="M102" s="7" t="inlineStr"/>
      <c r="N102" s="7">
        <f>IF(L102="","",(G102-L102)*B102)</f>
        <v/>
      </c>
    </row>
    <row r="103">
      <c r="A103" s="7" t="n">
        <v>98</v>
      </c>
      <c r="B103" s="7" t="n">
        <v>8</v>
      </c>
      <c r="C103" s="7" t="inlineStr">
        <is>
          <t>BLK3+HVRR</t>
        </is>
      </c>
      <c r="D103" s="7" t="inlineStr">
        <is>
          <t>7130K31</t>
        </is>
      </c>
      <c r="E103" s="7" t="inlineStr">
        <is>
          <t>Nylon Plastic Cable Tie, Narrow, 8" Long, for 2-1/8", 0.10" Wide, Black</t>
        </is>
      </c>
      <c r="F103" s="7" t="inlineStr">
        <is>
          <t>McMaster-Carr</t>
        </is>
      </c>
      <c r="G103" s="7" t="n">
        <v>7.03</v>
      </c>
      <c r="H103" s="7">
        <f>B103*G103</f>
        <v/>
      </c>
      <c r="I103" s="7" t="n"/>
      <c r="J103" s="7" t="n"/>
      <c r="K103" s="7" t="n"/>
      <c r="L103" s="7">
        <f>IFERROR(MIN(I103:K103),"")</f>
        <v/>
      </c>
      <c r="M103" s="7" t="inlineStr"/>
      <c r="N103" s="7">
        <f>IF(L103="","",(G103-L103)*B103)</f>
        <v/>
      </c>
    </row>
    <row r="104">
      <c r="A104" s="7" t="n">
        <v>99</v>
      </c>
      <c r="B104" s="7" t="n">
        <v>2</v>
      </c>
      <c r="C104" s="7" t="inlineStr">
        <is>
          <t>BLK3+HVRR</t>
        </is>
      </c>
      <c r="D104" s="7" t="inlineStr">
        <is>
          <t>5482K132</t>
        </is>
      </c>
      <c r="E104" s="7" t="inlineStr">
        <is>
          <t>Precision AN 37 Degree Flared Fitting, 316 Stainless Steel Straight Connector fo</t>
        </is>
      </c>
      <c r="F104" s="7" t="inlineStr">
        <is>
          <t>McMaster-Carr</t>
        </is>
      </c>
      <c r="G104" s="7" t="n">
        <v>28.02</v>
      </c>
      <c r="H104" s="7">
        <f>B104*G104</f>
        <v/>
      </c>
      <c r="I104" s="7" t="n"/>
      <c r="J104" s="7" t="n"/>
      <c r="K104" s="7" t="n"/>
      <c r="L104" s="7">
        <f>IFERROR(MIN(I104:K104),"")</f>
        <v/>
      </c>
      <c r="M104" s="7" t="inlineStr"/>
      <c r="N104" s="7">
        <f>IF(L104="","",(G104-L104)*B104)</f>
        <v/>
      </c>
    </row>
    <row r="105">
      <c r="A105" s="7" t="n">
        <v>100</v>
      </c>
      <c r="B105" s="7" t="n">
        <v>4</v>
      </c>
      <c r="C105" s="7" t="inlineStr">
        <is>
          <t>BLK3+HVRR</t>
        </is>
      </c>
      <c r="D105" s="7" t="inlineStr">
        <is>
          <t>8975K74</t>
        </is>
      </c>
      <c r="E105" s="7" t="inlineStr">
        <is>
          <t>Multipurpose 6061 Aluminum, 1/2" Thick x 2" Wide, 1 Foot Long</t>
        </is>
      </c>
      <c r="F105" s="7" t="inlineStr">
        <is>
          <t>McMaster-Carr</t>
        </is>
      </c>
      <c r="G105" s="7" t="n">
        <v>13.87</v>
      </c>
      <c r="H105" s="7">
        <f>B105*G105</f>
        <v/>
      </c>
      <c r="I105" s="7" t="n"/>
      <c r="J105" s="7" t="n"/>
      <c r="K105" s="7" t="n"/>
      <c r="L105" s="7">
        <f>IFERROR(MIN(I105:K105),"")</f>
        <v/>
      </c>
      <c r="M105" s="7" t="inlineStr"/>
      <c r="N105" s="7">
        <f>IF(L105="","",(G105-L105)*B105)</f>
        <v/>
      </c>
    </row>
    <row r="106">
      <c r="A106" s="7" t="n">
        <v>101</v>
      </c>
      <c r="B106" s="7" t="n">
        <v>2</v>
      </c>
      <c r="C106" s="7" t="inlineStr">
        <is>
          <t>BLK3+HVRR</t>
        </is>
      </c>
      <c r="D106" s="7" t="inlineStr">
        <is>
          <t>8975K237</t>
        </is>
      </c>
      <c r="E106" s="7" t="inlineStr">
        <is>
          <t>Multipurpose 6061 Aluminum Bar, 1" Thick x 2" Wide, 1 Foot Long</t>
        </is>
      </c>
      <c r="F106" s="7" t="inlineStr">
        <is>
          <t>McMaster-Carr</t>
        </is>
      </c>
      <c r="G106" s="7" t="n">
        <v>27.73</v>
      </c>
      <c r="H106" s="7">
        <f>B106*G106</f>
        <v/>
      </c>
      <c r="I106" s="7" t="n"/>
      <c r="J106" s="7" t="n"/>
      <c r="K106" s="7" t="n"/>
      <c r="L106" s="7">
        <f>IFERROR(MIN(I106:K106),"")</f>
        <v/>
      </c>
      <c r="M106" s="7" t="inlineStr"/>
      <c r="N106" s="7">
        <f>IF(L106="","",(G106-L106)*B106)</f>
        <v/>
      </c>
    </row>
    <row r="107">
      <c r="A107" s="7" t="n">
        <v>102</v>
      </c>
      <c r="B107" s="7" t="n">
        <v>2</v>
      </c>
      <c r="C107" s="7" t="inlineStr">
        <is>
          <t>BLK3+HVRR</t>
        </is>
      </c>
      <c r="D107" s="7" t="inlineStr">
        <is>
          <t>9008K46</t>
        </is>
      </c>
      <c r="E107" s="7" t="inlineStr">
        <is>
          <t>Multipurpose 6061 Aluminum, 1-1/2" x 1-1/2", 1 Foot Long</t>
        </is>
      </c>
      <c r="F107" s="7" t="inlineStr">
        <is>
          <t>McMaster-Carr</t>
        </is>
      </c>
      <c r="G107" s="7" t="n">
        <v>27.7</v>
      </c>
      <c r="H107" s="7">
        <f>B107*G107</f>
        <v/>
      </c>
      <c r="I107" s="7" t="n"/>
      <c r="J107" s="7" t="n"/>
      <c r="K107" s="7" t="n"/>
      <c r="L107" s="7">
        <f>IFERROR(MIN(I107:K107),"")</f>
        <v/>
      </c>
      <c r="M107" s="7" t="inlineStr"/>
      <c r="N107" s="7">
        <f>IF(L107="","",(G107-L107)*B107)</f>
        <v/>
      </c>
    </row>
    <row r="108">
      <c r="A108" s="7" t="n">
        <v>103</v>
      </c>
      <c r="B108" s="7" t="n">
        <v>4</v>
      </c>
      <c r="C108" s="7" t="inlineStr">
        <is>
          <t>BLK3+HVRR</t>
        </is>
      </c>
      <c r="D108" s="7" t="inlineStr">
        <is>
          <t>1939K17</t>
        </is>
      </c>
      <c r="E108" s="7" t="inlineStr">
        <is>
          <t>Fan, thin, 50x10mm, 12V</t>
        </is>
      </c>
      <c r="F108" s="7" t="inlineStr">
        <is>
          <t>McMaster-Carr</t>
        </is>
      </c>
      <c r="G108" s="7" t="n">
        <v>13.82</v>
      </c>
      <c r="H108" s="7">
        <f>B108*G108</f>
        <v/>
      </c>
      <c r="I108" s="7" t="n"/>
      <c r="J108" s="7" t="n"/>
      <c r="K108" s="7" t="n"/>
      <c r="L108" s="7">
        <f>IFERROR(MIN(I108:K108),"")</f>
        <v/>
      </c>
      <c r="M108" s="7" t="inlineStr"/>
      <c r="N108" s="7">
        <f>IF(L108="","",(G108-L108)*B108)</f>
        <v/>
      </c>
    </row>
    <row r="109">
      <c r="A109" s="7" t="n">
        <v>104</v>
      </c>
      <c r="B109" s="7" t="n">
        <v>12</v>
      </c>
      <c r="C109" s="7" t="inlineStr">
        <is>
          <t>BLK3+HVRR</t>
        </is>
      </c>
      <c r="D109" s="7" t="inlineStr">
        <is>
          <t>2227K66</t>
        </is>
      </c>
      <c r="E109" s="7" t="inlineStr">
        <is>
          <t>Nut for 5/8" Tube OD for 37 Degree Flared Fitting for Aluminum Tubing</t>
        </is>
      </c>
      <c r="F109" s="7" t="inlineStr">
        <is>
          <t>McMaster-Carr</t>
        </is>
      </c>
      <c r="G109" s="7" t="n">
        <v>4.57</v>
      </c>
      <c r="H109" s="7">
        <f>B109*G109</f>
        <v/>
      </c>
      <c r="I109" s="7" t="n"/>
      <c r="J109" s="7" t="n"/>
      <c r="K109" s="7" t="n"/>
      <c r="L109" s="7">
        <f>IFERROR(MIN(I109:K109),"")</f>
        <v/>
      </c>
      <c r="M109" s="7" t="inlineStr"/>
      <c r="N109" s="7">
        <f>IF(L109="","",(G109-L109)*B109)</f>
        <v/>
      </c>
    </row>
    <row r="110">
      <c r="A110" s="7" t="n">
        <v>105</v>
      </c>
      <c r="B110" s="7" t="n">
        <v>2</v>
      </c>
      <c r="C110" s="7" t="inlineStr">
        <is>
          <t>BLK3+HVRR</t>
        </is>
      </c>
      <c r="D110" s="7" t="inlineStr">
        <is>
          <t>51205K187</t>
        </is>
      </c>
      <c r="E110" s="7" t="inlineStr">
        <is>
          <t>Extreme-Pressure 316 Stainless Steel Pipe Fitting, Reducing Adapter, 1/4 NPTF Fe</t>
        </is>
      </c>
      <c r="F110" s="7" t="inlineStr">
        <is>
          <t>McMaster-Carr</t>
        </is>
      </c>
      <c r="G110" s="7" t="n">
        <v>26.46</v>
      </c>
      <c r="H110" s="7">
        <f>B110*G110</f>
        <v/>
      </c>
      <c r="I110" s="7" t="n"/>
      <c r="J110" s="7" t="n"/>
      <c r="K110" s="7" t="n"/>
      <c r="L110" s="7">
        <f>IFERROR(MIN(I110:K110),"")</f>
        <v/>
      </c>
      <c r="M110" s="7" t="inlineStr"/>
      <c r="N110" s="7">
        <f>IF(L110="","",(G110-L110)*B110)</f>
        <v/>
      </c>
    </row>
    <row r="111">
      <c r="A111" s="7" t="n">
        <v>106</v>
      </c>
      <c r="B111" s="7" t="n">
        <v>6</v>
      </c>
      <c r="C111" s="7" t="inlineStr">
        <is>
          <t>BLK3+HVRR</t>
        </is>
      </c>
      <c r="D111" s="7" t="inlineStr">
        <is>
          <t>93085A823</t>
        </is>
      </c>
      <c r="E111" s="7" t="inlineStr">
        <is>
          <t>Mil. Spec. Stainless Steel Phillips Flat Head Screws, 100 Degree Countersink Ang</t>
        </is>
      </c>
      <c r="F111" s="7" t="inlineStr">
        <is>
          <t>McMaster-Carr</t>
        </is>
      </c>
      <c r="G111" s="7" t="n">
        <v>8.720000000000001</v>
      </c>
      <c r="H111" s="7">
        <f>B111*G111</f>
        <v/>
      </c>
      <c r="I111" s="7" t="n"/>
      <c r="J111" s="7" t="n"/>
      <c r="K111" s="7" t="n"/>
      <c r="L111" s="7">
        <f>IFERROR(MIN(I111:K111),"")</f>
        <v/>
      </c>
      <c r="M111" s="7" t="inlineStr"/>
      <c r="N111" s="7">
        <f>IF(L111="","",(G111-L111)*B111)</f>
        <v/>
      </c>
    </row>
    <row r="112">
      <c r="A112" s="7" t="n">
        <v>107</v>
      </c>
      <c r="B112" s="7" t="n">
        <v>2</v>
      </c>
      <c r="C112" s="7" t="inlineStr">
        <is>
          <t>BLK3+HVRR</t>
        </is>
      </c>
      <c r="D112" s="7" t="inlineStr">
        <is>
          <t>9344K4</t>
        </is>
      </c>
      <c r="E112" s="7" t="inlineStr">
        <is>
          <t>Flame-Retardant Expandable Sleeving, Duct Rated, 1/2" ID (Snakeskin)</t>
        </is>
      </c>
      <c r="F112" s="7" t="inlineStr">
        <is>
          <t>McMaster-Carr</t>
        </is>
      </c>
      <c r="G112" s="7" t="n">
        <v>25.8</v>
      </c>
      <c r="H112" s="7">
        <f>B112*G112</f>
        <v/>
      </c>
      <c r="I112" s="7" t="n"/>
      <c r="J112" s="7" t="n"/>
      <c r="K112" s="7" t="n"/>
      <c r="L112" s="7">
        <f>IFERROR(MIN(I112:K112),"")</f>
        <v/>
      </c>
      <c r="M112" s="7" t="inlineStr"/>
      <c r="N112" s="7">
        <f>IF(L112="","",(G112-L112)*B112)</f>
        <v/>
      </c>
    </row>
    <row r="113">
      <c r="A113" s="7" t="n">
        <v>108</v>
      </c>
      <c r="B113" s="7" t="n">
        <v>4</v>
      </c>
      <c r="C113" s="7" t="inlineStr">
        <is>
          <t>BLK3+HVRR</t>
        </is>
      </c>
      <c r="D113" s="7" t="inlineStr">
        <is>
          <t>5482K196</t>
        </is>
      </c>
      <c r="E113" s="7" t="inlineStr">
        <is>
          <t>316 Stainless Steel Nut for 3/8" Tube OD, for Precision AN 37 Degree Flared Fitt</t>
        </is>
      </c>
      <c r="F113" s="7" t="inlineStr">
        <is>
          <t>McMaster-Carr</t>
        </is>
      </c>
      <c r="G113" s="7" t="n">
        <v>12.88</v>
      </c>
      <c r="H113" s="7">
        <f>B113*G113</f>
        <v/>
      </c>
      <c r="I113" s="7" t="n"/>
      <c r="J113" s="7" t="n"/>
      <c r="K113" s="7" t="n"/>
      <c r="L113" s="7">
        <f>IFERROR(MIN(I113:K113),"")</f>
        <v/>
      </c>
      <c r="M113" s="7" t="inlineStr"/>
      <c r="N113" s="7">
        <f>IF(L113="","",(G113-L113)*B113)</f>
        <v/>
      </c>
    </row>
    <row r="114">
      <c r="A114" s="7" t="n">
        <v>109</v>
      </c>
      <c r="B114" s="7" t="n">
        <v>2</v>
      </c>
      <c r="C114" s="7" t="inlineStr">
        <is>
          <t>BLK3+HVRR</t>
        </is>
      </c>
      <c r="D114" s="7" t="inlineStr">
        <is>
          <t>4322K192</t>
        </is>
      </c>
      <c r="E114" s="7" t="inlineStr">
        <is>
          <t>High-Polish Quick-Clamp Sanitary Tube Fitting, 304 Stainless Steel Adapter for 1</t>
        </is>
      </c>
      <c r="F114" s="7" t="inlineStr">
        <is>
          <t>McMaster-Carr</t>
        </is>
      </c>
      <c r="G114" s="7" t="n">
        <v>25.32</v>
      </c>
      <c r="H114" s="7">
        <f>B114*G114</f>
        <v/>
      </c>
      <c r="I114" s="7" t="n"/>
      <c r="J114" s="7" t="n"/>
      <c r="K114" s="7" t="n"/>
      <c r="L114" s="7">
        <f>IFERROR(MIN(I114:K114),"")</f>
        <v/>
      </c>
      <c r="M114" s="7" t="inlineStr"/>
      <c r="N114" s="7">
        <f>IF(L114="","",(G114-L114)*B114)</f>
        <v/>
      </c>
    </row>
    <row r="115">
      <c r="A115" s="7" t="n">
        <v>110</v>
      </c>
      <c r="B115" s="7" t="n">
        <v>4</v>
      </c>
      <c r="C115" s="7" t="inlineStr">
        <is>
          <t>BLK3+HVRR</t>
        </is>
      </c>
      <c r="D115" s="7" t="inlineStr">
        <is>
          <t>70215K54</t>
        </is>
      </c>
      <c r="E115" s="7" t="inlineStr">
        <is>
          <t>Cable Tie, Standard, 11" Long, for 3" Maximum Bundle Diameter, Black</t>
        </is>
      </c>
      <c r="F115" s="7" t="inlineStr">
        <is>
          <t>McMaster-Carr</t>
        </is>
      </c>
      <c r="G115" s="7" t="n">
        <v>12.16</v>
      </c>
      <c r="H115" s="7">
        <f>B115*G115</f>
        <v/>
      </c>
      <c r="I115" s="7" t="n"/>
      <c r="J115" s="7" t="n"/>
      <c r="K115" s="7" t="n"/>
      <c r="L115" s="7">
        <f>IFERROR(MIN(I115:K115),"")</f>
        <v/>
      </c>
      <c r="M115" s="7" t="inlineStr"/>
      <c r="N115" s="7">
        <f>IF(L115="","",(G115-L115)*B115)</f>
        <v/>
      </c>
    </row>
    <row r="116">
      <c r="A116" s="7" t="n">
        <v>111</v>
      </c>
      <c r="B116" s="7" t="n">
        <v>2</v>
      </c>
      <c r="C116" s="7" t="inlineStr">
        <is>
          <t>BLK3+HVRR</t>
        </is>
      </c>
      <c r="D116" s="7" t="inlineStr">
        <is>
          <t>4466K53</t>
        </is>
      </c>
      <c r="E116" s="7" t="inlineStr">
        <is>
          <t>Stainless Steel Tubing for Food, Beverage, Dairy, Type 304L, 1-1/2" OD, 0.065" W</t>
        </is>
      </c>
      <c r="F116" s="7" t="inlineStr">
        <is>
          <t>McMaster-Carr</t>
        </is>
      </c>
      <c r="G116" s="7" t="n">
        <v>24.09</v>
      </c>
      <c r="H116" s="7">
        <f>B116*G116</f>
        <v/>
      </c>
      <c r="I116" s="7" t="n"/>
      <c r="J116" s="7" t="n"/>
      <c r="K116" s="7" t="n"/>
      <c r="L116" s="7">
        <f>IFERROR(MIN(I116:K116),"")</f>
        <v/>
      </c>
      <c r="M116" s="7" t="inlineStr"/>
      <c r="N116" s="7">
        <f>IF(L116="","",(G116-L116)*B116)</f>
        <v/>
      </c>
    </row>
    <row r="117">
      <c r="A117" s="7" t="n">
        <v>112</v>
      </c>
      <c r="B117" s="7" t="n">
        <v>2</v>
      </c>
      <c r="C117" s="7" t="inlineStr">
        <is>
          <t>BLK3+HVRR</t>
        </is>
      </c>
      <c r="D117" s="7" t="inlineStr">
        <is>
          <t>8974K71</t>
        </is>
      </c>
      <c r="E117" s="7" t="inlineStr">
        <is>
          <t>Multipurpose 6061 Aluminum Rod with Certification (emailed), 2" Diameter 6" long</t>
        </is>
      </c>
      <c r="F117" s="7" t="inlineStr">
        <is>
          <t>McMaster-Carr</t>
        </is>
      </c>
      <c r="G117" s="7" t="n">
        <v>23.82</v>
      </c>
      <c r="H117" s="7">
        <f>B117*G117</f>
        <v/>
      </c>
      <c r="I117" s="7" t="n"/>
      <c r="J117" s="7" t="n"/>
      <c r="K117" s="7" t="n"/>
      <c r="L117" s="7">
        <f>IFERROR(MIN(I117:K117),"")</f>
        <v/>
      </c>
      <c r="M117" s="7" t="inlineStr"/>
      <c r="N117" s="7">
        <f>IF(L117="","",(G117-L117)*B117)</f>
        <v/>
      </c>
    </row>
    <row r="118">
      <c r="A118" s="7" t="n">
        <v>113</v>
      </c>
      <c r="B118" s="7" t="n">
        <v>2</v>
      </c>
      <c r="C118" s="7" t="inlineStr">
        <is>
          <t>BLK3+HVRR</t>
        </is>
      </c>
      <c r="D118" s="7" t="inlineStr">
        <is>
          <t>8974K13</t>
        </is>
      </c>
      <c r="E118" s="7" t="inlineStr">
        <is>
          <t>Multipurpose 6061 Aluminum Rod 1" x 3' length</t>
        </is>
      </c>
      <c r="F118" s="7" t="inlineStr">
        <is>
          <t>McMaster-Carr</t>
        </is>
      </c>
      <c r="G118" s="7" t="n">
        <v>23.69</v>
      </c>
      <c r="H118" s="7">
        <f>B118*G118</f>
        <v/>
      </c>
      <c r="I118" s="7" t="n"/>
      <c r="J118" s="7" t="n"/>
      <c r="K118" s="7" t="n"/>
      <c r="L118" s="7">
        <f>IFERROR(MIN(I118:K118),"")</f>
        <v/>
      </c>
      <c r="M118" s="7" t="inlineStr"/>
      <c r="N118" s="7">
        <f>IF(L118="","",(G118-L118)*B118)</f>
        <v/>
      </c>
    </row>
    <row r="119">
      <c r="A119" s="7" t="n">
        <v>114</v>
      </c>
      <c r="B119" s="7" t="n">
        <v>2</v>
      </c>
      <c r="C119" s="7" t="inlineStr">
        <is>
          <t>BLK3+HVRR</t>
        </is>
      </c>
      <c r="D119" s="7" t="inlineStr">
        <is>
          <t>98025A031</t>
        </is>
      </c>
      <c r="E119" s="7" t="inlineStr">
        <is>
          <t>Zinc Yellow-Chromate Plated Steel Oversized Washer, Grade 8, for 3/8" Screw Size</t>
        </is>
      </c>
      <c r="F119" s="7" t="inlineStr">
        <is>
          <t>McMaster-Carr</t>
        </is>
      </c>
      <c r="G119" s="7" t="n">
        <v>23.27</v>
      </c>
      <c r="H119" s="7">
        <f>B119*G119</f>
        <v/>
      </c>
      <c r="I119" s="7" t="n"/>
      <c r="J119" s="7" t="n"/>
      <c r="K119" s="7" t="n"/>
      <c r="L119" s="7">
        <f>IFERROR(MIN(I119:K119),"")</f>
        <v/>
      </c>
      <c r="M119" s="7" t="inlineStr"/>
      <c r="N119" s="7">
        <f>IF(L119="","",(G119-L119)*B119)</f>
        <v/>
      </c>
    </row>
    <row r="120">
      <c r="A120" s="7" t="n">
        <v>115</v>
      </c>
      <c r="B120" s="7" t="n">
        <v>2</v>
      </c>
      <c r="C120" s="7" t="inlineStr">
        <is>
          <t>BLK3+HVRR</t>
        </is>
      </c>
      <c r="D120" s="7" t="inlineStr">
        <is>
          <t>89785K824</t>
        </is>
      </c>
      <c r="E120" s="7" t="inlineStr">
        <is>
          <t>Smooth-Bore Seamless 316 Stainless Tubing, 1/4" OD, 0.035" Wall, 3' long</t>
        </is>
      </c>
      <c r="F120" s="7" t="inlineStr">
        <is>
          <t>McMaster-Carr</t>
        </is>
      </c>
      <c r="G120" s="7" t="n">
        <v>23.27</v>
      </c>
      <c r="H120" s="7">
        <f>B120*G120</f>
        <v/>
      </c>
      <c r="I120" s="7" t="n"/>
      <c r="J120" s="7" t="n"/>
      <c r="K120" s="7" t="n"/>
      <c r="L120" s="7">
        <f>IFERROR(MIN(I120:K120),"")</f>
        <v/>
      </c>
      <c r="M120" s="7" t="inlineStr"/>
      <c r="N120" s="7">
        <f>IF(L120="","",(G120-L120)*B120)</f>
        <v/>
      </c>
    </row>
    <row r="121">
      <c r="A121" s="7" t="n">
        <v>116</v>
      </c>
      <c r="B121" s="7" t="n">
        <v>2</v>
      </c>
      <c r="C121" s="7" t="inlineStr">
        <is>
          <t>BLK3+HVRR</t>
        </is>
      </c>
      <c r="D121" s="7" t="inlineStr">
        <is>
          <t>4322K711</t>
        </is>
      </c>
      <c r="E121" s="7" t="inlineStr">
        <is>
          <t>Stainless Steel Clamp with Bolt for 1", 1-1/4" and 1-1/2" Tube OD High-Polish Qu</t>
        </is>
      </c>
      <c r="F121" s="7" t="inlineStr">
        <is>
          <t>McMaster-Carr</t>
        </is>
      </c>
      <c r="G121" s="7" t="n">
        <v>23.08</v>
      </c>
      <c r="H121" s="7">
        <f>B121*G121</f>
        <v/>
      </c>
      <c r="I121" s="7" t="n"/>
      <c r="J121" s="7" t="n"/>
      <c r="K121" s="7" t="n"/>
      <c r="L121" s="7">
        <f>IFERROR(MIN(I121:K121),"")</f>
        <v/>
      </c>
      <c r="M121" s="7" t="inlineStr"/>
      <c r="N121" s="7">
        <f>IF(L121="","",(G121-L121)*B121)</f>
        <v/>
      </c>
    </row>
    <row r="122">
      <c r="A122" s="7" t="n">
        <v>117</v>
      </c>
      <c r="B122" s="7" t="n">
        <v>2</v>
      </c>
      <c r="C122" s="7" t="inlineStr">
        <is>
          <t>BLK3+HVRR</t>
        </is>
      </c>
      <c r="D122" s="7" t="inlineStr">
        <is>
          <t>5267T38</t>
        </is>
      </c>
      <c r="E122" s="7" t="inlineStr">
        <is>
          <t xml:space="preserve">Chemical-Resistant Viton® Fluoroelastomer O-Ring, Brown, 1/16 Fractional Width, </t>
        </is>
      </c>
      <c r="F122" s="7" t="inlineStr">
        <is>
          <t>McMaster-Carr</t>
        </is>
      </c>
      <c r="G122" s="7" t="n">
        <v>23.06</v>
      </c>
      <c r="H122" s="7">
        <f>B122*G122</f>
        <v/>
      </c>
      <c r="I122" s="7" t="n"/>
      <c r="J122" s="7" t="n"/>
      <c r="K122" s="7" t="n"/>
      <c r="L122" s="7">
        <f>IFERROR(MIN(I122:K122),"")</f>
        <v/>
      </c>
      <c r="M122" s="7" t="inlineStr"/>
      <c r="N122" s="7">
        <f>IF(L122="","",(G122-L122)*B122)</f>
        <v/>
      </c>
    </row>
    <row r="123">
      <c r="A123" s="7" t="n">
        <v>118</v>
      </c>
      <c r="B123" s="7" t="n">
        <v>2</v>
      </c>
      <c r="C123" s="7" t="inlineStr">
        <is>
          <t>BLK3+HVRR</t>
        </is>
      </c>
      <c r="D123" s="7" t="inlineStr">
        <is>
          <t>92196A540</t>
        </is>
      </c>
      <c r="E123" s="7" t="inlineStr">
        <is>
          <t>18-8 Stainless Steel Socket Head Screw, 1/4"-20 Thread Size, 3/4" Long</t>
        </is>
      </c>
      <c r="F123" s="7" t="inlineStr">
        <is>
          <t>McMaster-Carr</t>
        </is>
      </c>
      <c r="G123" s="7" t="n">
        <v>22.83</v>
      </c>
      <c r="H123" s="7">
        <f>B123*G123</f>
        <v/>
      </c>
      <c r="I123" s="7" t="n"/>
      <c r="J123" s="7" t="n"/>
      <c r="K123" s="7" t="n"/>
      <c r="L123" s="7">
        <f>IFERROR(MIN(I123:K123),"")</f>
        <v/>
      </c>
      <c r="M123" s="7" t="inlineStr"/>
      <c r="N123" s="7">
        <f>IF(L123="","",(G123-L123)*B123)</f>
        <v/>
      </c>
    </row>
    <row r="124">
      <c r="A124" s="7" t="n">
        <v>119</v>
      </c>
      <c r="B124" s="7" t="n">
        <v>2</v>
      </c>
      <c r="C124" s="7" t="inlineStr">
        <is>
          <t>BLK3+HVRR</t>
        </is>
      </c>
      <c r="D124" s="7" t="inlineStr">
        <is>
          <t>5177K63</t>
        </is>
      </c>
      <c r="E124" s="7" t="inlineStr">
        <is>
          <t>Easy-Bend Aluminum Tubing, 1/4" OD, 0.032" Wall Thickness</t>
        </is>
      </c>
      <c r="F124" s="7" t="inlineStr">
        <is>
          <t>McMaster-Carr</t>
        </is>
      </c>
      <c r="G124" s="7" t="n">
        <v>22.8</v>
      </c>
      <c r="H124" s="7">
        <f>B124*G124</f>
        <v/>
      </c>
      <c r="I124" s="7" t="n"/>
      <c r="J124" s="7" t="n"/>
      <c r="K124" s="7" t="n"/>
      <c r="L124" s="7">
        <f>IFERROR(MIN(I124:K124),"")</f>
        <v/>
      </c>
      <c r="M124" s="7" t="inlineStr"/>
      <c r="N124" s="7">
        <f>IF(L124="","",(G124-L124)*B124)</f>
        <v/>
      </c>
    </row>
    <row r="125">
      <c r="A125" s="7" t="n">
        <v>120</v>
      </c>
      <c r="B125" s="7" t="n">
        <v>2</v>
      </c>
      <c r="C125" s="7" t="inlineStr">
        <is>
          <t>BLK3+HVRR</t>
        </is>
      </c>
      <c r="D125" s="7" t="inlineStr">
        <is>
          <t>5482K181</t>
        </is>
      </c>
      <c r="E125" s="7" t="inlineStr">
        <is>
          <t>316 Stainless Steel Plug for 3/8" Tube OD Precision AN 37 Degree Flared Fitting</t>
        </is>
      </c>
      <c r="F125" s="7" t="inlineStr">
        <is>
          <t>McMaster-Carr</t>
        </is>
      </c>
      <c r="G125" s="7" t="n">
        <v>22.72</v>
      </c>
      <c r="H125" s="7">
        <f>B125*G125</f>
        <v/>
      </c>
      <c r="I125" s="7" t="n"/>
      <c r="J125" s="7" t="n"/>
      <c r="K125" s="7" t="n"/>
      <c r="L125" s="7">
        <f>IFERROR(MIN(I125:K125),"")</f>
        <v/>
      </c>
      <c r="M125" s="7" t="inlineStr"/>
      <c r="N125" s="7">
        <f>IF(L125="","",(G125-L125)*B125)</f>
        <v/>
      </c>
    </row>
    <row r="126">
      <c r="A126" s="7" t="n">
        <v>121</v>
      </c>
      <c r="B126" s="7" t="n">
        <v>2</v>
      </c>
      <c r="C126" s="7" t="inlineStr">
        <is>
          <t>BLK3+HVRR</t>
        </is>
      </c>
      <c r="D126" s="7" t="inlineStr">
        <is>
          <t>8975K439</t>
        </is>
      </c>
      <c r="E126" s="7" t="inlineStr">
        <is>
          <t>MCO Case Top, Multipurpose 6061 Aluminum, 1/4" Thick x 6" Wide, 1' Long</t>
        </is>
      </c>
      <c r="F126" s="7" t="inlineStr">
        <is>
          <t>McMaster-Carr</t>
        </is>
      </c>
      <c r="G126" s="7" t="n">
        <v>21.65</v>
      </c>
      <c r="H126" s="7">
        <f>B126*G126</f>
        <v/>
      </c>
      <c r="I126" s="7" t="n"/>
      <c r="J126" s="7" t="n"/>
      <c r="K126" s="7" t="n"/>
      <c r="L126" s="7">
        <f>IFERROR(MIN(I126:K126),"")</f>
        <v/>
      </c>
      <c r="M126" s="7" t="inlineStr"/>
      <c r="N126" s="7">
        <f>IF(L126="","",(G126-L126)*B126)</f>
        <v/>
      </c>
    </row>
    <row r="127">
      <c r="A127" s="7" t="n">
        <v>122</v>
      </c>
      <c r="B127" s="7" t="n">
        <v>6</v>
      </c>
      <c r="C127" s="7" t="inlineStr">
        <is>
          <t>BLK3+HVRR</t>
        </is>
      </c>
      <c r="D127" s="7" t="inlineStr">
        <is>
          <t>91735A829</t>
        </is>
      </c>
      <c r="E127" s="7" t="inlineStr">
        <is>
          <t>316 Stainless Steel Pan Head Phillips Screw, Super-Corrosion-Resistant, 10-32 Th</t>
        </is>
      </c>
      <c r="F127" s="7" t="inlineStr">
        <is>
          <t>McMaster-Carr</t>
        </is>
      </c>
      <c r="G127" s="7" t="n">
        <v>7.04</v>
      </c>
      <c r="H127" s="7">
        <f>B127*G127</f>
        <v/>
      </c>
      <c r="I127" s="7" t="n"/>
      <c r="J127" s="7" t="n"/>
      <c r="K127" s="7" t="n"/>
      <c r="L127" s="7">
        <f>IFERROR(MIN(I127:K127),"")</f>
        <v/>
      </c>
      <c r="M127" s="7" t="inlineStr"/>
      <c r="N127" s="7">
        <f>IF(L127="","",(G127-L127)*B127)</f>
        <v/>
      </c>
    </row>
    <row r="128">
      <c r="A128" s="7" t="n">
        <v>123</v>
      </c>
      <c r="B128" s="7" t="n">
        <v>2</v>
      </c>
      <c r="C128" s="7" t="inlineStr">
        <is>
          <t>BLK3+HVRR</t>
        </is>
      </c>
      <c r="D128" s="7" t="inlineStr">
        <is>
          <t>9246K13</t>
        </is>
      </c>
      <c r="E128" s="7" t="inlineStr">
        <is>
          <t>Multipurpose 6061 Aluminum, 1/4" Thick x 12" Wide, 1' Long</t>
        </is>
      </c>
      <c r="F128" s="7" t="inlineStr">
        <is>
          <t>McMaster-Carr</t>
        </is>
      </c>
      <c r="G128" s="7" t="n">
        <v>19.84</v>
      </c>
      <c r="H128" s="7">
        <f>B128*G128</f>
        <v/>
      </c>
      <c r="I128" s="7" t="n"/>
      <c r="J128" s="7" t="n"/>
      <c r="K128" s="7" t="n"/>
      <c r="L128" s="7">
        <f>IFERROR(MIN(I128:K128),"")</f>
        <v/>
      </c>
      <c r="M128" s="7" t="inlineStr"/>
      <c r="N128" s="7">
        <f>IF(L128="","",(G128-L128)*B128)</f>
        <v/>
      </c>
    </row>
    <row r="129">
      <c r="A129" s="7" t="n">
        <v>124</v>
      </c>
      <c r="B129" s="7" t="n">
        <v>8</v>
      </c>
      <c r="C129" s="7" t="inlineStr">
        <is>
          <t>BLK3+HVRR</t>
        </is>
      </c>
      <c r="D129" s="7" t="inlineStr">
        <is>
          <t>91780A362</t>
        </is>
      </c>
      <c r="E129" s="7" t="inlineStr">
        <is>
          <t>Female Threaded Hex Standoff, Aluminum, 1/2" Hex, 2" Long, 1/4"-20 Thread</t>
        </is>
      </c>
      <c r="F129" s="7" t="inlineStr">
        <is>
          <t>McMaster-Carr</t>
        </is>
      </c>
      <c r="G129" s="7" t="n">
        <v>4.88</v>
      </c>
      <c r="H129" s="7">
        <f>B129*G129</f>
        <v/>
      </c>
      <c r="I129" s="7" t="n"/>
      <c r="J129" s="7" t="n"/>
      <c r="K129" s="7" t="n"/>
      <c r="L129" s="7">
        <f>IFERROR(MIN(I129:K129),"")</f>
        <v/>
      </c>
      <c r="M129" s="7" t="inlineStr"/>
      <c r="N129" s="7">
        <f>IF(L129="","",(G129-L129)*B129)</f>
        <v/>
      </c>
    </row>
    <row r="130">
      <c r="A130" s="7" t="n">
        <v>125</v>
      </c>
      <c r="B130" s="7" t="n">
        <v>2</v>
      </c>
      <c r="C130" s="7" t="inlineStr">
        <is>
          <t>BLK3+HVRR</t>
        </is>
      </c>
      <c r="D130" s="7" t="inlineStr">
        <is>
          <t>8992K512</t>
        </is>
      </c>
      <c r="E130" s="7" t="inlineStr">
        <is>
          <t>Multipurpose 304 Stainless Steel Bar, 1/4" Thick, 2" Wide, Hot Rolled, 1 Foot Lo</t>
        </is>
      </c>
      <c r="F130" s="7" t="inlineStr">
        <is>
          <t>McMaster-Carr</t>
        </is>
      </c>
      <c r="G130" s="7" t="n">
        <v>19.29</v>
      </c>
      <c r="H130" s="7">
        <f>B130*G130</f>
        <v/>
      </c>
      <c r="I130" s="7" t="n"/>
      <c r="J130" s="7" t="n"/>
      <c r="K130" s="7" t="n"/>
      <c r="L130" s="7">
        <f>IFERROR(MIN(I130:K130),"")</f>
        <v/>
      </c>
      <c r="M130" s="7" t="inlineStr"/>
      <c r="N130" s="7">
        <f>IF(L130="","",(G130-L130)*B130)</f>
        <v/>
      </c>
    </row>
    <row r="131">
      <c r="A131" s="7" t="n">
        <v>126</v>
      </c>
      <c r="B131" s="7" t="n">
        <v>4</v>
      </c>
      <c r="C131" s="7" t="inlineStr">
        <is>
          <t>BLK3+HVRR</t>
        </is>
      </c>
      <c r="D131" s="7" t="inlineStr">
        <is>
          <t>48805K88</t>
        </is>
      </c>
      <c r="E131" s="7" t="inlineStr">
        <is>
          <t xml:space="preserve">Precision Extreme-Pressure 316 Stainless Steel Fitting, Straight Connector with </t>
        </is>
      </c>
      <c r="F131" s="7" t="inlineStr">
        <is>
          <t>McMaster-Carr</t>
        </is>
      </c>
      <c r="G131" s="7" t="n">
        <v>9.609999999999999</v>
      </c>
      <c r="H131" s="7">
        <f>B131*G131</f>
        <v/>
      </c>
      <c r="I131" s="7" t="n"/>
      <c r="J131" s="7" t="n"/>
      <c r="K131" s="7" t="n"/>
      <c r="L131" s="7">
        <f>IFERROR(MIN(I131:K131),"")</f>
        <v/>
      </c>
      <c r="M131" s="7" t="inlineStr"/>
      <c r="N131" s="7">
        <f>IF(L131="","",(G131-L131)*B131)</f>
        <v/>
      </c>
    </row>
    <row r="132">
      <c r="A132" s="7" t="n">
        <v>127</v>
      </c>
      <c r="B132" s="7" t="n">
        <v>8</v>
      </c>
      <c r="C132" s="7" t="inlineStr">
        <is>
          <t>BLK3+HVRR</t>
        </is>
      </c>
      <c r="D132" s="7" t="inlineStr">
        <is>
          <t>4322K212</t>
        </is>
      </c>
      <c r="E132" s="7" t="inlineStr">
        <is>
          <t>High-Polish Quick-Clamp Sanitary Tube Fitting, 304 Stainless Steel Adapter for 1</t>
        </is>
      </c>
      <c r="F132" s="7" t="inlineStr">
        <is>
          <t>McMaster-Carr</t>
        </is>
      </c>
      <c r="G132" s="7" t="n">
        <v>4.77</v>
      </c>
      <c r="H132" s="7">
        <f>B132*G132</f>
        <v/>
      </c>
      <c r="I132" s="7" t="n"/>
      <c r="J132" s="7" t="n"/>
      <c r="K132" s="7" t="n"/>
      <c r="L132" s="7">
        <f>IFERROR(MIN(I132:K132),"")</f>
        <v/>
      </c>
      <c r="M132" s="7" t="inlineStr"/>
      <c r="N132" s="7">
        <f>IF(L132="","",(G132-L132)*B132)</f>
        <v/>
      </c>
    </row>
    <row r="133">
      <c r="A133" s="7" t="n">
        <v>128</v>
      </c>
      <c r="B133" s="7" t="n">
        <v>2</v>
      </c>
      <c r="C133" s="7" t="inlineStr">
        <is>
          <t>BLK3+HVRR</t>
        </is>
      </c>
      <c r="D133" s="7" t="inlineStr">
        <is>
          <t>63195K79</t>
        </is>
      </c>
      <c r="E133" s="7" t="inlineStr">
        <is>
          <t>Swivel Joint, Open,  7/8" ID, 1-9/16" OD</t>
        </is>
      </c>
      <c r="F133" s="7" t="inlineStr">
        <is>
          <t>McMaster-Carr</t>
        </is>
      </c>
      <c r="G133" s="7" t="n">
        <v>19.01</v>
      </c>
      <c r="H133" s="7">
        <f>B133*G133</f>
        <v/>
      </c>
      <c r="I133" s="7" t="n"/>
      <c r="J133" s="7" t="n"/>
      <c r="K133" s="7" t="n"/>
      <c r="L133" s="7">
        <f>IFERROR(MIN(I133:K133),"")</f>
        <v/>
      </c>
      <c r="M133" s="7" t="inlineStr"/>
      <c r="N133" s="7">
        <f>IF(L133="","",(G133-L133)*B133)</f>
        <v/>
      </c>
    </row>
    <row r="134">
      <c r="A134" s="7" t="n">
        <v>129</v>
      </c>
      <c r="B134" s="7" t="n">
        <v>2</v>
      </c>
      <c r="C134" s="7" t="inlineStr">
        <is>
          <t>BLK3+HVRR</t>
        </is>
      </c>
      <c r="D134" s="7" t="inlineStr">
        <is>
          <t>66235A1</t>
        </is>
      </c>
      <c r="E134" s="7" t="inlineStr">
        <is>
          <t>Silicone Sealant  Dow Corning 832, 10.1 oz. Cartridge, Off-White 
66235A1</t>
        </is>
      </c>
      <c r="F134" s="7" t="inlineStr">
        <is>
          <t>McMaster-Carr</t>
        </is>
      </c>
      <c r="G134" s="7" t="n">
        <v>18.54</v>
      </c>
      <c r="H134" s="7">
        <f>B134*G134</f>
        <v/>
      </c>
      <c r="I134" s="7" t="n"/>
      <c r="J134" s="7" t="n"/>
      <c r="K134" s="7" t="n"/>
      <c r="L134" s="7">
        <f>IFERROR(MIN(I134:K134),"")</f>
        <v/>
      </c>
      <c r="M134" s="7" t="inlineStr"/>
      <c r="N134" s="7">
        <f>IF(L134="","",(G134-L134)*B134)</f>
        <v/>
      </c>
    </row>
    <row r="135">
      <c r="A135" s="7" t="n">
        <v>130</v>
      </c>
      <c r="B135" s="7" t="n">
        <v>2</v>
      </c>
      <c r="C135" s="7" t="inlineStr">
        <is>
          <t>BLK3+HVRR</t>
        </is>
      </c>
      <c r="D135" s="7" t="inlineStr">
        <is>
          <t>44655K38</t>
        </is>
      </c>
      <c r="E135" s="7" t="inlineStr">
        <is>
          <t>Butt-Weld Fitting for Stainless Steel Tubing, Polished 304L Stainless Steel Shor</t>
        </is>
      </c>
      <c r="F135" s="7" t="inlineStr">
        <is>
          <t>McMaster-Carr</t>
        </is>
      </c>
      <c r="G135" s="7" t="n">
        <v>18.2</v>
      </c>
      <c r="H135" s="7">
        <f>B135*G135</f>
        <v/>
      </c>
      <c r="I135" s="7" t="n"/>
      <c r="J135" s="7" t="n"/>
      <c r="K135" s="7" t="n"/>
      <c r="L135" s="7">
        <f>IFERROR(MIN(I135:K135),"")</f>
        <v/>
      </c>
      <c r="M135" s="7" t="inlineStr"/>
      <c r="N135" s="7">
        <f>IF(L135="","",(G135-L135)*B135)</f>
        <v/>
      </c>
    </row>
    <row r="136">
      <c r="A136" s="7" t="n">
        <v>131</v>
      </c>
      <c r="B136" s="7" t="n">
        <v>2</v>
      </c>
      <c r="C136" s="7" t="inlineStr">
        <is>
          <t>BLK3+HVRR</t>
        </is>
      </c>
      <c r="D136" s="7" t="inlineStr">
        <is>
          <t>50715K163</t>
        </is>
      </c>
      <c r="E136" s="7" t="inlineStr">
        <is>
          <t>37 Degree Flared Fitting for Stainless Steel Tubing, Straight Adapter for 3/8" T</t>
        </is>
      </c>
      <c r="F136" s="7" t="inlineStr">
        <is>
          <t>McMaster-Carr</t>
        </is>
      </c>
      <c r="G136" s="7" t="n">
        <v>18.14</v>
      </c>
      <c r="H136" s="7">
        <f>B136*G136</f>
        <v/>
      </c>
      <c r="I136" s="7" t="n"/>
      <c r="J136" s="7" t="n"/>
      <c r="K136" s="7" t="n"/>
      <c r="L136" s="7">
        <f>IFERROR(MIN(I136:K136),"")</f>
        <v/>
      </c>
      <c r="M136" s="7" t="inlineStr"/>
      <c r="N136" s="7">
        <f>IF(L136="","",(G136-L136)*B136)</f>
        <v/>
      </c>
    </row>
    <row r="137">
      <c r="A137" s="7" t="n">
        <v>132</v>
      </c>
      <c r="B137" s="7" t="n">
        <v>2</v>
      </c>
      <c r="C137" s="7" t="inlineStr">
        <is>
          <t>BLK3+HVRR</t>
        </is>
      </c>
      <c r="D137" s="7" t="inlineStr">
        <is>
          <t>8975K237</t>
        </is>
      </c>
      <c r="E137" s="7" t="inlineStr">
        <is>
          <t>Multipurpose 6061 Aluminum, 1" Thick x 2" Wide x 6" Long</t>
        </is>
      </c>
      <c r="F137" s="7" t="inlineStr">
        <is>
          <t>McMaster-Carr</t>
        </is>
      </c>
      <c r="G137" s="7" t="n">
        <v>17.64</v>
      </c>
      <c r="H137" s="7">
        <f>B137*G137</f>
        <v/>
      </c>
      <c r="I137" s="7" t="n"/>
      <c r="J137" s="7" t="n"/>
      <c r="K137" s="7" t="n"/>
      <c r="L137" s="7">
        <f>IFERROR(MIN(I137:K137),"")</f>
        <v/>
      </c>
      <c r="M137" s="7" t="inlineStr"/>
      <c r="N137" s="7">
        <f>IF(L137="","",(G137-L137)*B137)</f>
        <v/>
      </c>
    </row>
    <row r="138">
      <c r="A138" s="7" t="n">
        <v>133</v>
      </c>
      <c r="B138" s="7" t="n">
        <v>4</v>
      </c>
      <c r="C138" s="7" t="inlineStr">
        <is>
          <t>BLK3+HVRR</t>
        </is>
      </c>
      <c r="D138" s="7" t="inlineStr">
        <is>
          <t>91831A411</t>
        </is>
      </c>
      <c r="E138" s="7" t="inlineStr">
        <is>
          <t>18-8 Stainless Steel Nylon-Insert Locknut 10-32 Thread Size</t>
        </is>
      </c>
      <c r="F138" s="7" t="inlineStr">
        <is>
          <t>McMaster-Carr</t>
        </is>
      </c>
      <c r="G138" s="7" t="n">
        <v>8.26</v>
      </c>
      <c r="H138" s="7">
        <f>B138*G138</f>
        <v/>
      </c>
      <c r="I138" s="7" t="n"/>
      <c r="J138" s="7" t="n"/>
      <c r="K138" s="7" t="n"/>
      <c r="L138" s="7">
        <f>IFERROR(MIN(I138:K138),"")</f>
        <v/>
      </c>
      <c r="M138" s="7" t="inlineStr"/>
      <c r="N138" s="7">
        <f>IF(L138="","",(G138-L138)*B138)</f>
        <v/>
      </c>
    </row>
    <row r="139">
      <c r="A139" s="7" t="n">
        <v>134</v>
      </c>
      <c r="B139" s="7" t="n">
        <v>2</v>
      </c>
      <c r="C139" s="7" t="inlineStr">
        <is>
          <t>BLK3+HVRR</t>
        </is>
      </c>
      <c r="D139" s="7" t="inlineStr">
        <is>
          <t>4332K154</t>
        </is>
      </c>
      <c r="E139" s="7" t="inlineStr">
        <is>
          <t>304 Stainless Steel Clamp with Wing Nut for 2-1/2" Tube OD High-Polish Quick-Cla</t>
        </is>
      </c>
      <c r="F139" s="7" t="inlineStr">
        <is>
          <t>McMaster-Carr</t>
        </is>
      </c>
      <c r="G139" s="7" t="n">
        <v>15.82</v>
      </c>
      <c r="H139" s="7">
        <f>B139*G139</f>
        <v/>
      </c>
      <c r="I139" s="7" t="n"/>
      <c r="J139" s="7" t="n"/>
      <c r="K139" s="7" t="n"/>
      <c r="L139" s="7">
        <f>IFERROR(MIN(I139:K139),"")</f>
        <v/>
      </c>
      <c r="M139" s="7" t="inlineStr"/>
      <c r="N139" s="7">
        <f>IF(L139="","",(G139-L139)*B139)</f>
        <v/>
      </c>
    </row>
    <row r="140">
      <c r="A140" s="7" t="n">
        <v>135</v>
      </c>
      <c r="B140" s="7" t="n">
        <v>2</v>
      </c>
      <c r="C140" s="7" t="inlineStr">
        <is>
          <t>BLK3+HVRR</t>
        </is>
      </c>
      <c r="D140" s="7" t="inlineStr">
        <is>
          <t>8975K514</t>
        </is>
      </c>
      <c r="E140" s="7" t="inlineStr">
        <is>
          <t>Multipurpose 6061 Aluminum, 1/4" Thick x 4" Wide, 1 Foot Long</t>
        </is>
      </c>
      <c r="F140" s="7" t="inlineStr">
        <is>
          <t>McMaster-Carr</t>
        </is>
      </c>
      <c r="G140" s="7" t="n">
        <v>15.18</v>
      </c>
      <c r="H140" s="7">
        <f>B140*G140</f>
        <v/>
      </c>
      <c r="I140" s="7" t="n"/>
      <c r="J140" s="7" t="n"/>
      <c r="K140" s="7" t="n"/>
      <c r="L140" s="7">
        <f>IFERROR(MIN(I140:K140),"")</f>
        <v/>
      </c>
      <c r="M140" s="7" t="inlineStr"/>
      <c r="N140" s="7">
        <f>IF(L140="","",(G140-L140)*B140)</f>
        <v/>
      </c>
    </row>
    <row r="141">
      <c r="A141" s="7" t="n">
        <v>136</v>
      </c>
      <c r="B141" s="7" t="n">
        <v>4</v>
      </c>
      <c r="C141" s="7" t="inlineStr">
        <is>
          <t>BLK3+HVRR</t>
        </is>
      </c>
      <c r="D141" s="7" t="inlineStr">
        <is>
          <t>4749T13</t>
        </is>
      </c>
      <c r="E141" s="7" t="inlineStr">
        <is>
          <t>Externally Threaded Clevis Rod End, 3/8"-24 Thread, 5/16" ID, 2-1/4" Shank Cente</t>
        </is>
      </c>
      <c r="F141" s="7" t="inlineStr">
        <is>
          <t>McMaster-Carr</t>
        </is>
      </c>
      <c r="G141" s="7" t="n">
        <v>7.55</v>
      </c>
      <c r="H141" s="7">
        <f>B141*G141</f>
        <v/>
      </c>
      <c r="I141" s="7" t="n"/>
      <c r="J141" s="7" t="n"/>
      <c r="K141" s="7" t="n"/>
      <c r="L141" s="7">
        <f>IFERROR(MIN(I141:K141),"")</f>
        <v/>
      </c>
      <c r="M141" s="7" t="inlineStr"/>
      <c r="N141" s="7">
        <f>IF(L141="","",(G141-L141)*B141)</f>
        <v/>
      </c>
    </row>
    <row r="142">
      <c r="A142" s="7" t="n">
        <v>137</v>
      </c>
      <c r="B142" s="7" t="n">
        <v>2</v>
      </c>
      <c r="C142" s="7" t="inlineStr">
        <is>
          <t>BLK3+HVRR</t>
        </is>
      </c>
      <c r="D142" s="7" t="inlineStr">
        <is>
          <t>2227K21</t>
        </is>
      </c>
      <c r="E142" s="7" t="inlineStr">
        <is>
          <t>37 Degree Flared Fitting for Aluminum Tubing, Tee Connector for 1/4" Tube OD</t>
        </is>
      </c>
      <c r="F142" s="7" t="inlineStr">
        <is>
          <t>McMaster-Carr</t>
        </is>
      </c>
      <c r="G142" s="7" t="n">
        <v>15.04</v>
      </c>
      <c r="H142" s="7">
        <f>B142*G142</f>
        <v/>
      </c>
      <c r="I142" s="7" t="n"/>
      <c r="J142" s="7" t="n"/>
      <c r="K142" s="7" t="n"/>
      <c r="L142" s="7">
        <f>IFERROR(MIN(I142:K142),"")</f>
        <v/>
      </c>
      <c r="M142" s="7" t="inlineStr"/>
      <c r="N142" s="7">
        <f>IF(L142="","",(G142-L142)*B142)</f>
        <v/>
      </c>
    </row>
    <row r="143">
      <c r="A143" s="7" t="n">
        <v>138</v>
      </c>
      <c r="B143" s="7" t="n">
        <v>2</v>
      </c>
      <c r="C143" s="7" t="inlineStr">
        <is>
          <t>BLK3+HVRR</t>
        </is>
      </c>
      <c r="D143" s="7" t="inlineStr">
        <is>
          <t>5267T19</t>
        </is>
      </c>
      <c r="E143" s="7" t="inlineStr">
        <is>
          <t xml:space="preserve">Chemical-Resistant Viton® Fluoroelastomer O-Ring, Brown, 1/16 Fractional Width, </t>
        </is>
      </c>
      <c r="F143" s="7" t="inlineStr">
        <is>
          <t>McMaster-Carr</t>
        </is>
      </c>
      <c r="G143" s="7" t="n">
        <v>14.95</v>
      </c>
      <c r="H143" s="7">
        <f>B143*G143</f>
        <v/>
      </c>
      <c r="I143" s="7" t="n"/>
      <c r="J143" s="7" t="n"/>
      <c r="K143" s="7" t="n"/>
      <c r="L143" s="7">
        <f>IFERROR(MIN(I143:K143),"")</f>
        <v/>
      </c>
      <c r="M143" s="7" t="inlineStr"/>
      <c r="N143" s="7">
        <f>IF(L143="","",(G143-L143)*B143)</f>
        <v/>
      </c>
    </row>
    <row r="144">
      <c r="A144" s="7" t="n">
        <v>139</v>
      </c>
      <c r="B144" s="7" t="n">
        <v>2</v>
      </c>
      <c r="C144" s="7" t="inlineStr">
        <is>
          <t>BLK3+HVRR</t>
        </is>
      </c>
      <c r="D144" s="7" t="inlineStr">
        <is>
          <t>89015K239</t>
        </is>
      </c>
      <c r="E144" s="7" t="inlineStr">
        <is>
          <t>Multipurpose 6061 Aluminum Sheet, 1/8" Thick, 8" x 8", with CERTS</t>
        </is>
      </c>
      <c r="F144" s="7" t="inlineStr">
        <is>
          <t>McMaster-Carr</t>
        </is>
      </c>
      <c r="G144" s="7" t="n">
        <v>14.65</v>
      </c>
      <c r="H144" s="7">
        <f>B144*G144</f>
        <v/>
      </c>
      <c r="I144" s="7" t="n"/>
      <c r="J144" s="7" t="n"/>
      <c r="K144" s="7" t="n"/>
      <c r="L144" s="7">
        <f>IFERROR(MIN(I144:K144),"")</f>
        <v/>
      </c>
      <c r="M144" s="7" t="inlineStr"/>
      <c r="N144" s="7">
        <f>IF(L144="","",(G144-L144)*B144)</f>
        <v/>
      </c>
    </row>
    <row r="145">
      <c r="A145" s="7" t="n">
        <v>140</v>
      </c>
      <c r="B145" s="7" t="n">
        <v>2</v>
      </c>
      <c r="C145" s="7" t="inlineStr">
        <is>
          <t>BLK3+HVRR</t>
        </is>
      </c>
      <c r="D145" s="7" t="inlineStr">
        <is>
          <t>5482K179</t>
        </is>
      </c>
      <c r="E145" s="7" t="inlineStr">
        <is>
          <t>Precision AN 37 Degree Flared Fitting, 316 Stainless Steel Plug for 1/4" OD Stai</t>
        </is>
      </c>
      <c r="F145" s="7" t="inlineStr">
        <is>
          <t>McMaster-Carr</t>
        </is>
      </c>
      <c r="G145" s="7" t="n">
        <v>14.32</v>
      </c>
      <c r="H145" s="7">
        <f>B145*G145</f>
        <v/>
      </c>
      <c r="I145" s="7" t="n"/>
      <c r="J145" s="7" t="n"/>
      <c r="K145" s="7" t="n"/>
      <c r="L145" s="7">
        <f>IFERROR(MIN(I145:K145),"")</f>
        <v/>
      </c>
      <c r="M145" s="7" t="inlineStr"/>
      <c r="N145" s="7">
        <f>IF(L145="","",(G145-L145)*B145)</f>
        <v/>
      </c>
    </row>
    <row r="146">
      <c r="A146" s="7" t="n">
        <v>141</v>
      </c>
      <c r="B146" s="7" t="n">
        <v>2</v>
      </c>
      <c r="C146" s="7" t="inlineStr">
        <is>
          <t>BLK3+HVRR</t>
        </is>
      </c>
      <c r="D146" s="7" t="inlineStr">
        <is>
          <t>44705K113</t>
        </is>
      </c>
      <c r="E146" s="7" t="inlineStr">
        <is>
          <t>Low-Pressure Aluminum Pipe Fitting, 90 Degree Elbow Adapter, 1/4 NPT Female x Ma</t>
        </is>
      </c>
      <c r="F146" s="7" t="inlineStr">
        <is>
          <t>McMaster-Carr</t>
        </is>
      </c>
      <c r="G146" s="7" t="n">
        <v>14.17</v>
      </c>
      <c r="H146" s="7">
        <f>B146*G146</f>
        <v/>
      </c>
      <c r="I146" s="7" t="n"/>
      <c r="J146" s="7" t="n"/>
      <c r="K146" s="7" t="n"/>
      <c r="L146" s="7">
        <f>IFERROR(MIN(I146:K146),"")</f>
        <v/>
      </c>
      <c r="M146" s="7" t="inlineStr"/>
      <c r="N146" s="7">
        <f>IF(L146="","",(G146-L146)*B146)</f>
        <v/>
      </c>
    </row>
    <row r="147">
      <c r="A147" s="7" t="n">
        <v>142</v>
      </c>
      <c r="B147" s="7" t="n">
        <v>4</v>
      </c>
      <c r="C147" s="7" t="inlineStr">
        <is>
          <t>BLK3+HVRR</t>
        </is>
      </c>
      <c r="D147" s="7" t="inlineStr">
        <is>
          <t>9559K115</t>
        </is>
      </c>
      <c r="E147" s="7" t="inlineStr">
        <is>
          <t>Ultra-Chemical-Resistant Rigid PTFE O-Ring, 1/16 Fractional Width, Dash Number 0</t>
        </is>
      </c>
      <c r="F147" s="7" t="inlineStr">
        <is>
          <t>McMaster-Carr</t>
        </is>
      </c>
      <c r="G147" s="7" t="n">
        <v>7.06</v>
      </c>
      <c r="H147" s="7">
        <f>B147*G147</f>
        <v/>
      </c>
      <c r="I147" s="7" t="n"/>
      <c r="J147" s="7" t="n"/>
      <c r="K147" s="7" t="n"/>
      <c r="L147" s="7">
        <f>IFERROR(MIN(I147:K147),"")</f>
        <v/>
      </c>
      <c r="M147" s="7" t="inlineStr"/>
      <c r="N147" s="7">
        <f>IF(L147="","",(G147-L147)*B147)</f>
        <v/>
      </c>
    </row>
    <row r="148">
      <c r="A148" s="7" t="n">
        <v>143</v>
      </c>
      <c r="B148" s="7" t="n">
        <v>2</v>
      </c>
      <c r="C148" s="7" t="inlineStr">
        <is>
          <t>BLK3+HVRR</t>
        </is>
      </c>
      <c r="D148" s="7" t="inlineStr">
        <is>
          <t>91251A552</t>
        </is>
      </c>
      <c r="E148" s="7" t="inlineStr">
        <is>
          <t>Black-Oxide Steel Socket Head Screw, 1/4"-20 Thread Size, 2-1/2" Long, Partially</t>
        </is>
      </c>
      <c r="F148" s="7" t="inlineStr">
        <is>
          <t>McMaster-Carr</t>
        </is>
      </c>
      <c r="G148" s="7" t="n">
        <v>13.9</v>
      </c>
      <c r="H148" s="7">
        <f>B148*G148</f>
        <v/>
      </c>
      <c r="I148" s="7" t="n"/>
      <c r="J148" s="7" t="n"/>
      <c r="K148" s="7" t="n"/>
      <c r="L148" s="7">
        <f>IFERROR(MIN(I148:K148),"")</f>
        <v/>
      </c>
      <c r="M148" s="7" t="inlineStr"/>
      <c r="N148" s="7">
        <f>IF(L148="","",(G148-L148)*B148)</f>
        <v/>
      </c>
    </row>
    <row r="149">
      <c r="A149" s="7" t="n">
        <v>144</v>
      </c>
      <c r="B149" s="7" t="n">
        <v>4</v>
      </c>
      <c r="C149" s="7" t="inlineStr">
        <is>
          <t>BLK3+HVRR</t>
        </is>
      </c>
      <c r="D149" s="7" t="inlineStr">
        <is>
          <t>2458K34</t>
        </is>
      </c>
      <c r="E149" s="7" t="inlineStr">
        <is>
          <t>Lubrication-Free Ball Joint Rod End, 3/8"-24 Internal Thread</t>
        </is>
      </c>
      <c r="F149" s="7" t="inlineStr">
        <is>
          <t>McMaster-Carr</t>
        </is>
      </c>
      <c r="G149" s="7" t="n">
        <v>6.86</v>
      </c>
      <c r="H149" s="7">
        <f>B149*G149</f>
        <v/>
      </c>
      <c r="I149" s="7" t="n"/>
      <c r="J149" s="7" t="n"/>
      <c r="K149" s="7" t="n"/>
      <c r="L149" s="7">
        <f>IFERROR(MIN(I149:K149),"")</f>
        <v/>
      </c>
      <c r="M149" s="7" t="inlineStr"/>
      <c r="N149" s="7">
        <f>IF(L149="","",(G149-L149)*B149)</f>
        <v/>
      </c>
    </row>
    <row r="150">
      <c r="A150" s="7" t="n">
        <v>145</v>
      </c>
      <c r="B150" s="7" t="n">
        <v>4</v>
      </c>
      <c r="C150" s="7" t="inlineStr">
        <is>
          <t>BLK3+HVRR</t>
        </is>
      </c>
      <c r="D150" s="7" t="inlineStr">
        <is>
          <t>8975K71</t>
        </is>
      </c>
      <c r="E150" s="7" t="inlineStr">
        <is>
          <t>Multipurpose 6061 Aluminum, 1/4" Thick x 2" Wide, 1'  Long</t>
        </is>
      </c>
      <c r="F150" s="7" t="inlineStr">
        <is>
          <t>McMaster-Carr</t>
        </is>
      </c>
      <c r="G150" s="7" t="n">
        <v>6.82</v>
      </c>
      <c r="H150" s="7">
        <f>B150*G150</f>
        <v/>
      </c>
      <c r="I150" s="7" t="n"/>
      <c r="J150" s="7" t="n"/>
      <c r="K150" s="7" t="n"/>
      <c r="L150" s="7">
        <f>IFERROR(MIN(I150:K150),"")</f>
        <v/>
      </c>
      <c r="M150" s="7" t="inlineStr"/>
      <c r="N150" s="7">
        <f>IF(L150="","",(G150-L150)*B150)</f>
        <v/>
      </c>
    </row>
    <row r="151">
      <c r="A151" s="7" t="n">
        <v>146</v>
      </c>
      <c r="B151" s="7" t="n">
        <v>4</v>
      </c>
      <c r="C151" s="7" t="inlineStr">
        <is>
          <t>BLK3+HVRR</t>
        </is>
      </c>
      <c r="D151" s="7" t="inlineStr">
        <is>
          <t>8975K71</t>
        </is>
      </c>
      <c r="E151" s="7" t="inlineStr">
        <is>
          <t>Multipurpose 6061 Aluminum Bar, 1/4" Thick x 2" Wide, 1'  Long</t>
        </is>
      </c>
      <c r="F151" s="7" t="inlineStr">
        <is>
          <t>McMaster-Carr</t>
        </is>
      </c>
      <c r="G151" s="7" t="n">
        <v>6.82</v>
      </c>
      <c r="H151" s="7">
        <f>B151*G151</f>
        <v/>
      </c>
      <c r="I151" s="7" t="n"/>
      <c r="J151" s="7" t="n"/>
      <c r="K151" s="7" t="n"/>
      <c r="L151" s="7">
        <f>IFERROR(MIN(I151:K151),"")</f>
        <v/>
      </c>
      <c r="M151" s="7" t="inlineStr"/>
      <c r="N151" s="7">
        <f>IF(L151="","",(G151-L151)*B151)</f>
        <v/>
      </c>
    </row>
    <row r="152">
      <c r="A152" s="7" t="n">
        <v>147</v>
      </c>
      <c r="B152" s="7" t="n">
        <v>2</v>
      </c>
      <c r="C152" s="7" t="inlineStr">
        <is>
          <t>BLK3+HVRR</t>
        </is>
      </c>
      <c r="D152" s="7" t="inlineStr">
        <is>
          <t>97325A181</t>
        </is>
      </c>
      <c r="E152" s="7" t="inlineStr">
        <is>
          <t>Dowel Pin, Brass, 1/4" Diameter, 3/4" Long</t>
        </is>
      </c>
      <c r="F152" s="7" t="inlineStr">
        <is>
          <t>McMaster-Carr</t>
        </is>
      </c>
      <c r="G152" s="7" t="n">
        <v>13.38</v>
      </c>
      <c r="H152" s="7">
        <f>B152*G152</f>
        <v/>
      </c>
      <c r="I152" s="7" t="n"/>
      <c r="J152" s="7" t="n"/>
      <c r="K152" s="7" t="n"/>
      <c r="L152" s="7">
        <f>IFERROR(MIN(I152:K152),"")</f>
        <v/>
      </c>
      <c r="M152" s="7" t="inlineStr"/>
      <c r="N152" s="7">
        <f>IF(L152="","",(G152-L152)*B152)</f>
        <v/>
      </c>
    </row>
    <row r="153">
      <c r="A153" s="7" t="n">
        <v>148</v>
      </c>
      <c r="B153" s="7" t="n">
        <v>2</v>
      </c>
      <c r="C153" s="7" t="inlineStr">
        <is>
          <t>BLK3+HVRR</t>
        </is>
      </c>
      <c r="D153" s="7" t="inlineStr">
        <is>
          <t>1101N32</t>
        </is>
      </c>
      <c r="E153" s="7" t="inlineStr">
        <is>
          <t>Metal-Detector-Grade Gasket for Quick-Clamp Fittings, PTFE, for 1-1/2" Tube OD</t>
        </is>
      </c>
      <c r="F153" s="7" t="inlineStr">
        <is>
          <t>McMaster-Carr</t>
        </is>
      </c>
      <c r="G153" s="7" t="n">
        <v>13.22</v>
      </c>
      <c r="H153" s="7">
        <f>B153*G153</f>
        <v/>
      </c>
      <c r="I153" s="7" t="n"/>
      <c r="J153" s="7" t="n"/>
      <c r="K153" s="7" t="n"/>
      <c r="L153" s="7">
        <f>IFERROR(MIN(I153:K153),"")</f>
        <v/>
      </c>
      <c r="M153" s="7" t="inlineStr"/>
      <c r="N153" s="7">
        <f>IF(L153="","",(G153-L153)*B153)</f>
        <v/>
      </c>
    </row>
    <row r="154">
      <c r="A154" s="7" t="n">
        <v>149</v>
      </c>
      <c r="B154" s="7" t="n">
        <v>2</v>
      </c>
      <c r="C154" s="7" t="inlineStr">
        <is>
          <t>BLK3+HVRR</t>
        </is>
      </c>
      <c r="D154" s="7" t="inlineStr">
        <is>
          <t>92735A330</t>
        </is>
      </c>
      <c r="E154" s="7" t="inlineStr">
        <is>
          <t>Clevis Pin with Retaining Ring Groove, 18-8 Stainless Steel, 5/16" Diameter, 13/</t>
        </is>
      </c>
      <c r="F154" s="7" t="inlineStr">
        <is>
          <t>McMaster-Carr</t>
        </is>
      </c>
      <c r="G154" s="7" t="n">
        <v>13.09</v>
      </c>
      <c r="H154" s="7">
        <f>B154*G154</f>
        <v/>
      </c>
      <c r="I154" s="7" t="n"/>
      <c r="J154" s="7" t="n"/>
      <c r="K154" s="7" t="n"/>
      <c r="L154" s="7">
        <f>IFERROR(MIN(I154:K154),"")</f>
        <v/>
      </c>
      <c r="M154" s="7" t="inlineStr"/>
      <c r="N154" s="7">
        <f>IF(L154="","",(G154-L154)*B154)</f>
        <v/>
      </c>
    </row>
    <row r="155">
      <c r="A155" s="7" t="n">
        <v>150</v>
      </c>
      <c r="B155" s="7" t="n">
        <v>2</v>
      </c>
      <c r="C155" s="7" t="inlineStr">
        <is>
          <t>BLK3+HVRR</t>
        </is>
      </c>
      <c r="D155" s="7" t="inlineStr">
        <is>
          <t>90751A122</t>
        </is>
      </c>
      <c r="E155" s="7" t="inlineStr">
        <is>
          <t>18-8 Stainless Steel Socket Head Screws, M5 x 0.50 mm Thread, 12 mm Long</t>
        </is>
      </c>
      <c r="F155" s="7" t="inlineStr">
        <is>
          <t>McMaster-Carr</t>
        </is>
      </c>
      <c r="G155" s="7" t="n">
        <v>13.02</v>
      </c>
      <c r="H155" s="7">
        <f>B155*G155</f>
        <v/>
      </c>
      <c r="I155" s="7" t="n"/>
      <c r="J155" s="7" t="n"/>
      <c r="K155" s="7" t="n"/>
      <c r="L155" s="7">
        <f>IFERROR(MIN(I155:K155),"")</f>
        <v/>
      </c>
      <c r="M155" s="7" t="inlineStr"/>
      <c r="N155" s="7">
        <f>IF(L155="","",(G155-L155)*B155)</f>
        <v/>
      </c>
    </row>
    <row r="156">
      <c r="A156" s="7" t="n">
        <v>151</v>
      </c>
      <c r="B156" s="7" t="n">
        <v>2</v>
      </c>
      <c r="C156" s="7" t="inlineStr">
        <is>
          <t>BLK3+HVRR</t>
        </is>
      </c>
      <c r="D156" s="7" t="inlineStr">
        <is>
          <t>89895K711</t>
        </is>
      </c>
      <c r="E156" s="7" t="inlineStr">
        <is>
          <t>Seamless 304 Stainless Steel Tubing, 1/8" OD, 0.02" Wall Thickness</t>
        </is>
      </c>
      <c r="F156" s="7" t="inlineStr">
        <is>
          <t>McMaster-Carr</t>
        </is>
      </c>
      <c r="G156" s="7" t="n">
        <v>12.63</v>
      </c>
      <c r="H156" s="7">
        <f>B156*G156</f>
        <v/>
      </c>
      <c r="I156" s="7" t="n"/>
      <c r="J156" s="7" t="n"/>
      <c r="K156" s="7" t="n"/>
      <c r="L156" s="7">
        <f>IFERROR(MIN(I156:K156),"")</f>
        <v/>
      </c>
      <c r="M156" s="7" t="inlineStr"/>
      <c r="N156" s="7">
        <f>IF(L156="","",(G156-L156)*B156)</f>
        <v/>
      </c>
    </row>
    <row r="157">
      <c r="A157" s="7" t="n">
        <v>152</v>
      </c>
      <c r="B157" s="7" t="n">
        <v>2</v>
      </c>
      <c r="C157" s="7" t="inlineStr">
        <is>
          <t>BLK3+HVRR</t>
        </is>
      </c>
      <c r="D157" s="7" t="inlineStr">
        <is>
          <t>91292A125</t>
        </is>
      </c>
      <c r="E157" s="7" t="inlineStr">
        <is>
          <t>18-8 Stainless Steel Socket Head Screw, M5 x 0.8 mm Thread, 12 mm Long</t>
        </is>
      </c>
      <c r="F157" s="7" t="inlineStr">
        <is>
          <t>McMaster-Carr</t>
        </is>
      </c>
      <c r="G157" s="7" t="n">
        <v>12.62</v>
      </c>
      <c r="H157" s="7">
        <f>B157*G157</f>
        <v/>
      </c>
      <c r="I157" s="7" t="n"/>
      <c r="J157" s="7" t="n"/>
      <c r="K157" s="7" t="n"/>
      <c r="L157" s="7">
        <f>IFERROR(MIN(I157:K157),"")</f>
        <v/>
      </c>
      <c r="M157" s="7" t="inlineStr"/>
      <c r="N157" s="7">
        <f>IF(L157="","",(G157-L157)*B157)</f>
        <v/>
      </c>
    </row>
    <row r="158">
      <c r="A158" s="7" t="n">
        <v>153</v>
      </c>
      <c r="B158" s="7" t="n">
        <v>4</v>
      </c>
      <c r="C158" s="7" t="inlineStr">
        <is>
          <t>BLK3+HVRR</t>
        </is>
      </c>
      <c r="D158" s="7" t="inlineStr">
        <is>
          <t>93615A415</t>
        </is>
      </c>
      <c r="E158" s="7" t="inlineStr">
        <is>
          <t>18-8 Stainless Steel Low-Profile Socket Head Screw, 1/4"-20 Thread Size, 3/4" Lo</t>
        </is>
      </c>
      <c r="F158" s="7" t="inlineStr">
        <is>
          <t>McMaster-Carr</t>
        </is>
      </c>
      <c r="G158" s="7" t="n">
        <v>6.04</v>
      </c>
      <c r="H158" s="7">
        <f>B158*G158</f>
        <v/>
      </c>
      <c r="I158" s="7" t="n"/>
      <c r="J158" s="7" t="n"/>
      <c r="K158" s="7" t="n"/>
      <c r="L158" s="7">
        <f>IFERROR(MIN(I158:K158),"")</f>
        <v/>
      </c>
      <c r="M158" s="7" t="inlineStr"/>
      <c r="N158" s="7">
        <f>IF(L158="","",(G158-L158)*B158)</f>
        <v/>
      </c>
    </row>
    <row r="159">
      <c r="A159" s="7" t="n">
        <v>154</v>
      </c>
      <c r="B159" s="7" t="n">
        <v>2</v>
      </c>
      <c r="C159" s="7" t="inlineStr">
        <is>
          <t>BLK3+HVRR</t>
        </is>
      </c>
      <c r="D159" s="7" t="inlineStr">
        <is>
          <t>95462A515</t>
        </is>
      </c>
      <c r="E159" s="7" t="inlineStr">
        <is>
          <t>Medium-Strength Steel Hex Nut, Grade 5, Zinc-Plated, 3/8"-24 Thread Size</t>
        </is>
      </c>
      <c r="F159" s="7" t="inlineStr">
        <is>
          <t>McMaster-Carr</t>
        </is>
      </c>
      <c r="G159" s="7" t="n">
        <v>12</v>
      </c>
      <c r="H159" s="7">
        <f>B159*G159</f>
        <v/>
      </c>
      <c r="I159" s="7" t="n"/>
      <c r="J159" s="7" t="n"/>
      <c r="K159" s="7" t="n"/>
      <c r="L159" s="7">
        <f>IFERROR(MIN(I159:K159),"")</f>
        <v/>
      </c>
      <c r="M159" s="7" t="inlineStr"/>
      <c r="N159" s="7">
        <f>IF(L159="","",(G159-L159)*B159)</f>
        <v/>
      </c>
    </row>
    <row r="160">
      <c r="A160" s="7" t="n">
        <v>155</v>
      </c>
      <c r="B160" s="7" t="n">
        <v>4</v>
      </c>
      <c r="C160" s="7" t="inlineStr">
        <is>
          <t>BLK3+HVRR</t>
        </is>
      </c>
      <c r="D160" s="7" t="inlineStr">
        <is>
          <t>1288N112</t>
        </is>
      </c>
      <c r="E160" s="7" t="inlineStr">
        <is>
          <t>Chemical-Resistant Viton® Fluoroelastomer O-Ring, Super-Resilient, 1/16 Fraction</t>
        </is>
      </c>
      <c r="F160" s="7" t="inlineStr">
        <is>
          <t>McMaster-Carr</t>
        </is>
      </c>
      <c r="G160" s="7" t="n">
        <v>5.99</v>
      </c>
      <c r="H160" s="7">
        <f>B160*G160</f>
        <v/>
      </c>
      <c r="I160" s="7" t="n"/>
      <c r="J160" s="7" t="n"/>
      <c r="K160" s="7" t="n"/>
      <c r="L160" s="7">
        <f>IFERROR(MIN(I160:K160),"")</f>
        <v/>
      </c>
      <c r="M160" s="7" t="inlineStr"/>
      <c r="N160" s="7">
        <f>IF(L160="","",(G160-L160)*B160)</f>
        <v/>
      </c>
    </row>
    <row r="161">
      <c r="A161" s="7" t="n">
        <v>156</v>
      </c>
      <c r="B161" s="7" t="n">
        <v>2</v>
      </c>
      <c r="C161" s="7" t="inlineStr">
        <is>
          <t>BLK3+HVRR</t>
        </is>
      </c>
      <c r="D161" s="7" t="inlineStr">
        <is>
          <t>91253A540</t>
        </is>
      </c>
      <c r="E161" s="7" t="inlineStr">
        <is>
          <t>Black-Oxide Alloy Steel Hex Drive Flat Head Screw, 1/4"-20 Thread Size, 3/4" Lon</t>
        </is>
      </c>
      <c r="F161" s="7" t="inlineStr">
        <is>
          <t>McMaster-Carr</t>
        </is>
      </c>
      <c r="G161" s="7" t="n">
        <v>11.11</v>
      </c>
      <c r="H161" s="7">
        <f>B161*G161</f>
        <v/>
      </c>
      <c r="I161" s="7" t="n"/>
      <c r="J161" s="7" t="n"/>
      <c r="K161" s="7" t="n"/>
      <c r="L161" s="7">
        <f>IFERROR(MIN(I161:K161),"")</f>
        <v/>
      </c>
      <c r="M161" s="7" t="inlineStr"/>
      <c r="N161" s="7">
        <f>IF(L161="","",(G161-L161)*B161)</f>
        <v/>
      </c>
    </row>
    <row r="162">
      <c r="A162" s="7" t="n">
        <v>157</v>
      </c>
      <c r="B162" s="7" t="n">
        <v>2</v>
      </c>
      <c r="C162" s="7" t="inlineStr">
        <is>
          <t>BLK3+HVRR</t>
        </is>
      </c>
      <c r="D162" s="7" t="inlineStr">
        <is>
          <t>92949A267</t>
        </is>
      </c>
      <c r="E162" s="7" t="inlineStr">
        <is>
          <t>18-8 Stainless Steel Button Head Hex Drive Screw, 10-32 Thread Size, 5/8" Long</t>
        </is>
      </c>
      <c r="F162" s="7" t="inlineStr">
        <is>
          <t>McMaster-Carr</t>
        </is>
      </c>
      <c r="G162" s="7" t="n">
        <v>10.99</v>
      </c>
      <c r="H162" s="7">
        <f>B162*G162</f>
        <v/>
      </c>
      <c r="I162" s="7" t="n"/>
      <c r="J162" s="7" t="n"/>
      <c r="K162" s="7" t="n"/>
      <c r="L162" s="7">
        <f>IFERROR(MIN(I162:K162),"")</f>
        <v/>
      </c>
      <c r="M162" s="7" t="inlineStr"/>
      <c r="N162" s="7">
        <f>IF(L162="","",(G162-L162)*B162)</f>
        <v/>
      </c>
    </row>
    <row r="163">
      <c r="A163" s="7" t="n">
        <v>158</v>
      </c>
      <c r="B163" s="7" t="n">
        <v>4</v>
      </c>
      <c r="C163" s="7" t="inlineStr">
        <is>
          <t>BLK3+HVRR</t>
        </is>
      </c>
      <c r="D163" s="7" t="inlineStr">
        <is>
          <t>92620A649</t>
        </is>
      </c>
      <c r="E163" s="7" t="inlineStr">
        <is>
          <t xml:space="preserve">Zinc Yellow-Chromate Plated Hex Head Screw, Grade 8 Steel, 3/8"-24 Thread Size, </t>
        </is>
      </c>
      <c r="F163" s="7" t="inlineStr">
        <is>
          <t>McMaster-Carr</t>
        </is>
      </c>
      <c r="G163" s="7" t="n">
        <v>5.43</v>
      </c>
      <c r="H163" s="7">
        <f>B163*G163</f>
        <v/>
      </c>
      <c r="I163" s="7" t="n"/>
      <c r="J163" s="7" t="n"/>
      <c r="K163" s="7" t="n"/>
      <c r="L163" s="7">
        <f>IFERROR(MIN(I163:K163),"")</f>
        <v/>
      </c>
      <c r="M163" s="7" t="inlineStr"/>
      <c r="N163" s="7">
        <f>IF(L163="","",(G163-L163)*B163)</f>
        <v/>
      </c>
    </row>
    <row r="164">
      <c r="A164" s="7" t="n">
        <v>159</v>
      </c>
      <c r="B164" s="7" t="n">
        <v>2</v>
      </c>
      <c r="C164" s="7" t="inlineStr">
        <is>
          <t>BLK3+HVRR</t>
        </is>
      </c>
      <c r="D164" s="7" t="inlineStr">
        <is>
          <t>8975K578</t>
        </is>
      </c>
      <c r="E164" s="7" t="inlineStr">
        <is>
          <t>Multipurpose 6061 Aluminum Bar, 1/8" Thick x 1" Wide, 6 Feet Long</t>
        </is>
      </c>
      <c r="F164" s="7" t="inlineStr">
        <is>
          <t>McMaster-Carr</t>
        </is>
      </c>
      <c r="G164" s="7" t="n">
        <v>10.83</v>
      </c>
      <c r="H164" s="7">
        <f>B164*G164</f>
        <v/>
      </c>
      <c r="I164" s="7" t="n"/>
      <c r="J164" s="7" t="n"/>
      <c r="K164" s="7" t="n"/>
      <c r="L164" s="7">
        <f>IFERROR(MIN(I164:K164),"")</f>
        <v/>
      </c>
      <c r="M164" s="7" t="inlineStr"/>
      <c r="N164" s="7">
        <f>IF(L164="","",(G164-L164)*B164)</f>
        <v/>
      </c>
    </row>
    <row r="165">
      <c r="A165" s="7" t="n">
        <v>160</v>
      </c>
      <c r="B165" s="7" t="n">
        <v>2</v>
      </c>
      <c r="C165" s="7" t="inlineStr">
        <is>
          <t>BLK3+HVRR</t>
        </is>
      </c>
      <c r="D165" s="7" t="inlineStr">
        <is>
          <t>91839A123</t>
        </is>
      </c>
      <c r="E165" s="7" t="inlineStr">
        <is>
          <t>18-8 Stainless Steel Flex-Top Locknut for Heavy Vibration 1/4"-20 Thread Size</t>
        </is>
      </c>
      <c r="F165" s="7" t="inlineStr">
        <is>
          <t>McMaster-Carr</t>
        </is>
      </c>
      <c r="G165" s="7" t="n">
        <v>10.48</v>
      </c>
      <c r="H165" s="7">
        <f>B165*G165</f>
        <v/>
      </c>
      <c r="I165" s="7" t="n"/>
      <c r="J165" s="7" t="n"/>
      <c r="K165" s="7" t="n"/>
      <c r="L165" s="7">
        <f>IFERROR(MIN(I165:K165),"")</f>
        <v/>
      </c>
      <c r="M165" s="7" t="inlineStr"/>
      <c r="N165" s="7">
        <f>IF(L165="","",(G165-L165)*B165)</f>
        <v/>
      </c>
    </row>
    <row r="166">
      <c r="A166" s="7" t="n">
        <v>161</v>
      </c>
      <c r="B166" s="7" t="n">
        <v>2</v>
      </c>
      <c r="C166" s="7" t="inlineStr">
        <is>
          <t>BLK3+HVRR</t>
        </is>
      </c>
      <c r="D166" s="7" t="inlineStr">
        <is>
          <t>NAS1423-12</t>
        </is>
      </c>
      <c r="E166" s="7" t="inlineStr">
        <is>
          <t>DRILLED JAM NUT - NAS1423-12</t>
        </is>
      </c>
      <c r="F166" s="7" t="inlineStr">
        <is>
          <t>Military Fastners</t>
        </is>
      </c>
      <c r="G166" s="7" t="n">
        <v>10.34</v>
      </c>
      <c r="H166" s="7">
        <f>B166*G166</f>
        <v/>
      </c>
      <c r="I166" s="7" t="n"/>
      <c r="J166" s="7" t="n"/>
      <c r="K166" s="7" t="n"/>
      <c r="L166" s="7">
        <f>IFERROR(MIN(I166:K166),"")</f>
        <v/>
      </c>
      <c r="M166" s="7" t="inlineStr"/>
      <c r="N166" s="7">
        <f>IF(L166="","",(G166-L166)*B166)</f>
        <v/>
      </c>
    </row>
    <row r="167">
      <c r="A167" s="7" t="n">
        <v>162</v>
      </c>
      <c r="B167" s="7" t="n">
        <v>2</v>
      </c>
      <c r="C167" s="7" t="inlineStr">
        <is>
          <t>BLK3+HVRR</t>
        </is>
      </c>
      <c r="D167" s="7" t="inlineStr">
        <is>
          <t>91735A833</t>
        </is>
      </c>
      <c r="E167" s="7" t="inlineStr">
        <is>
          <t>316 Stainless Steel Pan Head Phillips Screw, Super-Corrosion-Resistant, 10-32 Th</t>
        </is>
      </c>
      <c r="F167" s="7" t="inlineStr">
        <is>
          <t>McMaster-Carr</t>
        </is>
      </c>
      <c r="G167" s="7" t="n">
        <v>10.33</v>
      </c>
      <c r="H167" s="7">
        <f>B167*G167</f>
        <v/>
      </c>
      <c r="I167" s="7" t="n"/>
      <c r="J167" s="7" t="n"/>
      <c r="K167" s="7" t="n"/>
      <c r="L167" s="7">
        <f>IFERROR(MIN(I167:K167),"")</f>
        <v/>
      </c>
      <c r="M167" s="7" t="inlineStr"/>
      <c r="N167" s="7">
        <f>IF(L167="","",(G167-L167)*B167)</f>
        <v/>
      </c>
    </row>
    <row r="168">
      <c r="A168" s="7" t="n">
        <v>163</v>
      </c>
      <c r="B168" s="7" t="n">
        <v>2</v>
      </c>
      <c r="C168" s="7" t="inlineStr">
        <is>
          <t>BLK3+HVRR</t>
        </is>
      </c>
      <c r="D168" s="7" t="inlineStr">
        <is>
          <t>9464K21</t>
        </is>
      </c>
      <c r="E168" s="7" t="inlineStr">
        <is>
          <t>Chemical-Resistant Viton® Fluoroelastomer O-Ring, 1/16 Fractional Width, Dash Nu</t>
        </is>
      </c>
      <c r="F168" s="7" t="inlineStr">
        <is>
          <t>McMaster-Carr</t>
        </is>
      </c>
      <c r="G168" s="7" t="n">
        <v>10.22</v>
      </c>
      <c r="H168" s="7">
        <f>B168*G168</f>
        <v/>
      </c>
      <c r="I168" s="7" t="n"/>
      <c r="J168" s="7" t="n"/>
      <c r="K168" s="7" t="n"/>
      <c r="L168" s="7">
        <f>IFERROR(MIN(I168:K168),"")</f>
        <v/>
      </c>
      <c r="M168" s="7" t="inlineStr"/>
      <c r="N168" s="7">
        <f>IF(L168="","",(G168-L168)*B168)</f>
        <v/>
      </c>
    </row>
    <row r="169">
      <c r="A169" s="7" t="n">
        <v>164</v>
      </c>
      <c r="B169" s="7" t="n">
        <v>6</v>
      </c>
      <c r="C169" s="7" t="inlineStr">
        <is>
          <t>BLK3+HVRR</t>
        </is>
      </c>
      <c r="D169" s="7" t="inlineStr">
        <is>
          <t>50785K24</t>
        </is>
      </c>
      <c r="E169" s="7" t="inlineStr">
        <is>
          <t>High-Pressure Brass Pipe Fitting, Hollow Plug with External Hex Drive, 1/2 NPT</t>
        </is>
      </c>
      <c r="F169" s="7" t="inlineStr">
        <is>
          <t>McMaster-Carr</t>
        </is>
      </c>
      <c r="G169" s="7" t="n">
        <v>3.28</v>
      </c>
      <c r="H169" s="7">
        <f>B169*G169</f>
        <v/>
      </c>
      <c r="I169" s="7" t="n"/>
      <c r="J169" s="7" t="n"/>
      <c r="K169" s="7" t="n"/>
      <c r="L169" s="7">
        <f>IFERROR(MIN(I169:K169),"")</f>
        <v/>
      </c>
      <c r="M169" s="7" t="inlineStr"/>
      <c r="N169" s="7">
        <f>IF(L169="","",(G169-L169)*B169)</f>
        <v/>
      </c>
    </row>
    <row r="170">
      <c r="A170" s="7" t="n">
        <v>165</v>
      </c>
      <c r="B170" s="7" t="n">
        <v>2</v>
      </c>
      <c r="C170" s="7" t="inlineStr">
        <is>
          <t>BLK3+HVRR</t>
        </is>
      </c>
      <c r="D170" s="7" t="inlineStr">
        <is>
          <t>91400A114</t>
        </is>
      </c>
      <c r="E170" s="7" t="inlineStr">
        <is>
          <t>Mil. Spec. Phillips Rounded Head Screws, 18-8 Stainless Steel, 4-40 Thread Size,</t>
        </is>
      </c>
      <c r="F170" s="7" t="inlineStr">
        <is>
          <t>McMaster-Carr</t>
        </is>
      </c>
      <c r="G170" s="7" t="n">
        <v>9.710000000000001</v>
      </c>
      <c r="H170" s="7">
        <f>B170*G170</f>
        <v/>
      </c>
      <c r="I170" s="7" t="n"/>
      <c r="J170" s="7" t="n"/>
      <c r="K170" s="7" t="n"/>
      <c r="L170" s="7">
        <f>IFERROR(MIN(I170:K170),"")</f>
        <v/>
      </c>
      <c r="M170" s="7" t="inlineStr"/>
      <c r="N170" s="7">
        <f>IF(L170="","",(G170-L170)*B170)</f>
        <v/>
      </c>
    </row>
    <row r="171">
      <c r="A171" s="7" t="n">
        <v>166</v>
      </c>
      <c r="B171" s="7" t="n">
        <v>2</v>
      </c>
      <c r="C171" s="7" t="inlineStr">
        <is>
          <t>BLK3+HVRR</t>
        </is>
      </c>
      <c r="D171" s="7" t="inlineStr">
        <is>
          <t>91102A765</t>
        </is>
      </c>
      <c r="E171" s="7" t="inlineStr">
        <is>
          <t>Zinc-Plated Steel Split Lock Washer for 7/16" Screw Size, 0.45" ID, 0.776" OD</t>
        </is>
      </c>
      <c r="F171" s="7" t="inlineStr">
        <is>
          <t>McMaster-Carr</t>
        </is>
      </c>
      <c r="G171" s="7" t="n">
        <v>9.4</v>
      </c>
      <c r="H171" s="7">
        <f>B171*G171</f>
        <v/>
      </c>
      <c r="I171" s="7" t="n"/>
      <c r="J171" s="7" t="n"/>
      <c r="K171" s="7" t="n"/>
      <c r="L171" s="7">
        <f>IFERROR(MIN(I171:K171),"")</f>
        <v/>
      </c>
      <c r="M171" s="7" t="inlineStr"/>
      <c r="N171" s="7">
        <f>IF(L171="","",(G171-L171)*B171)</f>
        <v/>
      </c>
    </row>
    <row r="172">
      <c r="A172" s="7" t="n">
        <v>167</v>
      </c>
      <c r="B172" s="7" t="n">
        <v>4</v>
      </c>
      <c r="C172" s="7" t="inlineStr">
        <is>
          <t>BLK3+HVRR</t>
        </is>
      </c>
      <c r="D172" s="7" t="inlineStr">
        <is>
          <t>2227K66</t>
        </is>
      </c>
      <c r="E172" s="7" t="inlineStr">
        <is>
          <t>Nut for 5/8" Tube OD for 37 Degree Flared Fitting for Aluminum Tubing</t>
        </is>
      </c>
      <c r="F172" s="7" t="inlineStr">
        <is>
          <t>McMaster-Carr</t>
        </is>
      </c>
      <c r="G172" s="7" t="n">
        <v>4.57</v>
      </c>
      <c r="H172" s="7">
        <f>B172*G172</f>
        <v/>
      </c>
      <c r="I172" s="7" t="n"/>
      <c r="J172" s="7" t="n"/>
      <c r="K172" s="7" t="n"/>
      <c r="L172" s="7">
        <f>IFERROR(MIN(I172:K172),"")</f>
        <v/>
      </c>
      <c r="M172" s="7" t="inlineStr"/>
      <c r="N172" s="7">
        <f>IF(L172="","",(G172-L172)*B172)</f>
        <v/>
      </c>
    </row>
    <row r="173">
      <c r="A173" s="7" t="n">
        <v>168</v>
      </c>
      <c r="B173" s="7" t="n">
        <v>8</v>
      </c>
      <c r="C173" s="7" t="inlineStr">
        <is>
          <t>BLK3+HVRR</t>
        </is>
      </c>
      <c r="D173" s="7" t="inlineStr">
        <is>
          <t>2227K72</t>
        </is>
      </c>
      <c r="E173" s="7" t="inlineStr">
        <is>
          <t>Sleeve for 3/8" Tube OD for 37 Degree Flared Fitting for Aluminum Tubing</t>
        </is>
      </c>
      <c r="F173" s="7" t="inlineStr">
        <is>
          <t>McMaster-Carr</t>
        </is>
      </c>
      <c r="G173" s="7" t="n">
        <v>2.24</v>
      </c>
      <c r="H173" s="7">
        <f>B173*G173</f>
        <v/>
      </c>
      <c r="I173" s="7" t="n"/>
      <c r="J173" s="7" t="n"/>
      <c r="K173" s="7" t="n"/>
      <c r="L173" s="7">
        <f>IFERROR(MIN(I173:K173),"")</f>
        <v/>
      </c>
      <c r="M173" s="7" t="inlineStr"/>
      <c r="N173" s="7">
        <f>IF(L173="","",(G173-L173)*B173)</f>
        <v/>
      </c>
    </row>
    <row r="174">
      <c r="A174" s="7" t="n">
        <v>169</v>
      </c>
      <c r="B174" s="7" t="n">
        <v>8</v>
      </c>
      <c r="C174" s="7" t="inlineStr">
        <is>
          <t>BLK3+HVRR</t>
        </is>
      </c>
      <c r="D174" s="7" t="inlineStr">
        <is>
          <t>2227K72</t>
        </is>
      </c>
      <c r="E174" s="7" t="inlineStr">
        <is>
          <t>Aluminum AN-6 Ferrule for Flare fitting</t>
        </is>
      </c>
      <c r="F174" s="7" t="inlineStr">
        <is>
          <t>McMaster-Carr</t>
        </is>
      </c>
      <c r="G174" s="7" t="n">
        <v>2.24</v>
      </c>
      <c r="H174" s="7">
        <f>B174*G174</f>
        <v/>
      </c>
      <c r="I174" s="7" t="n"/>
      <c r="J174" s="7" t="n"/>
      <c r="K174" s="7" t="n"/>
      <c r="L174" s="7">
        <f>IFERROR(MIN(I174:K174),"")</f>
        <v/>
      </c>
      <c r="M174" s="7" t="inlineStr"/>
      <c r="N174" s="7">
        <f>IF(L174="","",(G174-L174)*B174)</f>
        <v/>
      </c>
    </row>
    <row r="175">
      <c r="A175" s="7" t="n">
        <v>170</v>
      </c>
      <c r="B175" s="7" t="n">
        <v>2</v>
      </c>
      <c r="C175" s="7" t="inlineStr">
        <is>
          <t>BLK3+HVRR</t>
        </is>
      </c>
      <c r="D175" s="7" t="inlineStr">
        <is>
          <t>91735A831</t>
        </is>
      </c>
      <c r="E175" s="7" t="inlineStr">
        <is>
          <t>316 Stainless Steel Pan Head Phillips Screw, Super-Corrosion-Resistant, 10-32 Th</t>
        </is>
      </c>
      <c r="F175" s="7" t="inlineStr">
        <is>
          <t>McMaster-Carr</t>
        </is>
      </c>
      <c r="G175" s="7" t="n">
        <v>8.94</v>
      </c>
      <c r="H175" s="7">
        <f>B175*G175</f>
        <v/>
      </c>
      <c r="I175" s="7" t="n"/>
      <c r="J175" s="7" t="n"/>
      <c r="K175" s="7" t="n"/>
      <c r="L175" s="7">
        <f>IFERROR(MIN(I175:K175),"")</f>
        <v/>
      </c>
      <c r="M175" s="7" t="inlineStr"/>
      <c r="N175" s="7">
        <f>IF(L175="","",(G175-L175)*B175)</f>
        <v/>
      </c>
    </row>
    <row r="176">
      <c r="A176" s="7" t="n">
        <v>171</v>
      </c>
      <c r="B176" s="7" t="n">
        <v>5</v>
      </c>
      <c r="C176" s="7" t="inlineStr">
        <is>
          <t>BLK3+HVRR</t>
        </is>
      </c>
      <c r="D176" s="7" t="inlineStr">
        <is>
          <t>7856K262</t>
        </is>
      </c>
      <c r="E176" s="7" t="inlineStr">
        <is>
          <t>Heat-Shrink Tubing, 0.09" ID Before Shrinking, 4 ' length</t>
        </is>
      </c>
      <c r="F176" s="7" t="inlineStr">
        <is>
          <t>McMaster-Carr</t>
        </is>
      </c>
      <c r="G176" s="7" t="n">
        <v>3.56</v>
      </c>
      <c r="H176" s="7">
        <f>B176*G176</f>
        <v/>
      </c>
      <c r="I176" s="7" t="n"/>
      <c r="J176" s="7" t="n"/>
      <c r="K176" s="7" t="n"/>
      <c r="L176" s="7">
        <f>IFERROR(MIN(I176:K176),"")</f>
        <v/>
      </c>
      <c r="M176" s="7" t="inlineStr"/>
      <c r="N176" s="7">
        <f>IF(L176="","",(G176-L176)*B176)</f>
        <v/>
      </c>
    </row>
    <row r="177">
      <c r="A177" s="7" t="n">
        <v>172</v>
      </c>
      <c r="B177" s="7" t="n">
        <v>8</v>
      </c>
      <c r="C177" s="7" t="inlineStr">
        <is>
          <t>BLK3+HVRR</t>
        </is>
      </c>
      <c r="D177" s="7" t="inlineStr">
        <is>
          <t>2227K62</t>
        </is>
      </c>
      <c r="E177" s="7" t="inlineStr">
        <is>
          <t>Nut for 3/8" Tube OD for 37 Degree Flared Fitting for Aluminum Tubing, AN-6</t>
        </is>
      </c>
      <c r="F177" s="7" t="inlineStr">
        <is>
          <t>McMaster-Carr</t>
        </is>
      </c>
      <c r="G177" s="7" t="n">
        <v>2.22</v>
      </c>
      <c r="H177" s="7">
        <f>B177*G177</f>
        <v/>
      </c>
      <c r="I177" s="7" t="n"/>
      <c r="J177" s="7" t="n"/>
      <c r="K177" s="7" t="n"/>
      <c r="L177" s="7">
        <f>IFERROR(MIN(I177:K177),"")</f>
        <v/>
      </c>
      <c r="M177" s="7" t="inlineStr"/>
      <c r="N177" s="7">
        <f>IF(L177="","",(G177-L177)*B177)</f>
        <v/>
      </c>
    </row>
    <row r="178">
      <c r="A178" s="7" t="n">
        <v>173</v>
      </c>
      <c r="B178" s="7" t="n">
        <v>8</v>
      </c>
      <c r="C178" s="7" t="inlineStr">
        <is>
          <t>BLK3+HVRR</t>
        </is>
      </c>
      <c r="D178" s="7" t="inlineStr">
        <is>
          <t>2227K62</t>
        </is>
      </c>
      <c r="E178" s="7" t="inlineStr">
        <is>
          <t>Aluminum AN-6 Nut for Flare fitting</t>
        </is>
      </c>
      <c r="F178" s="7" t="inlineStr">
        <is>
          <t>McMaster-Carr</t>
        </is>
      </c>
      <c r="G178" s="7" t="n">
        <v>2.22</v>
      </c>
      <c r="H178" s="7">
        <f>B178*G178</f>
        <v/>
      </c>
      <c r="I178" s="7" t="n"/>
      <c r="J178" s="7" t="n"/>
      <c r="K178" s="7" t="n"/>
      <c r="L178" s="7">
        <f>IFERROR(MIN(I178:K178),"")</f>
        <v/>
      </c>
      <c r="M178" s="7" t="inlineStr"/>
      <c r="N178" s="7">
        <f>IF(L178="","",(G178-L178)*B178)</f>
        <v/>
      </c>
    </row>
    <row r="179">
      <c r="A179" s="7" t="n">
        <v>174</v>
      </c>
      <c r="B179" s="7" t="n">
        <v>2</v>
      </c>
      <c r="C179" s="7" t="inlineStr">
        <is>
          <t>BLK3+HVRR</t>
        </is>
      </c>
      <c r="D179" s="7" t="inlineStr">
        <is>
          <t>92240A544</t>
        </is>
      </c>
      <c r="E179" s="7" t="inlineStr">
        <is>
          <t>18-8 Stainless Steel Hex Head Screw, 1/4"-20 Thread Size, 1-1/4" Long, Fully Thr</t>
        </is>
      </c>
      <c r="F179" s="7" t="inlineStr">
        <is>
          <t>McMaster-Carr</t>
        </is>
      </c>
      <c r="G179" s="7" t="n">
        <v>8.82</v>
      </c>
      <c r="H179" s="7">
        <f>B179*G179</f>
        <v/>
      </c>
      <c r="I179" s="7" t="n"/>
      <c r="J179" s="7" t="n"/>
      <c r="K179" s="7" t="n"/>
      <c r="L179" s="7">
        <f>IFERROR(MIN(I179:K179),"")</f>
        <v/>
      </c>
      <c r="M179" s="7" t="inlineStr"/>
      <c r="N179" s="7">
        <f>IF(L179="","",(G179-L179)*B179)</f>
        <v/>
      </c>
    </row>
    <row r="180">
      <c r="A180" s="7" t="n">
        <v>175</v>
      </c>
      <c r="B180" s="7" t="n">
        <v>2</v>
      </c>
      <c r="C180" s="7" t="inlineStr">
        <is>
          <t>BLK3+HVRR</t>
        </is>
      </c>
      <c r="D180" s="7" t="inlineStr">
        <is>
          <t>93085A823</t>
        </is>
      </c>
      <c r="E180" s="7" t="inlineStr">
        <is>
          <t>Charging Mount installation screws</t>
        </is>
      </c>
      <c r="F180" s="7" t="inlineStr">
        <is>
          <t>McMaster-Carr</t>
        </is>
      </c>
      <c r="G180" s="7" t="n">
        <v>8.720000000000001</v>
      </c>
      <c r="H180" s="7">
        <f>B180*G180</f>
        <v/>
      </c>
      <c r="I180" s="7" t="n"/>
      <c r="J180" s="7" t="n"/>
      <c r="K180" s="7" t="n"/>
      <c r="L180" s="7">
        <f>IFERROR(MIN(I180:K180),"")</f>
        <v/>
      </c>
      <c r="M180" s="7" t="inlineStr"/>
      <c r="N180" s="7">
        <f>IF(L180="","",(G180-L180)*B180)</f>
        <v/>
      </c>
    </row>
    <row r="181">
      <c r="A181" s="7" t="n">
        <v>176</v>
      </c>
      <c r="B181" s="7" t="n">
        <v>8</v>
      </c>
      <c r="C181" s="7" t="inlineStr">
        <is>
          <t>BLK3+HVRR</t>
        </is>
      </c>
      <c r="D181" s="7" t="inlineStr">
        <is>
          <t>43315K54</t>
        </is>
      </c>
      <c r="E181" s="7" t="inlineStr">
        <is>
          <t>Ultra-Chemical-Resistant PTFE Plastic Gasket for 1-1/2" Tube OD</t>
        </is>
      </c>
      <c r="F181" s="7" t="inlineStr">
        <is>
          <t>McMaster-Carr</t>
        </is>
      </c>
      <c r="G181" s="7" t="n">
        <v>2.17</v>
      </c>
      <c r="H181" s="7">
        <f>B181*G181</f>
        <v/>
      </c>
      <c r="I181" s="7" t="n"/>
      <c r="J181" s="7" t="n"/>
      <c r="K181" s="7" t="n"/>
      <c r="L181" s="7">
        <f>IFERROR(MIN(I181:K181),"")</f>
        <v/>
      </c>
      <c r="M181" s="7" t="inlineStr"/>
      <c r="N181" s="7">
        <f>IF(L181="","",(G181-L181)*B181)</f>
        <v/>
      </c>
    </row>
    <row r="182">
      <c r="A182" s="7" t="n">
        <v>177</v>
      </c>
      <c r="B182" s="7" t="n">
        <v>2</v>
      </c>
      <c r="C182" s="7" t="inlineStr">
        <is>
          <t>BLK3+HVRR</t>
        </is>
      </c>
      <c r="D182" s="7" t="inlineStr">
        <is>
          <t>5661K55</t>
        </is>
      </c>
      <c r="E182" s="7" t="inlineStr">
        <is>
          <t>Vibration-Resistant Worm-Drive Clamps for Firm Hose and Tube, 304 Stainless Stee</t>
        </is>
      </c>
      <c r="F182" s="7" t="inlineStr">
        <is>
          <t>McMaster-Carr</t>
        </is>
      </c>
      <c r="G182" s="7" t="n">
        <v>8.56</v>
      </c>
      <c r="H182" s="7">
        <f>B182*G182</f>
        <v/>
      </c>
      <c r="I182" s="7" t="n"/>
      <c r="J182" s="7" t="n"/>
      <c r="K182" s="7" t="n"/>
      <c r="L182" s="7">
        <f>IFERROR(MIN(I182:K182),"")</f>
        <v/>
      </c>
      <c r="M182" s="7" t="inlineStr"/>
      <c r="N182" s="7">
        <f>IF(L182="","",(G182-L182)*B182)</f>
        <v/>
      </c>
    </row>
    <row r="183">
      <c r="A183" s="7" t="n">
        <v>178</v>
      </c>
      <c r="B183" s="7" t="n">
        <v>2</v>
      </c>
      <c r="C183" s="7" t="inlineStr">
        <is>
          <t>BLK3+HVRR</t>
        </is>
      </c>
      <c r="D183" s="7" t="inlineStr">
        <is>
          <t>90715A005</t>
        </is>
      </c>
      <c r="E183" s="7" t="inlineStr">
        <is>
          <t>316 Stainless Steel Nylon-Insert Locknut, Super-Corrosion-Resistant, 4-40 Thread</t>
        </is>
      </c>
      <c r="F183" s="7" t="inlineStr">
        <is>
          <t>McMaster-Carr</t>
        </is>
      </c>
      <c r="G183" s="7" t="n">
        <v>8.380000000000001</v>
      </c>
      <c r="H183" s="7">
        <f>B183*G183</f>
        <v/>
      </c>
      <c r="I183" s="7" t="n"/>
      <c r="J183" s="7" t="n"/>
      <c r="K183" s="7" t="n"/>
      <c r="L183" s="7">
        <f>IFERROR(MIN(I183:K183),"")</f>
        <v/>
      </c>
      <c r="M183" s="7" t="inlineStr"/>
      <c r="N183" s="7">
        <f>IF(L183="","",(G183-L183)*B183)</f>
        <v/>
      </c>
    </row>
    <row r="184">
      <c r="A184" s="7" t="n">
        <v>179</v>
      </c>
      <c r="B184" s="7" t="n">
        <v>2</v>
      </c>
      <c r="C184" s="7" t="inlineStr">
        <is>
          <t>BLK3+HVRR</t>
        </is>
      </c>
      <c r="D184" s="7" t="inlineStr">
        <is>
          <t>91831A411</t>
        </is>
      </c>
      <c r="E184" s="7" t="inlineStr">
        <is>
          <t>18-8 Stainless Steel Nylon-Insert Locknut, 10-32 Thread Size</t>
        </is>
      </c>
      <c r="F184" s="7" t="inlineStr">
        <is>
          <t>McMaster-Carr</t>
        </is>
      </c>
      <c r="G184" s="7" t="n">
        <v>8.26</v>
      </c>
      <c r="H184" s="7">
        <f>B184*G184</f>
        <v/>
      </c>
      <c r="I184" s="7" t="n"/>
      <c r="J184" s="7" t="n"/>
      <c r="K184" s="7" t="n"/>
      <c r="L184" s="7">
        <f>IFERROR(MIN(I184:K184),"")</f>
        <v/>
      </c>
      <c r="M184" s="7" t="inlineStr"/>
      <c r="N184" s="7">
        <f>IF(L184="","",(G184-L184)*B184)</f>
        <v/>
      </c>
    </row>
    <row r="185">
      <c r="A185" s="7" t="n">
        <v>180</v>
      </c>
      <c r="B185" s="7" t="n">
        <v>2</v>
      </c>
      <c r="C185" s="7" t="inlineStr">
        <is>
          <t>BLK3+HVRR</t>
        </is>
      </c>
      <c r="D185" s="7" t="inlineStr">
        <is>
          <t>89965K661</t>
        </is>
      </c>
      <c r="E185" s="7" t="inlineStr">
        <is>
          <t>General Purpose Aluminum Tubing, 7/8" OD, 0.065" Wall Thickness</t>
        </is>
      </c>
      <c r="F185" s="7" t="inlineStr">
        <is>
          <t>McMaster-Carr</t>
        </is>
      </c>
      <c r="G185" s="7" t="n">
        <v>8.18</v>
      </c>
      <c r="H185" s="7">
        <f>B185*G185</f>
        <v/>
      </c>
      <c r="I185" s="7" t="n"/>
      <c r="J185" s="7" t="n"/>
      <c r="K185" s="7" t="n"/>
      <c r="L185" s="7">
        <f>IFERROR(MIN(I185:K185),"")</f>
        <v/>
      </c>
      <c r="M185" s="7" t="inlineStr"/>
      <c r="N185" s="7">
        <f>IF(L185="","",(G185-L185)*B185)</f>
        <v/>
      </c>
    </row>
    <row r="186">
      <c r="A186" s="7" t="n">
        <v>181</v>
      </c>
      <c r="B186" s="7" t="n">
        <v>2</v>
      </c>
      <c r="C186" s="7" t="inlineStr">
        <is>
          <t>BLK3+HVRR</t>
        </is>
      </c>
      <c r="D186" s="7" t="inlineStr">
        <is>
          <t>95412A327</t>
        </is>
      </c>
      <c r="E186" s="7" t="inlineStr">
        <is>
          <t>18-8 Stainless Steel Threaded Rod, 3/8"-24 Thread Size, 2-1/2" Long</t>
        </is>
      </c>
      <c r="F186" s="7" t="inlineStr">
        <is>
          <t>McMaster-Carr</t>
        </is>
      </c>
      <c r="G186" s="7" t="n">
        <v>8.07</v>
      </c>
      <c r="H186" s="7">
        <f>B186*G186</f>
        <v/>
      </c>
      <c r="I186" s="7" t="n"/>
      <c r="J186" s="7" t="n"/>
      <c r="K186" s="7" t="n"/>
      <c r="L186" s="7">
        <f>IFERROR(MIN(I186:K186),"")</f>
        <v/>
      </c>
      <c r="M186" s="7" t="inlineStr"/>
      <c r="N186" s="7">
        <f>IF(L186="","",(G186-L186)*B186)</f>
        <v/>
      </c>
    </row>
    <row r="187">
      <c r="A187" s="7" t="n">
        <v>182</v>
      </c>
      <c r="B187" s="7" t="n">
        <v>2</v>
      </c>
      <c r="C187" s="7" t="inlineStr">
        <is>
          <t>BLK3+HVRR</t>
        </is>
      </c>
      <c r="D187" s="7" t="inlineStr">
        <is>
          <t>90257A411</t>
        </is>
      </c>
      <c r="E187" s="7" t="inlineStr">
        <is>
          <t>Super-Corrosion-Resistant 316 Stainless Steel Hex Nut, 10-32 Thread Size</t>
        </is>
      </c>
      <c r="F187" s="7" t="inlineStr">
        <is>
          <t>McMaster-Carr</t>
        </is>
      </c>
      <c r="G187" s="7" t="n">
        <v>7.95</v>
      </c>
      <c r="H187" s="7">
        <f>B187*G187</f>
        <v/>
      </c>
      <c r="I187" s="7" t="n"/>
      <c r="J187" s="7" t="n"/>
      <c r="K187" s="7" t="n"/>
      <c r="L187" s="7">
        <f>IFERROR(MIN(I187:K187),"")</f>
        <v/>
      </c>
      <c r="M187" s="7" t="inlineStr"/>
      <c r="N187" s="7">
        <f>IF(L187="","",(G187-L187)*B187)</f>
        <v/>
      </c>
    </row>
    <row r="188">
      <c r="A188" s="7" t="n">
        <v>183</v>
      </c>
      <c r="B188" s="7" t="n">
        <v>2</v>
      </c>
      <c r="C188" s="7" t="inlineStr">
        <is>
          <t>BLK3+HVRR</t>
        </is>
      </c>
      <c r="D188" s="7" t="inlineStr">
        <is>
          <t>92196A291</t>
        </is>
      </c>
      <c r="E188" s="7" t="inlineStr">
        <is>
          <t>18-8 Stainless Steel Socket Head Screw, 10-32 Thread Size, 1-3/8" Long</t>
        </is>
      </c>
      <c r="F188" s="7" t="inlineStr">
        <is>
          <t>McMaster-Carr</t>
        </is>
      </c>
      <c r="G188" s="7" t="n">
        <v>7.7</v>
      </c>
      <c r="H188" s="7">
        <f>B188*G188</f>
        <v/>
      </c>
      <c r="I188" s="7" t="n"/>
      <c r="J188" s="7" t="n"/>
      <c r="K188" s="7" t="n"/>
      <c r="L188" s="7">
        <f>IFERROR(MIN(I188:K188),"")</f>
        <v/>
      </c>
      <c r="M188" s="7" t="inlineStr"/>
      <c r="N188" s="7">
        <f>IF(L188="","",(G188-L188)*B188)</f>
        <v/>
      </c>
    </row>
    <row r="189">
      <c r="A189" s="7" t="n">
        <v>184</v>
      </c>
      <c r="B189" s="7" t="n">
        <v>2</v>
      </c>
      <c r="C189" s="7" t="inlineStr">
        <is>
          <t>BLK3+HVRR</t>
        </is>
      </c>
      <c r="D189" s="7" t="inlineStr">
        <is>
          <t>90715A007</t>
        </is>
      </c>
      <c r="E189" s="7" t="inlineStr">
        <is>
          <t>316 Stainless Steel Nylon-Insert Locknut, Super-Corrosion-Resistant, 6-32 Thread</t>
        </is>
      </c>
      <c r="F189" s="7" t="inlineStr">
        <is>
          <t>McMaster-Carr</t>
        </is>
      </c>
      <c r="G189" s="7" t="n">
        <v>7.69</v>
      </c>
      <c r="H189" s="7">
        <f>B189*G189</f>
        <v/>
      </c>
      <c r="I189" s="7" t="n"/>
      <c r="J189" s="7" t="n"/>
      <c r="K189" s="7" t="n"/>
      <c r="L189" s="7">
        <f>IFERROR(MIN(I189:K189),"")</f>
        <v/>
      </c>
      <c r="M189" s="7" t="inlineStr"/>
      <c r="N189" s="7">
        <f>IF(L189="","",(G189-L189)*B189)</f>
        <v/>
      </c>
    </row>
    <row r="190">
      <c r="A190" s="7" t="n">
        <v>185</v>
      </c>
      <c r="B190" s="7" t="n">
        <v>2</v>
      </c>
      <c r="C190" s="7" t="inlineStr">
        <is>
          <t>BLK3+HVRR</t>
        </is>
      </c>
      <c r="D190" s="7" t="inlineStr">
        <is>
          <t>91735A150</t>
        </is>
      </c>
      <c r="E190" s="7" t="inlineStr">
        <is>
          <t>316 Stainless Steel Pan Head Phillips Screw, Super-Corrosion-Resistant, 6-32 Thr</t>
        </is>
      </c>
      <c r="F190" s="7" t="inlineStr">
        <is>
          <t>McMaster-Carr</t>
        </is>
      </c>
      <c r="G190" s="7" t="n">
        <v>7.04</v>
      </c>
      <c r="H190" s="7">
        <f>B190*G190</f>
        <v/>
      </c>
      <c r="I190" s="7" t="n"/>
      <c r="J190" s="7" t="n"/>
      <c r="K190" s="7" t="n"/>
      <c r="L190" s="7">
        <f>IFERROR(MIN(I190:K190),"")</f>
        <v/>
      </c>
      <c r="M190" s="7" t="inlineStr"/>
      <c r="N190" s="7">
        <f>IF(L190="","",(G190-L190)*B190)</f>
        <v/>
      </c>
    </row>
    <row r="191">
      <c r="A191" s="7" t="n">
        <v>186</v>
      </c>
      <c r="B191" s="7" t="n">
        <v>2</v>
      </c>
      <c r="C191" s="7" t="inlineStr">
        <is>
          <t>BLK3+HVRR</t>
        </is>
      </c>
      <c r="D191" s="7" t="inlineStr">
        <is>
          <t>92240A563</t>
        </is>
      </c>
      <c r="E191" s="7" t="inlineStr">
        <is>
          <t>18-8 Stainless Steel Hex Head Screw, 1/4"-20 Thread Size, 5" Long, Fully Threade</t>
        </is>
      </c>
      <c r="F191" s="7" t="inlineStr">
        <is>
          <t>McMaster-Carr</t>
        </is>
      </c>
      <c r="G191" s="7" t="n">
        <v>6.99</v>
      </c>
      <c r="H191" s="7">
        <f>B191*G191</f>
        <v/>
      </c>
      <c r="I191" s="7" t="n"/>
      <c r="J191" s="7" t="n"/>
      <c r="K191" s="7" t="n"/>
      <c r="L191" s="7">
        <f>IFERROR(MIN(I191:K191),"")</f>
        <v/>
      </c>
      <c r="M191" s="7" t="inlineStr"/>
      <c r="N191" s="7">
        <f>IF(L191="","",(G191-L191)*B191)</f>
        <v/>
      </c>
    </row>
    <row r="192">
      <c r="A192" s="7" t="n">
        <v>187</v>
      </c>
      <c r="B192" s="7" t="n">
        <v>2</v>
      </c>
      <c r="C192" s="7" t="inlineStr">
        <is>
          <t>BLK3+HVRR</t>
        </is>
      </c>
      <c r="D192" s="7" t="inlineStr">
        <is>
          <t>92147A029</t>
        </is>
      </c>
      <c r="E192" s="7" t="inlineStr">
        <is>
          <t>316 Stainless Steel Split Lock Washer for 1/4" Screw Size, 0.26" ID, 0.487" OD</t>
        </is>
      </c>
      <c r="F192" s="7" t="inlineStr">
        <is>
          <t>McMaster-Carr</t>
        </is>
      </c>
      <c r="G192" s="7" t="n">
        <v>6.64</v>
      </c>
      <c r="H192" s="7">
        <f>B192*G192</f>
        <v/>
      </c>
      <c r="I192" s="7" t="n"/>
      <c r="J192" s="7" t="n"/>
      <c r="K192" s="7" t="n"/>
      <c r="L192" s="7">
        <f>IFERROR(MIN(I192:K192),"")</f>
        <v/>
      </c>
      <c r="M192" s="7" t="inlineStr"/>
      <c r="N192" s="7">
        <f>IF(L192="","",(G192-L192)*B192)</f>
        <v/>
      </c>
    </row>
    <row r="193">
      <c r="A193" s="7" t="n">
        <v>188</v>
      </c>
      <c r="B193" s="7" t="n">
        <v>4</v>
      </c>
      <c r="C193" s="7" t="inlineStr">
        <is>
          <t>BLK3+HVRR</t>
        </is>
      </c>
      <c r="D193" s="7" t="inlineStr">
        <is>
          <t>1493N104</t>
        </is>
      </c>
      <c r="E193" s="7" t="inlineStr">
        <is>
          <t>Brass Threaded Pipe Nipple for Drinking Water, High-Pressure, Fully Threaded, 1/</t>
        </is>
      </c>
      <c r="F193" s="7" t="inlineStr">
        <is>
          <t>McMaster-Carr</t>
        </is>
      </c>
      <c r="G193" s="7" t="n">
        <v>3.21</v>
      </c>
      <c r="H193" s="7">
        <f>B193*G193</f>
        <v/>
      </c>
      <c r="I193" s="7" t="n"/>
      <c r="J193" s="7" t="n"/>
      <c r="K193" s="7" t="n"/>
      <c r="L193" s="7">
        <f>IFERROR(MIN(I193:K193),"")</f>
        <v/>
      </c>
      <c r="M193" s="7" t="inlineStr"/>
      <c r="N193" s="7">
        <f>IF(L193="","",(G193-L193)*B193)</f>
        <v/>
      </c>
    </row>
    <row r="194">
      <c r="A194" s="7" t="n">
        <v>189</v>
      </c>
      <c r="B194" s="7" t="n">
        <v>2</v>
      </c>
      <c r="C194" s="7" t="inlineStr">
        <is>
          <t>BLK3+HVRR</t>
        </is>
      </c>
      <c r="D194" s="7" t="inlineStr">
        <is>
          <t>94805A221</t>
        </is>
      </c>
      <c r="E194" s="7" t="inlineStr">
        <is>
          <t>316 Stainless Steel Thin Hex Nut, Super-Corrosion-Resistant, 7/16"-20 Thread Siz</t>
        </is>
      </c>
      <c r="F194" s="7" t="inlineStr">
        <is>
          <t>McMaster-Carr</t>
        </is>
      </c>
      <c r="G194" s="7" t="n">
        <v>6.25</v>
      </c>
      <c r="H194" s="7">
        <f>B194*G194</f>
        <v/>
      </c>
      <c r="I194" s="7" t="n"/>
      <c r="J194" s="7" t="n"/>
      <c r="K194" s="7" t="n"/>
      <c r="L194" s="7">
        <f>IFERROR(MIN(I194:K194),"")</f>
        <v/>
      </c>
      <c r="M194" s="7" t="inlineStr"/>
      <c r="N194" s="7">
        <f>IF(L194="","",(G194-L194)*B194)</f>
        <v/>
      </c>
    </row>
    <row r="195">
      <c r="A195" s="7" t="n">
        <v>190</v>
      </c>
      <c r="B195" s="7" t="n">
        <v>2</v>
      </c>
      <c r="C195" s="7" t="inlineStr">
        <is>
          <t>BLK3+HVRR</t>
        </is>
      </c>
      <c r="D195" s="7" t="inlineStr">
        <is>
          <t>91735A144</t>
        </is>
      </c>
      <c r="E195" s="7" t="inlineStr">
        <is>
          <t>316 Stainless Steel Pan Head Phillips Screw, Super-Corrosion-Resistant, 6-32 Thr</t>
        </is>
      </c>
      <c r="F195" s="7" t="inlineStr">
        <is>
          <t>McMaster-Carr</t>
        </is>
      </c>
      <c r="G195" s="7" t="n">
        <v>6.18</v>
      </c>
      <c r="H195" s="7">
        <f>B195*G195</f>
        <v/>
      </c>
      <c r="I195" s="7" t="n"/>
      <c r="J195" s="7" t="n"/>
      <c r="K195" s="7" t="n"/>
      <c r="L195" s="7">
        <f>IFERROR(MIN(I195:K195),"")</f>
        <v/>
      </c>
      <c r="M195" s="7" t="inlineStr"/>
      <c r="N195" s="7">
        <f>IF(L195="","",(G195-L195)*B195)</f>
        <v/>
      </c>
    </row>
    <row r="196">
      <c r="A196" s="7" t="n">
        <v>191</v>
      </c>
      <c r="B196" s="7" t="n">
        <v>2</v>
      </c>
      <c r="C196" s="7" t="inlineStr">
        <is>
          <t>BLK3+HVRR</t>
        </is>
      </c>
      <c r="D196" s="7" t="inlineStr">
        <is>
          <t>93085A835</t>
        </is>
      </c>
      <c r="E196" s="7" t="inlineStr">
        <is>
          <t>Mil. Spec. Stainless Steel Phillips Flat Head Screws, 100 Degree Countersink Ang</t>
        </is>
      </c>
      <c r="F196" s="7" t="inlineStr">
        <is>
          <t>McMaster-Carr</t>
        </is>
      </c>
      <c r="G196" s="7" t="n">
        <v>6.05</v>
      </c>
      <c r="H196" s="7">
        <f>B196*G196</f>
        <v/>
      </c>
      <c r="I196" s="7" t="n"/>
      <c r="J196" s="7" t="n"/>
      <c r="K196" s="7" t="n"/>
      <c r="L196" s="7">
        <f>IFERROR(MIN(I196:K196),"")</f>
        <v/>
      </c>
      <c r="M196" s="7" t="inlineStr"/>
      <c r="N196" s="7">
        <f>IF(L196="","",(G196-L196)*B196)</f>
        <v/>
      </c>
    </row>
    <row r="197">
      <c r="A197" s="7" t="n">
        <v>192</v>
      </c>
      <c r="B197" s="7" t="n">
        <v>2</v>
      </c>
      <c r="C197" s="7" t="inlineStr">
        <is>
          <t>BLK3+HVRR</t>
        </is>
      </c>
      <c r="D197" s="7" t="inlineStr">
        <is>
          <t>93776A401</t>
        </is>
      </c>
      <c r="E197" s="7" t="inlineStr">
        <is>
          <t>18-8 Stainless Steel Serrated Flange Locknut, 10-32 Thread Size</t>
        </is>
      </c>
      <c r="F197" s="7" t="inlineStr">
        <is>
          <t>McMaster-Carr</t>
        </is>
      </c>
      <c r="G197" s="7" t="n">
        <v>5.89</v>
      </c>
      <c r="H197" s="7">
        <f>B197*G197</f>
        <v/>
      </c>
      <c r="I197" s="7" t="n"/>
      <c r="J197" s="7" t="n"/>
      <c r="K197" s="7" t="n"/>
      <c r="L197" s="7">
        <f>IFERROR(MIN(I197:K197),"")</f>
        <v/>
      </c>
      <c r="M197" s="7" t="inlineStr"/>
      <c r="N197" s="7">
        <f>IF(L197="","",(G197-L197)*B197)</f>
        <v/>
      </c>
    </row>
    <row r="198">
      <c r="A198" s="7" t="n">
        <v>193</v>
      </c>
      <c r="B198" s="7" t="n">
        <v>2</v>
      </c>
      <c r="C198" s="7" t="inlineStr">
        <is>
          <t>BLK3+HVRR</t>
        </is>
      </c>
      <c r="D198" s="7" t="inlineStr">
        <is>
          <t>6281T13</t>
        </is>
      </c>
      <c r="E198" s="7" t="inlineStr">
        <is>
          <t>Brass Air Fill Valve, Nickel-Plated, NPT x 7/16" Long Schrader, 200 PSI, 1-5/16"</t>
        </is>
      </c>
      <c r="F198" s="7" t="inlineStr">
        <is>
          <t>Mcmaster-Carr</t>
        </is>
      </c>
      <c r="G198" s="7" t="n">
        <v>5.45</v>
      </c>
      <c r="H198" s="7">
        <f>B198*G198</f>
        <v/>
      </c>
      <c r="I198" s="7" t="n"/>
      <c r="J198" s="7" t="n"/>
      <c r="K198" s="7" t="n"/>
      <c r="L198" s="7">
        <f>IFERROR(MIN(I198:K198),"")</f>
        <v/>
      </c>
      <c r="M198" s="7" t="inlineStr"/>
      <c r="N198" s="7">
        <f>IF(L198="","",(G198-L198)*B198)</f>
        <v/>
      </c>
    </row>
    <row r="199">
      <c r="A199" s="7" t="n">
        <v>194</v>
      </c>
      <c r="B199" s="7" t="n">
        <v>2</v>
      </c>
      <c r="C199" s="7" t="inlineStr">
        <is>
          <t>BLK3+HVRR</t>
        </is>
      </c>
      <c r="D199" s="7" t="inlineStr">
        <is>
          <t>93776A441</t>
        </is>
      </c>
      <c r="E199" s="7" t="inlineStr">
        <is>
          <t>18-8 Stainless Steel Serrated Flange Locknut, 5/16"-18 Thread Size</t>
        </is>
      </c>
      <c r="F199" s="7" t="inlineStr">
        <is>
          <t>McMaster-Carr</t>
        </is>
      </c>
      <c r="G199" s="7" t="n">
        <v>5.09</v>
      </c>
      <c r="H199" s="7">
        <f>B199*G199</f>
        <v/>
      </c>
      <c r="I199" s="7" t="n"/>
      <c r="J199" s="7" t="n"/>
      <c r="K199" s="7" t="n"/>
      <c r="L199" s="7">
        <f>IFERROR(MIN(I199:K199),"")</f>
        <v/>
      </c>
      <c r="M199" s="7" t="inlineStr"/>
      <c r="N199" s="7">
        <f>IF(L199="","",(G199-L199)*B199)</f>
        <v/>
      </c>
    </row>
    <row r="200">
      <c r="A200" s="7" t="n">
        <v>195</v>
      </c>
      <c r="B200" s="7" t="n">
        <v>4</v>
      </c>
      <c r="C200" s="7" t="inlineStr">
        <is>
          <t>BLK3+HVRR</t>
        </is>
      </c>
      <c r="D200" s="7" t="inlineStr">
        <is>
          <t>91259A624</t>
        </is>
      </c>
      <c r="E200" s="7" t="inlineStr">
        <is>
          <t>Alloy Steel Shoulder Screw, 3/8" Shoulder Diameter, 1" Shoulder Length, 5/16"-18</t>
        </is>
      </c>
      <c r="F200" s="7" t="inlineStr">
        <is>
          <t>McMaster-Carr</t>
        </is>
      </c>
      <c r="G200" s="7" t="n">
        <v>2.41</v>
      </c>
      <c r="H200" s="7">
        <f>B200*G200</f>
        <v/>
      </c>
      <c r="I200" s="7" t="n"/>
      <c r="J200" s="7" t="n"/>
      <c r="K200" s="7" t="n"/>
      <c r="L200" s="7">
        <f>IFERROR(MIN(I200:K200),"")</f>
        <v/>
      </c>
      <c r="M200" s="7" t="inlineStr"/>
      <c r="N200" s="7">
        <f>IF(L200="","",(G200-L200)*B200)</f>
        <v/>
      </c>
    </row>
    <row r="201">
      <c r="A201" s="7" t="n">
        <v>196</v>
      </c>
      <c r="B201" s="7" t="n">
        <v>2</v>
      </c>
      <c r="C201" s="7" t="inlineStr">
        <is>
          <t>BLK3+HVRR</t>
        </is>
      </c>
      <c r="D201" s="7" t="inlineStr">
        <is>
          <t>9464K109</t>
        </is>
      </c>
      <c r="E201" s="7" t="inlineStr">
        <is>
          <t>Chemical-Resistant Viton® Fluoroelastomer O-Ring, 3/32 Fractional Width, Dash Nu</t>
        </is>
      </c>
      <c r="F201" s="7" t="inlineStr">
        <is>
          <t>McMaster-Carr</t>
        </is>
      </c>
      <c r="G201" s="7" t="n">
        <v>4.73</v>
      </c>
      <c r="H201" s="7">
        <f>B201*G201</f>
        <v/>
      </c>
      <c r="I201" s="7" t="n"/>
      <c r="J201" s="7" t="n"/>
      <c r="K201" s="7" t="n"/>
      <c r="L201" s="7">
        <f>IFERROR(MIN(I201:K201),"")</f>
        <v/>
      </c>
      <c r="M201" s="7" t="inlineStr"/>
      <c r="N201" s="7">
        <f>IF(L201="","",(G201-L201)*B201)</f>
        <v/>
      </c>
    </row>
    <row r="202">
      <c r="A202" s="7" t="n">
        <v>197</v>
      </c>
      <c r="B202" s="7" t="n">
        <v>4</v>
      </c>
      <c r="C202" s="7" t="inlineStr">
        <is>
          <t>BLK3+HVRR</t>
        </is>
      </c>
      <c r="D202" s="7" t="inlineStr">
        <is>
          <t>4830K131</t>
        </is>
      </c>
      <c r="E202" s="7" t="inlineStr">
        <is>
          <t>Standard-Wall 304/304L Stainless Steel Pipe Nipple, Fully Threaded, 1/4 NPT, 7/8</t>
        </is>
      </c>
      <c r="F202" s="7" t="inlineStr">
        <is>
          <t>McMaster-Carr</t>
        </is>
      </c>
      <c r="G202" s="7" t="n">
        <v>2.33</v>
      </c>
      <c r="H202" s="7">
        <f>B202*G202</f>
        <v/>
      </c>
      <c r="I202" s="7" t="n"/>
      <c r="J202" s="7" t="n"/>
      <c r="K202" s="7" t="n"/>
      <c r="L202" s="7">
        <f>IFERROR(MIN(I202:K202),"")</f>
        <v/>
      </c>
      <c r="M202" s="7" t="inlineStr"/>
      <c r="N202" s="7">
        <f>IF(L202="","",(G202-L202)*B202)</f>
        <v/>
      </c>
    </row>
    <row r="203">
      <c r="A203" s="7" t="n">
        <v>198</v>
      </c>
      <c r="B203" s="7" t="n">
        <v>2</v>
      </c>
      <c r="C203" s="7" t="inlineStr">
        <is>
          <t>BLK3+HVRR</t>
        </is>
      </c>
      <c r="D203" s="7" t="inlineStr">
        <is>
          <t>90107A011</t>
        </is>
      </c>
      <c r="E203" s="7" t="inlineStr">
        <is>
          <t>316 Stainless Steel Washer for Number 10 Screw Size, 0.203" ID, 0.438" OD</t>
        </is>
      </c>
      <c r="F203" s="7" t="inlineStr">
        <is>
          <t>McMaster-Carr</t>
        </is>
      </c>
      <c r="G203" s="7" t="n">
        <v>4.37</v>
      </c>
      <c r="H203" s="7">
        <f>B203*G203</f>
        <v/>
      </c>
      <c r="I203" s="7" t="n"/>
      <c r="J203" s="7" t="n"/>
      <c r="K203" s="7" t="n"/>
      <c r="L203" s="7">
        <f>IFERROR(MIN(I203:K203),"")</f>
        <v/>
      </c>
      <c r="M203" s="7" t="inlineStr"/>
      <c r="N203" s="7">
        <f>IF(L203="","",(G203-L203)*B203)</f>
        <v/>
      </c>
    </row>
    <row r="204">
      <c r="A204" s="7" t="n">
        <v>199</v>
      </c>
      <c r="B204" s="7" t="n">
        <v>4</v>
      </c>
      <c r="C204" s="7" t="inlineStr">
        <is>
          <t>BLK3+HVRR</t>
        </is>
      </c>
      <c r="D204" s="7" t="inlineStr">
        <is>
          <t>93190A689</t>
        </is>
      </c>
      <c r="E204" s="7" t="inlineStr">
        <is>
          <t>Super Corrosion Resistant 316 Stainless Steel Hex Head Screw, 7/16"-20 Thread Si</t>
        </is>
      </c>
      <c r="F204" s="7" t="inlineStr">
        <is>
          <t>McMaster-Carr</t>
        </is>
      </c>
      <c r="G204" s="7" t="n">
        <v>2.1</v>
      </c>
      <c r="H204" s="7">
        <f>B204*G204</f>
        <v/>
      </c>
      <c r="I204" s="7" t="n"/>
      <c r="J204" s="7" t="n"/>
      <c r="K204" s="7" t="n"/>
      <c r="L204" s="7">
        <f>IFERROR(MIN(I204:K204),"")</f>
        <v/>
      </c>
      <c r="M204" s="7" t="inlineStr"/>
      <c r="N204" s="7">
        <f>IF(L204="","",(G204-L204)*B204)</f>
        <v/>
      </c>
    </row>
    <row r="205">
      <c r="A205" s="7" t="n">
        <v>200</v>
      </c>
      <c r="B205" s="7" t="n">
        <v>4</v>
      </c>
      <c r="C205" s="7" t="inlineStr">
        <is>
          <t>BLK3+HVRR</t>
        </is>
      </c>
      <c r="D205" s="7" t="inlineStr">
        <is>
          <t>91102A740</t>
        </is>
      </c>
      <c r="E205" s="7" t="inlineStr">
        <is>
          <t>Zinc-Plated Steel Split Lock Washer for Number 10 Screw Size, 0.2" ID, 0.334" OD</t>
        </is>
      </c>
      <c r="F205" s="7" t="inlineStr">
        <is>
          <t>McMaster-Carr</t>
        </is>
      </c>
      <c r="G205" s="7" t="n">
        <v>2.07</v>
      </c>
      <c r="H205" s="7">
        <f>B205*G205</f>
        <v/>
      </c>
      <c r="I205" s="7" t="n"/>
      <c r="J205" s="7" t="n"/>
      <c r="K205" s="7" t="n"/>
      <c r="L205" s="7">
        <f>IFERROR(MIN(I205:K205),"")</f>
        <v/>
      </c>
      <c r="M205" s="7" t="inlineStr"/>
      <c r="N205" s="7">
        <f>IF(L205="","",(G205-L205)*B205)</f>
        <v/>
      </c>
    </row>
    <row r="206">
      <c r="A206" s="7" t="n">
        <v>201</v>
      </c>
      <c r="B206" s="7" t="n">
        <v>2</v>
      </c>
      <c r="C206" s="7" t="inlineStr">
        <is>
          <t>BLK3+HVRR</t>
        </is>
      </c>
      <c r="D206" s="7" t="inlineStr">
        <is>
          <t>7856K262</t>
        </is>
      </c>
      <c r="E206" s="7" t="inlineStr">
        <is>
          <t>Heat-Shrink Tubing, 0.09" ID Before Shrinking, 4 ' length, Red</t>
        </is>
      </c>
      <c r="F206" s="7" t="inlineStr">
        <is>
          <t>McMaster-Carr</t>
        </is>
      </c>
      <c r="G206" s="7" t="n">
        <v>3.56</v>
      </c>
      <c r="H206" s="7">
        <f>B206*G206</f>
        <v/>
      </c>
      <c r="I206" s="7" t="n"/>
      <c r="J206" s="7" t="n"/>
      <c r="K206" s="7" t="n"/>
      <c r="L206" s="7">
        <f>IFERROR(MIN(I206:K206),"")</f>
        <v/>
      </c>
      <c r="M206" s="7" t="inlineStr"/>
      <c r="N206" s="7">
        <f>IF(L206="","",(G206-L206)*B206)</f>
        <v/>
      </c>
    </row>
    <row r="207">
      <c r="A207" s="7" t="n">
        <v>202</v>
      </c>
      <c r="B207" s="7" t="n">
        <v>2</v>
      </c>
      <c r="C207" s="7" t="inlineStr">
        <is>
          <t>BLK3+HVRR</t>
        </is>
      </c>
      <c r="D207" s="7" t="inlineStr">
        <is>
          <t>92673A113</t>
        </is>
      </c>
      <c r="E207" s="7" t="inlineStr">
        <is>
          <t>18-8 Stainless Steel Hex Nut, 1/4"-20 Thread</t>
        </is>
      </c>
      <c r="F207" s="7" t="inlineStr">
        <is>
          <t>McMaster-Carr</t>
        </is>
      </c>
      <c r="G207" s="7" t="n">
        <v>2.49</v>
      </c>
      <c r="H207" s="7">
        <f>B207*G207</f>
        <v/>
      </c>
      <c r="I207" s="7" t="n"/>
      <c r="J207" s="7" t="n"/>
      <c r="K207" s="7" t="n"/>
      <c r="L207" s="7">
        <f>IFERROR(MIN(I207:K207),"")</f>
        <v/>
      </c>
      <c r="M207" s="7" t="inlineStr"/>
      <c r="N207" s="7">
        <f>IF(L207="","",(G207-L207)*B207)</f>
        <v/>
      </c>
    </row>
    <row r="208">
      <c r="A208" s="7" t="n">
        <v>203</v>
      </c>
      <c r="B208" s="7" t="n">
        <v>4</v>
      </c>
      <c r="C208" s="7" t="inlineStr">
        <is>
          <t>BLK3+HVRR</t>
        </is>
      </c>
      <c r="D208" s="7" t="inlineStr">
        <is>
          <t>4509K14</t>
        </is>
      </c>
      <c r="E208" s="7" t="inlineStr">
        <is>
          <t>Buna-N Gasket for Quick-Clamp Fittings, for 1-1/2" Tube OD</t>
        </is>
      </c>
      <c r="F208" s="7" t="inlineStr">
        <is>
          <t>McMaster-Carr</t>
        </is>
      </c>
      <c r="G208" s="7" t="n">
        <v>0.88</v>
      </c>
      <c r="H208" s="7">
        <f>B208*G208</f>
        <v/>
      </c>
      <c r="I208" s="7" t="n"/>
      <c r="J208" s="7" t="n"/>
      <c r="K208" s="7" t="n"/>
      <c r="L208" s="7">
        <f>IFERROR(MIN(I208:K208),"")</f>
        <v/>
      </c>
      <c r="M208" s="7" t="inlineStr"/>
      <c r="N208" s="7">
        <f>IF(L208="","",(G208-L208)*B208)</f>
        <v/>
      </c>
    </row>
    <row r="209">
      <c r="A209" s="7" t="n">
        <v>204</v>
      </c>
      <c r="B209" s="7" t="n">
        <v>1</v>
      </c>
      <c r="C209" s="7" t="inlineStr">
        <is>
          <t>BLK3</t>
        </is>
      </c>
      <c r="D209" s="7" t="inlineStr">
        <is>
          <t>7856K42</t>
        </is>
      </c>
      <c r="E209" s="7" t="inlineStr">
        <is>
          <t>Heat-Shrink Tubing, 0.09" ID Before Shrinking, 4 ' length</t>
        </is>
      </c>
      <c r="F209" s="7" t="inlineStr">
        <is>
          <t>McMaster-Carr</t>
        </is>
      </c>
      <c r="G209" s="7" t="n">
        <v>1.97</v>
      </c>
      <c r="H209" s="7">
        <f>B209*G209</f>
        <v/>
      </c>
      <c r="I209" s="7" t="n"/>
      <c r="J209" s="7" t="n"/>
      <c r="K209" s="7" t="n"/>
      <c r="L209" s="7">
        <f>IFERROR(MIN(I209:K209),"")</f>
        <v/>
      </c>
      <c r="M209" s="7" t="inlineStr"/>
      <c r="N209" s="7">
        <f>IF(L209="","",(G209-L209)*B209)</f>
        <v/>
      </c>
    </row>
    <row r="210">
      <c r="A210" s="7" t="n">
        <v>205</v>
      </c>
      <c r="B210" s="7" t="n">
        <v>0</v>
      </c>
      <c r="C210" s="7" t="inlineStr">
        <is>
          <t>BLK3+HVRR</t>
        </is>
      </c>
      <c r="D210" s="7" t="inlineStr">
        <is>
          <t>89325K34</t>
        </is>
      </c>
      <c r="E210" s="7" t="inlineStr">
        <is>
          <t>316/316L Stainless Steel Rod, 1-1/4" diameter, 2' long</t>
        </is>
      </c>
      <c r="F210" s="7" t="inlineStr">
        <is>
          <t>McMaster-Carr</t>
        </is>
      </c>
      <c r="G210" s="7" t="n">
        <v>102.31</v>
      </c>
      <c r="H210" s="7">
        <f>B210*G210</f>
        <v/>
      </c>
      <c r="I210" s="7" t="n"/>
      <c r="J210" s="7" t="n"/>
      <c r="K210" s="7" t="n"/>
      <c r="L210" s="7">
        <f>IFERROR(MIN(I210:K210),"")</f>
        <v/>
      </c>
      <c r="M210" s="7" t="inlineStr"/>
      <c r="N210" s="7">
        <f>IF(L210="","",(G210-L210)*B210)</f>
        <v/>
      </c>
    </row>
    <row r="211">
      <c r="A211" s="7" t="n">
        <v>206</v>
      </c>
      <c r="B211" s="7" t="n">
        <v>0</v>
      </c>
      <c r="C211" s="7" t="inlineStr">
        <is>
          <t>BLK3+HVRR</t>
        </is>
      </c>
      <c r="D211" s="7" t="inlineStr">
        <is>
          <t>3755T15</t>
        </is>
      </c>
      <c r="E211" s="7" t="inlineStr">
        <is>
          <t>Wire Rope Compression Sleeve - for Lifting for Stainless Steel and Steel Rope, 1</t>
        </is>
      </c>
      <c r="F211" s="7" t="inlineStr">
        <is>
          <t>McMaster-Carr</t>
        </is>
      </c>
      <c r="G211" s="7" t="n">
        <v>12.77</v>
      </c>
      <c r="H211" s="7">
        <f>B211*G211</f>
        <v/>
      </c>
      <c r="I211" s="7" t="n"/>
      <c r="J211" s="7" t="n"/>
      <c r="K211" s="7" t="n"/>
      <c r="L211" s="7">
        <f>IFERROR(MIN(I211:K211),"")</f>
        <v/>
      </c>
      <c r="M211" s="7" t="inlineStr"/>
      <c r="N211" s="7">
        <f>IF(L211="","",(G211-L211)*B211)</f>
        <v/>
      </c>
    </row>
    <row r="212">
      <c r="A212" s="7" t="n">
        <v>207</v>
      </c>
      <c r="B212" s="7" t="n">
        <v>0</v>
      </c>
      <c r="C212" s="7" t="inlineStr">
        <is>
          <t>BLK3+HVRR</t>
        </is>
      </c>
      <c r="D212" s="7" t="inlineStr">
        <is>
          <t>3936T14</t>
        </is>
      </c>
      <c r="E212" s="7" t="inlineStr">
        <is>
          <t>Wire Rope Stop - Not for Lifting
for Steel and Stainless Steel Rope, Zinc Plated</t>
        </is>
      </c>
      <c r="F212" s="7" t="inlineStr">
        <is>
          <t>McMaster-Carr</t>
        </is>
      </c>
      <c r="G212" s="7" t="n">
        <v>15.89</v>
      </c>
      <c r="H212" s="7">
        <f>B212*G212</f>
        <v/>
      </c>
      <c r="I212" s="7" t="n"/>
      <c r="J212" s="7" t="n"/>
      <c r="K212" s="7" t="n"/>
      <c r="L212" s="7">
        <f>IFERROR(MIN(I212:K212),"")</f>
        <v/>
      </c>
      <c r="M212" s="7" t="inlineStr"/>
      <c r="N212" s="7">
        <f>IF(L212="","",(G212-L212)*B212)</f>
        <v/>
      </c>
    </row>
    <row r="213">
      <c r="F213" s="3" t="inlineStr">
        <is>
          <t>GROUP TOTAL</t>
        </is>
      </c>
      <c r="H213" s="3">
        <f>SUM(H6:H212)</f>
        <v/>
      </c>
      <c r="N213" s="3">
        <f>SUM(N6:N212)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Machining &amp; Fabrication</t>
        </is>
      </c>
    </row>
    <row r="2">
      <c r="A2" s="3" t="inlineStr">
        <is>
          <t>RFQ to (qualified suppliers):</t>
        </is>
      </c>
      <c r="C2" t="inlineStr">
        <is>
          <t>1) Xometry    2) Protolabs    3) Incumbent shop (qualify)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Xometry $ea</t>
        </is>
      </c>
      <c r="J5" s="6" t="inlineStr">
        <is>
          <t>Protolabs $ea</t>
        </is>
      </c>
      <c r="K5" s="6" t="inlineStr">
        <is>
          <t>Incumbent shop (qualify)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2</v>
      </c>
      <c r="C6" s="7" t="inlineStr">
        <is>
          <t>BLK3+HVRR</t>
        </is>
      </c>
      <c r="D6" s="7" t="inlineStr"/>
      <c r="E6" s="7" t="inlineStr">
        <is>
          <t>Parabolic Nozzle EXOS P/N 64-005-4</t>
        </is>
      </c>
      <c r="F6" s="7" t="inlineStr">
        <is>
          <t>Invest Cast</t>
        </is>
      </c>
      <c r="G6" s="7" t="n">
        <v>5782.25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8</v>
      </c>
      <c r="C7" s="7" t="inlineStr">
        <is>
          <t>BLK3+HVRR</t>
        </is>
      </c>
      <c r="D7" s="7" t="inlineStr">
        <is>
          <t>1193CT-2450</t>
        </is>
      </c>
      <c r="E7" s="7" t="inlineStr">
        <is>
          <t>3/4 "vented ball valve core housing</t>
        </is>
      </c>
      <c r="F7" s="7" t="inlineStr">
        <is>
          <t>AVCO</t>
        </is>
      </c>
      <c r="G7" s="7" t="n">
        <v>1085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4</v>
      </c>
      <c r="C8" s="7" t="inlineStr">
        <is>
          <t>BLK3+HVRR</t>
        </is>
      </c>
      <c r="D8" s="7" t="inlineStr">
        <is>
          <t>34-0003</t>
        </is>
      </c>
      <c r="E8" s="7" t="inlineStr">
        <is>
          <t>EXOS Modular Driver</t>
        </is>
      </c>
      <c r="F8" s="7" t="inlineStr">
        <is>
          <t>Morgan Newton</t>
        </is>
      </c>
      <c r="G8" s="7" t="n">
        <v>1923.37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4</v>
      </c>
      <c r="C9" s="7" t="inlineStr">
        <is>
          <t>BLK3+HVRR</t>
        </is>
      </c>
      <c r="D9" s="7" t="inlineStr">
        <is>
          <t>34-0004</t>
        </is>
      </c>
      <c r="E9" s="7" t="inlineStr">
        <is>
          <t>EXOS, Modular CPU</t>
        </is>
      </c>
      <c r="F9" s="7" t="inlineStr">
        <is>
          <t>Morgan Newton</t>
        </is>
      </c>
      <c r="G9" s="7" t="n">
        <v>1339.1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6</v>
      </c>
      <c r="C10" s="7" t="inlineStr">
        <is>
          <t>BLK3+HVRR</t>
        </is>
      </c>
      <c r="D10" s="7" t="inlineStr">
        <is>
          <t>AOCSMA-1</t>
        </is>
      </c>
      <c r="E10" s="7" t="inlineStr">
        <is>
          <t>Antenna, UHF/L-Band</t>
        </is>
      </c>
      <c r="F10" s="7" t="inlineStr">
        <is>
          <t>UB Corp</t>
        </is>
      </c>
      <c r="G10" s="7" t="n">
        <v>458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2</v>
      </c>
      <c r="C11" s="7" t="inlineStr">
        <is>
          <t>BLK3+HVRR</t>
        </is>
      </c>
      <c r="D11" s="7" t="inlineStr">
        <is>
          <t>ARM 10000</t>
        </is>
      </c>
      <c r="E11" s="7" t="inlineStr">
        <is>
          <t>Board for Liquid Level Sense</t>
        </is>
      </c>
      <c r="F11" s="7" t="inlineStr">
        <is>
          <t>Morgan Newton</t>
        </is>
      </c>
      <c r="G11" s="7" t="n">
        <v>400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8</v>
      </c>
      <c r="C12" s="7" t="inlineStr">
        <is>
          <t>BLK3+HVRR</t>
        </is>
      </c>
      <c r="D12" s="7" t="inlineStr">
        <is>
          <t>H300-AL</t>
        </is>
      </c>
      <c r="E12" s="7" t="inlineStr">
        <is>
          <t>Aluminum Hemispheres</t>
        </is>
      </c>
      <c r="F12" s="7" t="inlineStr">
        <is>
          <t>Sharpe Products</t>
        </is>
      </c>
      <c r="G12" s="7" t="n">
        <v>10.84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2</v>
      </c>
      <c r="C13" s="7" t="inlineStr">
        <is>
          <t>BLK3+HVRR</t>
        </is>
      </c>
      <c r="D13" s="7" t="inlineStr">
        <is>
          <t>s1066Z-048a084</t>
        </is>
      </c>
      <c r="E13" s="7" t="inlineStr">
        <is>
          <t>Gear, Aluminum, 1.79 D, .125 gear thickness, .25 tall collar with set screw, .31</t>
        </is>
      </c>
      <c r="F13" s="7" t="inlineStr">
        <is>
          <t>Desgnatronics Inc.</t>
        </is>
      </c>
      <c r="G13" s="7" t="n">
        <v>40.79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2</v>
      </c>
      <c r="C14" s="7" t="inlineStr">
        <is>
          <t>BLK3+HVRR</t>
        </is>
      </c>
      <c r="D14" s="7" t="inlineStr">
        <is>
          <t>s1086z-048s038</t>
        </is>
      </c>
      <c r="E14" s="7" t="inlineStr">
        <is>
          <t>Gear, Stainless, .83 D, .188 gear thickness, .25 tall collar with set screw, .25</t>
        </is>
      </c>
      <c r="F14" s="7" t="inlineStr">
        <is>
          <t>Desgnatronics Inc.</t>
        </is>
      </c>
      <c r="G14" s="7" t="n">
        <v>33.1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A15" s="7" t="n">
        <v>10</v>
      </c>
      <c r="B15" s="7" t="n">
        <v>2</v>
      </c>
      <c r="C15" s="7" t="inlineStr">
        <is>
          <t>BLK3+HVRR</t>
        </is>
      </c>
      <c r="D15" s="7" t="inlineStr">
        <is>
          <t>s1086z-048a022</t>
        </is>
      </c>
      <c r="E15" s="7" t="inlineStr">
        <is>
          <t>Gear, Aluminum, .5 D, .437 gear thickness with set screw, .25 shaft hole</t>
        </is>
      </c>
      <c r="F15" s="7" t="inlineStr">
        <is>
          <t>Desgnatronics Inc.</t>
        </is>
      </c>
      <c r="G15" s="7" t="n">
        <v>31.94</v>
      </c>
      <c r="H15" s="7">
        <f>B15*G15</f>
        <v/>
      </c>
      <c r="I15" s="7" t="n"/>
      <c r="J15" s="7" t="n"/>
      <c r="K15" s="7" t="n"/>
      <c r="L15" s="7">
        <f>IFERROR(MIN(I15:K15),"")</f>
        <v/>
      </c>
      <c r="M15" s="7" t="inlineStr"/>
      <c r="N15" s="7">
        <f>IF(L15="","",(G15-L15)*B15)</f>
        <v/>
      </c>
    </row>
    <row r="16">
      <c r="A16" s="7" t="n">
        <v>11</v>
      </c>
      <c r="B16" s="7" t="n">
        <v>2</v>
      </c>
      <c r="C16" s="7" t="inlineStr">
        <is>
          <t>BLK3+HVRR</t>
        </is>
      </c>
      <c r="D16" s="7" t="inlineStr"/>
      <c r="E16" s="7" t="inlineStr">
        <is>
          <t>ARM-1300</t>
        </is>
      </c>
      <c r="F16" s="7" t="inlineStr">
        <is>
          <t>Morgan Newton</t>
        </is>
      </c>
      <c r="G16" s="7" t="n">
        <v>0</v>
      </c>
      <c r="H16" s="7">
        <f>B16*G16</f>
        <v/>
      </c>
      <c r="I16" s="7" t="n"/>
      <c r="J16" s="7" t="n"/>
      <c r="K16" s="7" t="n"/>
      <c r="L16" s="7">
        <f>IFERROR(MIN(I16:K16),"")</f>
        <v/>
      </c>
      <c r="M16" s="7" t="inlineStr"/>
      <c r="N16" s="7">
        <f>IF(L16="","",(G16-L16)*B16)</f>
        <v/>
      </c>
    </row>
    <row r="17">
      <c r="A17" s="7" t="n">
        <v>12</v>
      </c>
      <c r="B17" s="7" t="n">
        <v>0</v>
      </c>
      <c r="C17" s="7" t="inlineStr">
        <is>
          <t>BLK3+HVRR</t>
        </is>
      </c>
      <c r="D17" s="7" t="inlineStr"/>
      <c r="E17" s="7" t="inlineStr">
        <is>
          <t>Ballute - Sewing / Assembly</t>
        </is>
      </c>
      <c r="F17" s="7" t="inlineStr">
        <is>
          <t>Lee Hardesty</t>
        </is>
      </c>
      <c r="G17" s="7" t="n">
        <v>3000</v>
      </c>
      <c r="H17" s="7">
        <f>B17*G17</f>
        <v/>
      </c>
      <c r="I17" s="7" t="n"/>
      <c r="J17" s="7" t="n"/>
      <c r="K17" s="7" t="n"/>
      <c r="L17" s="7">
        <f>IFERROR(MIN(I17:K17),"")</f>
        <v/>
      </c>
      <c r="M17" s="7" t="inlineStr"/>
      <c r="N17" s="7">
        <f>IF(L17="","",(G17-L17)*B17)</f>
        <v/>
      </c>
    </row>
    <row r="18">
      <c r="A18" s="7" t="n">
        <v>13</v>
      </c>
      <c r="B18" s="7" t="n">
        <v>0</v>
      </c>
      <c r="C18" s="7" t="inlineStr">
        <is>
          <t>BLK3+HVRR</t>
        </is>
      </c>
      <c r="D18" s="7" t="inlineStr">
        <is>
          <t>CSR 104516-950</t>
        </is>
      </c>
      <c r="E18" s="7" t="inlineStr">
        <is>
          <t>Cord, Technora H-M-A, Braided, Natural Tubular, Spliceable, Coreless constructio</t>
        </is>
      </c>
      <c r="F18" s="7" t="inlineStr">
        <is>
          <t>CSR</t>
        </is>
      </c>
      <c r="G18" s="7" t="n">
        <v>0</v>
      </c>
      <c r="H18" s="7">
        <f>B18*G18</f>
        <v/>
      </c>
      <c r="I18" s="7" t="n"/>
      <c r="J18" s="7" t="n"/>
      <c r="K18" s="7" t="n"/>
      <c r="L18" s="7">
        <f>IFERROR(MIN(I18:K18),"")</f>
        <v/>
      </c>
      <c r="M18" s="7" t="inlineStr"/>
      <c r="N18" s="7">
        <f>IF(L18="","",(G18-L18)*B18)</f>
        <v/>
      </c>
    </row>
    <row r="19">
      <c r="A19" s="7" t="n">
        <v>14</v>
      </c>
      <c r="B19" s="7" t="n">
        <v>0</v>
      </c>
      <c r="C19" s="7" t="inlineStr">
        <is>
          <t>BLK3+HVRR</t>
        </is>
      </c>
      <c r="D19" s="7" t="inlineStr">
        <is>
          <t>CSR 104516-2100</t>
        </is>
      </c>
      <c r="E19" s="7" t="inlineStr">
        <is>
          <t>Cord, Technora H-M-A, Braided, Natural Tubular, Spliceable, Coreless constructio</t>
        </is>
      </c>
      <c r="F19" s="7" t="inlineStr">
        <is>
          <t>CSR</t>
        </is>
      </c>
      <c r="G19" s="7" t="n">
        <v>0</v>
      </c>
      <c r="H19" s="7">
        <f>B19*G19</f>
        <v/>
      </c>
      <c r="I19" s="7" t="n"/>
      <c r="J19" s="7" t="n"/>
      <c r="K19" s="7" t="n"/>
      <c r="L19" s="7">
        <f>IFERROR(MIN(I19:K19),"")</f>
        <v/>
      </c>
      <c r="M19" s="7" t="inlineStr"/>
      <c r="N19" s="7">
        <f>IF(L19="","",(G19-L19)*B19)</f>
        <v/>
      </c>
    </row>
    <row r="20">
      <c r="A20" s="7" t="n">
        <v>15</v>
      </c>
      <c r="B20" s="7" t="n">
        <v>0</v>
      </c>
      <c r="C20" s="7" t="inlineStr">
        <is>
          <t>BLK3+HVRR</t>
        </is>
      </c>
      <c r="D20" s="7" t="inlineStr">
        <is>
          <t>CSR 104516-600</t>
        </is>
      </c>
      <c r="E20" s="7" t="inlineStr">
        <is>
          <t>Cord, Technora H-M-A, Braided, Natural Tubular, spliceable, coreless constructio</t>
        </is>
      </c>
      <c r="F20" s="7" t="inlineStr">
        <is>
          <t>CSR</t>
        </is>
      </c>
      <c r="G20" s="7" t="n">
        <v>0</v>
      </c>
      <c r="H20" s="7">
        <f>B20*G20</f>
        <v/>
      </c>
      <c r="I20" s="7" t="n"/>
      <c r="J20" s="7" t="n"/>
      <c r="K20" s="7" t="n"/>
      <c r="L20" s="7">
        <f>IFERROR(MIN(I20:K20),"")</f>
        <v/>
      </c>
      <c r="M20" s="7" t="inlineStr"/>
      <c r="N20" s="7">
        <f>IF(L20="","",(G20-L20)*B20)</f>
        <v/>
      </c>
    </row>
    <row r="21">
      <c r="A21" s="7" t="n">
        <v>16</v>
      </c>
      <c r="B21" s="7" t="n">
        <v>0</v>
      </c>
      <c r="C21" s="7" t="inlineStr">
        <is>
          <t>BLK3+HVRR</t>
        </is>
      </c>
      <c r="D21" s="7" t="inlineStr">
        <is>
          <t>Labor</t>
        </is>
      </c>
      <c r="E21" s="7" t="inlineStr">
        <is>
          <t>Build new container (labor only)</t>
        </is>
      </c>
      <c r="F21" s="7" t="inlineStr">
        <is>
          <t>Lee Hardesty</t>
        </is>
      </c>
      <c r="G21" s="7" t="n">
        <v>0</v>
      </c>
      <c r="H21" s="7">
        <f>B21*G21</f>
        <v/>
      </c>
      <c r="I21" s="7" t="n"/>
      <c r="J21" s="7" t="n"/>
      <c r="K21" s="7" t="n"/>
      <c r="L21" s="7">
        <f>IFERROR(MIN(I21:K21),"")</f>
        <v/>
      </c>
      <c r="M21" s="7" t="inlineStr"/>
      <c r="N21" s="7">
        <f>IF(L21="","",(G21-L21)*B21)</f>
        <v/>
      </c>
    </row>
    <row r="22">
      <c r="A22" s="7" t="n">
        <v>17</v>
      </c>
      <c r="B22" s="7" t="n">
        <v>0</v>
      </c>
      <c r="C22" s="7" t="inlineStr">
        <is>
          <t>BLK3+HVRR</t>
        </is>
      </c>
      <c r="D22" s="7" t="inlineStr">
        <is>
          <t>Labor</t>
        </is>
      </c>
      <c r="E22" s="7" t="inlineStr">
        <is>
          <t>Modify breaklines to add correct oval shaped 3 ring</t>
        </is>
      </c>
      <c r="F22" s="7" t="inlineStr">
        <is>
          <t>Lee Hardesty</t>
        </is>
      </c>
      <c r="G22" s="7" t="n">
        <v>0</v>
      </c>
      <c r="H22" s="7">
        <f>B22*G22</f>
        <v/>
      </c>
      <c r="I22" s="7" t="n"/>
      <c r="J22" s="7" t="n"/>
      <c r="K22" s="7" t="n"/>
      <c r="L22" s="7">
        <f>IFERROR(MIN(I22:K22),"")</f>
        <v/>
      </c>
      <c r="M22" s="7" t="inlineStr"/>
      <c r="N22" s="7">
        <f>IF(L22="","",(G22-L22)*B22)</f>
        <v/>
      </c>
    </row>
    <row r="23">
      <c r="A23" s="7" t="n">
        <v>18</v>
      </c>
      <c r="B23" s="7" t="n">
        <v>0</v>
      </c>
      <c r="C23" s="7" t="inlineStr">
        <is>
          <t>BLK3+HVRR</t>
        </is>
      </c>
      <c r="D23" s="7" t="inlineStr">
        <is>
          <t>Labor</t>
        </is>
      </c>
      <c r="E23" s="7" t="inlineStr">
        <is>
          <t>Reline old Parachute &amp; build new slider</t>
        </is>
      </c>
      <c r="F23" s="7" t="inlineStr">
        <is>
          <t>Lee Hardesty</t>
        </is>
      </c>
      <c r="G23" s="7" t="n">
        <v>0</v>
      </c>
      <c r="H23" s="7">
        <f>B23*G23</f>
        <v/>
      </c>
      <c r="I23" s="7" t="n"/>
      <c r="J23" s="7" t="n"/>
      <c r="K23" s="7" t="n"/>
      <c r="L23" s="7">
        <f>IFERROR(MIN(I23:K23),"")</f>
        <v/>
      </c>
      <c r="M23" s="7" t="inlineStr"/>
      <c r="N23" s="7">
        <f>IF(L23="","",(G23-L23)*B23)</f>
        <v/>
      </c>
    </row>
    <row r="24">
      <c r="A24" s="7" t="n">
        <v>19</v>
      </c>
      <c r="B24" s="7" t="n">
        <v>0</v>
      </c>
      <c r="C24" s="7" t="inlineStr">
        <is>
          <t>BLK3+HVRR</t>
        </is>
      </c>
      <c r="D24" s="7" t="inlineStr">
        <is>
          <t>Labor</t>
        </is>
      </c>
      <c r="E24" s="7" t="inlineStr">
        <is>
          <t>Pack Parachute into container</t>
        </is>
      </c>
      <c r="F24" s="7" t="inlineStr">
        <is>
          <t>Lee Hardesty</t>
        </is>
      </c>
      <c r="G24" s="7" t="n">
        <v>0</v>
      </c>
      <c r="H24" s="7">
        <f>B24*G24</f>
        <v/>
      </c>
      <c r="I24" s="7" t="n"/>
      <c r="J24" s="7" t="n"/>
      <c r="K24" s="7" t="n"/>
      <c r="L24" s="7">
        <f>IFERROR(MIN(I24:K24),"")</f>
        <v/>
      </c>
      <c r="M24" s="7" t="inlineStr"/>
      <c r="N24" s="7">
        <f>IF(L24="","",(G24-L24)*B24)</f>
        <v/>
      </c>
    </row>
    <row r="25">
      <c r="A25" s="7" t="n">
        <v>20</v>
      </c>
      <c r="B25" s="7" t="n">
        <v>0</v>
      </c>
      <c r="C25" s="7" t="inlineStr">
        <is>
          <t>BLK3+HVRR</t>
        </is>
      </c>
      <c r="D25" s="7" t="inlineStr">
        <is>
          <t>Labor</t>
        </is>
      </c>
      <c r="E25" s="7" t="inlineStr">
        <is>
          <t>Assemble new container (putting  new canopy onto container with links)</t>
        </is>
      </c>
      <c r="F25" s="7" t="inlineStr">
        <is>
          <t>Lee Hardesty</t>
        </is>
      </c>
      <c r="G25" s="7" t="n">
        <v>0</v>
      </c>
      <c r="H25" s="7">
        <f>B25*G25</f>
        <v/>
      </c>
      <c r="I25" s="7" t="n"/>
      <c r="J25" s="7" t="n"/>
      <c r="K25" s="7" t="n"/>
      <c r="L25" s="7">
        <f>IFERROR(MIN(I25:K25),"")</f>
        <v/>
      </c>
      <c r="M25" s="7" t="inlineStr"/>
      <c r="N25" s="7">
        <f>IF(L25="","",(G25-L25)*B25)</f>
        <v/>
      </c>
    </row>
    <row r="26">
      <c r="A26" s="7" t="n">
        <v>21</v>
      </c>
      <c r="B26" s="7" t="n">
        <v>0</v>
      </c>
      <c r="C26" s="7" t="inlineStr">
        <is>
          <t>BLK3+HVRR</t>
        </is>
      </c>
      <c r="D26" s="7" t="inlineStr"/>
      <c r="E26" s="7" t="inlineStr">
        <is>
          <t>Build second slider for parachute</t>
        </is>
      </c>
      <c r="F26" s="7" t="inlineStr">
        <is>
          <t>Lee Hardesty</t>
        </is>
      </c>
      <c r="G26" s="7" t="n">
        <v>0</v>
      </c>
      <c r="H26" s="7">
        <f>B26*G26</f>
        <v/>
      </c>
      <c r="I26" s="7" t="n"/>
      <c r="J26" s="7" t="n"/>
      <c r="K26" s="7" t="n"/>
      <c r="L26" s="7">
        <f>IFERROR(MIN(I26:K26),"")</f>
        <v/>
      </c>
      <c r="M26" s="7" t="inlineStr"/>
      <c r="N26" s="7">
        <f>IF(L26="","",(G26-L26)*B26)</f>
        <v/>
      </c>
    </row>
    <row r="27">
      <c r="A27" s="7" t="n">
        <v>22</v>
      </c>
      <c r="B27" s="7" t="n">
        <v>0</v>
      </c>
      <c r="C27" s="7" t="inlineStr">
        <is>
          <t>BLK3+HVRR</t>
        </is>
      </c>
      <c r="D27" s="7" t="inlineStr"/>
      <c r="E27" s="7" t="inlineStr">
        <is>
          <t>Super Screamers</t>
        </is>
      </c>
      <c r="F27" s="7" t="inlineStr">
        <is>
          <t>Lee Hardesty</t>
        </is>
      </c>
      <c r="G27" s="7" t="n">
        <v>0</v>
      </c>
      <c r="H27" s="7">
        <f>B27*G27</f>
        <v/>
      </c>
      <c r="I27" s="7" t="n"/>
      <c r="J27" s="7" t="n"/>
      <c r="K27" s="7" t="n"/>
      <c r="L27" s="7">
        <f>IFERROR(MIN(I27:K27),"")</f>
        <v/>
      </c>
      <c r="M27" s="7" t="inlineStr"/>
      <c r="N27" s="7">
        <f>IF(L27="","",(G27-L27)*B27)</f>
        <v/>
      </c>
    </row>
    <row r="28">
      <c r="F28" s="3" t="inlineStr">
        <is>
          <t>GROUP TOTAL</t>
        </is>
      </c>
      <c r="H28" s="3">
        <f>SUM(H6:H27)</f>
        <v/>
      </c>
      <c r="N28" s="3">
        <f>SUM(N6:N27)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Metals &amp; Titanium</t>
        </is>
      </c>
    </row>
    <row r="2">
      <c r="A2" s="3" t="inlineStr">
        <is>
          <t>RFQ to (qualified suppliers):</t>
        </is>
      </c>
      <c r="C2" t="inlineStr">
        <is>
          <t>1) TMS Titanium    2) Titanium Industries    3) Online Metals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TMS Titanium $ea</t>
        </is>
      </c>
      <c r="J5" s="6" t="inlineStr">
        <is>
          <t>Titanium Industries $ea</t>
        </is>
      </c>
      <c r="K5" s="6" t="inlineStr">
        <is>
          <t>Online Metals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4</v>
      </c>
      <c r="C6" s="7" t="inlineStr">
        <is>
          <t>BLK3+HVRR</t>
        </is>
      </c>
      <c r="D6" s="7" t="inlineStr"/>
      <c r="E6" s="7" t="inlineStr">
        <is>
          <t>3" Plate 6061-T651 ASTM B209, Cutting Tolerance +.125/0.00  Cutting to 25.25 OD,</t>
        </is>
      </c>
      <c r="F6" s="7" t="inlineStr">
        <is>
          <t>The Trident Company</t>
        </is>
      </c>
      <c r="G6" s="7" t="n">
        <v>835.8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4</v>
      </c>
      <c r="C7" s="7" t="inlineStr">
        <is>
          <t>BLK3+HVRR</t>
        </is>
      </c>
      <c r="D7" s="7" t="inlineStr"/>
      <c r="E7" s="7" t="inlineStr">
        <is>
          <t xml:space="preserve">3" Plate 6061-T651 ASTM B209, Cutting Tolerance +.125/-0.00, Cutting to 25.25", </t>
        </is>
      </c>
      <c r="F7" s="7" t="inlineStr">
        <is>
          <t>The Trident Company</t>
        </is>
      </c>
      <c r="G7" s="7" t="n">
        <v>835.8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0</v>
      </c>
      <c r="C8" s="7" t="inlineStr">
        <is>
          <t>BLK3+HVRR</t>
        </is>
      </c>
      <c r="D8" s="7" t="inlineStr"/>
      <c r="E8" s="7" t="inlineStr">
        <is>
          <t>D-Ring Vent Stabilizer - i 6AL-4V 0.1250" Dia x 33.23" Annealed</t>
        </is>
      </c>
      <c r="F8" s="7" t="inlineStr">
        <is>
          <t>Performance Titanium Group</t>
        </is>
      </c>
      <c r="G8" s="7" t="n">
        <v>0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F9" s="3" t="inlineStr">
        <is>
          <t>GROUP TOTAL</t>
        </is>
      </c>
      <c r="H9" s="3">
        <f>SUM(H6:H8)</f>
        <v/>
      </c>
      <c r="N9" s="3">
        <f>SUM(N6:N8)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Other · Misc / To-Categorize</t>
        </is>
      </c>
    </row>
    <row r="2">
      <c r="A2" s="3" t="inlineStr">
        <is>
          <t>RFQ to (qualified suppliers):</t>
        </is>
      </c>
      <c r="C2" t="inlineStr">
        <is>
          <t>1) (assign)    2) (assign)    3) (assign)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(assign) $ea</t>
        </is>
      </c>
      <c r="J5" s="6" t="inlineStr">
        <is>
          <t>(assign) $ea</t>
        </is>
      </c>
      <c r="K5" s="6" t="inlineStr">
        <is>
          <t>(assign)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1088</v>
      </c>
      <c r="C6" s="7" t="inlineStr">
        <is>
          <t>BLK3+HVRR</t>
        </is>
      </c>
      <c r="D6" s="7" t="inlineStr">
        <is>
          <t>M27500-18TG2T14</t>
        </is>
      </c>
      <c r="E6" s="7" t="inlineStr">
        <is>
          <t>18-2 Tefzel Wire</t>
        </is>
      </c>
      <c r="F6" s="7" t="inlineStr">
        <is>
          <t>Wiremasters</t>
        </is>
      </c>
      <c r="G6" s="7" t="n">
        <v>1.4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4</v>
      </c>
      <c r="C7" s="7" t="inlineStr">
        <is>
          <t>BLK3+HVRR</t>
        </is>
      </c>
      <c r="D7" s="7" t="inlineStr"/>
      <c r="E7" s="7" t="inlineStr">
        <is>
          <t>LiperiAir Semi Solid State Batteries</t>
        </is>
      </c>
      <c r="F7" s="7" t="inlineStr">
        <is>
          <t>RCBATTERT.COM</t>
        </is>
      </c>
      <c r="G7" s="7" t="n">
        <v>298.99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2</v>
      </c>
      <c r="C8" s="7" t="inlineStr">
        <is>
          <t>BLK3+HVRR</t>
        </is>
      </c>
      <c r="D8" s="7" t="inlineStr">
        <is>
          <t>SS-83KF4</t>
        </is>
      </c>
      <c r="E8" s="7" t="inlineStr">
        <is>
          <t>Stainless Steel 3-Piece High Pressure Ball Valve, PCTFE Seats, 1/4 in. FNPT</t>
        </is>
      </c>
      <c r="F8" s="7" t="inlineStr">
        <is>
          <t>Swagelock - Texas valve and fitting</t>
        </is>
      </c>
      <c r="G8" s="7" t="n">
        <v>364.62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920</v>
      </c>
      <c r="C9" s="7" t="inlineStr">
        <is>
          <t>BLK3+HVRR</t>
        </is>
      </c>
      <c r="D9" s="7" t="inlineStr">
        <is>
          <t>M27500-22TG2T14</t>
        </is>
      </c>
      <c r="E9" s="7" t="inlineStr">
        <is>
          <t>22-2 Tefzel Wire</t>
        </is>
      </c>
      <c r="F9" s="7" t="inlineStr">
        <is>
          <t>Wiremasters</t>
        </is>
      </c>
      <c r="G9" s="7" t="n">
        <v>0.77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212</v>
      </c>
      <c r="C10" s="7" t="inlineStr">
        <is>
          <t>BLK3+HVRR</t>
        </is>
      </c>
      <c r="D10" s="7" t="inlineStr">
        <is>
          <t>M27500-18TG3T14</t>
        </is>
      </c>
      <c r="E10" s="7" t="inlineStr">
        <is>
          <t>18-3 Tefzel Wire</t>
        </is>
      </c>
      <c r="F10" s="7" t="inlineStr">
        <is>
          <t>Wiremasters</t>
        </is>
      </c>
      <c r="G10" s="7" t="n">
        <v>1.52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336</v>
      </c>
      <c r="C11" s="7" t="inlineStr">
        <is>
          <t>BLK3+HVRR</t>
        </is>
      </c>
      <c r="D11" s="7" t="inlineStr">
        <is>
          <t>WMTG-222T14</t>
        </is>
      </c>
      <c r="E11" s="7" t="inlineStr">
        <is>
          <t>2 conductor cable with TIN COATED Cu ROUND shielding and Tefzel jacket with an M</t>
        </is>
      </c>
      <c r="F11" s="7" t="inlineStr">
        <is>
          <t>Wiremasters</t>
        </is>
      </c>
      <c r="G11" s="7" t="n">
        <v>0.77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200</v>
      </c>
      <c r="C12" s="7" t="inlineStr">
        <is>
          <t>BLK3+HVRR</t>
        </is>
      </c>
      <c r="D12" s="7" t="inlineStr">
        <is>
          <t>M22759/16-10-2</t>
        </is>
      </c>
      <c r="E12" s="7" t="inlineStr">
        <is>
          <t>Tin Plated Copper, Single Layer of Extruded ETFE Jacketed Wire, 150°C. QPL mater</t>
        </is>
      </c>
      <c r="F12" s="7" t="inlineStr">
        <is>
          <t>Wiremasters</t>
        </is>
      </c>
      <c r="G12" s="7" t="n">
        <v>1.21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200</v>
      </c>
      <c r="C13" s="7" t="inlineStr">
        <is>
          <t>BLK3+HVRR</t>
        </is>
      </c>
      <c r="D13" s="7" t="inlineStr">
        <is>
          <t>M22759/16-10-0</t>
        </is>
      </c>
      <c r="E13" s="7" t="inlineStr">
        <is>
          <t>Tin Plated Copper, Single Layer of Extruded ETFE Jacketed Wire, 150°C. QPL mater</t>
        </is>
      </c>
      <c r="F13" s="7" t="inlineStr">
        <is>
          <t>Wiremasters</t>
        </is>
      </c>
      <c r="G13" s="7" t="n">
        <v>1.21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524</v>
      </c>
      <c r="C14" s="7" t="inlineStr">
        <is>
          <t>BLK3+HVRR</t>
        </is>
      </c>
      <c r="D14" s="7" t="inlineStr">
        <is>
          <t>M22759/16-14-2</t>
        </is>
      </c>
      <c r="E14" s="7" t="inlineStr">
        <is>
          <t>14 Gage red wire</t>
        </is>
      </c>
      <c r="F14" s="7" t="inlineStr">
        <is>
          <t>Wiremasters</t>
        </is>
      </c>
      <c r="G14" s="7" t="n">
        <v>0.44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A15" s="7" t="n">
        <v>10</v>
      </c>
      <c r="B15" s="7" t="n">
        <v>200</v>
      </c>
      <c r="C15" s="7" t="inlineStr">
        <is>
          <t>BLK3+HVRR</t>
        </is>
      </c>
      <c r="D15" s="7" t="inlineStr">
        <is>
          <t>M22759/16-12-2</t>
        </is>
      </c>
      <c r="E15" s="7" t="inlineStr">
        <is>
          <t>Tin Plated Copper, Single Layer of Extruded ETFE Jacketed Wire, 150°C. QPL mater</t>
        </is>
      </c>
      <c r="F15" s="7" t="inlineStr">
        <is>
          <t>Wiremasters</t>
        </is>
      </c>
      <c r="G15" s="7" t="n">
        <v>0.71</v>
      </c>
      <c r="H15" s="7">
        <f>B15*G15</f>
        <v/>
      </c>
      <c r="I15" s="7" t="n"/>
      <c r="J15" s="7" t="n"/>
      <c r="K15" s="7" t="n"/>
      <c r="L15" s="7">
        <f>IFERROR(MIN(I15:K15),"")</f>
        <v/>
      </c>
      <c r="M15" s="7" t="inlineStr"/>
      <c r="N15" s="7">
        <f>IF(L15="","",(G15-L15)*B15)</f>
        <v/>
      </c>
    </row>
    <row r="16">
      <c r="A16" s="7" t="n">
        <v>11</v>
      </c>
      <c r="B16" s="7" t="n">
        <v>124</v>
      </c>
      <c r="C16" s="7" t="inlineStr">
        <is>
          <t>BLK3+HVRR</t>
        </is>
      </c>
      <c r="D16" s="7" t="inlineStr">
        <is>
          <t>M27500-18TG2T14</t>
        </is>
      </c>
      <c r="E16" s="7" t="inlineStr">
        <is>
          <t>18-2 Shielded Tefzel wire</t>
        </is>
      </c>
      <c r="F16" s="7" t="inlineStr">
        <is>
          <t>Wiremasters</t>
        </is>
      </c>
      <c r="G16" s="7" t="n">
        <v>1.11</v>
      </c>
      <c r="H16" s="7">
        <f>B16*G16</f>
        <v/>
      </c>
      <c r="I16" s="7" t="n"/>
      <c r="J16" s="7" t="n"/>
      <c r="K16" s="7" t="n"/>
      <c r="L16" s="7">
        <f>IFERROR(MIN(I16:K16),"")</f>
        <v/>
      </c>
      <c r="M16" s="7" t="inlineStr"/>
      <c r="N16" s="7">
        <f>IF(L16="","",(G16-L16)*B16)</f>
        <v/>
      </c>
    </row>
    <row r="17">
      <c r="A17" s="7" t="n">
        <v>12</v>
      </c>
      <c r="B17" s="7" t="n">
        <v>2</v>
      </c>
      <c r="C17" s="7" t="inlineStr">
        <is>
          <t>BLK3+HVRR</t>
        </is>
      </c>
      <c r="D17" s="7" t="inlineStr">
        <is>
          <t>D514A</t>
        </is>
      </c>
      <c r="E17" s="7" t="inlineStr">
        <is>
          <t>ACDelco GM Original Equipment D514A (12573190) Ignition Coil</t>
        </is>
      </c>
      <c r="F17" s="7" t="inlineStr">
        <is>
          <t>Amazon</t>
        </is>
      </c>
      <c r="G17" s="7" t="n">
        <v>56.78</v>
      </c>
      <c r="H17" s="7">
        <f>B17*G17</f>
        <v/>
      </c>
      <c r="I17" s="7" t="n"/>
      <c r="J17" s="7" t="n"/>
      <c r="K17" s="7" t="n"/>
      <c r="L17" s="7">
        <f>IFERROR(MIN(I17:K17),"")</f>
        <v/>
      </c>
      <c r="M17" s="7" t="inlineStr"/>
      <c r="N17" s="7">
        <f>IF(L17="","",(G17-L17)*B17)</f>
        <v/>
      </c>
    </row>
    <row r="18">
      <c r="A18" s="7" t="n">
        <v>13</v>
      </c>
      <c r="B18" s="7" t="n">
        <v>6</v>
      </c>
      <c r="C18" s="7" t="inlineStr">
        <is>
          <t>BLK3+HVRR</t>
        </is>
      </c>
      <c r="D18" s="7" t="inlineStr">
        <is>
          <t>25SHX</t>
        </is>
      </c>
      <c r="E18" s="7" t="inlineStr">
        <is>
          <t>HX porosity Pressure snubbgers</t>
        </is>
      </c>
      <c r="F18" s="7" t="inlineStr">
        <is>
          <t>Ebay</t>
        </is>
      </c>
      <c r="G18" s="7" t="n">
        <v>15</v>
      </c>
      <c r="H18" s="7">
        <f>B18*G18</f>
        <v/>
      </c>
      <c r="I18" s="7" t="n"/>
      <c r="J18" s="7" t="n"/>
      <c r="K18" s="7" t="n"/>
      <c r="L18" s="7">
        <f>IFERROR(MIN(I18:K18),"")</f>
        <v/>
      </c>
      <c r="M18" s="7" t="inlineStr"/>
      <c r="N18" s="7">
        <f>IF(L18="","",(G18-L18)*B18)</f>
        <v/>
      </c>
    </row>
    <row r="19">
      <c r="A19" s="7" t="n">
        <v>14</v>
      </c>
      <c r="B19" s="7" t="n">
        <v>86</v>
      </c>
      <c r="C19" s="7" t="inlineStr">
        <is>
          <t>BLK3+HVRR</t>
        </is>
      </c>
      <c r="D19" s="7" t="inlineStr">
        <is>
          <t>M27500-22TG3T14</t>
        </is>
      </c>
      <c r="E19" s="7" t="inlineStr">
        <is>
          <t>22-2 Shielded Tefzel wire</t>
        </is>
      </c>
      <c r="F19" s="7" t="inlineStr">
        <is>
          <t>Wiremasters</t>
        </is>
      </c>
      <c r="G19" s="7" t="n">
        <v>1</v>
      </c>
      <c r="H19" s="7">
        <f>B19*G19</f>
        <v/>
      </c>
      <c r="I19" s="7" t="n"/>
      <c r="J19" s="7" t="n"/>
      <c r="K19" s="7" t="n"/>
      <c r="L19" s="7">
        <f>IFERROR(MIN(I19:K19),"")</f>
        <v/>
      </c>
      <c r="M19" s="7" t="inlineStr"/>
      <c r="N19" s="7">
        <f>IF(L19="","",(G19-L19)*B19)</f>
        <v/>
      </c>
    </row>
    <row r="20">
      <c r="A20" s="7" t="n">
        <v>15</v>
      </c>
      <c r="B20" s="7" t="n">
        <v>2</v>
      </c>
      <c r="C20" s="7" t="inlineStr">
        <is>
          <t>BLK3+HVRR</t>
        </is>
      </c>
      <c r="D20" s="7" t="inlineStr">
        <is>
          <t>BG-8S</t>
        </is>
      </c>
      <c r="E20" s="7" t="inlineStr">
        <is>
          <t>ISDT BattGo Battery Meter, LCD Display, Battery Balancer</t>
        </is>
      </c>
      <c r="F20" s="7" t="inlineStr">
        <is>
          <t>Amazon</t>
        </is>
      </c>
      <c r="G20" s="7" t="n">
        <v>39.9</v>
      </c>
      <c r="H20" s="7">
        <f>B20*G20</f>
        <v/>
      </c>
      <c r="I20" s="7" t="n"/>
      <c r="J20" s="7" t="n"/>
      <c r="K20" s="7" t="n"/>
      <c r="L20" s="7">
        <f>IFERROR(MIN(I20:K20),"")</f>
        <v/>
      </c>
      <c r="M20" s="7" t="inlineStr"/>
      <c r="N20" s="7">
        <f>IF(L20="","",(G20-L20)*B20)</f>
        <v/>
      </c>
    </row>
    <row r="21">
      <c r="A21" s="7" t="n">
        <v>16</v>
      </c>
      <c r="B21" s="7" t="n">
        <v>200</v>
      </c>
      <c r="C21" s="7" t="inlineStr">
        <is>
          <t>BLK3+HVRR</t>
        </is>
      </c>
      <c r="D21" s="7" t="inlineStr">
        <is>
          <t>M22759/16-16-6</t>
        </is>
      </c>
      <c r="E21" s="7" t="inlineStr">
        <is>
          <t>Tin Plated Copper, Single Layer of Extruded ETFE Jacketed Wire, 150°C. QPL mater</t>
        </is>
      </c>
      <c r="F21" s="7" t="inlineStr">
        <is>
          <t>Wiremasters</t>
        </is>
      </c>
      <c r="G21" s="7" t="n">
        <v>0.35</v>
      </c>
      <c r="H21" s="7">
        <f>B21*G21</f>
        <v/>
      </c>
      <c r="I21" s="7" t="n"/>
      <c r="J21" s="7" t="n"/>
      <c r="K21" s="7" t="n"/>
      <c r="L21" s="7">
        <f>IFERROR(MIN(I21:K21),"")</f>
        <v/>
      </c>
      <c r="M21" s="7" t="inlineStr"/>
      <c r="N21" s="7">
        <f>IF(L21="","",(G21-L21)*B21)</f>
        <v/>
      </c>
    </row>
    <row r="22">
      <c r="A22" s="7" t="n">
        <v>17</v>
      </c>
      <c r="B22" s="7" t="n">
        <v>52</v>
      </c>
      <c r="C22" s="7" t="inlineStr">
        <is>
          <t>BLK3+HVRR</t>
        </is>
      </c>
      <c r="D22" s="7" t="inlineStr">
        <is>
          <t>M27500-18TG2T14</t>
        </is>
      </c>
      <c r="E22" s="7" t="inlineStr">
        <is>
          <t>M27500-18TG2T14 is a 2 conductor cable with TIN COATED Cu ROUND shielding and Te</t>
        </is>
      </c>
      <c r="F22" s="7" t="inlineStr">
        <is>
          <t>Wiremasters</t>
        </is>
      </c>
      <c r="G22" s="7" t="n">
        <v>1.24</v>
      </c>
      <c r="H22" s="7">
        <f>B22*G22</f>
        <v/>
      </c>
      <c r="I22" s="7" t="n"/>
      <c r="J22" s="7" t="n"/>
      <c r="K22" s="7" t="n"/>
      <c r="L22" s="7">
        <f>IFERROR(MIN(I22:K22),"")</f>
        <v/>
      </c>
      <c r="M22" s="7" t="inlineStr"/>
      <c r="N22" s="7">
        <f>IF(L22="","",(G22-L22)*B22)</f>
        <v/>
      </c>
    </row>
    <row r="23">
      <c r="A23" s="7" t="n">
        <v>18</v>
      </c>
      <c r="B23" s="7" t="n">
        <v>2</v>
      </c>
      <c r="C23" s="7" t="inlineStr">
        <is>
          <t>BLK3+HVRR</t>
        </is>
      </c>
      <c r="D23" s="7" t="inlineStr">
        <is>
          <t>DC6.5-100V 0-100A</t>
        </is>
      </c>
      <c r="E23" s="7" t="inlineStr">
        <is>
          <t>DC 6.5-100V 0-100A Multimeter and DC 5-120V Mini Voltmeter</t>
        </is>
      </c>
      <c r="F23" s="7" t="inlineStr">
        <is>
          <t>Amazon</t>
        </is>
      </c>
      <c r="G23" s="7" t="n">
        <v>24.99</v>
      </c>
      <c r="H23" s="7">
        <f>B23*G23</f>
        <v/>
      </c>
      <c r="I23" s="7" t="n"/>
      <c r="J23" s="7" t="n"/>
      <c r="K23" s="7" t="n"/>
      <c r="L23" s="7">
        <f>IFERROR(MIN(I23:K23),"")</f>
        <v/>
      </c>
      <c r="M23" s="7" t="inlineStr"/>
      <c r="N23" s="7">
        <f>IF(L23="","",(G23-L23)*B23)</f>
        <v/>
      </c>
    </row>
    <row r="24">
      <c r="A24" s="7" t="n">
        <v>19</v>
      </c>
      <c r="B24" s="7" t="n">
        <v>2</v>
      </c>
      <c r="C24" s="7" t="inlineStr">
        <is>
          <t>BLK3+HVRR</t>
        </is>
      </c>
      <c r="D24" s="7" t="inlineStr">
        <is>
          <t>7 Pin JST-XH 6S</t>
        </is>
      </c>
      <c r="E24" s="7" t="inlineStr">
        <is>
          <t>Balance Plug Extension Lead Wire</t>
        </is>
      </c>
      <c r="F24" s="7" t="inlineStr">
        <is>
          <t>Amazon</t>
        </is>
      </c>
      <c r="G24" s="7" t="n">
        <v>19</v>
      </c>
      <c r="H24" s="7">
        <f>B24*G24</f>
        <v/>
      </c>
      <c r="I24" s="7" t="n"/>
      <c r="J24" s="7" t="n"/>
      <c r="K24" s="7" t="n"/>
      <c r="L24" s="7">
        <f>IFERROR(MIN(I24:K24),"")</f>
        <v/>
      </c>
      <c r="M24" s="7" t="inlineStr"/>
      <c r="N24" s="7">
        <f>IF(L24="","",(G24-L24)*B24)</f>
        <v/>
      </c>
    </row>
    <row r="25">
      <c r="A25" s="7" t="n">
        <v>20</v>
      </c>
      <c r="B25" s="7" t="n">
        <v>112</v>
      </c>
      <c r="C25" s="7" t="inlineStr">
        <is>
          <t>BLK3+HVRR</t>
        </is>
      </c>
      <c r="D25" s="7" t="inlineStr">
        <is>
          <t>M22759/16-18-6</t>
        </is>
      </c>
      <c r="E25" s="7" t="inlineStr">
        <is>
          <t>18 Gage Blue Wire</t>
        </is>
      </c>
      <c r="F25" s="7" t="inlineStr">
        <is>
          <t>Wiremasters</t>
        </is>
      </c>
      <c r="G25" s="7" t="n">
        <v>0.3</v>
      </c>
      <c r="H25" s="7">
        <f>B25*G25</f>
        <v/>
      </c>
      <c r="I25" s="7" t="n"/>
      <c r="J25" s="7" t="n"/>
      <c r="K25" s="7" t="n"/>
      <c r="L25" s="7">
        <f>IFERROR(MIN(I25:K25),"")</f>
        <v/>
      </c>
      <c r="M25" s="7" t="inlineStr"/>
      <c r="N25" s="7">
        <f>IF(L25="","",(G25-L25)*B25)</f>
        <v/>
      </c>
    </row>
    <row r="26">
      <c r="A26" s="7" t="n">
        <v>21</v>
      </c>
      <c r="B26" s="7" t="n">
        <v>22</v>
      </c>
      <c r="C26" s="7" t="inlineStr">
        <is>
          <t>BLK3+HVRR</t>
        </is>
      </c>
      <c r="D26" s="7" t="inlineStr">
        <is>
          <t>M27500-18TG3T14</t>
        </is>
      </c>
      <c r="E26" s="7" t="inlineStr">
        <is>
          <t>M27500-18TG3T14 is a 3 conductor cable with Tin coated round copper shielding an</t>
        </is>
      </c>
      <c r="F26" s="7" t="inlineStr">
        <is>
          <t>Wiremasters</t>
        </is>
      </c>
      <c r="G26" s="7" t="n">
        <v>1.52</v>
      </c>
      <c r="H26" s="7">
        <f>B26*G26</f>
        <v/>
      </c>
      <c r="I26" s="7" t="n"/>
      <c r="J26" s="7" t="n"/>
      <c r="K26" s="7" t="n"/>
      <c r="L26" s="7">
        <f>IFERROR(MIN(I26:K26),"")</f>
        <v/>
      </c>
      <c r="M26" s="7" t="inlineStr"/>
      <c r="N26" s="7">
        <f>IF(L26="","",(G26-L26)*B26)</f>
        <v/>
      </c>
    </row>
    <row r="27">
      <c r="A27" s="7" t="n">
        <v>22</v>
      </c>
      <c r="B27" s="7" t="n">
        <v>24</v>
      </c>
      <c r="C27" s="7" t="inlineStr">
        <is>
          <t>BLK3+HVRR</t>
        </is>
      </c>
      <c r="D27" s="7" t="inlineStr">
        <is>
          <t>WMTG-182T14</t>
        </is>
      </c>
      <c r="E27" s="7" t="inlineStr">
        <is>
          <t>18-2 Shielded Tefzel wire for Upper ACS valve actuation: 4 pieces cut to 36"</t>
        </is>
      </c>
      <c r="F27" s="7" t="inlineStr">
        <is>
          <t>Wiremasters</t>
        </is>
      </c>
      <c r="G27" s="7" t="n">
        <v>1.11</v>
      </c>
      <c r="H27" s="7">
        <f>B27*G27</f>
        <v/>
      </c>
      <c r="I27" s="7" t="n"/>
      <c r="J27" s="7" t="n"/>
      <c r="K27" s="7" t="n"/>
      <c r="L27" s="7">
        <f>IFERROR(MIN(I27:K27),"")</f>
        <v/>
      </c>
      <c r="M27" s="7" t="inlineStr"/>
      <c r="N27" s="7">
        <f>IF(L27="","",(G27-L27)*B27)</f>
        <v/>
      </c>
    </row>
    <row r="28">
      <c r="A28" s="7" t="n">
        <v>23</v>
      </c>
      <c r="B28" s="7" t="n">
        <v>2</v>
      </c>
      <c r="C28" s="7" t="inlineStr">
        <is>
          <t>BLK3+HVRR</t>
        </is>
      </c>
      <c r="D28" s="7" t="inlineStr">
        <is>
          <t>Kuject-WT050</t>
        </is>
      </c>
      <c r="E28" s="7" t="inlineStr">
        <is>
          <t xml:space="preserve">Kuject 50PCS Self-Solder Wire Connectors, Solder and Seal Crimpless Heat Shrink </t>
        </is>
      </c>
      <c r="F28" s="7" t="inlineStr">
        <is>
          <t>Amazon</t>
        </is>
      </c>
      <c r="G28" s="7" t="n">
        <v>12.99</v>
      </c>
      <c r="H28" s="7">
        <f>B28*G28</f>
        <v/>
      </c>
      <c r="I28" s="7" t="n"/>
      <c r="J28" s="7" t="n"/>
      <c r="K28" s="7" t="n"/>
      <c r="L28" s="7">
        <f>IFERROR(MIN(I28:K28),"")</f>
        <v/>
      </c>
      <c r="M28" s="7" t="inlineStr"/>
      <c r="N28" s="7">
        <f>IF(L28="","",(G28-L28)*B28)</f>
        <v/>
      </c>
    </row>
    <row r="29">
      <c r="A29" s="7" t="n">
        <v>24</v>
      </c>
      <c r="B29" s="7" t="n">
        <v>80</v>
      </c>
      <c r="C29" s="7" t="inlineStr">
        <is>
          <t>BLK3+HVRR</t>
        </is>
      </c>
      <c r="D29" s="7" t="inlineStr">
        <is>
          <t>M22759/16-18-5</t>
        </is>
      </c>
      <c r="E29" s="7" t="inlineStr">
        <is>
          <t>18 Gage Green Wire</t>
        </is>
      </c>
      <c r="F29" s="7" t="inlineStr">
        <is>
          <t>Wiremasters</t>
        </is>
      </c>
      <c r="G29" s="7" t="n">
        <v>0.3</v>
      </c>
      <c r="H29" s="7">
        <f>B29*G29</f>
        <v/>
      </c>
      <c r="I29" s="7" t="n"/>
      <c r="J29" s="7" t="n"/>
      <c r="K29" s="7" t="n"/>
      <c r="L29" s="7">
        <f>IFERROR(MIN(I29:K29),"")</f>
        <v/>
      </c>
      <c r="M29" s="7" t="inlineStr"/>
      <c r="N29" s="7">
        <f>IF(L29="","",(G29-L29)*B29)</f>
        <v/>
      </c>
    </row>
    <row r="30">
      <c r="A30" s="7" t="n">
        <v>25</v>
      </c>
      <c r="B30" s="7" t="n">
        <v>88</v>
      </c>
      <c r="C30" s="7" t="inlineStr">
        <is>
          <t>BLK3+HVRR</t>
        </is>
      </c>
      <c r="D30" s="7" t="inlineStr">
        <is>
          <t>WM22759/16-18-4</t>
        </is>
      </c>
      <c r="E30" s="7" t="inlineStr">
        <is>
          <t>18 gage Yellow wire</t>
        </is>
      </c>
      <c r="F30" s="7" t="inlineStr">
        <is>
          <t>Wiremasters</t>
        </is>
      </c>
      <c r="G30" s="7" t="n">
        <v>0.26</v>
      </c>
      <c r="H30" s="7">
        <f>B30*G30</f>
        <v/>
      </c>
      <c r="I30" s="7" t="n"/>
      <c r="J30" s="7" t="n"/>
      <c r="K30" s="7" t="n"/>
      <c r="L30" s="7">
        <f>IFERROR(MIN(I30:K30),"")</f>
        <v/>
      </c>
      <c r="M30" s="7" t="inlineStr"/>
      <c r="N30" s="7">
        <f>IF(L30="","",(G30-L30)*B30)</f>
        <v/>
      </c>
    </row>
    <row r="31">
      <c r="A31" s="7" t="n">
        <v>26</v>
      </c>
      <c r="B31" s="7" t="n">
        <v>40</v>
      </c>
      <c r="C31" s="7" t="inlineStr">
        <is>
          <t>BLK3+HVRR</t>
        </is>
      </c>
      <c r="D31" s="7" t="inlineStr">
        <is>
          <t>WM22759/16-14-0</t>
        </is>
      </c>
      <c r="E31" s="7" t="inlineStr">
        <is>
          <t>14 gage Black Wire</t>
        </is>
      </c>
      <c r="F31" s="7" t="inlineStr">
        <is>
          <t>Wiremasters</t>
        </is>
      </c>
      <c r="G31" s="7" t="n">
        <v>0.46</v>
      </c>
      <c r="H31" s="7">
        <f>B31*G31</f>
        <v/>
      </c>
      <c r="I31" s="7" t="n"/>
      <c r="J31" s="7" t="n"/>
      <c r="K31" s="7" t="n"/>
      <c r="L31" s="7">
        <f>IFERROR(MIN(I31:K31),"")</f>
        <v/>
      </c>
      <c r="M31" s="7" t="inlineStr"/>
      <c r="N31" s="7">
        <f>IF(L31="","",(G31-L31)*B31)</f>
        <v/>
      </c>
    </row>
    <row r="32">
      <c r="A32" s="7" t="n">
        <v>27</v>
      </c>
      <c r="B32" s="7" t="n">
        <v>68</v>
      </c>
      <c r="C32" s="7" t="inlineStr">
        <is>
          <t>BLK3+HVRR</t>
        </is>
      </c>
      <c r="D32" s="7" t="inlineStr">
        <is>
          <t>M22759/16-18-4</t>
        </is>
      </c>
      <c r="E32" s="7" t="inlineStr">
        <is>
          <t>18 Gage yellow wire</t>
        </is>
      </c>
      <c r="F32" s="7" t="inlineStr">
        <is>
          <t>Wiremasters</t>
        </is>
      </c>
      <c r="G32" s="7" t="n">
        <v>0.27</v>
      </c>
      <c r="H32" s="7">
        <f>B32*G32</f>
        <v/>
      </c>
      <c r="I32" s="7" t="n"/>
      <c r="J32" s="7" t="n"/>
      <c r="K32" s="7" t="n"/>
      <c r="L32" s="7">
        <f>IFERROR(MIN(I32:K32),"")</f>
        <v/>
      </c>
      <c r="M32" s="7" t="inlineStr"/>
      <c r="N32" s="7">
        <f>IF(L32="","",(G32-L32)*B32)</f>
        <v/>
      </c>
    </row>
    <row r="33">
      <c r="A33" s="7" t="n">
        <v>28</v>
      </c>
      <c r="B33" s="7" t="n">
        <v>28</v>
      </c>
      <c r="C33" s="7" t="inlineStr">
        <is>
          <t>BLK3+HVRR</t>
        </is>
      </c>
      <c r="D33" s="7" t="inlineStr">
        <is>
          <t>M22759/16-14-5</t>
        </is>
      </c>
      <c r="E33" s="7" t="inlineStr">
        <is>
          <t>14 Gage green wire</t>
        </is>
      </c>
      <c r="F33" s="7" t="inlineStr">
        <is>
          <t>Wiremasters</t>
        </is>
      </c>
      <c r="G33" s="7" t="n">
        <v>0.45</v>
      </c>
      <c r="H33" s="7">
        <f>B33*G33</f>
        <v/>
      </c>
      <c r="I33" s="7" t="n"/>
      <c r="J33" s="7" t="n"/>
      <c r="K33" s="7" t="n"/>
      <c r="L33" s="7">
        <f>IFERROR(MIN(I33:K33),"")</f>
        <v/>
      </c>
      <c r="M33" s="7" t="inlineStr"/>
      <c r="N33" s="7">
        <f>IF(L33="","",(G33-L33)*B33)</f>
        <v/>
      </c>
    </row>
    <row r="34">
      <c r="A34" s="7" t="n">
        <v>29</v>
      </c>
      <c r="B34" s="7" t="n">
        <v>44</v>
      </c>
      <c r="C34" s="7" t="inlineStr">
        <is>
          <t>BLK3+HVRR</t>
        </is>
      </c>
      <c r="D34" s="7" t="inlineStr">
        <is>
          <t>WM22759/16-18-0</t>
        </is>
      </c>
      <c r="E34" s="7" t="inlineStr">
        <is>
          <t>M22759/16-18-0 is a Tin Plated Copper, Single Layer of Extruded ETFE Jacketed Wi</t>
        </is>
      </c>
      <c r="F34" s="7" t="inlineStr">
        <is>
          <t>Wiremasters</t>
        </is>
      </c>
      <c r="G34" s="7" t="n">
        <v>0.28</v>
      </c>
      <c r="H34" s="7">
        <f>B34*G34</f>
        <v/>
      </c>
      <c r="I34" s="7" t="n"/>
      <c r="J34" s="7" t="n"/>
      <c r="K34" s="7" t="n"/>
      <c r="L34" s="7">
        <f>IFERROR(MIN(I34:K34),"")</f>
        <v/>
      </c>
      <c r="M34" s="7" t="inlineStr"/>
      <c r="N34" s="7">
        <f>IF(L34="","",(G34-L34)*B34)</f>
        <v/>
      </c>
    </row>
    <row r="35">
      <c r="A35" s="7" t="n">
        <v>30</v>
      </c>
      <c r="B35" s="7" t="n">
        <v>108</v>
      </c>
      <c r="C35" s="7" t="inlineStr">
        <is>
          <t>BLK3+HVRR</t>
        </is>
      </c>
      <c r="D35" s="7" t="inlineStr">
        <is>
          <t>WM22759/16-18-2</t>
        </is>
      </c>
      <c r="E35" s="7" t="inlineStr">
        <is>
          <t>18 gage Red wire</t>
        </is>
      </c>
      <c r="F35" s="7" t="inlineStr">
        <is>
          <t>Wiremasters</t>
        </is>
      </c>
      <c r="G35" s="7" t="n">
        <v>0.11</v>
      </c>
      <c r="H35" s="7">
        <f>B35*G35</f>
        <v/>
      </c>
      <c r="I35" s="7" t="n"/>
      <c r="J35" s="7" t="n"/>
      <c r="K35" s="7" t="n"/>
      <c r="L35" s="7">
        <f>IFERROR(MIN(I35:K35),"")</f>
        <v/>
      </c>
      <c r="M35" s="7" t="inlineStr"/>
      <c r="N35" s="7">
        <f>IF(L35="","",(G35-L35)*B35)</f>
        <v/>
      </c>
    </row>
    <row r="36">
      <c r="A36" s="7" t="n">
        <v>31</v>
      </c>
      <c r="B36" s="7" t="n">
        <v>100</v>
      </c>
      <c r="C36" s="7" t="inlineStr">
        <is>
          <t>BLK3+HVRR</t>
        </is>
      </c>
      <c r="D36" s="7" t="inlineStr">
        <is>
          <t>18 gage Red wire</t>
        </is>
      </c>
      <c r="E36" s="7" t="inlineStr">
        <is>
          <t>18 gage Red wire</t>
        </is>
      </c>
      <c r="F36" s="7" t="inlineStr">
        <is>
          <t>Wiremasters</t>
        </is>
      </c>
      <c r="G36" s="7" t="n">
        <v>0.11</v>
      </c>
      <c r="H36" s="7">
        <f>B36*G36</f>
        <v/>
      </c>
      <c r="I36" s="7" t="n"/>
      <c r="J36" s="7" t="n"/>
      <c r="K36" s="7" t="n"/>
      <c r="L36" s="7">
        <f>IFERROR(MIN(I36:K36),"")</f>
        <v/>
      </c>
      <c r="M36" s="7" t="inlineStr"/>
      <c r="N36" s="7">
        <f>IF(L36="","",(G36-L36)*B36)</f>
        <v/>
      </c>
    </row>
    <row r="37">
      <c r="A37" s="7" t="n">
        <v>32</v>
      </c>
      <c r="B37" s="7" t="n">
        <v>14</v>
      </c>
      <c r="C37" s="7" t="inlineStr">
        <is>
          <t>BLK3+HVRR</t>
        </is>
      </c>
      <c r="D37" s="7" t="inlineStr">
        <is>
          <t>M27500-22TG2T14</t>
        </is>
      </c>
      <c r="E37" s="7" t="inlineStr">
        <is>
          <t>M27500-22TG2T14 is a 2 conductor cable with TIN COATED Cu ROUND shielding and Te</t>
        </is>
      </c>
      <c r="F37" s="7" t="inlineStr">
        <is>
          <t>Wiremasters</t>
        </is>
      </c>
      <c r="G37" s="7" t="n">
        <v>0.77</v>
      </c>
      <c r="H37" s="7">
        <f>B37*G37</f>
        <v/>
      </c>
      <c r="I37" s="7" t="n"/>
      <c r="J37" s="7" t="n"/>
      <c r="K37" s="7" t="n"/>
      <c r="L37" s="7">
        <f>IFERROR(MIN(I37:K37),"")</f>
        <v/>
      </c>
      <c r="M37" s="7" t="inlineStr"/>
      <c r="N37" s="7">
        <f>IF(L37="","",(G37-L37)*B37)</f>
        <v/>
      </c>
    </row>
    <row r="38">
      <c r="A38" s="7" t="n">
        <v>33</v>
      </c>
      <c r="B38" s="7" t="n">
        <v>24</v>
      </c>
      <c r="C38" s="7" t="inlineStr">
        <is>
          <t>BLK3+HVRR</t>
        </is>
      </c>
      <c r="D38" s="7" t="inlineStr">
        <is>
          <t>WM22759/16-14-2</t>
        </is>
      </c>
      <c r="E38" s="7" t="inlineStr">
        <is>
          <t>14 gage Red Wire</t>
        </is>
      </c>
      <c r="F38" s="7" t="inlineStr">
        <is>
          <t>Wiremasters</t>
        </is>
      </c>
      <c r="G38" s="7" t="n">
        <v>0.44</v>
      </c>
      <c r="H38" s="7">
        <f>B38*G38</f>
        <v/>
      </c>
      <c r="I38" s="7" t="n"/>
      <c r="J38" s="7" t="n"/>
      <c r="K38" s="7" t="n"/>
      <c r="L38" s="7">
        <f>IFERROR(MIN(I38:K38),"")</f>
        <v/>
      </c>
      <c r="M38" s="7" t="inlineStr"/>
      <c r="N38" s="7">
        <f>IF(L38="","",(G38-L38)*B38)</f>
        <v/>
      </c>
    </row>
    <row r="39">
      <c r="A39" s="7" t="n">
        <v>34</v>
      </c>
      <c r="B39" s="7" t="n">
        <v>24</v>
      </c>
      <c r="C39" s="7" t="inlineStr">
        <is>
          <t>BLK3+HVRR</t>
        </is>
      </c>
      <c r="D39" s="7" t="inlineStr">
        <is>
          <t>WM22759/16-18-2</t>
        </is>
      </c>
      <c r="E39" s="7" t="inlineStr">
        <is>
          <t>18 Gage Red Wire</t>
        </is>
      </c>
      <c r="F39" s="7" t="inlineStr">
        <is>
          <t>Wiremasters</t>
        </is>
      </c>
      <c r="G39" s="7" t="n">
        <v>0.26</v>
      </c>
      <c r="H39" s="7">
        <f>B39*G39</f>
        <v/>
      </c>
      <c r="I39" s="7" t="n"/>
      <c r="J39" s="7" t="n"/>
      <c r="K39" s="7" t="n"/>
      <c r="L39" s="7">
        <f>IFERROR(MIN(I39:K39),"")</f>
        <v/>
      </c>
      <c r="M39" s="7" t="inlineStr"/>
      <c r="N39" s="7">
        <f>IF(L39="","",(G39-L39)*B39)</f>
        <v/>
      </c>
    </row>
    <row r="40">
      <c r="A40" s="7" t="n">
        <v>35</v>
      </c>
      <c r="B40" s="7" t="n">
        <v>18</v>
      </c>
      <c r="C40" s="7" t="inlineStr">
        <is>
          <t>BLK3+HVRR</t>
        </is>
      </c>
      <c r="D40" s="7" t="inlineStr">
        <is>
          <t>WM22759/16-18-2</t>
        </is>
      </c>
      <c r="E40" s="7" t="inlineStr">
        <is>
          <t>M22759/16-18-2 is a Tin Plated Copper, Single Layer of Extruded ETFE Jacketed Wi</t>
        </is>
      </c>
      <c r="F40" s="7" t="inlineStr">
        <is>
          <t>Wiremasters</t>
        </is>
      </c>
      <c r="G40" s="7" t="n">
        <v>0.27</v>
      </c>
      <c r="H40" s="7">
        <f>B40*G40</f>
        <v/>
      </c>
      <c r="I40" s="7" t="n"/>
      <c r="J40" s="7" t="n"/>
      <c r="K40" s="7" t="n"/>
      <c r="L40" s="7">
        <f>IFERROR(MIN(I40:K40),"")</f>
        <v/>
      </c>
      <c r="M40" s="7" t="inlineStr"/>
      <c r="N40" s="7">
        <f>IF(L40="","",(G40-L40)*B40)</f>
        <v/>
      </c>
    </row>
    <row r="41">
      <c r="A41" s="7" t="n">
        <v>36</v>
      </c>
      <c r="B41" s="7" t="n">
        <v>16</v>
      </c>
      <c r="C41" s="7" t="inlineStr">
        <is>
          <t>BLK3+HVRR</t>
        </is>
      </c>
      <c r="D41" s="7" t="inlineStr">
        <is>
          <t>WM22759/16-16-6</t>
        </is>
      </c>
      <c r="E41" s="7" t="inlineStr">
        <is>
          <t>16 gage Blue wire</t>
        </is>
      </c>
      <c r="F41" s="7" t="inlineStr">
        <is>
          <t>Wiremasters</t>
        </is>
      </c>
      <c r="G41" s="7" t="n">
        <v>0.3</v>
      </c>
      <c r="H41" s="7">
        <f>B41*G41</f>
        <v/>
      </c>
      <c r="I41" s="7" t="n"/>
      <c r="J41" s="7" t="n"/>
      <c r="K41" s="7" t="n"/>
      <c r="L41" s="7">
        <f>IFERROR(MIN(I41:K41),"")</f>
        <v/>
      </c>
      <c r="M41" s="7" t="inlineStr"/>
      <c r="N41" s="7">
        <f>IF(L41="","",(G41-L41)*B41)</f>
        <v/>
      </c>
    </row>
    <row r="42">
      <c r="A42" s="7" t="n">
        <v>37</v>
      </c>
      <c r="B42" s="7" t="n">
        <v>14</v>
      </c>
      <c r="C42" s="7" t="inlineStr">
        <is>
          <t>BLK3+HVRR</t>
        </is>
      </c>
      <c r="D42" s="7" t="inlineStr">
        <is>
          <t>WM22759/16-18-5</t>
        </is>
      </c>
      <c r="E42" s="7" t="inlineStr">
        <is>
          <t>M22759/16-18-5 is a Tin Plated Copper, Single Layer of Extruded ETFE Jacketed Wi</t>
        </is>
      </c>
      <c r="F42" s="7" t="inlineStr">
        <is>
          <t>Wiremasters</t>
        </is>
      </c>
      <c r="G42" s="7" t="n">
        <v>0.3</v>
      </c>
      <c r="H42" s="7">
        <f>B42*G42</f>
        <v/>
      </c>
      <c r="I42" s="7" t="n"/>
      <c r="J42" s="7" t="n"/>
      <c r="K42" s="7" t="n"/>
      <c r="L42" s="7">
        <f>IFERROR(MIN(I42:K42),"")</f>
        <v/>
      </c>
      <c r="M42" s="7" t="inlineStr"/>
      <c r="N42" s="7">
        <f>IF(L42="","",(G42-L42)*B42)</f>
        <v/>
      </c>
    </row>
    <row r="43">
      <c r="A43" s="7" t="n">
        <v>38</v>
      </c>
      <c r="B43" s="7" t="n">
        <v>12</v>
      </c>
      <c r="C43" s="7" t="inlineStr">
        <is>
          <t>BLK3+HVRR</t>
        </is>
      </c>
      <c r="D43" s="7" t="inlineStr">
        <is>
          <t>WM22759/16-16-2</t>
        </is>
      </c>
      <c r="E43" s="7" t="inlineStr">
        <is>
          <t>M22759/16-16-2 is a Tin Plated Copper, Single Layer of Extruded ETFE Jacketed Wi</t>
        </is>
      </c>
      <c r="F43" s="7" t="inlineStr">
        <is>
          <t>Wiremasters</t>
        </is>
      </c>
      <c r="G43" s="7" t="n">
        <v>0.35</v>
      </c>
      <c r="H43" s="7">
        <f>B43*G43</f>
        <v/>
      </c>
      <c r="I43" s="7" t="n"/>
      <c r="J43" s="7" t="n"/>
      <c r="K43" s="7" t="n"/>
      <c r="L43" s="7">
        <f>IFERROR(MIN(I43:K43),"")</f>
        <v/>
      </c>
      <c r="M43" s="7" t="inlineStr"/>
      <c r="N43" s="7">
        <f>IF(L43="","",(G43-L43)*B43)</f>
        <v/>
      </c>
    </row>
    <row r="44">
      <c r="A44" s="7" t="n">
        <v>39</v>
      </c>
      <c r="B44" s="7" t="n">
        <v>8</v>
      </c>
      <c r="C44" s="7" t="inlineStr">
        <is>
          <t>BLK3+HVRR</t>
        </is>
      </c>
      <c r="D44" s="7" t="inlineStr">
        <is>
          <t>M22759/16-14-0</t>
        </is>
      </c>
      <c r="E44" s="7" t="inlineStr">
        <is>
          <t>14 Gage black wire</t>
        </is>
      </c>
      <c r="F44" s="7" t="inlineStr">
        <is>
          <t>Wiremasters</t>
        </is>
      </c>
      <c r="G44" s="7" t="n">
        <v>0.45</v>
      </c>
      <c r="H44" s="7">
        <f>B44*G44</f>
        <v/>
      </c>
      <c r="I44" s="7" t="n"/>
      <c r="J44" s="7" t="n"/>
      <c r="K44" s="7" t="n"/>
      <c r="L44" s="7">
        <f>IFERROR(MIN(I44:K44),"")</f>
        <v/>
      </c>
      <c r="M44" s="7" t="inlineStr"/>
      <c r="N44" s="7">
        <f>IF(L44="","",(G44-L44)*B44)</f>
        <v/>
      </c>
    </row>
    <row r="45">
      <c r="A45" s="7" t="n">
        <v>40</v>
      </c>
      <c r="B45" s="7" t="n">
        <v>12</v>
      </c>
      <c r="C45" s="7" t="inlineStr">
        <is>
          <t>BLK3+HVRR</t>
        </is>
      </c>
      <c r="D45" s="7" t="inlineStr">
        <is>
          <t>M22759/16-18-0</t>
        </is>
      </c>
      <c r="E45" s="7" t="inlineStr">
        <is>
          <t>18 Gage black wire</t>
        </is>
      </c>
      <c r="F45" s="7" t="inlineStr">
        <is>
          <t>Wiremasters</t>
        </is>
      </c>
      <c r="G45" s="7" t="n">
        <v>0.28</v>
      </c>
      <c r="H45" s="7">
        <f>B45*G45</f>
        <v/>
      </c>
      <c r="I45" s="7" t="n"/>
      <c r="J45" s="7" t="n"/>
      <c r="K45" s="7" t="n"/>
      <c r="L45" s="7">
        <f>IFERROR(MIN(I45:K45),"")</f>
        <v/>
      </c>
      <c r="M45" s="7" t="inlineStr"/>
      <c r="N45" s="7">
        <f>IF(L45="","",(G45-L45)*B45)</f>
        <v/>
      </c>
    </row>
    <row r="46">
      <c r="A46" s="7" t="n">
        <v>41</v>
      </c>
      <c r="B46" s="7" t="n">
        <v>8</v>
      </c>
      <c r="C46" s="7" t="inlineStr">
        <is>
          <t>BLK3+HVRR</t>
        </is>
      </c>
      <c r="D46" s="7" t="inlineStr">
        <is>
          <t>M22759/16-18-2</t>
        </is>
      </c>
      <c r="E46" s="7" t="inlineStr">
        <is>
          <t>18 Gage red wire</t>
        </is>
      </c>
      <c r="F46" s="7" t="inlineStr">
        <is>
          <t>Wiremasters</t>
        </is>
      </c>
      <c r="G46" s="7" t="n">
        <v>0.27</v>
      </c>
      <c r="H46" s="7">
        <f>B46*G46</f>
        <v/>
      </c>
      <c r="I46" s="7" t="n"/>
      <c r="J46" s="7" t="n"/>
      <c r="K46" s="7" t="n"/>
      <c r="L46" s="7">
        <f>IFERROR(MIN(I46:K46),"")</f>
        <v/>
      </c>
      <c r="M46" s="7" t="inlineStr"/>
      <c r="N46" s="7">
        <f>IF(L46="","",(G46-L46)*B46)</f>
        <v/>
      </c>
    </row>
    <row r="47">
      <c r="A47" s="7" t="n">
        <v>42</v>
      </c>
      <c r="B47" s="7" t="n">
        <v>8</v>
      </c>
      <c r="C47" s="7" t="inlineStr">
        <is>
          <t>BLK3+HVRR</t>
        </is>
      </c>
      <c r="D47" s="7" t="inlineStr">
        <is>
          <t>WM22759/16-18-0</t>
        </is>
      </c>
      <c r="E47" s="7" t="inlineStr">
        <is>
          <t>18 Gage Black Wire</t>
        </is>
      </c>
      <c r="F47" s="7" t="inlineStr">
        <is>
          <t>Wiremasters</t>
        </is>
      </c>
      <c r="G47" s="7" t="n">
        <v>0.26</v>
      </c>
      <c r="H47" s="7">
        <f>B47*G47</f>
        <v/>
      </c>
      <c r="I47" s="7" t="n"/>
      <c r="J47" s="7" t="n"/>
      <c r="K47" s="7" t="n"/>
      <c r="L47" s="7">
        <f>IFERROR(MIN(I47:K47),"")</f>
        <v/>
      </c>
      <c r="M47" s="7" t="inlineStr"/>
      <c r="N47" s="7">
        <f>IF(L47="","",(G47-L47)*B47)</f>
        <v/>
      </c>
    </row>
    <row r="48">
      <c r="A48" s="7" t="n">
        <v>43</v>
      </c>
      <c r="B48" s="7" t="n">
        <v>6</v>
      </c>
      <c r="C48" s="7" t="inlineStr">
        <is>
          <t>BLK3+HVRR</t>
        </is>
      </c>
      <c r="D48" s="7" t="inlineStr">
        <is>
          <t>WM22759/16-18-0</t>
        </is>
      </c>
      <c r="E48" s="7" t="inlineStr">
        <is>
          <t>18 gage Black Wire</t>
        </is>
      </c>
      <c r="F48" s="7" t="inlineStr">
        <is>
          <t>Wiremasters</t>
        </is>
      </c>
      <c r="G48" s="7" t="n">
        <v>0.26</v>
      </c>
      <c r="H48" s="7">
        <f>B48*G48</f>
        <v/>
      </c>
      <c r="I48" s="7" t="n"/>
      <c r="J48" s="7" t="n"/>
      <c r="K48" s="7" t="n"/>
      <c r="L48" s="7">
        <f>IFERROR(MIN(I48:K48),"")</f>
        <v/>
      </c>
      <c r="M48" s="7" t="inlineStr"/>
      <c r="N48" s="7">
        <f>IF(L48="","",(G48-L48)*B48)</f>
        <v/>
      </c>
    </row>
    <row r="49">
      <c r="A49" s="7" t="n">
        <v>44</v>
      </c>
      <c r="B49" s="7" t="n">
        <v>8</v>
      </c>
      <c r="C49" s="7" t="inlineStr">
        <is>
          <t>BLK3+HVRR</t>
        </is>
      </c>
      <c r="D49" s="7" t="inlineStr">
        <is>
          <t>WM22759/16-18-0</t>
        </is>
      </c>
      <c r="E49" s="7" t="inlineStr">
        <is>
          <t>18 gage Black wire</t>
        </is>
      </c>
      <c r="F49" s="7" t="inlineStr">
        <is>
          <t>Wiremasters</t>
        </is>
      </c>
      <c r="G49" s="7" t="n">
        <v>0.11</v>
      </c>
      <c r="H49" s="7">
        <f>B49*G49</f>
        <v/>
      </c>
      <c r="I49" s="7" t="n"/>
      <c r="J49" s="7" t="n"/>
      <c r="K49" s="7" t="n"/>
      <c r="L49" s="7">
        <f>IFERROR(MIN(I49:K49),"")</f>
        <v/>
      </c>
      <c r="M49" s="7" t="inlineStr"/>
      <c r="N49" s="7">
        <f>IF(L49="","",(G49-L49)*B49)</f>
        <v/>
      </c>
    </row>
    <row r="50">
      <c r="F50" s="3" t="inlineStr">
        <is>
          <t>GROUP TOTAL</t>
        </is>
      </c>
      <c r="H50" s="3">
        <f>SUM(H6:H49)</f>
        <v/>
      </c>
      <c r="N50" s="3">
        <f>SUM(N6:N49)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RF &amp; Microwave</t>
        </is>
      </c>
    </row>
    <row r="2">
      <c r="A2" s="3" t="inlineStr">
        <is>
          <t>RFQ to (qualified suppliers):</t>
        </is>
      </c>
      <c r="C2" t="inlineStr">
        <is>
          <t>1) Pasternack    2) Fairview Microwave    3) L-com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Pasternack $ea</t>
        </is>
      </c>
      <c r="J5" s="6" t="inlineStr">
        <is>
          <t>Fairview Microwave $ea</t>
        </is>
      </c>
      <c r="K5" s="6" t="inlineStr">
        <is>
          <t>L-com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180</v>
      </c>
      <c r="C6" s="7" t="inlineStr">
        <is>
          <t>BLK3+HVRR</t>
        </is>
      </c>
      <c r="D6" s="7" t="inlineStr">
        <is>
          <t>PE-SR401FL-BULK</t>
        </is>
      </c>
      <c r="E6" s="7" t="inlineStr">
        <is>
          <t>250 semi-rigid Coax cable 3 pieces at approx. 235" ea.</t>
        </is>
      </c>
      <c r="F6" s="7" t="inlineStr">
        <is>
          <t>Pasternack</t>
        </is>
      </c>
      <c r="G6" s="7" t="n">
        <v>36.39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36</v>
      </c>
      <c r="C7" s="7" t="inlineStr">
        <is>
          <t>BLK3+HVRR</t>
        </is>
      </c>
      <c r="D7" s="7" t="inlineStr">
        <is>
          <t>PE4931</t>
        </is>
      </c>
      <c r="E7" s="7" t="inlineStr">
        <is>
          <t>SMA Female Bulkhead Mount Connector Solder Attachment for PE-SR401FL, .235" D Ho</t>
        </is>
      </c>
      <c r="F7" s="7" t="inlineStr">
        <is>
          <t>Pasternack</t>
        </is>
      </c>
      <c r="G7" s="7" t="n">
        <v>107.99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40</v>
      </c>
      <c r="C8" s="7" t="inlineStr">
        <is>
          <t>BLK3+HVRR</t>
        </is>
      </c>
      <c r="D8" s="7" t="inlineStr">
        <is>
          <t>PE-4907</t>
        </is>
      </c>
      <c r="E8" s="7" t="inlineStr">
        <is>
          <t>SMA Male Connector Solder Attachment for PE-SR401FL</t>
        </is>
      </c>
      <c r="F8" s="7" t="inlineStr">
        <is>
          <t>Pasternack</t>
        </is>
      </c>
      <c r="G8" s="7" t="n">
        <v>87.98999999999999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60</v>
      </c>
      <c r="C9" s="7" t="inlineStr">
        <is>
          <t>BLK3+HVRR</t>
        </is>
      </c>
      <c r="D9" s="7" t="inlineStr">
        <is>
          <t>PE-SR401FL-BULK</t>
        </is>
      </c>
      <c r="E9" s="7" t="inlineStr">
        <is>
          <t>250 semi-rigid Coax cable 48"</t>
        </is>
      </c>
      <c r="F9" s="7" t="inlineStr">
        <is>
          <t>Pasternack</t>
        </is>
      </c>
      <c r="G9" s="7" t="n">
        <v>32.99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42</v>
      </c>
      <c r="C10" s="7" t="inlineStr">
        <is>
          <t>BLK3+HVRR</t>
        </is>
      </c>
      <c r="D10" s="7" t="inlineStr">
        <is>
          <t>PE-SR401FL</t>
        </is>
      </c>
      <c r="E10" s="7" t="inlineStr">
        <is>
          <t>250 semi-rigid Coax cable 48"</t>
        </is>
      </c>
      <c r="F10" s="7" t="inlineStr">
        <is>
          <t>Pasternack</t>
        </is>
      </c>
      <c r="G10" s="7" t="n">
        <v>36.39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12</v>
      </c>
      <c r="C11" s="7" t="inlineStr">
        <is>
          <t>BLK3+HVRR</t>
        </is>
      </c>
      <c r="D11" s="7" t="inlineStr">
        <is>
          <t>PE4931</t>
        </is>
      </c>
      <c r="E11" s="7" t="inlineStr">
        <is>
          <t>SMA Female Bulkhead Mount Conn. Solder Attachment for PE-SR401FL, .235 inch D Ho</t>
        </is>
      </c>
      <c r="F11" s="7" t="inlineStr">
        <is>
          <t>Pasternack</t>
        </is>
      </c>
      <c r="G11" s="7" t="n">
        <v>119.91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60</v>
      </c>
      <c r="C12" s="7" t="inlineStr">
        <is>
          <t>BLK3</t>
        </is>
      </c>
      <c r="D12" s="7" t="inlineStr">
        <is>
          <t>PE-SR401FL</t>
        </is>
      </c>
      <c r="E12" s="7" t="inlineStr">
        <is>
          <t>250 semi-rigid Coax cable 3 pieces at approx. 235" ea.</t>
        </is>
      </c>
      <c r="F12" s="7" t="inlineStr">
        <is>
          <t>Pasternack</t>
        </is>
      </c>
      <c r="G12" s="7" t="n">
        <v>16.33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6</v>
      </c>
      <c r="C13" s="7" t="inlineStr">
        <is>
          <t>BLK3+HVRR</t>
        </is>
      </c>
      <c r="D13" s="7" t="inlineStr">
        <is>
          <t>PE4932</t>
        </is>
      </c>
      <c r="E13" s="7" t="inlineStr">
        <is>
          <t>SMA Male Right AngleConn. Solder Attachment for PE-SR401FL</t>
        </is>
      </c>
      <c r="F13" s="7" t="inlineStr">
        <is>
          <t>Pasternack</t>
        </is>
      </c>
      <c r="G13" s="7" t="n">
        <v>125.99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A14" s="7" t="n">
        <v>9</v>
      </c>
      <c r="B14" s="7" t="n">
        <v>8</v>
      </c>
      <c r="C14" s="7" t="inlineStr">
        <is>
          <t>BLK3+HVRR</t>
        </is>
      </c>
      <c r="D14" s="7" t="inlineStr">
        <is>
          <t>PE4907</t>
        </is>
      </c>
      <c r="E14" s="7" t="inlineStr">
        <is>
          <t>SMA Male Connector Solder Attachment for PE-SR401FL_BULK</t>
        </is>
      </c>
      <c r="F14" s="7" t="inlineStr">
        <is>
          <t>Pasternack</t>
        </is>
      </c>
      <c r="G14" s="7" t="n">
        <v>74.98999999999999</v>
      </c>
      <c r="H14" s="7">
        <f>B14*G14</f>
        <v/>
      </c>
      <c r="I14" s="7" t="n"/>
      <c r="J14" s="7" t="n"/>
      <c r="K14" s="7" t="n"/>
      <c r="L14" s="7">
        <f>IFERROR(MIN(I14:K14),"")</f>
        <v/>
      </c>
      <c r="M14" s="7" t="inlineStr"/>
      <c r="N14" s="7">
        <f>IF(L14="","",(G14-L14)*B14)</f>
        <v/>
      </c>
    </row>
    <row r="15">
      <c r="A15" s="7" t="n">
        <v>10</v>
      </c>
      <c r="B15" s="7" t="n">
        <v>6</v>
      </c>
      <c r="C15" s="7" t="inlineStr">
        <is>
          <t>BLK3+HVRR</t>
        </is>
      </c>
      <c r="D15" s="7" t="inlineStr">
        <is>
          <t>PE4907</t>
        </is>
      </c>
      <c r="E15" s="7" t="inlineStr">
        <is>
          <t>SMA Male Connector Solder Attachment for PE-SR401AL, PE-SR401FL, RG401</t>
        </is>
      </c>
      <c r="F15" s="7" t="inlineStr">
        <is>
          <t>Pasternack</t>
        </is>
      </c>
      <c r="G15" s="7" t="n">
        <v>87.98999999999999</v>
      </c>
      <c r="H15" s="7">
        <f>B15*G15</f>
        <v/>
      </c>
      <c r="I15" s="7" t="n"/>
      <c r="J15" s="7" t="n"/>
      <c r="K15" s="7" t="n"/>
      <c r="L15" s="7">
        <f>IFERROR(MIN(I15:K15),"")</f>
        <v/>
      </c>
      <c r="M15" s="7" t="inlineStr"/>
      <c r="N15" s="7">
        <f>IF(L15="","",(G15-L15)*B15)</f>
        <v/>
      </c>
    </row>
    <row r="16">
      <c r="A16" s="7" t="n">
        <v>11</v>
      </c>
      <c r="B16" s="7" t="n">
        <v>8</v>
      </c>
      <c r="C16" s="7" t="inlineStr">
        <is>
          <t>BLK3+HVRR</t>
        </is>
      </c>
      <c r="D16" s="7" t="inlineStr">
        <is>
          <t>PE4936</t>
        </is>
      </c>
      <c r="E16" s="7" t="inlineStr">
        <is>
          <t>N Male Right Angle Connector Solder Attachment for PE-SR402AL, PE-SR402FL, RG402</t>
        </is>
      </c>
      <c r="F16" s="7" t="inlineStr">
        <is>
          <t>Pasternack</t>
        </is>
      </c>
      <c r="G16" s="7" t="n">
        <v>61.69</v>
      </c>
      <c r="H16" s="7">
        <f>B16*G16</f>
        <v/>
      </c>
      <c r="I16" s="7" t="n"/>
      <c r="J16" s="7" t="n"/>
      <c r="K16" s="7" t="n"/>
      <c r="L16" s="7">
        <f>IFERROR(MIN(I16:K16),"")</f>
        <v/>
      </c>
      <c r="M16" s="7" t="inlineStr"/>
      <c r="N16" s="7">
        <f>IF(L16="","",(G16-L16)*B16)</f>
        <v/>
      </c>
    </row>
    <row r="17">
      <c r="A17" s="7" t="n">
        <v>12</v>
      </c>
      <c r="B17" s="7" t="n">
        <v>28</v>
      </c>
      <c r="C17" s="7" t="inlineStr">
        <is>
          <t>BLK3+HVRR</t>
        </is>
      </c>
      <c r="D17" s="7" t="inlineStr">
        <is>
          <t>PE-SR402FL-BULK</t>
        </is>
      </c>
      <c r="E17" s="7" t="inlineStr">
        <is>
          <t>Formable 141 Semi-rigid Coax Cable with Tinned Copper Braid Outer Conductor</t>
        </is>
      </c>
      <c r="F17" s="7" t="inlineStr">
        <is>
          <t>Pasternack</t>
        </is>
      </c>
      <c r="G17" s="7" t="n">
        <v>14.39</v>
      </c>
      <c r="H17" s="7">
        <f>B17*G17</f>
        <v/>
      </c>
      <c r="I17" s="7" t="n"/>
      <c r="J17" s="7" t="n"/>
      <c r="K17" s="7" t="n"/>
      <c r="L17" s="7">
        <f>IFERROR(MIN(I17:K17),"")</f>
        <v/>
      </c>
      <c r="M17" s="7" t="inlineStr"/>
      <c r="N17" s="7">
        <f>IF(L17="","",(G17-L17)*B17)</f>
        <v/>
      </c>
    </row>
    <row r="18">
      <c r="A18" s="7" t="n">
        <v>13</v>
      </c>
      <c r="B18" s="7" t="n">
        <v>4</v>
      </c>
      <c r="C18" s="7" t="inlineStr">
        <is>
          <t>BLK3+HVRR</t>
        </is>
      </c>
      <c r="D18" s="7" t="inlineStr">
        <is>
          <t>PE3500LF-36</t>
        </is>
      </c>
      <c r="E18" s="7" t="inlineStr">
        <is>
          <t>SMA Male to SMA Male Cable 36 Inch Length Using RG400 Coax, RoHS</t>
        </is>
      </c>
      <c r="F18" s="7" t="inlineStr">
        <is>
          <t>Pasternack</t>
        </is>
      </c>
      <c r="G18" s="7" t="n">
        <v>96.98999999999999</v>
      </c>
      <c r="H18" s="7">
        <f>B18*G18</f>
        <v/>
      </c>
      <c r="I18" s="7" t="n"/>
      <c r="J18" s="7" t="n"/>
      <c r="K18" s="7" t="n"/>
      <c r="L18" s="7">
        <f>IFERROR(MIN(I18:K18),"")</f>
        <v/>
      </c>
      <c r="M18" s="7" t="inlineStr"/>
      <c r="N18" s="7">
        <f>IF(L18="","",(G18-L18)*B18)</f>
        <v/>
      </c>
    </row>
    <row r="19">
      <c r="A19" s="7" t="n">
        <v>14</v>
      </c>
      <c r="B19" s="7" t="n">
        <v>4</v>
      </c>
      <c r="C19" s="7" t="inlineStr">
        <is>
          <t>BLK3+HVRR</t>
        </is>
      </c>
      <c r="D19" s="7" t="inlineStr">
        <is>
          <t>PE9620</t>
        </is>
      </c>
      <c r="E19" s="7" t="inlineStr">
        <is>
          <t>Precision SMA Female to SMA Female Bulkhead Mount Adapter, With O-Ring</t>
        </is>
      </c>
      <c r="F19" s="7" t="inlineStr">
        <is>
          <t>Pasternack</t>
        </is>
      </c>
      <c r="G19" s="7" t="n">
        <v>73.98999999999999</v>
      </c>
      <c r="H19" s="7">
        <f>B19*G19</f>
        <v/>
      </c>
      <c r="I19" s="7" t="n"/>
      <c r="J19" s="7" t="n"/>
      <c r="K19" s="7" t="n"/>
      <c r="L19" s="7">
        <f>IFERROR(MIN(I19:K19),"")</f>
        <v/>
      </c>
      <c r="M19" s="7" t="inlineStr"/>
      <c r="N19" s="7">
        <f>IF(L19="","",(G19-L19)*B19)</f>
        <v/>
      </c>
    </row>
    <row r="20">
      <c r="A20" s="7" t="n">
        <v>15</v>
      </c>
      <c r="B20" s="7" t="n">
        <v>10</v>
      </c>
      <c r="C20" s="7" t="inlineStr">
        <is>
          <t>BLK3+HVRR</t>
        </is>
      </c>
      <c r="D20" s="7" t="inlineStr">
        <is>
          <t>PE44693</t>
        </is>
      </c>
      <c r="E20" s="7" t="inlineStr">
        <is>
          <t>SMA Male Right Angle Connector Solder Attachment for PE-SR402FL</t>
        </is>
      </c>
      <c r="F20" s="7" t="inlineStr">
        <is>
          <t>Pasternack</t>
        </is>
      </c>
      <c r="G20" s="7" t="n">
        <v>28.59</v>
      </c>
      <c r="H20" s="7">
        <f>B20*G20</f>
        <v/>
      </c>
      <c r="I20" s="7" t="n"/>
      <c r="J20" s="7" t="n"/>
      <c r="K20" s="7" t="n"/>
      <c r="L20" s="7">
        <f>IFERROR(MIN(I20:K20),"")</f>
        <v/>
      </c>
      <c r="M20" s="7" t="inlineStr"/>
      <c r="N20" s="7">
        <f>IF(L20="","",(G20-L20)*B20)</f>
        <v/>
      </c>
    </row>
    <row r="21">
      <c r="A21" s="7" t="n">
        <v>16</v>
      </c>
      <c r="B21" s="7" t="n">
        <v>6</v>
      </c>
      <c r="C21" s="7" t="inlineStr">
        <is>
          <t>BLK3+HVRR</t>
        </is>
      </c>
      <c r="D21" s="7" t="inlineStr">
        <is>
          <t>PE9081</t>
        </is>
      </c>
      <c r="E21" s="7" t="inlineStr">
        <is>
          <t>SMA Female to N Male Adapter</t>
        </is>
      </c>
      <c r="F21" s="7" t="inlineStr">
        <is>
          <t>Pasternack</t>
        </is>
      </c>
      <c r="G21" s="7" t="n">
        <v>42.38</v>
      </c>
      <c r="H21" s="7">
        <f>B21*G21</f>
        <v/>
      </c>
      <c r="I21" s="7" t="n"/>
      <c r="J21" s="7" t="n"/>
      <c r="K21" s="7" t="n"/>
      <c r="L21" s="7">
        <f>IFERROR(MIN(I21:K21),"")</f>
        <v/>
      </c>
      <c r="M21" s="7" t="inlineStr"/>
      <c r="N21" s="7">
        <f>IF(L21="","",(G21-L21)*B21)</f>
        <v/>
      </c>
    </row>
    <row r="22">
      <c r="A22" s="7" t="n">
        <v>17</v>
      </c>
      <c r="B22" s="7" t="n">
        <v>8</v>
      </c>
      <c r="C22" s="7" t="inlineStr">
        <is>
          <t>BLK3+HVRR</t>
        </is>
      </c>
      <c r="D22" s="7" t="inlineStr">
        <is>
          <t>PE45554</t>
        </is>
      </c>
      <c r="E22" s="7" t="inlineStr">
        <is>
          <t xml:space="preserve">SMA Female Bulkhead Mount Connector Solder Attachment for PE-SR402FL, .235 inch </t>
        </is>
      </c>
      <c r="F22" s="7" t="inlineStr">
        <is>
          <t>Pasternack</t>
        </is>
      </c>
      <c r="G22" s="7" t="n">
        <v>28.19</v>
      </c>
      <c r="H22" s="7">
        <f>B22*G22</f>
        <v/>
      </c>
      <c r="I22" s="7" t="n"/>
      <c r="J22" s="7" t="n"/>
      <c r="K22" s="7" t="n"/>
      <c r="L22" s="7">
        <f>IFERROR(MIN(I22:K22),"")</f>
        <v/>
      </c>
      <c r="M22" s="7" t="inlineStr"/>
      <c r="N22" s="7">
        <f>IF(L22="","",(G22-L22)*B22)</f>
        <v/>
      </c>
    </row>
    <row r="23">
      <c r="A23" s="7" t="n">
        <v>18</v>
      </c>
      <c r="B23" s="7" t="n">
        <v>10</v>
      </c>
      <c r="C23" s="7" t="inlineStr">
        <is>
          <t>BLK3+HVRR</t>
        </is>
      </c>
      <c r="D23" s="7" t="inlineStr">
        <is>
          <t>PE4112</t>
        </is>
      </c>
      <c r="E23" s="7" t="inlineStr">
        <is>
          <t>SMA Male Connector Solder Attachment for PE-SR402FL</t>
        </is>
      </c>
      <c r="F23" s="7" t="inlineStr">
        <is>
          <t>Pasternack</t>
        </is>
      </c>
      <c r="G23" s="7" t="n">
        <v>16.79</v>
      </c>
      <c r="H23" s="7">
        <f>B23*G23</f>
        <v/>
      </c>
      <c r="I23" s="7" t="n"/>
      <c r="J23" s="7" t="n"/>
      <c r="K23" s="7" t="n"/>
      <c r="L23" s="7">
        <f>IFERROR(MIN(I23:K23),"")</f>
        <v/>
      </c>
      <c r="M23" s="7" t="inlineStr"/>
      <c r="N23" s="7">
        <f>IF(L23="","",(G23-L23)*B23)</f>
        <v/>
      </c>
    </row>
    <row r="24">
      <c r="A24" s="7" t="n">
        <v>19</v>
      </c>
      <c r="B24" s="7" t="n">
        <v>2</v>
      </c>
      <c r="C24" s="7" t="inlineStr">
        <is>
          <t>BLK3+HVRR</t>
        </is>
      </c>
      <c r="D24" s="7" t="inlineStr">
        <is>
          <t>PE3810-36</t>
        </is>
      </c>
      <c r="E24" s="7" t="inlineStr">
        <is>
          <t>SMA Male to SMB Plug Cable 36" L using RG316 Coax, Upper Cable</t>
        </is>
      </c>
      <c r="F24" s="7" t="inlineStr">
        <is>
          <t>Pasternack</t>
        </is>
      </c>
      <c r="G24" s="7" t="n">
        <v>72.98999999999999</v>
      </c>
      <c r="H24" s="7">
        <f>B24*G24</f>
        <v/>
      </c>
      <c r="I24" s="7" t="n"/>
      <c r="J24" s="7" t="n"/>
      <c r="K24" s="7" t="n"/>
      <c r="L24" s="7">
        <f>IFERROR(MIN(I24:K24),"")</f>
        <v/>
      </c>
      <c r="M24" s="7" t="inlineStr"/>
      <c r="N24" s="7">
        <f>IF(L24="","",(G24-L24)*B24)</f>
        <v/>
      </c>
    </row>
    <row r="25">
      <c r="A25" s="7" t="n">
        <v>20</v>
      </c>
      <c r="B25" s="7" t="n">
        <v>8</v>
      </c>
      <c r="C25" s="7" t="inlineStr">
        <is>
          <t>BLK3+HVRR</t>
        </is>
      </c>
      <c r="D25" s="7" t="inlineStr">
        <is>
          <t>PE4112</t>
        </is>
      </c>
      <c r="E25" s="7" t="inlineStr">
        <is>
          <t>SMA Male Connector Solder Attachment for PE-SR402AL</t>
        </is>
      </c>
      <c r="F25" s="7" t="inlineStr">
        <is>
          <t>Pasternack</t>
        </is>
      </c>
      <c r="G25" s="7" t="n">
        <v>16.79</v>
      </c>
      <c r="H25" s="7">
        <f>B25*G25</f>
        <v/>
      </c>
      <c r="I25" s="7" t="n"/>
      <c r="J25" s="7" t="n"/>
      <c r="K25" s="7" t="n"/>
      <c r="L25" s="7">
        <f>IFERROR(MIN(I25:K25),"")</f>
        <v/>
      </c>
      <c r="M25" s="7" t="inlineStr"/>
      <c r="N25" s="7">
        <f>IF(L25="","",(G25-L25)*B25)</f>
        <v/>
      </c>
    </row>
    <row r="26">
      <c r="A26" s="7" t="n">
        <v>21</v>
      </c>
      <c r="B26" s="7" t="n">
        <v>4</v>
      </c>
      <c r="C26" s="7" t="inlineStr">
        <is>
          <t>BLK3+HVRR</t>
        </is>
      </c>
      <c r="D26" s="7" t="inlineStr">
        <is>
          <t>PE4083</t>
        </is>
      </c>
      <c r="E26" s="7" t="inlineStr">
        <is>
          <t>SMA Male Right Angle Connector Solder Attachment for PE-SR402AL, PE-SR402FL, PE-</t>
        </is>
      </c>
      <c r="F26" s="7" t="inlineStr">
        <is>
          <t>Pasternack</t>
        </is>
      </c>
      <c r="G26" s="7" t="n">
        <v>33.39</v>
      </c>
      <c r="H26" s="7">
        <f>B26*G26</f>
        <v/>
      </c>
      <c r="I26" s="7" t="n"/>
      <c r="J26" s="7" t="n"/>
      <c r="K26" s="7" t="n"/>
      <c r="L26" s="7">
        <f>IFERROR(MIN(I26:K26),"")</f>
        <v/>
      </c>
      <c r="M26" s="7" t="inlineStr"/>
      <c r="N26" s="7">
        <f>IF(L26="","",(G26-L26)*B26)</f>
        <v/>
      </c>
    </row>
    <row r="27">
      <c r="A27" s="7" t="n">
        <v>22</v>
      </c>
      <c r="B27" s="7" t="n">
        <v>2</v>
      </c>
      <c r="C27" s="7" t="inlineStr">
        <is>
          <t>BLK3+HVRR</t>
        </is>
      </c>
      <c r="D27" s="7" t="inlineStr">
        <is>
          <t>PE3W03014-60</t>
        </is>
      </c>
      <c r="E27" s="7" t="inlineStr">
        <is>
          <t>SMA Male to SMB Jack Cable 60" L Using RG316 Coax, Lower Cable</t>
        </is>
      </c>
      <c r="F27" s="7" t="inlineStr">
        <is>
          <t>Pasternack</t>
        </is>
      </c>
      <c r="G27" s="7" t="n">
        <v>51.99</v>
      </c>
      <c r="H27" s="7">
        <f>B27*G27</f>
        <v/>
      </c>
      <c r="I27" s="7" t="n"/>
      <c r="J27" s="7" t="n"/>
      <c r="K27" s="7" t="n"/>
      <c r="L27" s="7">
        <f>IFERROR(MIN(I27:K27),"")</f>
        <v/>
      </c>
      <c r="M27" s="7" t="inlineStr"/>
      <c r="N27" s="7">
        <f>IF(L27="","",(G27-L27)*B27)</f>
        <v/>
      </c>
    </row>
    <row r="28">
      <c r="A28" s="7" t="n">
        <v>23</v>
      </c>
      <c r="B28" s="7" t="n">
        <v>2</v>
      </c>
      <c r="C28" s="7" t="inlineStr">
        <is>
          <t>BLK3+HVRR</t>
        </is>
      </c>
      <c r="D28" s="7" t="inlineStr">
        <is>
          <t>PE9077</t>
        </is>
      </c>
      <c r="E28" s="7" t="inlineStr">
        <is>
          <t>SMA Female to TNC Male Adapter</t>
        </is>
      </c>
      <c r="F28" s="7" t="inlineStr">
        <is>
          <t>Pasternack</t>
        </is>
      </c>
      <c r="G28" s="7" t="n">
        <v>47.39</v>
      </c>
      <c r="H28" s="7">
        <f>B28*G28</f>
        <v/>
      </c>
      <c r="I28" s="7" t="n"/>
      <c r="J28" s="7" t="n"/>
      <c r="K28" s="7" t="n"/>
      <c r="L28" s="7">
        <f>IFERROR(MIN(I28:K28),"")</f>
        <v/>
      </c>
      <c r="M28" s="7" t="inlineStr"/>
      <c r="N28" s="7">
        <f>IF(L28="","",(G28-L28)*B28)</f>
        <v/>
      </c>
    </row>
    <row r="29">
      <c r="F29" s="3" t="inlineStr">
        <is>
          <t>GROUP TOTAL</t>
        </is>
      </c>
      <c r="H29" s="3">
        <f>SUM(H6:H28)</f>
        <v/>
      </c>
      <c r="N29" s="3">
        <f>SUM(N6:N28)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46" customWidth="1" min="5" max="5"/>
    <col width="18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6" customWidth="1" min="13" max="13"/>
    <col width="15" customWidth="1" min="14" max="14"/>
  </cols>
  <sheetData>
    <row r="1">
      <c r="A1" s="5" t="inlineStr">
        <is>
          <t>Recovery · Textiles · Firesleeve</t>
        </is>
      </c>
    </row>
    <row r="2">
      <c r="A2" s="3" t="inlineStr">
        <is>
          <t>RFQ to (qualified suppliers):</t>
        </is>
      </c>
      <c r="C2" t="inlineStr">
        <is>
          <t>1) Incumbent (WAMORE/Airborne)    2) Bally Ribbon / Murdock Webbing    3) Techflex</t>
        </is>
      </c>
    </row>
    <row r="3">
      <c r="A3" t="inlineStr">
        <is>
          <t>RFQ issued:</t>
        </is>
      </c>
      <c r="C3" t="inlineStr">
        <is>
          <t>____________</t>
        </is>
      </c>
      <c r="E3" t="inlineStr">
        <is>
          <t>Quotes due:</t>
        </is>
      </c>
      <c r="G3" t="inlineStr">
        <is>
          <t>____________</t>
        </is>
      </c>
    </row>
    <row r="5">
      <c r="A5" s="6" t="inlineStr">
        <is>
          <t>Item</t>
        </is>
      </c>
      <c r="B5" s="6" t="inlineStr">
        <is>
          <t>Qty (BLK3+HVRR)</t>
        </is>
      </c>
      <c r="C5" s="6" t="inlineStr">
        <is>
          <t>Programs</t>
        </is>
      </c>
      <c r="D5" s="6" t="inlineStr">
        <is>
          <t>Vendor P/N</t>
        </is>
      </c>
      <c r="E5" s="6" t="inlineStr">
        <is>
          <t>Description</t>
        </is>
      </c>
      <c r="F5" s="6" t="inlineStr">
        <is>
          <t>Baseline Vendor</t>
        </is>
      </c>
      <c r="G5" s="6" t="inlineStr">
        <is>
          <t>Baseline $ ea</t>
        </is>
      </c>
      <c r="H5" s="6" t="inlineStr">
        <is>
          <t>Baseline Ext $</t>
        </is>
      </c>
      <c r="I5" s="6" t="inlineStr">
        <is>
          <t>Incumbent (WAMORE/Airborne) $ea</t>
        </is>
      </c>
      <c r="J5" s="6" t="inlineStr">
        <is>
          <t>Bally Ribbon / Murdock Webbing $ea</t>
        </is>
      </c>
      <c r="K5" s="6" t="inlineStr">
        <is>
          <t>Techflex $ea</t>
        </is>
      </c>
      <c r="L5" s="6" t="inlineStr">
        <is>
          <t>Low Quote</t>
        </is>
      </c>
      <c r="M5" s="6" t="inlineStr">
        <is>
          <t>Award To</t>
        </is>
      </c>
      <c r="N5" s="6" t="inlineStr">
        <is>
          <t>Savings vs Baseline</t>
        </is>
      </c>
    </row>
    <row r="6">
      <c r="A6" s="7" t="n">
        <v>1</v>
      </c>
      <c r="B6" s="7" t="n">
        <v>2</v>
      </c>
      <c r="C6" s="7" t="inlineStr">
        <is>
          <t>BLK3+HVRR</t>
        </is>
      </c>
      <c r="D6" s="7" t="inlineStr">
        <is>
          <t>RKT000201</t>
        </is>
      </c>
      <c r="E6" s="7" t="inlineStr">
        <is>
          <t>AGU - 20" Diameter Compataible Rocket Autonomous Guided Unit - sized to fly a St</t>
        </is>
      </c>
      <c r="F6" s="7" t="inlineStr">
        <is>
          <t>WAMORE</t>
        </is>
      </c>
      <c r="G6" s="7" t="n">
        <v>10000</v>
      </c>
      <c r="H6" s="7">
        <f>B6*G6</f>
        <v/>
      </c>
      <c r="I6" s="7" t="n"/>
      <c r="J6" s="7" t="n"/>
      <c r="K6" s="7" t="n"/>
      <c r="L6" s="7">
        <f>IFERROR(MIN(I6:K6),"")</f>
        <v/>
      </c>
      <c r="M6" s="7" t="inlineStr"/>
      <c r="N6" s="7">
        <f>IF(L6="","",(G6-L6)*B6)</f>
        <v/>
      </c>
    </row>
    <row r="7">
      <c r="A7" s="7" t="n">
        <v>2</v>
      </c>
      <c r="B7" s="7" t="n">
        <v>2</v>
      </c>
      <c r="C7" s="7" t="inlineStr">
        <is>
          <t>BLK3+HVRR</t>
        </is>
      </c>
      <c r="D7" s="7" t="inlineStr">
        <is>
          <t>WAC00153 Rev X1</t>
        </is>
      </c>
      <c r="E7" s="7" t="inlineStr">
        <is>
          <t>AGU-Link Phone Kit</t>
        </is>
      </c>
      <c r="F7" s="7" t="inlineStr">
        <is>
          <t>WAMORE</t>
        </is>
      </c>
      <c r="G7" s="7" t="n">
        <v>4000</v>
      </c>
      <c r="H7" s="7">
        <f>B7*G7</f>
        <v/>
      </c>
      <c r="I7" s="7" t="n"/>
      <c r="J7" s="7" t="n"/>
      <c r="K7" s="7" t="n"/>
      <c r="L7" s="7">
        <f>IFERROR(MIN(I7:K7),"")</f>
        <v/>
      </c>
      <c r="M7" s="7" t="inlineStr"/>
      <c r="N7" s="7">
        <f>IF(L7="","",(G7-L7)*B7)</f>
        <v/>
      </c>
    </row>
    <row r="8">
      <c r="A8" s="7" t="n">
        <v>3</v>
      </c>
      <c r="B8" s="7" t="n">
        <v>2</v>
      </c>
      <c r="C8" s="7" t="inlineStr">
        <is>
          <t>BLK3+HVRR</t>
        </is>
      </c>
      <c r="D8" s="7" t="inlineStr">
        <is>
          <t>AFFSHD-OR-64-05</t>
        </is>
      </c>
      <c r="E8" s="7" t="inlineStr">
        <is>
          <t>Firesleeve - Industrial Heavy Duty - Braided - Oxide-Red</t>
        </is>
      </c>
      <c r="F8" s="7" t="inlineStr">
        <is>
          <t>American Firesleeve</t>
        </is>
      </c>
      <c r="G8" s="7" t="n">
        <v>160.02</v>
      </c>
      <c r="H8" s="7">
        <f>B8*G8</f>
        <v/>
      </c>
      <c r="I8" s="7" t="n"/>
      <c r="J8" s="7" t="n"/>
      <c r="K8" s="7" t="n"/>
      <c r="L8" s="7">
        <f>IFERROR(MIN(I8:K8),"")</f>
        <v/>
      </c>
      <c r="M8" s="7" t="inlineStr"/>
      <c r="N8" s="7">
        <f>IF(L8="","",(G8-L8)*B8)</f>
        <v/>
      </c>
    </row>
    <row r="9">
      <c r="A9" s="7" t="n">
        <v>4</v>
      </c>
      <c r="B9" s="7" t="n">
        <v>0</v>
      </c>
      <c r="C9" s="7" t="inlineStr">
        <is>
          <t>BLK3+HVRR</t>
        </is>
      </c>
      <c r="D9" s="7" t="inlineStr">
        <is>
          <t>292800500N 2928</t>
        </is>
      </c>
      <c r="E9" s="7" t="inlineStr">
        <is>
          <t>1/2" Natural Kevlar Tape - 1200lb Minimum tensile (1200 yards @ $6.12/yd) Put-up</t>
        </is>
      </c>
      <c r="F9" s="7" t="inlineStr">
        <is>
          <t>Bally Ribbon Mills</t>
        </is>
      </c>
      <c r="G9" s="7" t="n">
        <v>0</v>
      </c>
      <c r="H9" s="7">
        <f>B9*G9</f>
        <v/>
      </c>
      <c r="I9" s="7" t="n"/>
      <c r="J9" s="7" t="n"/>
      <c r="K9" s="7" t="n"/>
      <c r="L9" s="7">
        <f>IFERROR(MIN(I9:K9),"")</f>
        <v/>
      </c>
      <c r="M9" s="7" t="inlineStr"/>
      <c r="N9" s="7">
        <f>IF(L9="","",(G9-L9)*B9)</f>
        <v/>
      </c>
    </row>
    <row r="10">
      <c r="A10" s="7" t="n">
        <v>5</v>
      </c>
      <c r="B10" s="7" t="n">
        <v>0</v>
      </c>
      <c r="C10" s="7" t="inlineStr">
        <is>
          <t>BLK3+HVRR</t>
        </is>
      </c>
      <c r="D10" s="7" t="inlineStr">
        <is>
          <t>2491</t>
        </is>
      </c>
      <c r="E10" s="7" t="inlineStr">
        <is>
          <t>1 inch Kevlar Tape  -1500lb tensile strength  Light Resin finish</t>
        </is>
      </c>
      <c r="F10" s="7" t="inlineStr">
        <is>
          <t>Bally Ribbon Mills</t>
        </is>
      </c>
      <c r="G10" s="7" t="n">
        <v>0</v>
      </c>
      <c r="H10" s="7">
        <f>B10*G10</f>
        <v/>
      </c>
      <c r="I10" s="7" t="n"/>
      <c r="J10" s="7" t="n"/>
      <c r="K10" s="7" t="n"/>
      <c r="L10" s="7">
        <f>IFERROR(MIN(I10:K10),"")</f>
        <v/>
      </c>
      <c r="M10" s="7" t="inlineStr"/>
      <c r="N10" s="7">
        <f>IF(L10="","",(G10-L10)*B10)</f>
        <v/>
      </c>
    </row>
    <row r="11">
      <c r="A11" s="7" t="n">
        <v>6</v>
      </c>
      <c r="B11" s="7" t="n">
        <v>0</v>
      </c>
      <c r="C11" s="7" t="inlineStr">
        <is>
          <t>BLK3+HVRR</t>
        </is>
      </c>
      <c r="D11" s="7" t="inlineStr">
        <is>
          <t>3160</t>
        </is>
      </c>
      <c r="E11" s="7" t="inlineStr">
        <is>
          <t>Kevlar Webbing - Black Kevlar 2" Wide Webbing</t>
        </is>
      </c>
      <c r="F11" s="7" t="inlineStr">
        <is>
          <t>Offray</t>
        </is>
      </c>
      <c r="G11" s="7" t="n">
        <v>0</v>
      </c>
      <c r="H11" s="7">
        <f>B11*G11</f>
        <v/>
      </c>
      <c r="I11" s="7" t="n"/>
      <c r="J11" s="7" t="n"/>
      <c r="K11" s="7" t="n"/>
      <c r="L11" s="7">
        <f>IFERROR(MIN(I11:K11),"")</f>
        <v/>
      </c>
      <c r="M11" s="7" t="inlineStr"/>
      <c r="N11" s="7">
        <f>IF(L11="","",(G11-L11)*B11)</f>
        <v/>
      </c>
    </row>
    <row r="12">
      <c r="A12" s="7" t="n">
        <v>7</v>
      </c>
      <c r="B12" s="7" t="n">
        <v>0</v>
      </c>
      <c r="C12" s="7" t="inlineStr">
        <is>
          <t>BLK3+HVRR</t>
        </is>
      </c>
      <c r="D12" s="7" t="inlineStr">
        <is>
          <t>2175</t>
        </is>
      </c>
      <c r="E12" s="7" t="inlineStr">
        <is>
          <t>2175 - 1 3/4" Natural LT. "R" Kevlar Webbing (1.75" 15,000lb Kevlar)</t>
        </is>
      </c>
      <c r="F12" s="7" t="inlineStr">
        <is>
          <t>Bally Ribbon Mills</t>
        </is>
      </c>
      <c r="G12" s="7" t="n">
        <v>0</v>
      </c>
      <c r="H12" s="7">
        <f>B12*G12</f>
        <v/>
      </c>
      <c r="I12" s="7" t="n"/>
      <c r="J12" s="7" t="n"/>
      <c r="K12" s="7" t="n"/>
      <c r="L12" s="7">
        <f>IFERROR(MIN(I12:K12),"")</f>
        <v/>
      </c>
      <c r="M12" s="7" t="inlineStr"/>
      <c r="N12" s="7">
        <f>IF(L12="","",(G12-L12)*B12)</f>
        <v/>
      </c>
    </row>
    <row r="13">
      <c r="A13" s="7" t="n">
        <v>8</v>
      </c>
      <c r="B13" s="7" t="n">
        <v>0</v>
      </c>
      <c r="C13" s="7" t="inlineStr">
        <is>
          <t>BLK3+HVRR</t>
        </is>
      </c>
      <c r="D13" s="7" t="inlineStr">
        <is>
          <t>H364-6RM</t>
        </is>
      </c>
      <c r="E13" s="7" t="inlineStr">
        <is>
          <t>Separable Link, Drag Chute 52B6660-1 and -2 or 4160-1 6000lb strength</t>
        </is>
      </c>
      <c r="F13" s="7" t="inlineStr">
        <is>
          <t>Paragear</t>
        </is>
      </c>
      <c r="G13" s="7" t="n">
        <v>0</v>
      </c>
      <c r="H13" s="7">
        <f>B13*G13</f>
        <v/>
      </c>
      <c r="I13" s="7" t="n"/>
      <c r="J13" s="7" t="n"/>
      <c r="K13" s="7" t="n"/>
      <c r="L13" s="7">
        <f>IFERROR(MIN(I13:K13),"")</f>
        <v/>
      </c>
      <c r="M13" s="7" t="inlineStr"/>
      <c r="N13" s="7">
        <f>IF(L13="","",(G13-L13)*B13)</f>
        <v/>
      </c>
    </row>
    <row r="14">
      <c r="F14" s="3" t="inlineStr">
        <is>
          <t>GROUP TOTAL</t>
        </is>
      </c>
      <c r="H14" s="3">
        <f>SUM(H6:H13)</f>
        <v/>
      </c>
      <c r="N14" s="3">
        <f>SUM(N6:N13)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2026-08-22T04:12:01Z</dcterms:created>
  <dcterms:modified xmlns:dcterms="http://purl.org/dc/terms/" xmlns:xsi="http://www.w3.org/2001/XMLSchema-instance" xsi:type="dcterms:W3CDTF">2026-08-22T04:12:01Z</dcterms:modified>
</cp:coreProperties>
</file>